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1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_BI_DE\PRJ_Excel\retail-sales-profitability-analysis-excel\dashboard\"/>
    </mc:Choice>
  </mc:AlternateContent>
  <xr:revisionPtr revIDLastSave="0" documentId="13_ncr:1_{E1B8C7CC-6640-4A5E-8DE2-AF52CC816276}" xr6:coauthVersionLast="47" xr6:coauthVersionMax="47" xr10:uidLastSave="{00000000-0000-0000-0000-000000000000}"/>
  <bookViews>
    <workbookView xWindow="-110" yWindow="-110" windowWidth="25820" windowHeight="16220" tabRatio="747" activeTab="4" xr2:uid="{B4BE0485-C7D1-42C5-93A8-D7FA1EEFE97F}"/>
  </bookViews>
  <sheets>
    <sheet name="Dashboard - Executive" sheetId="11" r:id="rId1"/>
    <sheet name="Dashboard - Product Analysis" sheetId="12" r:id="rId2"/>
    <sheet name="Dashboard - Regional Analysis" sheetId="13" r:id="rId3"/>
    <sheet name="Dashboard - Customer Analysis" sheetId="14" r:id="rId4"/>
    <sheet name="Dashboard - Scenario &amp; Recommen" sheetId="15" r:id="rId5"/>
  </sheets>
  <definedNames>
    <definedName name="_xlchart.v1.0" hidden="1">'Dashboard - Customer Analysis'!$AK$1</definedName>
    <definedName name="_xlchart.v1.1" hidden="1">'Dashboard - Customer Analysis'!$AK$2:$AK$794</definedName>
    <definedName name="_xlchart.v1.2" hidden="1">'Dashboard - Customer Analysis'!$AL$1</definedName>
    <definedName name="_xlchart.v1.3" hidden="1">'Dashboard - Customer Analysis'!$AL$2:$AL$794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5" l="1"/>
  <c r="V9" i="15"/>
  <c r="V7" i="15"/>
  <c r="G4" i="15"/>
  <c r="D4" i="15"/>
  <c r="A4" i="15"/>
  <c r="AK3" i="14"/>
  <c r="AK4" i="14"/>
  <c r="AK5" i="14"/>
  <c r="AK6" i="14"/>
  <c r="AK7" i="14"/>
  <c r="AK8" i="14"/>
  <c r="AK9" i="14"/>
  <c r="AK10" i="14"/>
  <c r="AK11" i="14"/>
  <c r="AK12" i="14"/>
  <c r="AK13" i="14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40" i="14"/>
  <c r="AK41" i="14"/>
  <c r="AK42" i="14"/>
  <c r="AK43" i="14"/>
  <c r="AK44" i="14"/>
  <c r="AK45" i="14"/>
  <c r="AK46" i="14"/>
  <c r="AK47" i="14"/>
  <c r="AK48" i="14"/>
  <c r="AK49" i="14"/>
  <c r="AK50" i="14"/>
  <c r="AK51" i="14"/>
  <c r="AK52" i="14"/>
  <c r="AK53" i="14"/>
  <c r="AK54" i="14"/>
  <c r="AK55" i="14"/>
  <c r="AK56" i="14"/>
  <c r="AK57" i="14"/>
  <c r="AK58" i="14"/>
  <c r="AK59" i="14"/>
  <c r="AK60" i="14"/>
  <c r="AK61" i="14"/>
  <c r="AK62" i="14"/>
  <c r="AK63" i="14"/>
  <c r="AK64" i="14"/>
  <c r="AK65" i="14"/>
  <c r="AK66" i="14"/>
  <c r="AK67" i="14"/>
  <c r="AK68" i="14"/>
  <c r="AK69" i="14"/>
  <c r="AK70" i="14"/>
  <c r="AK71" i="14"/>
  <c r="AK72" i="14"/>
  <c r="AK73" i="14"/>
  <c r="AK74" i="14"/>
  <c r="AK75" i="14"/>
  <c r="AK76" i="14"/>
  <c r="AK77" i="14"/>
  <c r="AK78" i="14"/>
  <c r="AK79" i="14"/>
  <c r="AK80" i="14"/>
  <c r="AK81" i="14"/>
  <c r="AK82" i="14"/>
  <c r="AK83" i="14"/>
  <c r="AK84" i="14"/>
  <c r="AK85" i="14"/>
  <c r="AK86" i="14"/>
  <c r="AK87" i="14"/>
  <c r="AK88" i="14"/>
  <c r="AK89" i="14"/>
  <c r="AK90" i="14"/>
  <c r="AK91" i="14"/>
  <c r="AK92" i="14"/>
  <c r="AK93" i="14"/>
  <c r="AK94" i="14"/>
  <c r="AK95" i="14"/>
  <c r="AK96" i="14"/>
  <c r="AK97" i="14"/>
  <c r="AK98" i="14"/>
  <c r="AK99" i="14"/>
  <c r="AK100" i="14"/>
  <c r="AK101" i="14"/>
  <c r="AK102" i="14"/>
  <c r="AK103" i="14"/>
  <c r="AK104" i="14"/>
  <c r="AK105" i="14"/>
  <c r="AK106" i="14"/>
  <c r="AK107" i="14"/>
  <c r="AK108" i="14"/>
  <c r="AK109" i="14"/>
  <c r="AK110" i="14"/>
  <c r="AK111" i="14"/>
  <c r="AK112" i="14"/>
  <c r="AK113" i="14"/>
  <c r="AK114" i="14"/>
  <c r="AK115" i="14"/>
  <c r="AK116" i="14"/>
  <c r="AK117" i="14"/>
  <c r="AK118" i="14"/>
  <c r="AK119" i="14"/>
  <c r="AK120" i="14"/>
  <c r="AK121" i="14"/>
  <c r="AK122" i="14"/>
  <c r="AK123" i="14"/>
  <c r="AK124" i="14"/>
  <c r="AK125" i="14"/>
  <c r="AK126" i="14"/>
  <c r="AK127" i="14"/>
  <c r="AK128" i="14"/>
  <c r="AK129" i="14"/>
  <c r="AK130" i="14"/>
  <c r="AK131" i="14"/>
  <c r="AK132" i="14"/>
  <c r="AK133" i="14"/>
  <c r="AK134" i="14"/>
  <c r="AK135" i="14"/>
  <c r="AK136" i="14"/>
  <c r="AK137" i="14"/>
  <c r="AK138" i="14"/>
  <c r="AK139" i="14"/>
  <c r="AK140" i="14"/>
  <c r="AK141" i="14"/>
  <c r="AK142" i="14"/>
  <c r="AK143" i="14"/>
  <c r="AK144" i="14"/>
  <c r="AK145" i="14"/>
  <c r="AK146" i="14"/>
  <c r="AK147" i="14"/>
  <c r="AK148" i="14"/>
  <c r="AK149" i="14"/>
  <c r="AK150" i="14"/>
  <c r="AK151" i="14"/>
  <c r="AK152" i="14"/>
  <c r="AK153" i="14"/>
  <c r="AK154" i="14"/>
  <c r="AK155" i="14"/>
  <c r="AK156" i="14"/>
  <c r="AK157" i="14"/>
  <c r="AK158" i="14"/>
  <c r="AK159" i="14"/>
  <c r="AK160" i="14"/>
  <c r="AK161" i="14"/>
  <c r="AK162" i="14"/>
  <c r="AK163" i="14"/>
  <c r="AK164" i="14"/>
  <c r="AK165" i="14"/>
  <c r="AK166" i="14"/>
  <c r="AK167" i="14"/>
  <c r="AK168" i="14"/>
  <c r="AK169" i="14"/>
  <c r="AK170" i="14"/>
  <c r="AK171" i="14"/>
  <c r="AK172" i="14"/>
  <c r="AK173" i="14"/>
  <c r="AK174" i="14"/>
  <c r="AK175" i="14"/>
  <c r="AK176" i="14"/>
  <c r="AK177" i="14"/>
  <c r="AK178" i="14"/>
  <c r="AK179" i="14"/>
  <c r="AK180" i="14"/>
  <c r="AK181" i="14"/>
  <c r="AK182" i="14"/>
  <c r="AK183" i="14"/>
  <c r="AK184" i="14"/>
  <c r="AK185" i="14"/>
  <c r="AK186" i="14"/>
  <c r="AK187" i="14"/>
  <c r="AK188" i="14"/>
  <c r="AK189" i="14"/>
  <c r="AK190" i="14"/>
  <c r="AK191" i="14"/>
  <c r="AK192" i="14"/>
  <c r="AK193" i="14"/>
  <c r="AK194" i="14"/>
  <c r="AK195" i="14"/>
  <c r="AK196" i="14"/>
  <c r="AK197" i="14"/>
  <c r="AK198" i="14"/>
  <c r="AK199" i="14"/>
  <c r="AK200" i="14"/>
  <c r="AK201" i="14"/>
  <c r="AK202" i="14"/>
  <c r="AK203" i="14"/>
  <c r="AK204" i="14"/>
  <c r="AK205" i="14"/>
  <c r="AK206" i="14"/>
  <c r="AK207" i="14"/>
  <c r="AK208" i="14"/>
  <c r="AK209" i="14"/>
  <c r="AK210" i="14"/>
  <c r="AK211" i="14"/>
  <c r="AK212" i="14"/>
  <c r="AK213" i="14"/>
  <c r="AK214" i="14"/>
  <c r="AK215" i="14"/>
  <c r="AK216" i="14"/>
  <c r="AK217" i="14"/>
  <c r="AK218" i="14"/>
  <c r="AK219" i="14"/>
  <c r="AK220" i="14"/>
  <c r="AK221" i="14"/>
  <c r="AK222" i="14"/>
  <c r="AK223" i="14"/>
  <c r="AK224" i="14"/>
  <c r="AK225" i="14"/>
  <c r="AK226" i="14"/>
  <c r="AK227" i="14"/>
  <c r="AK228" i="14"/>
  <c r="AK229" i="14"/>
  <c r="AK230" i="14"/>
  <c r="AK231" i="14"/>
  <c r="AK232" i="14"/>
  <c r="AK233" i="14"/>
  <c r="AK234" i="14"/>
  <c r="AK235" i="14"/>
  <c r="AK236" i="14"/>
  <c r="AK237" i="14"/>
  <c r="AK238" i="14"/>
  <c r="AK239" i="14"/>
  <c r="AK240" i="14"/>
  <c r="AK241" i="14"/>
  <c r="AK242" i="14"/>
  <c r="AK243" i="14"/>
  <c r="AK244" i="14"/>
  <c r="AK245" i="14"/>
  <c r="AK246" i="14"/>
  <c r="AK247" i="14"/>
  <c r="AK248" i="14"/>
  <c r="AK249" i="14"/>
  <c r="AK250" i="14"/>
  <c r="AK251" i="14"/>
  <c r="AK252" i="14"/>
  <c r="AK253" i="14"/>
  <c r="AK254" i="14"/>
  <c r="AK255" i="14"/>
  <c r="AK256" i="14"/>
  <c r="AK257" i="14"/>
  <c r="AK258" i="14"/>
  <c r="AK259" i="14"/>
  <c r="AK260" i="14"/>
  <c r="AK261" i="14"/>
  <c r="AK262" i="14"/>
  <c r="AK263" i="14"/>
  <c r="AK264" i="14"/>
  <c r="AK265" i="14"/>
  <c r="AK266" i="14"/>
  <c r="AK267" i="14"/>
  <c r="AK268" i="14"/>
  <c r="AK269" i="14"/>
  <c r="AK270" i="14"/>
  <c r="AK271" i="14"/>
  <c r="AK272" i="14"/>
  <c r="AK273" i="14"/>
  <c r="AK274" i="14"/>
  <c r="AK275" i="14"/>
  <c r="AK276" i="14"/>
  <c r="AK277" i="14"/>
  <c r="AK278" i="14"/>
  <c r="AK279" i="14"/>
  <c r="AK280" i="14"/>
  <c r="AK281" i="14"/>
  <c r="AK282" i="14"/>
  <c r="AK283" i="14"/>
  <c r="AK284" i="14"/>
  <c r="AK285" i="14"/>
  <c r="AK286" i="14"/>
  <c r="AK287" i="14"/>
  <c r="AK288" i="14"/>
  <c r="AK289" i="14"/>
  <c r="AK290" i="14"/>
  <c r="AK291" i="14"/>
  <c r="AK292" i="14"/>
  <c r="AK293" i="14"/>
  <c r="AK294" i="14"/>
  <c r="AK295" i="14"/>
  <c r="AK296" i="14"/>
  <c r="AK297" i="14"/>
  <c r="AK298" i="14"/>
  <c r="AK299" i="14"/>
  <c r="AK300" i="14"/>
  <c r="AK301" i="14"/>
  <c r="AK302" i="14"/>
  <c r="AK303" i="14"/>
  <c r="AK304" i="14"/>
  <c r="AK305" i="14"/>
  <c r="AK306" i="14"/>
  <c r="AK307" i="14"/>
  <c r="AK308" i="14"/>
  <c r="AK309" i="14"/>
  <c r="AK310" i="14"/>
  <c r="AK311" i="14"/>
  <c r="AK312" i="14"/>
  <c r="AK313" i="14"/>
  <c r="AK314" i="14"/>
  <c r="AK315" i="14"/>
  <c r="AK316" i="14"/>
  <c r="AK317" i="14"/>
  <c r="AK318" i="14"/>
  <c r="AK319" i="14"/>
  <c r="AK320" i="14"/>
  <c r="AK321" i="14"/>
  <c r="AK322" i="14"/>
  <c r="AK323" i="14"/>
  <c r="AK324" i="14"/>
  <c r="AK325" i="14"/>
  <c r="AK326" i="14"/>
  <c r="AK327" i="14"/>
  <c r="AK328" i="14"/>
  <c r="AK329" i="14"/>
  <c r="AK330" i="14"/>
  <c r="AK331" i="14"/>
  <c r="AK332" i="14"/>
  <c r="AK333" i="14"/>
  <c r="AK334" i="14"/>
  <c r="AK335" i="14"/>
  <c r="AK336" i="14"/>
  <c r="AK337" i="14"/>
  <c r="AK338" i="14"/>
  <c r="AK339" i="14"/>
  <c r="AK340" i="14"/>
  <c r="AK341" i="14"/>
  <c r="AK342" i="14"/>
  <c r="AK343" i="14"/>
  <c r="AK344" i="14"/>
  <c r="AK345" i="14"/>
  <c r="AK346" i="14"/>
  <c r="AK347" i="14"/>
  <c r="AK348" i="14"/>
  <c r="AK349" i="14"/>
  <c r="AK350" i="14"/>
  <c r="AK351" i="14"/>
  <c r="AK352" i="14"/>
  <c r="AK353" i="14"/>
  <c r="AK354" i="14"/>
  <c r="AK355" i="14"/>
  <c r="AK356" i="14"/>
  <c r="AK357" i="14"/>
  <c r="AK358" i="14"/>
  <c r="AK359" i="14"/>
  <c r="AK360" i="14"/>
  <c r="AK361" i="14"/>
  <c r="AK362" i="14"/>
  <c r="AK363" i="14"/>
  <c r="AK364" i="14"/>
  <c r="AK365" i="14"/>
  <c r="AK366" i="14"/>
  <c r="AK367" i="14"/>
  <c r="AK368" i="14"/>
  <c r="AK369" i="14"/>
  <c r="AK370" i="14"/>
  <c r="AK371" i="14"/>
  <c r="AK372" i="14"/>
  <c r="AK373" i="14"/>
  <c r="AK374" i="14"/>
  <c r="AK375" i="14"/>
  <c r="AK376" i="14"/>
  <c r="AK377" i="14"/>
  <c r="AK378" i="14"/>
  <c r="AK379" i="14"/>
  <c r="AK380" i="14"/>
  <c r="AK381" i="14"/>
  <c r="AK382" i="14"/>
  <c r="AK383" i="14"/>
  <c r="AK384" i="14"/>
  <c r="AK385" i="14"/>
  <c r="AK386" i="14"/>
  <c r="AK387" i="14"/>
  <c r="AK388" i="14"/>
  <c r="AK389" i="14"/>
  <c r="AK390" i="14"/>
  <c r="AK391" i="14"/>
  <c r="AK392" i="14"/>
  <c r="AK393" i="14"/>
  <c r="AK394" i="14"/>
  <c r="AK395" i="14"/>
  <c r="AK396" i="14"/>
  <c r="AK397" i="14"/>
  <c r="AK398" i="14"/>
  <c r="AK399" i="14"/>
  <c r="AK400" i="14"/>
  <c r="AK401" i="14"/>
  <c r="AK402" i="14"/>
  <c r="AK403" i="14"/>
  <c r="AK404" i="14"/>
  <c r="AK405" i="14"/>
  <c r="AK406" i="14"/>
  <c r="AK407" i="14"/>
  <c r="AK408" i="14"/>
  <c r="AK409" i="14"/>
  <c r="AK410" i="14"/>
  <c r="AK411" i="14"/>
  <c r="AK412" i="14"/>
  <c r="AK413" i="14"/>
  <c r="AK414" i="14"/>
  <c r="AK415" i="14"/>
  <c r="AK416" i="14"/>
  <c r="AK417" i="14"/>
  <c r="AK418" i="14"/>
  <c r="AK419" i="14"/>
  <c r="AK420" i="14"/>
  <c r="AK421" i="14"/>
  <c r="AK422" i="14"/>
  <c r="AK423" i="14"/>
  <c r="AK424" i="14"/>
  <c r="AK425" i="14"/>
  <c r="AK426" i="14"/>
  <c r="AK427" i="14"/>
  <c r="AK428" i="14"/>
  <c r="AK429" i="14"/>
  <c r="AK430" i="14"/>
  <c r="AK431" i="14"/>
  <c r="AK432" i="14"/>
  <c r="AK433" i="14"/>
  <c r="AK434" i="14"/>
  <c r="AK435" i="14"/>
  <c r="AK436" i="14"/>
  <c r="AK437" i="14"/>
  <c r="AK438" i="14"/>
  <c r="AK439" i="14"/>
  <c r="AK440" i="14"/>
  <c r="AK441" i="14"/>
  <c r="AK442" i="14"/>
  <c r="AK443" i="14"/>
  <c r="AK444" i="14"/>
  <c r="AK445" i="14"/>
  <c r="AK446" i="14"/>
  <c r="AK447" i="14"/>
  <c r="AK448" i="14"/>
  <c r="AK449" i="14"/>
  <c r="AK450" i="14"/>
  <c r="AK451" i="14"/>
  <c r="AK452" i="14"/>
  <c r="AK453" i="14"/>
  <c r="AK454" i="14"/>
  <c r="AK455" i="14"/>
  <c r="AK456" i="14"/>
  <c r="AK457" i="14"/>
  <c r="AK458" i="14"/>
  <c r="AK459" i="14"/>
  <c r="AK460" i="14"/>
  <c r="AK461" i="14"/>
  <c r="AK462" i="14"/>
  <c r="AK463" i="14"/>
  <c r="AK464" i="14"/>
  <c r="AK465" i="14"/>
  <c r="AK466" i="14"/>
  <c r="AK467" i="14"/>
  <c r="AK468" i="14"/>
  <c r="AK469" i="14"/>
  <c r="AK470" i="14"/>
  <c r="AK471" i="14"/>
  <c r="AK472" i="14"/>
  <c r="AK473" i="14"/>
  <c r="AK474" i="14"/>
  <c r="AK475" i="14"/>
  <c r="AK476" i="14"/>
  <c r="AK477" i="14"/>
  <c r="AK478" i="14"/>
  <c r="AK479" i="14"/>
  <c r="AK480" i="14"/>
  <c r="AK481" i="14"/>
  <c r="AK482" i="14"/>
  <c r="AK483" i="14"/>
  <c r="AK484" i="14"/>
  <c r="AK485" i="14"/>
  <c r="AK486" i="14"/>
  <c r="AK487" i="14"/>
  <c r="AK488" i="14"/>
  <c r="AK489" i="14"/>
  <c r="AK490" i="14"/>
  <c r="AK491" i="14"/>
  <c r="AK492" i="14"/>
  <c r="AK493" i="14"/>
  <c r="AK494" i="14"/>
  <c r="AK495" i="14"/>
  <c r="AK496" i="14"/>
  <c r="AK497" i="14"/>
  <c r="AK498" i="14"/>
  <c r="AK499" i="14"/>
  <c r="AK500" i="14"/>
  <c r="AK501" i="14"/>
  <c r="AK502" i="14"/>
  <c r="AK503" i="14"/>
  <c r="AK504" i="14"/>
  <c r="AK505" i="14"/>
  <c r="AK506" i="14"/>
  <c r="AK507" i="14"/>
  <c r="AK508" i="14"/>
  <c r="AK509" i="14"/>
  <c r="AK510" i="14"/>
  <c r="AK511" i="14"/>
  <c r="AK512" i="14"/>
  <c r="AK513" i="14"/>
  <c r="AK514" i="14"/>
  <c r="AK515" i="14"/>
  <c r="AK516" i="14"/>
  <c r="AK517" i="14"/>
  <c r="AK518" i="14"/>
  <c r="AK519" i="14"/>
  <c r="AK520" i="14"/>
  <c r="AK521" i="14"/>
  <c r="AK522" i="14"/>
  <c r="AK523" i="14"/>
  <c r="AK524" i="14"/>
  <c r="AK525" i="14"/>
  <c r="AK526" i="14"/>
  <c r="AK527" i="14"/>
  <c r="AK528" i="14"/>
  <c r="AK529" i="14"/>
  <c r="AK530" i="14"/>
  <c r="AK531" i="14"/>
  <c r="AK532" i="14"/>
  <c r="AK533" i="14"/>
  <c r="AK534" i="14"/>
  <c r="AK535" i="14"/>
  <c r="AK536" i="14"/>
  <c r="AK537" i="14"/>
  <c r="AK538" i="14"/>
  <c r="AK539" i="14"/>
  <c r="AK540" i="14"/>
  <c r="AK541" i="14"/>
  <c r="AK542" i="14"/>
  <c r="AK543" i="14"/>
  <c r="AK544" i="14"/>
  <c r="AK545" i="14"/>
  <c r="AK546" i="14"/>
  <c r="AK547" i="14"/>
  <c r="AK548" i="14"/>
  <c r="AK549" i="14"/>
  <c r="AK550" i="14"/>
  <c r="AK551" i="14"/>
  <c r="AK552" i="14"/>
  <c r="AK553" i="14"/>
  <c r="AK554" i="14"/>
  <c r="AK555" i="14"/>
  <c r="AK556" i="14"/>
  <c r="AK557" i="14"/>
  <c r="AK558" i="14"/>
  <c r="AK559" i="14"/>
  <c r="AK560" i="14"/>
  <c r="AK561" i="14"/>
  <c r="AK562" i="14"/>
  <c r="AK563" i="14"/>
  <c r="AK564" i="14"/>
  <c r="AK565" i="14"/>
  <c r="AK566" i="14"/>
  <c r="AK567" i="14"/>
  <c r="AK568" i="14"/>
  <c r="AK569" i="14"/>
  <c r="AK570" i="14"/>
  <c r="AK571" i="14"/>
  <c r="AK572" i="14"/>
  <c r="AK573" i="14"/>
  <c r="AK574" i="14"/>
  <c r="AK575" i="14"/>
  <c r="AK576" i="14"/>
  <c r="AK577" i="14"/>
  <c r="AK578" i="14"/>
  <c r="AK579" i="14"/>
  <c r="AK580" i="14"/>
  <c r="AK581" i="14"/>
  <c r="AK582" i="14"/>
  <c r="AK583" i="14"/>
  <c r="AK584" i="14"/>
  <c r="AK585" i="14"/>
  <c r="AK586" i="14"/>
  <c r="AK587" i="14"/>
  <c r="AK588" i="14"/>
  <c r="AK589" i="14"/>
  <c r="AK590" i="14"/>
  <c r="AK591" i="14"/>
  <c r="AK592" i="14"/>
  <c r="AK593" i="14"/>
  <c r="AK594" i="14"/>
  <c r="AK595" i="14"/>
  <c r="AK596" i="14"/>
  <c r="AK597" i="14"/>
  <c r="AK598" i="14"/>
  <c r="AK599" i="14"/>
  <c r="AK600" i="14"/>
  <c r="AK601" i="14"/>
  <c r="AK602" i="14"/>
  <c r="AK603" i="14"/>
  <c r="AK604" i="14"/>
  <c r="AK605" i="14"/>
  <c r="AK606" i="14"/>
  <c r="AK607" i="14"/>
  <c r="AK608" i="14"/>
  <c r="AK609" i="14"/>
  <c r="AK610" i="14"/>
  <c r="AK611" i="14"/>
  <c r="AK612" i="14"/>
  <c r="AK613" i="14"/>
  <c r="AK614" i="14"/>
  <c r="AK615" i="14"/>
  <c r="AK616" i="14"/>
  <c r="AK617" i="14"/>
  <c r="AK618" i="14"/>
  <c r="AK619" i="14"/>
  <c r="AK620" i="14"/>
  <c r="AK621" i="14"/>
  <c r="AK622" i="14"/>
  <c r="AK623" i="14"/>
  <c r="AK624" i="14"/>
  <c r="AK625" i="14"/>
  <c r="AK626" i="14"/>
  <c r="AK627" i="14"/>
  <c r="AK628" i="14"/>
  <c r="AK629" i="14"/>
  <c r="AK630" i="14"/>
  <c r="AK631" i="14"/>
  <c r="AK632" i="14"/>
  <c r="AK633" i="14"/>
  <c r="AK634" i="14"/>
  <c r="AK635" i="14"/>
  <c r="AK636" i="14"/>
  <c r="AK637" i="14"/>
  <c r="AK638" i="14"/>
  <c r="AK639" i="14"/>
  <c r="AK640" i="14"/>
  <c r="AK641" i="14"/>
  <c r="AK642" i="14"/>
  <c r="AK643" i="14"/>
  <c r="AK644" i="14"/>
  <c r="AK645" i="14"/>
  <c r="AK646" i="14"/>
  <c r="AK647" i="14"/>
  <c r="AK648" i="14"/>
  <c r="AK649" i="14"/>
  <c r="AK650" i="14"/>
  <c r="AK651" i="14"/>
  <c r="AK652" i="14"/>
  <c r="AK653" i="14"/>
  <c r="AK654" i="14"/>
  <c r="AK655" i="14"/>
  <c r="AK656" i="14"/>
  <c r="AK657" i="14"/>
  <c r="AK658" i="14"/>
  <c r="AK659" i="14"/>
  <c r="AK660" i="14"/>
  <c r="AK661" i="14"/>
  <c r="AK662" i="14"/>
  <c r="AK663" i="14"/>
  <c r="AK664" i="14"/>
  <c r="AK665" i="14"/>
  <c r="AK666" i="14"/>
  <c r="AK667" i="14"/>
  <c r="AK668" i="14"/>
  <c r="AK669" i="14"/>
  <c r="AK670" i="14"/>
  <c r="AK671" i="14"/>
  <c r="AK672" i="14"/>
  <c r="AK673" i="14"/>
  <c r="AK674" i="14"/>
  <c r="AK675" i="14"/>
  <c r="AK676" i="14"/>
  <c r="AK677" i="14"/>
  <c r="AK678" i="14"/>
  <c r="AK679" i="14"/>
  <c r="AK680" i="14"/>
  <c r="AK681" i="14"/>
  <c r="AK682" i="14"/>
  <c r="AK683" i="14"/>
  <c r="AK684" i="14"/>
  <c r="AK685" i="14"/>
  <c r="AK686" i="14"/>
  <c r="AK687" i="14"/>
  <c r="AK688" i="14"/>
  <c r="AK689" i="14"/>
  <c r="AK690" i="14"/>
  <c r="AK691" i="14"/>
  <c r="AK692" i="14"/>
  <c r="AK693" i="14"/>
  <c r="AK694" i="14"/>
  <c r="AK695" i="14"/>
  <c r="AK696" i="14"/>
  <c r="AK697" i="14"/>
  <c r="AK698" i="14"/>
  <c r="AK699" i="14"/>
  <c r="AK700" i="14"/>
  <c r="AK701" i="14"/>
  <c r="AK702" i="14"/>
  <c r="AK703" i="14"/>
  <c r="AK704" i="14"/>
  <c r="AK705" i="14"/>
  <c r="AK706" i="14"/>
  <c r="AK707" i="14"/>
  <c r="AK708" i="14"/>
  <c r="AK709" i="14"/>
  <c r="AK710" i="14"/>
  <c r="AK711" i="14"/>
  <c r="AK712" i="14"/>
  <c r="AK713" i="14"/>
  <c r="AK714" i="14"/>
  <c r="AK715" i="14"/>
  <c r="AK716" i="14"/>
  <c r="AK717" i="14"/>
  <c r="AK718" i="14"/>
  <c r="AK719" i="14"/>
  <c r="AK720" i="14"/>
  <c r="AK721" i="14"/>
  <c r="AK722" i="14"/>
  <c r="AK723" i="14"/>
  <c r="AK724" i="14"/>
  <c r="AK725" i="14"/>
  <c r="AK726" i="14"/>
  <c r="AK727" i="14"/>
  <c r="AK728" i="14"/>
  <c r="AK729" i="14"/>
  <c r="AK730" i="14"/>
  <c r="AK731" i="14"/>
  <c r="AK732" i="14"/>
  <c r="AK733" i="14"/>
  <c r="AK734" i="14"/>
  <c r="AK735" i="14"/>
  <c r="AK736" i="14"/>
  <c r="AK737" i="14"/>
  <c r="AK738" i="14"/>
  <c r="AK739" i="14"/>
  <c r="AK740" i="14"/>
  <c r="AK741" i="14"/>
  <c r="AK742" i="14"/>
  <c r="AK743" i="14"/>
  <c r="AK744" i="14"/>
  <c r="AK745" i="14"/>
  <c r="AK746" i="14"/>
  <c r="AK747" i="14"/>
  <c r="AK748" i="14"/>
  <c r="AK749" i="14"/>
  <c r="AK750" i="14"/>
  <c r="AK751" i="14"/>
  <c r="AK752" i="14"/>
  <c r="AK753" i="14"/>
  <c r="AK754" i="14"/>
  <c r="AK755" i="14"/>
  <c r="AK756" i="14"/>
  <c r="AK757" i="14"/>
  <c r="AK758" i="14"/>
  <c r="AK759" i="14"/>
  <c r="AK760" i="14"/>
  <c r="AK761" i="14"/>
  <c r="AK762" i="14"/>
  <c r="AK763" i="14"/>
  <c r="AK764" i="14"/>
  <c r="AK765" i="14"/>
  <c r="AK766" i="14"/>
  <c r="AK767" i="14"/>
  <c r="AK768" i="14"/>
  <c r="AK769" i="14"/>
  <c r="AK770" i="14"/>
  <c r="AK771" i="14"/>
  <c r="AK772" i="14"/>
  <c r="AK773" i="14"/>
  <c r="AK774" i="14"/>
  <c r="AK775" i="14"/>
  <c r="AK776" i="14"/>
  <c r="AK777" i="14"/>
  <c r="AK778" i="14"/>
  <c r="AK779" i="14"/>
  <c r="AK780" i="14"/>
  <c r="AK781" i="14"/>
  <c r="AK782" i="14"/>
  <c r="AK783" i="14"/>
  <c r="AK784" i="14"/>
  <c r="AK785" i="14"/>
  <c r="AK786" i="14"/>
  <c r="AK787" i="14"/>
  <c r="AK788" i="14"/>
  <c r="AK789" i="14"/>
  <c r="AK790" i="14"/>
  <c r="AK791" i="14"/>
  <c r="AK792" i="14"/>
  <c r="AK793" i="14"/>
  <c r="AK794" i="14"/>
  <c r="AK2" i="14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AJ147" i="14"/>
  <c r="AJ148" i="14"/>
  <c r="AJ149" i="14"/>
  <c r="AJ150" i="14"/>
  <c r="AJ151" i="14"/>
  <c r="AJ152" i="14"/>
  <c r="AJ153" i="14"/>
  <c r="AJ154" i="14"/>
  <c r="AJ155" i="14"/>
  <c r="AJ156" i="14"/>
  <c r="AJ157" i="14"/>
  <c r="AJ158" i="14"/>
  <c r="AJ159" i="14"/>
  <c r="AJ160" i="14"/>
  <c r="AJ161" i="14"/>
  <c r="AJ162" i="14"/>
  <c r="AJ163" i="14"/>
  <c r="AJ164" i="14"/>
  <c r="AJ165" i="14"/>
  <c r="AJ166" i="14"/>
  <c r="AJ167" i="14"/>
  <c r="AJ168" i="14"/>
  <c r="AJ169" i="14"/>
  <c r="AJ170" i="14"/>
  <c r="AJ171" i="14"/>
  <c r="AJ172" i="14"/>
  <c r="AJ173" i="14"/>
  <c r="AJ174" i="14"/>
  <c r="AJ175" i="14"/>
  <c r="AJ176" i="14"/>
  <c r="AJ177" i="14"/>
  <c r="AJ178" i="14"/>
  <c r="AJ179" i="14"/>
  <c r="AJ180" i="14"/>
  <c r="AJ181" i="14"/>
  <c r="AJ182" i="14"/>
  <c r="AJ183" i="14"/>
  <c r="AJ184" i="14"/>
  <c r="AJ185" i="14"/>
  <c r="AJ186" i="14"/>
  <c r="AJ187" i="14"/>
  <c r="AJ188" i="14"/>
  <c r="AJ189" i="14"/>
  <c r="AJ190" i="14"/>
  <c r="AJ191" i="14"/>
  <c r="AJ192" i="14"/>
  <c r="AJ193" i="14"/>
  <c r="AJ194" i="14"/>
  <c r="AJ195" i="14"/>
  <c r="AJ196" i="14"/>
  <c r="AJ197" i="14"/>
  <c r="AJ198" i="14"/>
  <c r="AJ199" i="14"/>
  <c r="AJ200" i="14"/>
  <c r="AJ201" i="14"/>
  <c r="AJ202" i="14"/>
  <c r="AJ203" i="14"/>
  <c r="AJ204" i="14"/>
  <c r="AJ205" i="14"/>
  <c r="AJ206" i="14"/>
  <c r="AJ207" i="14"/>
  <c r="AJ208" i="14"/>
  <c r="AJ209" i="14"/>
  <c r="AJ210" i="14"/>
  <c r="AJ211" i="14"/>
  <c r="AJ212" i="14"/>
  <c r="AJ213" i="14"/>
  <c r="AJ214" i="14"/>
  <c r="AJ215" i="14"/>
  <c r="AJ216" i="14"/>
  <c r="AJ217" i="14"/>
  <c r="AJ218" i="14"/>
  <c r="AJ219" i="14"/>
  <c r="AJ220" i="14"/>
  <c r="AJ221" i="14"/>
  <c r="AJ222" i="14"/>
  <c r="AJ223" i="14"/>
  <c r="AJ224" i="14"/>
  <c r="AJ225" i="14"/>
  <c r="AJ226" i="14"/>
  <c r="AJ227" i="14"/>
  <c r="AJ228" i="14"/>
  <c r="AJ229" i="14"/>
  <c r="AJ230" i="14"/>
  <c r="AJ231" i="14"/>
  <c r="AJ232" i="14"/>
  <c r="AJ233" i="14"/>
  <c r="AJ234" i="14"/>
  <c r="AJ235" i="14"/>
  <c r="AJ236" i="14"/>
  <c r="AJ237" i="14"/>
  <c r="AJ238" i="14"/>
  <c r="AJ239" i="14"/>
  <c r="AJ240" i="14"/>
  <c r="AJ241" i="14"/>
  <c r="AJ242" i="14"/>
  <c r="AJ243" i="14"/>
  <c r="AJ244" i="14"/>
  <c r="AJ245" i="14"/>
  <c r="AJ246" i="14"/>
  <c r="AJ247" i="14"/>
  <c r="AJ248" i="14"/>
  <c r="AJ249" i="14"/>
  <c r="AJ250" i="14"/>
  <c r="AJ251" i="14"/>
  <c r="AJ252" i="14"/>
  <c r="AJ253" i="14"/>
  <c r="AJ254" i="14"/>
  <c r="AJ255" i="14"/>
  <c r="AJ256" i="14"/>
  <c r="AJ257" i="14"/>
  <c r="AJ258" i="14"/>
  <c r="AJ259" i="14"/>
  <c r="AJ260" i="14"/>
  <c r="AJ261" i="14"/>
  <c r="AJ262" i="14"/>
  <c r="AJ263" i="14"/>
  <c r="AJ264" i="14"/>
  <c r="AJ265" i="14"/>
  <c r="AJ266" i="14"/>
  <c r="AJ267" i="14"/>
  <c r="AJ268" i="14"/>
  <c r="AJ269" i="14"/>
  <c r="AJ270" i="14"/>
  <c r="AJ271" i="14"/>
  <c r="AJ272" i="14"/>
  <c r="AJ273" i="14"/>
  <c r="AJ274" i="14"/>
  <c r="AJ275" i="14"/>
  <c r="AJ276" i="14"/>
  <c r="AJ277" i="14"/>
  <c r="AJ278" i="14"/>
  <c r="AJ279" i="14"/>
  <c r="AJ280" i="14"/>
  <c r="AJ281" i="14"/>
  <c r="AJ282" i="14"/>
  <c r="AJ283" i="14"/>
  <c r="AJ284" i="14"/>
  <c r="AJ285" i="14"/>
  <c r="AJ286" i="14"/>
  <c r="AJ287" i="14"/>
  <c r="AJ288" i="14"/>
  <c r="AJ289" i="14"/>
  <c r="AJ290" i="14"/>
  <c r="AJ291" i="14"/>
  <c r="AJ292" i="14"/>
  <c r="AJ293" i="14"/>
  <c r="AJ294" i="14"/>
  <c r="AJ295" i="14"/>
  <c r="AJ296" i="14"/>
  <c r="AJ297" i="14"/>
  <c r="AJ298" i="14"/>
  <c r="AJ299" i="14"/>
  <c r="AJ300" i="14"/>
  <c r="AJ301" i="14"/>
  <c r="AJ302" i="14"/>
  <c r="AJ303" i="14"/>
  <c r="AJ304" i="14"/>
  <c r="AJ305" i="14"/>
  <c r="AJ306" i="14"/>
  <c r="AJ307" i="14"/>
  <c r="AJ308" i="14"/>
  <c r="AJ309" i="14"/>
  <c r="AJ310" i="14"/>
  <c r="AJ311" i="14"/>
  <c r="AJ312" i="14"/>
  <c r="AJ313" i="14"/>
  <c r="AJ314" i="14"/>
  <c r="AJ315" i="14"/>
  <c r="AJ316" i="14"/>
  <c r="AJ317" i="14"/>
  <c r="AJ318" i="14"/>
  <c r="AJ319" i="14"/>
  <c r="AJ320" i="14"/>
  <c r="AJ321" i="14"/>
  <c r="AJ322" i="14"/>
  <c r="AJ323" i="14"/>
  <c r="AJ324" i="14"/>
  <c r="AJ325" i="14"/>
  <c r="AJ326" i="14"/>
  <c r="AJ327" i="14"/>
  <c r="AJ328" i="14"/>
  <c r="AJ329" i="14"/>
  <c r="AJ330" i="14"/>
  <c r="AJ331" i="14"/>
  <c r="AJ332" i="14"/>
  <c r="AJ333" i="14"/>
  <c r="AJ334" i="14"/>
  <c r="AJ335" i="14"/>
  <c r="AJ336" i="14"/>
  <c r="AJ337" i="14"/>
  <c r="AJ338" i="14"/>
  <c r="AJ339" i="14"/>
  <c r="AJ340" i="14"/>
  <c r="AJ341" i="14"/>
  <c r="AJ342" i="14"/>
  <c r="AJ343" i="14"/>
  <c r="AJ344" i="14"/>
  <c r="AJ345" i="14"/>
  <c r="AJ346" i="14"/>
  <c r="AJ347" i="14"/>
  <c r="AJ348" i="14"/>
  <c r="AJ349" i="14"/>
  <c r="AJ350" i="14"/>
  <c r="AJ351" i="14"/>
  <c r="AJ352" i="14"/>
  <c r="AJ353" i="14"/>
  <c r="AJ354" i="14"/>
  <c r="AJ355" i="14"/>
  <c r="AJ356" i="14"/>
  <c r="AJ357" i="14"/>
  <c r="AJ358" i="14"/>
  <c r="AJ359" i="14"/>
  <c r="AJ360" i="14"/>
  <c r="AJ361" i="14"/>
  <c r="AJ362" i="14"/>
  <c r="AJ363" i="14"/>
  <c r="AJ364" i="14"/>
  <c r="AJ365" i="14"/>
  <c r="AJ366" i="14"/>
  <c r="AJ367" i="14"/>
  <c r="AJ368" i="14"/>
  <c r="AJ369" i="14"/>
  <c r="AJ370" i="14"/>
  <c r="AJ371" i="14"/>
  <c r="AJ372" i="14"/>
  <c r="AJ373" i="14"/>
  <c r="AJ374" i="14"/>
  <c r="AJ375" i="14"/>
  <c r="AJ376" i="14"/>
  <c r="AJ377" i="14"/>
  <c r="AJ378" i="14"/>
  <c r="AJ379" i="14"/>
  <c r="AJ380" i="14"/>
  <c r="AJ381" i="14"/>
  <c r="AJ382" i="14"/>
  <c r="AJ383" i="14"/>
  <c r="AJ384" i="14"/>
  <c r="AJ385" i="14"/>
  <c r="AJ386" i="14"/>
  <c r="AJ387" i="14"/>
  <c r="AJ388" i="14"/>
  <c r="AJ389" i="14"/>
  <c r="AJ390" i="14"/>
  <c r="AJ391" i="14"/>
  <c r="AJ392" i="14"/>
  <c r="AJ393" i="14"/>
  <c r="AJ394" i="14"/>
  <c r="AJ395" i="14"/>
  <c r="AJ396" i="14"/>
  <c r="AJ397" i="14"/>
  <c r="AJ398" i="14"/>
  <c r="AJ399" i="14"/>
  <c r="AJ400" i="14"/>
  <c r="AJ401" i="14"/>
  <c r="AJ402" i="14"/>
  <c r="AJ403" i="14"/>
  <c r="AJ404" i="14"/>
  <c r="AJ405" i="14"/>
  <c r="AJ406" i="14"/>
  <c r="AJ407" i="14"/>
  <c r="AJ408" i="14"/>
  <c r="AJ409" i="14"/>
  <c r="AJ410" i="14"/>
  <c r="AJ411" i="14"/>
  <c r="AJ412" i="14"/>
  <c r="AJ413" i="14"/>
  <c r="AJ414" i="14"/>
  <c r="AJ415" i="14"/>
  <c r="AJ416" i="14"/>
  <c r="AJ417" i="14"/>
  <c r="AJ418" i="14"/>
  <c r="AJ419" i="14"/>
  <c r="AJ420" i="14"/>
  <c r="AJ421" i="14"/>
  <c r="AJ422" i="14"/>
  <c r="AJ423" i="14"/>
  <c r="AJ424" i="14"/>
  <c r="AJ425" i="14"/>
  <c r="AJ426" i="14"/>
  <c r="AJ427" i="14"/>
  <c r="AJ428" i="14"/>
  <c r="AJ429" i="14"/>
  <c r="AJ430" i="14"/>
  <c r="AJ431" i="14"/>
  <c r="AJ432" i="14"/>
  <c r="AJ433" i="14"/>
  <c r="AJ434" i="14"/>
  <c r="AJ435" i="14"/>
  <c r="AJ436" i="14"/>
  <c r="AJ437" i="14"/>
  <c r="AJ438" i="14"/>
  <c r="AJ439" i="14"/>
  <c r="AJ440" i="14"/>
  <c r="AJ441" i="14"/>
  <c r="AJ442" i="14"/>
  <c r="AJ443" i="14"/>
  <c r="AJ444" i="14"/>
  <c r="AJ445" i="14"/>
  <c r="AJ446" i="14"/>
  <c r="AJ447" i="14"/>
  <c r="AJ448" i="14"/>
  <c r="AJ449" i="14"/>
  <c r="AJ450" i="14"/>
  <c r="AJ451" i="14"/>
  <c r="AJ452" i="14"/>
  <c r="AJ453" i="14"/>
  <c r="AJ454" i="14"/>
  <c r="AJ455" i="14"/>
  <c r="AJ456" i="14"/>
  <c r="AJ457" i="14"/>
  <c r="AJ458" i="14"/>
  <c r="AJ459" i="14"/>
  <c r="AJ460" i="14"/>
  <c r="AJ461" i="14"/>
  <c r="AJ462" i="14"/>
  <c r="AJ463" i="14"/>
  <c r="AJ464" i="14"/>
  <c r="AJ465" i="14"/>
  <c r="AJ466" i="14"/>
  <c r="AJ467" i="14"/>
  <c r="AJ468" i="14"/>
  <c r="AJ469" i="14"/>
  <c r="AJ470" i="14"/>
  <c r="AJ471" i="14"/>
  <c r="AJ472" i="14"/>
  <c r="AJ473" i="14"/>
  <c r="AJ474" i="14"/>
  <c r="AJ475" i="14"/>
  <c r="AJ476" i="14"/>
  <c r="AJ477" i="14"/>
  <c r="AJ478" i="14"/>
  <c r="AJ479" i="14"/>
  <c r="AJ480" i="14"/>
  <c r="AJ481" i="14"/>
  <c r="AJ482" i="14"/>
  <c r="AJ483" i="14"/>
  <c r="AJ484" i="14"/>
  <c r="AJ485" i="14"/>
  <c r="AJ486" i="14"/>
  <c r="AJ487" i="14"/>
  <c r="AJ488" i="14"/>
  <c r="AJ489" i="14"/>
  <c r="AJ490" i="14"/>
  <c r="AJ491" i="14"/>
  <c r="AJ492" i="14"/>
  <c r="AJ493" i="14"/>
  <c r="AJ494" i="14"/>
  <c r="AJ495" i="14"/>
  <c r="AJ496" i="14"/>
  <c r="AJ497" i="14"/>
  <c r="AJ498" i="14"/>
  <c r="AJ499" i="14"/>
  <c r="AJ500" i="14"/>
  <c r="AJ501" i="14"/>
  <c r="AJ502" i="14"/>
  <c r="AJ503" i="14"/>
  <c r="AJ504" i="14"/>
  <c r="AJ505" i="14"/>
  <c r="AJ506" i="14"/>
  <c r="AJ507" i="14"/>
  <c r="AJ508" i="14"/>
  <c r="AJ509" i="14"/>
  <c r="AJ510" i="14"/>
  <c r="AJ511" i="14"/>
  <c r="AJ512" i="14"/>
  <c r="AJ513" i="14"/>
  <c r="AJ514" i="14"/>
  <c r="AJ515" i="14"/>
  <c r="AJ516" i="14"/>
  <c r="AJ517" i="14"/>
  <c r="AJ518" i="14"/>
  <c r="AJ519" i="14"/>
  <c r="AJ520" i="14"/>
  <c r="AJ521" i="14"/>
  <c r="AJ522" i="14"/>
  <c r="AJ523" i="14"/>
  <c r="AJ524" i="14"/>
  <c r="AJ525" i="14"/>
  <c r="AJ526" i="14"/>
  <c r="AJ527" i="14"/>
  <c r="AJ528" i="14"/>
  <c r="AJ529" i="14"/>
  <c r="AJ530" i="14"/>
  <c r="AJ531" i="14"/>
  <c r="AJ532" i="14"/>
  <c r="AJ533" i="14"/>
  <c r="AJ534" i="14"/>
  <c r="AJ535" i="14"/>
  <c r="AJ536" i="14"/>
  <c r="AJ537" i="14"/>
  <c r="AJ538" i="14"/>
  <c r="AJ539" i="14"/>
  <c r="AJ540" i="14"/>
  <c r="AJ541" i="14"/>
  <c r="AJ542" i="14"/>
  <c r="AJ543" i="14"/>
  <c r="AJ544" i="14"/>
  <c r="AJ545" i="14"/>
  <c r="AJ546" i="14"/>
  <c r="AJ547" i="14"/>
  <c r="AJ548" i="14"/>
  <c r="AJ549" i="14"/>
  <c r="AJ550" i="14"/>
  <c r="AJ551" i="14"/>
  <c r="AJ552" i="14"/>
  <c r="AJ553" i="14"/>
  <c r="AJ554" i="14"/>
  <c r="AJ555" i="14"/>
  <c r="AJ556" i="14"/>
  <c r="AJ557" i="14"/>
  <c r="AJ558" i="14"/>
  <c r="AJ559" i="14"/>
  <c r="AJ560" i="14"/>
  <c r="AJ561" i="14"/>
  <c r="AJ562" i="14"/>
  <c r="AJ563" i="14"/>
  <c r="AJ564" i="14"/>
  <c r="AJ565" i="14"/>
  <c r="AJ566" i="14"/>
  <c r="AJ567" i="14"/>
  <c r="AJ568" i="14"/>
  <c r="AJ569" i="14"/>
  <c r="AJ570" i="14"/>
  <c r="AJ571" i="14"/>
  <c r="AJ572" i="14"/>
  <c r="AJ573" i="14"/>
  <c r="AJ574" i="14"/>
  <c r="AJ575" i="14"/>
  <c r="AJ576" i="14"/>
  <c r="AJ577" i="14"/>
  <c r="AJ578" i="14"/>
  <c r="AJ579" i="14"/>
  <c r="AJ580" i="14"/>
  <c r="AJ581" i="14"/>
  <c r="AJ582" i="14"/>
  <c r="AJ583" i="14"/>
  <c r="AJ584" i="14"/>
  <c r="AJ585" i="14"/>
  <c r="AJ586" i="14"/>
  <c r="AJ587" i="14"/>
  <c r="AJ588" i="14"/>
  <c r="AJ589" i="14"/>
  <c r="AJ590" i="14"/>
  <c r="AJ591" i="14"/>
  <c r="AJ592" i="14"/>
  <c r="AJ593" i="14"/>
  <c r="AJ594" i="14"/>
  <c r="AJ595" i="14"/>
  <c r="AJ596" i="14"/>
  <c r="AJ597" i="14"/>
  <c r="AJ598" i="14"/>
  <c r="AJ599" i="14"/>
  <c r="AJ600" i="14"/>
  <c r="AJ601" i="14"/>
  <c r="AJ602" i="14"/>
  <c r="AJ603" i="14"/>
  <c r="AJ604" i="14"/>
  <c r="AJ605" i="14"/>
  <c r="AJ606" i="14"/>
  <c r="AJ607" i="14"/>
  <c r="AJ608" i="14"/>
  <c r="AJ609" i="14"/>
  <c r="AJ610" i="14"/>
  <c r="AJ611" i="14"/>
  <c r="AJ612" i="14"/>
  <c r="AJ613" i="14"/>
  <c r="AJ614" i="14"/>
  <c r="AJ615" i="14"/>
  <c r="AJ616" i="14"/>
  <c r="AJ617" i="14"/>
  <c r="AJ618" i="14"/>
  <c r="AJ619" i="14"/>
  <c r="AJ620" i="14"/>
  <c r="AJ621" i="14"/>
  <c r="AJ622" i="14"/>
  <c r="AJ623" i="14"/>
  <c r="AJ624" i="14"/>
  <c r="AJ625" i="14"/>
  <c r="AJ626" i="14"/>
  <c r="AJ627" i="14"/>
  <c r="AJ628" i="14"/>
  <c r="AJ629" i="14"/>
  <c r="AJ630" i="14"/>
  <c r="AJ631" i="14"/>
  <c r="AJ632" i="14"/>
  <c r="AJ633" i="14"/>
  <c r="AJ634" i="14"/>
  <c r="AJ635" i="14"/>
  <c r="AJ636" i="14"/>
  <c r="AJ637" i="14"/>
  <c r="AJ638" i="14"/>
  <c r="AJ639" i="14"/>
  <c r="AJ640" i="14"/>
  <c r="AJ641" i="14"/>
  <c r="AJ642" i="14"/>
  <c r="AJ643" i="14"/>
  <c r="AJ644" i="14"/>
  <c r="AJ645" i="14"/>
  <c r="AJ646" i="14"/>
  <c r="AJ647" i="14"/>
  <c r="AJ648" i="14"/>
  <c r="AJ649" i="14"/>
  <c r="AJ650" i="14"/>
  <c r="AJ651" i="14"/>
  <c r="AJ652" i="14"/>
  <c r="AJ653" i="14"/>
  <c r="AJ654" i="14"/>
  <c r="AJ655" i="14"/>
  <c r="AJ656" i="14"/>
  <c r="AJ657" i="14"/>
  <c r="AJ658" i="14"/>
  <c r="AJ659" i="14"/>
  <c r="AJ660" i="14"/>
  <c r="AJ661" i="14"/>
  <c r="AJ662" i="14"/>
  <c r="AJ663" i="14"/>
  <c r="AJ664" i="14"/>
  <c r="AJ665" i="14"/>
  <c r="AJ666" i="14"/>
  <c r="AJ667" i="14"/>
  <c r="AJ668" i="14"/>
  <c r="AJ669" i="14"/>
  <c r="AJ670" i="14"/>
  <c r="AJ671" i="14"/>
  <c r="AJ672" i="14"/>
  <c r="AJ673" i="14"/>
  <c r="AJ674" i="14"/>
  <c r="AJ675" i="14"/>
  <c r="AJ676" i="14"/>
  <c r="AJ677" i="14"/>
  <c r="AJ678" i="14"/>
  <c r="AJ679" i="14"/>
  <c r="AJ680" i="14"/>
  <c r="AJ681" i="14"/>
  <c r="AJ682" i="14"/>
  <c r="AJ683" i="14"/>
  <c r="AJ684" i="14"/>
  <c r="AJ685" i="14"/>
  <c r="AJ686" i="14"/>
  <c r="AJ687" i="14"/>
  <c r="AJ688" i="14"/>
  <c r="AJ689" i="14"/>
  <c r="AJ690" i="14"/>
  <c r="AJ691" i="14"/>
  <c r="AJ692" i="14"/>
  <c r="AJ693" i="14"/>
  <c r="AJ694" i="14"/>
  <c r="AJ695" i="14"/>
  <c r="AJ696" i="14"/>
  <c r="AJ697" i="14"/>
  <c r="AJ698" i="14"/>
  <c r="AJ699" i="14"/>
  <c r="AJ700" i="14"/>
  <c r="AJ701" i="14"/>
  <c r="AJ702" i="14"/>
  <c r="AJ703" i="14"/>
  <c r="AJ704" i="14"/>
  <c r="AJ705" i="14"/>
  <c r="AJ706" i="14"/>
  <c r="AJ707" i="14"/>
  <c r="AJ708" i="14"/>
  <c r="AJ709" i="14"/>
  <c r="AJ710" i="14"/>
  <c r="AJ711" i="14"/>
  <c r="AJ712" i="14"/>
  <c r="AJ713" i="14"/>
  <c r="AJ714" i="14"/>
  <c r="AJ715" i="14"/>
  <c r="AJ716" i="14"/>
  <c r="AJ717" i="14"/>
  <c r="AJ718" i="14"/>
  <c r="AJ719" i="14"/>
  <c r="AJ720" i="14"/>
  <c r="AJ721" i="14"/>
  <c r="AJ722" i="14"/>
  <c r="AJ723" i="14"/>
  <c r="AJ724" i="14"/>
  <c r="AJ725" i="14"/>
  <c r="AJ726" i="14"/>
  <c r="AJ727" i="14"/>
  <c r="AJ728" i="14"/>
  <c r="AJ729" i="14"/>
  <c r="AJ730" i="14"/>
  <c r="AJ731" i="14"/>
  <c r="AJ732" i="14"/>
  <c r="AJ733" i="14"/>
  <c r="AJ734" i="14"/>
  <c r="AJ735" i="14"/>
  <c r="AJ736" i="14"/>
  <c r="AJ737" i="14"/>
  <c r="AJ738" i="14"/>
  <c r="AJ739" i="14"/>
  <c r="AJ740" i="14"/>
  <c r="AJ741" i="14"/>
  <c r="AJ742" i="14"/>
  <c r="AJ743" i="14"/>
  <c r="AJ744" i="14"/>
  <c r="AJ745" i="14"/>
  <c r="AJ746" i="14"/>
  <c r="AJ747" i="14"/>
  <c r="AJ748" i="14"/>
  <c r="AJ749" i="14"/>
  <c r="AJ750" i="14"/>
  <c r="AJ751" i="14"/>
  <c r="AJ752" i="14"/>
  <c r="AJ753" i="14"/>
  <c r="AJ754" i="14"/>
  <c r="AJ755" i="14"/>
  <c r="AJ756" i="14"/>
  <c r="AJ757" i="14"/>
  <c r="AJ758" i="14"/>
  <c r="AJ759" i="14"/>
  <c r="AJ760" i="14"/>
  <c r="AJ761" i="14"/>
  <c r="AJ762" i="14"/>
  <c r="AJ763" i="14"/>
  <c r="AJ764" i="14"/>
  <c r="AJ765" i="14"/>
  <c r="AJ766" i="14"/>
  <c r="AJ767" i="14"/>
  <c r="AJ768" i="14"/>
  <c r="AJ769" i="14"/>
  <c r="AJ770" i="14"/>
  <c r="AJ771" i="14"/>
  <c r="AJ772" i="14"/>
  <c r="AJ773" i="14"/>
  <c r="AJ774" i="14"/>
  <c r="AJ775" i="14"/>
  <c r="AJ776" i="14"/>
  <c r="AJ777" i="14"/>
  <c r="AJ778" i="14"/>
  <c r="AJ779" i="14"/>
  <c r="AJ780" i="14"/>
  <c r="AJ781" i="14"/>
  <c r="AJ782" i="14"/>
  <c r="AJ783" i="14"/>
  <c r="AJ784" i="14"/>
  <c r="AJ785" i="14"/>
  <c r="AJ786" i="14"/>
  <c r="AJ787" i="14"/>
  <c r="AJ788" i="14"/>
  <c r="AJ789" i="14"/>
  <c r="AJ790" i="14"/>
  <c r="AJ791" i="14"/>
  <c r="AJ792" i="14"/>
  <c r="AJ793" i="14"/>
  <c r="AJ794" i="14"/>
  <c r="AJ2" i="14"/>
  <c r="AB12" i="14"/>
  <c r="AB11" i="14"/>
  <c r="AB10" i="14"/>
  <c r="AB9" i="14"/>
  <c r="AB8" i="14"/>
  <c r="AB7" i="14"/>
  <c r="AB6" i="14"/>
  <c r="AB5" i="14"/>
  <c r="AB4" i="14"/>
  <c r="AB3" i="14"/>
  <c r="AB2" i="14"/>
  <c r="M4" i="11"/>
  <c r="G4" i="11"/>
  <c r="J4" i="11"/>
  <c r="D4" i="11"/>
  <c r="A4" i="11"/>
</calcChain>
</file>

<file path=xl/sharedStrings.xml><?xml version="1.0" encoding="utf-8"?>
<sst xmlns="http://schemas.openxmlformats.org/spreadsheetml/2006/main" count="1179" uniqueCount="972">
  <si>
    <t>Region</t>
  </si>
  <si>
    <t>Discount</t>
  </si>
  <si>
    <t>Profit</t>
  </si>
  <si>
    <t>CG-12520</t>
  </si>
  <si>
    <t>Kentucky</t>
  </si>
  <si>
    <t>South</t>
  </si>
  <si>
    <t>Furniture</t>
  </si>
  <si>
    <t>Bookcases</t>
  </si>
  <si>
    <t>Chairs</t>
  </si>
  <si>
    <t>DV-13045</t>
  </si>
  <si>
    <t>California</t>
  </si>
  <si>
    <t>West</t>
  </si>
  <si>
    <t>Office Supplies</t>
  </si>
  <si>
    <t>Labels</t>
  </si>
  <si>
    <t>SO-20335</t>
  </si>
  <si>
    <t>Florida</t>
  </si>
  <si>
    <t>Tables</t>
  </si>
  <si>
    <t>Storage</t>
  </si>
  <si>
    <t>BH-11710</t>
  </si>
  <si>
    <t>Furnishings</t>
  </si>
  <si>
    <t>Art</t>
  </si>
  <si>
    <t>Technology</t>
  </si>
  <si>
    <t>Phones</t>
  </si>
  <si>
    <t>Binders</t>
  </si>
  <si>
    <t>Appliances</t>
  </si>
  <si>
    <t>AA-10480</t>
  </si>
  <si>
    <t>North Carolina</t>
  </si>
  <si>
    <t>Paper</t>
  </si>
  <si>
    <t>IM-15070</t>
  </si>
  <si>
    <t>Washington</t>
  </si>
  <si>
    <t>HP-14815</t>
  </si>
  <si>
    <t>Texas</t>
  </si>
  <si>
    <t>Central</t>
  </si>
  <si>
    <t>PK-19075</t>
  </si>
  <si>
    <t>Wisconsin</t>
  </si>
  <si>
    <t>AG-10270</t>
  </si>
  <si>
    <t>Utah</t>
  </si>
  <si>
    <t>ZD-21925</t>
  </si>
  <si>
    <t>KB-16585</t>
  </si>
  <si>
    <t>Nebraska</t>
  </si>
  <si>
    <t>SF-20065</t>
  </si>
  <si>
    <t>Pennsylvania</t>
  </si>
  <si>
    <t>East</t>
  </si>
  <si>
    <t>EB-13870</t>
  </si>
  <si>
    <t>EH-13945</t>
  </si>
  <si>
    <t>Accessories</t>
  </si>
  <si>
    <t>TB-21520</t>
  </si>
  <si>
    <t>Envelopes</t>
  </si>
  <si>
    <t>MA-17560</t>
  </si>
  <si>
    <t>Matt Abelman</t>
  </si>
  <si>
    <t>GH-14485</t>
  </si>
  <si>
    <t>SN-20710</t>
  </si>
  <si>
    <t>LC-16930</t>
  </si>
  <si>
    <t>Illinois</t>
  </si>
  <si>
    <t>RA-19885</t>
  </si>
  <si>
    <t>ES-14080</t>
  </si>
  <si>
    <t>ON-18715</t>
  </si>
  <si>
    <t>Minnesota</t>
  </si>
  <si>
    <t>PO-18865</t>
  </si>
  <si>
    <t>Michigan</t>
  </si>
  <si>
    <t>LH-16900</t>
  </si>
  <si>
    <t>Delaware</t>
  </si>
  <si>
    <t>DP-13000</t>
  </si>
  <si>
    <t>Indiana</t>
  </si>
  <si>
    <t>JM-15265</t>
  </si>
  <si>
    <t>New York</t>
  </si>
  <si>
    <t>Fasteners</t>
  </si>
  <si>
    <t>TB-21055</t>
  </si>
  <si>
    <t>KM-16720</t>
  </si>
  <si>
    <t>PS-18970</t>
  </si>
  <si>
    <t>BS-11590</t>
  </si>
  <si>
    <t>Arizona</t>
  </si>
  <si>
    <t>KD-16270</t>
  </si>
  <si>
    <t>Virginia</t>
  </si>
  <si>
    <t>HM-14980</t>
  </si>
  <si>
    <t>JE-15745</t>
  </si>
  <si>
    <t>Tennessee</t>
  </si>
  <si>
    <t>KB-16600</t>
  </si>
  <si>
    <t>SC-20770</t>
  </si>
  <si>
    <t>Alabama</t>
  </si>
  <si>
    <t>DN-13690</t>
  </si>
  <si>
    <t>JC-16105</t>
  </si>
  <si>
    <t>CS-12400</t>
  </si>
  <si>
    <t>South Carolina</t>
  </si>
  <si>
    <t>PG-18895</t>
  </si>
  <si>
    <t>GM-14455</t>
  </si>
  <si>
    <t>JS-15685</t>
  </si>
  <si>
    <t>KB-16315</t>
  </si>
  <si>
    <t>RB-19705</t>
  </si>
  <si>
    <t>Oregon</t>
  </si>
  <si>
    <t>PN-18775</t>
  </si>
  <si>
    <t>KD-16345</t>
  </si>
  <si>
    <t>ER-13855</t>
  </si>
  <si>
    <t>RB-19465</t>
  </si>
  <si>
    <t>GZ-14470</t>
  </si>
  <si>
    <t>LC-16870</t>
  </si>
  <si>
    <t>Colorado</t>
  </si>
  <si>
    <t>JM-15250</t>
  </si>
  <si>
    <t>PA-19060</t>
  </si>
  <si>
    <t>CV-12805</t>
  </si>
  <si>
    <t>CL-12565</t>
  </si>
  <si>
    <t>Iowa</t>
  </si>
  <si>
    <t>RC-19960</t>
  </si>
  <si>
    <t>Ohio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</si>
  <si>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</si>
  <si>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</si>
  <si>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</si>
  <si>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</si>
  <si>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</si>
  <si>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</si>
  <si>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</si>
  <si>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</si>
  <si>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</si>
  <si>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Supplies</t>
  </si>
  <si>
    <t>JD-15895</t>
  </si>
  <si>
    <t>Jonathan Doherty</t>
  </si>
  <si>
    <t>SH-19975</t>
  </si>
  <si>
    <t>SG-20080</t>
  </si>
  <si>
    <t>Missouri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</si>
  <si>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</si>
  <si>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</si>
  <si>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</si>
  <si>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</si>
  <si>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</si>
  <si>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</si>
  <si>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</si>
  <si>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</si>
  <si>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Oklahoma</t>
  </si>
  <si>
    <t>TT-21070</t>
  </si>
  <si>
    <t>EM-13960</t>
  </si>
  <si>
    <t>RD-19900</t>
  </si>
  <si>
    <t>New Mexico</t>
  </si>
  <si>
    <t>MJ-17740</t>
  </si>
  <si>
    <t>BM-11140</t>
  </si>
  <si>
    <t>Machines</t>
  </si>
  <si>
    <t>Lexmark MX611dhe Monochrome Laser Printer</t>
  </si>
  <si>
    <t>CS-12130</t>
  </si>
  <si>
    <t>JB-15400</t>
  </si>
  <si>
    <t>SJ-20500</t>
  </si>
  <si>
    <t>JK-15640</t>
  </si>
  <si>
    <t>DK-13150</t>
  </si>
  <si>
    <t>RM-19675</t>
  </si>
  <si>
    <t>Louisiana</t>
  </si>
  <si>
    <t>SK-19990</t>
  </si>
  <si>
    <t>Connecticut</t>
  </si>
  <si>
    <t>FM-14290</t>
  </si>
  <si>
    <t>AM-10360</t>
  </si>
  <si>
    <t>MP-17470</t>
  </si>
  <si>
    <t>MZ-17515</t>
  </si>
  <si>
    <t>CB-12025</t>
  </si>
  <si>
    <t>VM-21685</t>
  </si>
  <si>
    <t>New Jersey</t>
  </si>
  <si>
    <t>FH-14365</t>
  </si>
  <si>
    <t>MB-17305</t>
  </si>
  <si>
    <t>BS-11755</t>
  </si>
  <si>
    <t>BoxOffice By Design Rectangular and Half-Moon Meeting Room Tables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</si>
  <si>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</si>
  <si>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</si>
  <si>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</si>
  <si>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</si>
  <si>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</si>
  <si>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</si>
  <si>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</si>
  <si>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</si>
  <si>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</si>
  <si>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</si>
  <si>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</si>
  <si>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</si>
  <si>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</si>
  <si>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Ken Lonsdale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</si>
  <si>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</si>
  <si>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</si>
  <si>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</si>
  <si>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</si>
  <si>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</si>
  <si>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</si>
  <si>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</si>
  <si>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</si>
  <si>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</si>
  <si>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</si>
  <si>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</si>
  <si>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</si>
  <si>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</si>
  <si>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</si>
  <si>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</si>
  <si>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</si>
  <si>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</si>
  <si>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</si>
  <si>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</si>
  <si>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</si>
  <si>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</si>
  <si>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</si>
  <si>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</si>
  <si>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</si>
  <si>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</si>
  <si>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</si>
  <si>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</si>
  <si>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</si>
  <si>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</si>
  <si>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</si>
  <si>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</si>
  <si>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</si>
  <si>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</si>
  <si>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Copiers</t>
  </si>
  <si>
    <t>Hewlett Packard LaserJet 3310 Copier</t>
  </si>
  <si>
    <t>AC-10420</t>
  </si>
  <si>
    <t>CC-12550</t>
  </si>
  <si>
    <t>TD-20995</t>
  </si>
  <si>
    <t>Massachusetts</t>
  </si>
  <si>
    <t>AB-10060</t>
  </si>
  <si>
    <t>GBC DocuBind P400 Electric Binding System</t>
  </si>
  <si>
    <t>JL-15505</t>
  </si>
  <si>
    <t>VB-21745</t>
  </si>
  <si>
    <t>Georgia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</si>
  <si>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</si>
  <si>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</si>
  <si>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</si>
  <si>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</si>
  <si>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</si>
  <si>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</si>
  <si>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</si>
  <si>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</si>
  <si>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</si>
  <si>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</si>
  <si>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</si>
  <si>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</si>
  <si>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</si>
  <si>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</si>
  <si>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</si>
  <si>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</si>
  <si>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</si>
  <si>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Nevada</t>
  </si>
  <si>
    <t>SS-20140</t>
  </si>
  <si>
    <t>Rhode Island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</si>
  <si>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</si>
  <si>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</si>
  <si>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</si>
  <si>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</si>
  <si>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</si>
  <si>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</si>
  <si>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</si>
  <si>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</si>
  <si>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</si>
  <si>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Mississippi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</si>
  <si>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</si>
  <si>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</si>
  <si>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</si>
  <si>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</si>
  <si>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</si>
  <si>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</si>
  <si>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</si>
  <si>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</si>
  <si>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Raymond Buch</t>
  </si>
  <si>
    <t>EB-13705</t>
  </si>
  <si>
    <t>SC-20095</t>
  </si>
  <si>
    <t>Sanjit Chand</t>
  </si>
  <si>
    <t>TN-21040</t>
  </si>
  <si>
    <t>Bush Advantage Collection Racetrack Conference Table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</si>
  <si>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</si>
  <si>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</si>
  <si>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</si>
  <si>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</si>
  <si>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</si>
  <si>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</si>
  <si>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</si>
  <si>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</si>
  <si>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</si>
  <si>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</si>
  <si>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</si>
  <si>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</si>
  <si>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</si>
  <si>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</si>
  <si>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Arkansas</t>
  </si>
  <si>
    <t>MY-17380</t>
  </si>
  <si>
    <t>CM-12385</t>
  </si>
  <si>
    <t>Christopher Martinez</t>
  </si>
  <si>
    <t>Fellowes PB500 Electric Punch Plastic Comb Binding Machine with Manual Bind</t>
  </si>
  <si>
    <t>LS-17245</t>
  </si>
  <si>
    <t>BN-11515</t>
  </si>
  <si>
    <t>Montana</t>
  </si>
  <si>
    <t>DB-13210</t>
  </si>
  <si>
    <t>MC-17605</t>
  </si>
  <si>
    <t>BD-11605</t>
  </si>
  <si>
    <t>PH-18790</t>
  </si>
  <si>
    <t>MG-18145</t>
  </si>
  <si>
    <t>Martin Yale Chadless Opener Electric Letter Opener</t>
  </si>
  <si>
    <t>KB-16240</t>
  </si>
  <si>
    <t>JC-15340</t>
  </si>
  <si>
    <t>RL-19615</t>
  </si>
  <si>
    <t>AA-10375</t>
  </si>
  <si>
    <t>EP-13915</t>
  </si>
  <si>
    <t>Emily Phan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</si>
  <si>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</si>
  <si>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</si>
  <si>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</si>
  <si>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</si>
  <si>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</si>
  <si>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</si>
  <si>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</si>
  <si>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</si>
  <si>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</si>
  <si>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</si>
  <si>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</si>
  <si>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</si>
  <si>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</si>
  <si>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</si>
  <si>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</si>
  <si>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</si>
  <si>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</si>
  <si>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</si>
  <si>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</si>
  <si>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</si>
  <si>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</si>
  <si>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Zuschuss Carroll</t>
  </si>
  <si>
    <t>MS-17830</t>
  </si>
  <si>
    <t>LR-16915</t>
  </si>
  <si>
    <t>TP-21130</t>
  </si>
  <si>
    <t>CK-12205</t>
  </si>
  <si>
    <t>Chloris Kastensmidt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</si>
  <si>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</si>
  <si>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</si>
  <si>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</si>
  <si>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</si>
  <si>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</si>
  <si>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</si>
  <si>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</si>
  <si>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</si>
  <si>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</si>
  <si>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</si>
  <si>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</si>
  <si>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</si>
  <si>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</si>
  <si>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</si>
  <si>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</si>
  <si>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John Lee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</si>
  <si>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</si>
  <si>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</si>
  <si>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</si>
  <si>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</si>
  <si>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</si>
  <si>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</si>
  <si>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</si>
  <si>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</si>
  <si>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</si>
  <si>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</si>
  <si>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</si>
  <si>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</si>
  <si>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</si>
  <si>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Cubify CubeX 3D Printer Triple Head Print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</si>
  <si>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</si>
  <si>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</si>
  <si>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</si>
  <si>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</si>
  <si>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</si>
  <si>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</si>
  <si>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</si>
  <si>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</si>
  <si>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</si>
  <si>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</si>
  <si>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Arthur Prichep</t>
  </si>
  <si>
    <t>RS-19765</t>
  </si>
  <si>
    <t>SV-20365</t>
  </si>
  <si>
    <t>Seth Vernon</t>
  </si>
  <si>
    <t>CK-12325</t>
  </si>
  <si>
    <t>RD-19810</t>
  </si>
  <si>
    <t>Chromcraft Bull-Nose Wood Oval Conference Tables &amp; Bases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</si>
  <si>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</si>
  <si>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</si>
  <si>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</si>
  <si>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</si>
  <si>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</si>
  <si>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</si>
  <si>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</si>
  <si>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</si>
  <si>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</si>
  <si>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</si>
  <si>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</si>
  <si>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</si>
  <si>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</si>
  <si>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</si>
  <si>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</si>
  <si>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</si>
  <si>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</si>
  <si>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</si>
  <si>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</si>
  <si>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</si>
  <si>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</si>
  <si>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</si>
  <si>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</si>
  <si>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</si>
  <si>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</si>
  <si>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</si>
  <si>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</si>
  <si>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</si>
  <si>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</si>
  <si>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</si>
  <si>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</si>
  <si>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</si>
  <si>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</si>
  <si>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</si>
  <si>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</si>
  <si>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</si>
  <si>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</si>
  <si>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</si>
  <si>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</si>
  <si>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</si>
  <si>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</si>
  <si>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</si>
  <si>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</si>
  <si>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</si>
  <si>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</si>
  <si>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New Hampshire</t>
  </si>
  <si>
    <t>SM-20005</t>
  </si>
  <si>
    <t>AG-10765</t>
  </si>
  <si>
    <t>PM-19135</t>
  </si>
  <si>
    <t>LL-16840</t>
  </si>
  <si>
    <t>JS-15595</t>
  </si>
  <si>
    <t>EL-13735</t>
  </si>
  <si>
    <t>Maryland</t>
  </si>
  <si>
    <t>PC-18745</t>
  </si>
  <si>
    <t>HL-15040</t>
  </si>
  <si>
    <t>Hunter Lopez</t>
  </si>
  <si>
    <t>MS-17365</t>
  </si>
  <si>
    <t>GB-14530</t>
  </si>
  <si>
    <t>JR-16210</t>
  </si>
  <si>
    <t>BE-11335</t>
  </si>
  <si>
    <t>SC-20050</t>
  </si>
  <si>
    <t>RW-19630</t>
  </si>
  <si>
    <t>SE-20110</t>
  </si>
  <si>
    <t>Sanjit Engle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</si>
  <si>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</si>
  <si>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</si>
  <si>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</si>
  <si>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</si>
  <si>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</si>
  <si>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</si>
  <si>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</si>
  <si>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</si>
  <si>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</si>
  <si>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</si>
  <si>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</si>
  <si>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</si>
  <si>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</si>
  <si>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</si>
  <si>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</si>
  <si>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</si>
  <si>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</si>
  <si>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</si>
  <si>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</si>
  <si>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</si>
  <si>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</si>
  <si>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</si>
  <si>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</si>
  <si>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</si>
  <si>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</si>
  <si>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</si>
  <si>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</si>
  <si>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District of Columbia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</si>
  <si>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</si>
  <si>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</si>
  <si>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</si>
  <si>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</si>
  <si>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</si>
  <si>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</si>
  <si>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</si>
  <si>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</si>
  <si>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</si>
  <si>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</si>
  <si>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</si>
  <si>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</si>
  <si>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</si>
  <si>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</si>
  <si>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</si>
  <si>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</si>
  <si>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</si>
  <si>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</si>
  <si>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</si>
  <si>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</si>
  <si>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</si>
  <si>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Ativa V4110MDD Micro-Cut Shredder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</si>
  <si>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</si>
  <si>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</si>
  <si>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</si>
  <si>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</si>
  <si>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</si>
  <si>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</si>
  <si>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</si>
  <si>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</si>
  <si>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</si>
  <si>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</si>
  <si>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</si>
  <si>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</si>
  <si>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</si>
  <si>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</si>
  <si>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</si>
  <si>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</si>
  <si>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</si>
  <si>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</si>
  <si>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</si>
  <si>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</si>
  <si>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</si>
  <si>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</si>
  <si>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</si>
  <si>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</si>
  <si>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</si>
  <si>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</si>
  <si>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</si>
  <si>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</si>
  <si>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</si>
  <si>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</si>
  <si>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</si>
  <si>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</si>
  <si>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</si>
  <si>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</si>
  <si>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</si>
  <si>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</si>
  <si>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</si>
  <si>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</si>
  <si>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</si>
  <si>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</si>
  <si>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</si>
  <si>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</si>
  <si>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</si>
  <si>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</si>
  <si>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</si>
  <si>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</si>
  <si>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</si>
  <si>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</si>
  <si>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</si>
  <si>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</si>
  <si>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</si>
  <si>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</si>
  <si>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</si>
  <si>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</si>
  <si>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</si>
  <si>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</si>
  <si>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</si>
  <si>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</si>
  <si>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</si>
  <si>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</si>
  <si>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</si>
  <si>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</si>
  <si>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</si>
  <si>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</si>
  <si>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</si>
  <si>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Paul Prost</t>
  </si>
  <si>
    <t>YS-21880</t>
  </si>
  <si>
    <t>KM-16375</t>
  </si>
  <si>
    <t>AB-10105</t>
  </si>
  <si>
    <t>Adrian Barton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</si>
  <si>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</si>
  <si>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</si>
  <si>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</si>
  <si>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</si>
  <si>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</si>
  <si>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</si>
  <si>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</si>
  <si>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</si>
  <si>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</si>
  <si>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</si>
  <si>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</si>
  <si>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</si>
  <si>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</si>
  <si>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</si>
  <si>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</si>
  <si>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Keith Dawkins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</si>
  <si>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</si>
  <si>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</si>
  <si>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</si>
  <si>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</si>
  <si>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</si>
  <si>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</si>
  <si>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</si>
  <si>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</si>
  <si>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</si>
  <si>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</si>
  <si>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</si>
  <si>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Andy Reiter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</si>
  <si>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</si>
  <si>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</si>
  <si>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</si>
  <si>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</si>
  <si>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</si>
  <si>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</si>
  <si>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</si>
  <si>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</si>
  <si>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</si>
  <si>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</si>
  <si>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</si>
  <si>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</si>
  <si>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</si>
  <si>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</si>
  <si>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</si>
  <si>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</si>
  <si>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</si>
  <si>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</si>
  <si>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</si>
  <si>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</si>
  <si>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</si>
  <si>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</si>
  <si>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</si>
  <si>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</si>
  <si>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</si>
  <si>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Plantronics Savi W720 Multi-Device Wireless Headset System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</si>
  <si>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</si>
  <si>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</si>
  <si>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</si>
  <si>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</si>
  <si>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</si>
  <si>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</si>
  <si>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</si>
  <si>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</si>
  <si>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</si>
  <si>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</si>
  <si>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</si>
  <si>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</si>
  <si>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</si>
  <si>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</si>
  <si>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</si>
  <si>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</si>
  <si>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</si>
  <si>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</si>
  <si>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</si>
  <si>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</si>
  <si>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</si>
  <si>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</si>
  <si>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</si>
  <si>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</si>
  <si>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</si>
  <si>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</si>
  <si>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</si>
  <si>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</si>
  <si>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Kansas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</si>
  <si>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</si>
  <si>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</si>
  <si>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</si>
  <si>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</si>
  <si>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</si>
  <si>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</si>
  <si>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</si>
  <si>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</si>
  <si>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</si>
  <si>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</si>
  <si>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</si>
  <si>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</si>
  <si>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</si>
  <si>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</si>
  <si>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</si>
  <si>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</si>
  <si>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</si>
  <si>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</si>
  <si>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</si>
  <si>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Edward Hooks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</si>
  <si>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</si>
  <si>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</si>
  <si>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</si>
  <si>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</si>
  <si>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</si>
  <si>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</si>
  <si>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</si>
  <si>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</si>
  <si>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</si>
  <si>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</si>
  <si>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</si>
  <si>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</si>
  <si>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</si>
  <si>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</si>
  <si>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</si>
  <si>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Tamara Chand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</si>
  <si>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</si>
  <si>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</si>
  <si>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</si>
  <si>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</si>
  <si>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</si>
  <si>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</si>
  <si>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</si>
  <si>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</si>
  <si>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William Brown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</si>
  <si>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</si>
  <si>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</si>
  <si>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</si>
  <si>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</si>
  <si>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</si>
  <si>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</si>
  <si>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</si>
  <si>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</si>
  <si>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</si>
  <si>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</si>
  <si>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</si>
  <si>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</si>
  <si>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</si>
  <si>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</si>
  <si>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</si>
  <si>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Vermont</t>
  </si>
  <si>
    <t>TG-21310</t>
  </si>
  <si>
    <t>BF-11005</t>
  </si>
  <si>
    <t>JM-16195</t>
  </si>
  <si>
    <t>Maine</t>
  </si>
  <si>
    <t>MZ-17335</t>
  </si>
  <si>
    <t>MW-18220</t>
  </si>
  <si>
    <t>MV-17485</t>
  </si>
  <si>
    <t>SM-20320</t>
  </si>
  <si>
    <t>Sean Miller</t>
  </si>
  <si>
    <t>TP-21415</t>
  </si>
  <si>
    <t>Canon PC1060 Personal Laser Copier</t>
  </si>
  <si>
    <t>JK-15625</t>
  </si>
  <si>
    <t>PJ-18835</t>
  </si>
  <si>
    <t>RS-19420</t>
  </si>
  <si>
    <t>Balt Solid Wood Round Tables</t>
  </si>
  <si>
    <t>SV-20935</t>
  </si>
  <si>
    <t>BC-11125</t>
  </si>
  <si>
    <t>EM-13825</t>
  </si>
  <si>
    <t>South Dakota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</si>
  <si>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</si>
  <si>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</si>
  <si>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</si>
  <si>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</si>
  <si>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</si>
  <si>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</si>
  <si>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</si>
  <si>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</si>
  <si>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</si>
  <si>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</si>
  <si>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</si>
  <si>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</si>
  <si>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</si>
  <si>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</si>
  <si>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</si>
  <si>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</si>
  <si>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</si>
  <si>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</si>
  <si>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</si>
  <si>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</si>
  <si>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</si>
  <si>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</si>
  <si>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</si>
  <si>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</si>
  <si>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</si>
  <si>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</si>
  <si>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</si>
  <si>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</si>
  <si>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</si>
  <si>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</si>
  <si>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</si>
  <si>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</si>
  <si>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</si>
  <si>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Tom Ashbrook</t>
  </si>
  <si>
    <t>Canon imageCLASS 2200 Advanced Copier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</si>
  <si>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</si>
  <si>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</si>
  <si>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</si>
  <si>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</si>
  <si>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</si>
  <si>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</si>
  <si>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</si>
  <si>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</si>
  <si>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</si>
  <si>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</si>
  <si>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Cisco TelePresence System EX90 Videoconferencing Unit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</si>
  <si>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</si>
  <si>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</si>
  <si>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</si>
  <si>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</si>
  <si>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</si>
  <si>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</si>
  <si>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</si>
  <si>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</si>
  <si>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</si>
  <si>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</si>
  <si>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</si>
  <si>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</si>
  <si>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Daniel Raglin</t>
  </si>
  <si>
    <t>DM-13015</t>
  </si>
  <si>
    <t>CA-11965</t>
  </si>
  <si>
    <t>AC-10660</t>
  </si>
  <si>
    <t>DM-13345</t>
  </si>
  <si>
    <t>VF-21715</t>
  </si>
  <si>
    <t>CC-12370</t>
  </si>
  <si>
    <t>Christopher Conant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</si>
  <si>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</si>
  <si>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</si>
  <si>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</si>
  <si>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</si>
  <si>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</si>
  <si>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</si>
  <si>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</si>
  <si>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</si>
  <si>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</si>
  <si>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</si>
  <si>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</si>
  <si>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</si>
  <si>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</si>
  <si>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Idaho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</si>
  <si>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</si>
  <si>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</si>
  <si>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</si>
  <si>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</si>
  <si>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</si>
  <si>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</si>
  <si>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</si>
  <si>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</si>
  <si>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</si>
  <si>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Cubify CubeX 3D Printer Double Head Print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</si>
  <si>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</si>
  <si>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</si>
  <si>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</si>
  <si>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</si>
  <si>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</si>
  <si>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</si>
  <si>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</si>
  <si>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</si>
  <si>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</si>
  <si>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</si>
  <si>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</si>
  <si>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</si>
  <si>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</si>
  <si>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</si>
  <si>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</si>
  <si>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</si>
  <si>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</si>
  <si>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</si>
  <si>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</si>
  <si>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</si>
  <si>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</si>
  <si>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</si>
  <si>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</si>
  <si>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</si>
  <si>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</si>
  <si>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</si>
  <si>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</si>
  <si>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</si>
  <si>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</si>
  <si>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</si>
  <si>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</si>
  <si>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</si>
  <si>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</si>
  <si>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</si>
  <si>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</si>
  <si>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</si>
  <si>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</si>
  <si>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</si>
  <si>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</si>
  <si>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</si>
  <si>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</si>
  <si>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</si>
  <si>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</si>
  <si>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Ibico EPK-21 Electric Binding System</t>
  </si>
  <si>
    <t>DD-13570</t>
  </si>
  <si>
    <t>HP Designjet T520 Inkjet Large Format Printer - 24" Color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</si>
  <si>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</si>
  <si>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</si>
  <si>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</si>
  <si>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</si>
  <si>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</si>
  <si>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</si>
  <si>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</si>
  <si>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</si>
  <si>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</si>
  <si>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3D Systems Cube Printer, 2nd Generation, Magenta</t>
  </si>
  <si>
    <t>RD-19720</t>
  </si>
  <si>
    <t>AG-10330</t>
  </si>
  <si>
    <t>North Dakota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</si>
  <si>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</si>
  <si>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</si>
  <si>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</si>
  <si>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</si>
  <si>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</si>
  <si>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</si>
  <si>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</si>
  <si>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</si>
  <si>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</si>
  <si>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</si>
  <si>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</si>
  <si>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</si>
  <si>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Zebra ZM400 Thermal Label Printer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</si>
  <si>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</si>
  <si>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</si>
  <si>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</si>
  <si>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</si>
  <si>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</si>
  <si>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</si>
  <si>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</si>
  <si>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</si>
  <si>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</si>
  <si>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</si>
  <si>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</si>
  <si>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</si>
  <si>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</si>
  <si>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</si>
  <si>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</si>
  <si>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Wyoming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</si>
  <si>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</si>
  <si>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</si>
  <si>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</si>
  <si>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</si>
  <si>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</si>
  <si>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</si>
  <si>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</si>
  <si>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</si>
  <si>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</si>
  <si>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</si>
  <si>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</si>
  <si>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</si>
  <si>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</si>
  <si>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West Virginia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</si>
  <si>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</si>
  <si>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</si>
  <si>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</si>
  <si>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</si>
  <si>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</si>
  <si>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</si>
  <si>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</si>
  <si>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</si>
  <si>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</si>
  <si>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Labels</t>
  </si>
  <si>
    <t>Grand Total</t>
  </si>
  <si>
    <t>Profit Margin</t>
  </si>
  <si>
    <t>Total Sales</t>
  </si>
  <si>
    <t>Total Profit</t>
  </si>
  <si>
    <t>Sum of Sales</t>
  </si>
  <si>
    <t>Sum of Profit</t>
  </si>
  <si>
    <t>Average of Discount</t>
  </si>
  <si>
    <t>Sum of Profit Margin 0</t>
  </si>
  <si>
    <t>Count of Order ID</t>
  </si>
  <si>
    <t>Running Sales</t>
  </si>
  <si>
    <t>Cumulative %</t>
  </si>
  <si>
    <t>Loss Transaction</t>
  </si>
  <si>
    <t>If Discount decrease 10%</t>
  </si>
  <si>
    <t>Margin</t>
  </si>
  <si>
    <t>If Discount max in 30%</t>
  </si>
  <si>
    <t>If Sales increase 10%</t>
  </si>
  <si>
    <t>Orders</t>
  </si>
  <si>
    <t>Customers</t>
  </si>
  <si>
    <t>Dashboard - Executive</t>
  </si>
  <si>
    <t>Average of Profit Margin</t>
  </si>
  <si>
    <t>Dashboard - Product Analysis</t>
  </si>
  <si>
    <t>Dashboard - Region Analysis</t>
  </si>
  <si>
    <t>Dashboard - Customer Analysis</t>
  </si>
  <si>
    <t>Dashboard - Scenario &amp; Recommend</t>
  </si>
  <si>
    <t>Loss Rate</t>
  </si>
  <si>
    <t>72% giao dịch lỗ đến từ nhóm Discount &gt;20%. Margin bắt đầu âm khi Discount khoảng 30%</t>
  </si>
  <si>
    <t>Profit Improve</t>
  </si>
  <si>
    <t>Driver</t>
  </si>
  <si>
    <t>Impact</t>
  </si>
  <si>
    <t>High</t>
  </si>
  <si>
    <t>Product Mix</t>
  </si>
  <si>
    <t>Medium</t>
  </si>
  <si>
    <t>Sales Growth</t>
  </si>
  <si>
    <t>Low</t>
  </si>
  <si>
    <t>Recommendations</t>
  </si>
  <si>
    <t>Furniture is a high-revenue but low-profit.</t>
  </si>
  <si>
    <t>West is the most effective.</t>
  </si>
  <si>
    <t>Margin decreases sharply when the discount increases.</t>
  </si>
  <si>
    <t>Technology is leading in both revenue and profit.</t>
  </si>
  <si>
    <t>Tables is the sub-category that causes the greatest loss of profit for the company.</t>
  </si>
  <si>
    <t>A few products are generating the majority of the portfolio's profits.</t>
  </si>
  <si>
    <t>Many of the company's high-revenue products are still generating significant losses.</t>
  </si>
  <si>
    <t>West and East together have more than half of the company's total revenue.</t>
  </si>
  <si>
    <t>States with average discounts above 30% have recorded very low or negative profits.</t>
  </si>
  <si>
    <t>Texas is the state that reduces corporate profits the most.</t>
  </si>
  <si>
    <t>Some clients generate significant revenue.</t>
  </si>
  <si>
    <t>The most profitable customer is not the customer with the highest revenue.</t>
  </si>
  <si>
    <t>High revenue does not mean customers are of high business value.</t>
  </si>
  <si>
    <t>50% of customers generate 80% of the company's revenue.</t>
  </si>
  <si>
    <t>Controlling discounts yields a much greater increase in profit than a 10% increase in revenue.</t>
  </si>
  <si>
    <t>Discounts are the most significant factor affecting profitability across all businesses.</t>
  </si>
  <si>
    <r>
      <rPr>
        <b/>
        <sz val="11"/>
        <color theme="1"/>
        <rFont val="Aptos Narrow"/>
        <family val="2"/>
        <scheme val="minor"/>
      </rPr>
      <t>Recommendation 1</t>
    </r>
    <r>
      <rPr>
        <sz val="11"/>
        <color theme="1"/>
        <rFont val="Aptos Narrow"/>
        <family val="2"/>
        <scheme val="minor"/>
      </rPr>
      <t xml:space="preserve">
Limit the discount max  around 20–30%.
Expected impact:
+177K Profit.</t>
    </r>
  </si>
  <si>
    <r>
      <rPr>
        <b/>
        <sz val="11"/>
        <color theme="1"/>
        <rFont val="Aptos Narrow"/>
        <family val="2"/>
        <scheme val="minor"/>
      </rPr>
      <t>Recommendation 2</t>
    </r>
    <r>
      <rPr>
        <sz val="11"/>
        <color theme="1"/>
        <rFont val="Aptos Narrow"/>
        <family val="2"/>
        <scheme val="minor"/>
      </rPr>
      <t xml:space="preserve">
Review: Tables, Bookcases, Machines
Expected impact:
Reduce losing trades.</t>
    </r>
  </si>
  <si>
    <r>
      <rPr>
        <b/>
        <sz val="11"/>
        <color theme="1"/>
        <rFont val="Aptos Narrow"/>
        <family val="2"/>
        <scheme val="minor"/>
      </rPr>
      <t>Recommendation 3</t>
    </r>
    <r>
      <rPr>
        <sz val="11"/>
        <color theme="1"/>
        <rFont val="Aptos Narrow"/>
        <family val="2"/>
        <scheme val="minor"/>
      </rPr>
      <t xml:space="preserve">
Control discount in:
Texas, Ohio, Pennsylvania, Illinois</t>
    </r>
  </si>
  <si>
    <r>
      <rPr>
        <b/>
        <sz val="11"/>
        <color theme="1"/>
        <rFont val="Aptos Narrow"/>
        <family val="2"/>
        <scheme val="minor"/>
      </rPr>
      <t>Recommendation 4</t>
    </r>
    <r>
      <rPr>
        <sz val="11"/>
        <color theme="1"/>
        <rFont val="Aptos Narrow"/>
        <family val="2"/>
        <scheme val="minor"/>
      </rPr>
      <t xml:space="preserve">
Tracking Profit Margin is like tracking key KPIs, not just Sales.</t>
    </r>
  </si>
  <si>
    <t>California &amp; New York have the highest revenue.</t>
  </si>
  <si>
    <t>Technology leads the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</si>
</sst>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9" fontId="16" fillId="0" borderId="0" xfId="42" applyFont="1"/>
    <xf numFmtId="9" fontId="0" fillId="0" borderId="0" xfId="42" applyFont="1"/>
    <xf numFmtId="2" fontId="16" fillId="0" borderId="0" xfId="0" applyNumberFormat="1" applyFont="1"/>
    <xf numFmtId="1" fontId="16" fillId="33" borderId="11" xfId="0" applyNumberFormat="1" applyFont="1" applyFill="1" applyBorder="1"/>
    <xf numFmtId="0" fontId="16" fillId="34" borderId="0" xfId="0" applyFont="1" applyFill="1"/>
    <xf numFmtId="0" fontId="16" fillId="35" borderId="0" xfId="0" applyFont="1" applyFill="1"/>
    <xf numFmtId="1" fontId="0" fillId="0" borderId="0" xfId="0" pivotButton="1" applyNumberFormat="1"/>
    <xf numFmtId="0" fontId="1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8" fillId="36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8" fillId="36" borderId="14" xfId="0" applyFont="1" applyFill="1" applyBorder="1" applyAlignment="1">
      <alignment horizontal="center" vertical="center"/>
    </xf>
    <xf numFmtId="0" fontId="18" fillId="36" borderId="12" xfId="0" applyFont="1" applyFill="1" applyBorder="1" applyAlignment="1">
      <alignment horizontal="center" vertical="center"/>
    </xf>
    <xf numFmtId="0" fontId="18" fillId="36" borderId="15" xfId="0" applyFont="1" applyFill="1" applyBorder="1" applyAlignment="1">
      <alignment horizontal="center" vertical="center"/>
    </xf>
    <xf numFmtId="0" fontId="18" fillId="36" borderId="17" xfId="0" applyFont="1" applyFill="1" applyBorder="1" applyAlignment="1">
      <alignment horizontal="center" vertical="center"/>
    </xf>
    <xf numFmtId="0" fontId="18" fillId="36" borderId="18" xfId="0" applyFont="1" applyFill="1" applyBorder="1" applyAlignment="1">
      <alignment horizontal="center" vertical="center"/>
    </xf>
    <xf numFmtId="0" fontId="18" fillId="36" borderId="19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Executive!PivotTable1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Sales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Executive'!$V$1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Executive'!$U$2:$U$5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'Dashboard - Executive'!$V$2:$V$5</c:f>
              <c:numCache>
                <c:formatCode>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C-4DE7-8B83-D0D64CAF13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48538015"/>
        <c:axId val="1548538495"/>
      </c:barChart>
      <c:catAx>
        <c:axId val="15485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38495"/>
        <c:crosses val="autoZero"/>
        <c:auto val="1"/>
        <c:lblAlgn val="ctr"/>
        <c:lblOffset val="100"/>
        <c:noMultiLvlLbl val="0"/>
      </c:catAx>
      <c:valAx>
        <c:axId val="154853849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4853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Executive!PivotTable2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Profit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Executive'!$Y$1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Executive'!$X$2:$X$5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'Dashboard - Executive'!$Y$2:$Y$5</c:f>
              <c:numCache>
                <c:formatCode>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42EE-AAA9-8A3046306A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03332815"/>
        <c:axId val="1803332335"/>
      </c:barChart>
      <c:catAx>
        <c:axId val="180333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32335"/>
        <c:crosses val="autoZero"/>
        <c:auto val="1"/>
        <c:lblAlgn val="ctr"/>
        <c:lblOffset val="100"/>
        <c:noMultiLvlLbl val="0"/>
      </c:catAx>
      <c:valAx>
        <c:axId val="180333233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0333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Executive!PivotTable4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Profit Margin by Discount</a:t>
            </a:r>
            <a:r>
              <a:rPr lang="vi-VN" b="1" baseline="0"/>
              <a:t> Bucket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Executive'!$Z$7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- Executive'!$Y$8:$Y$17</c:f>
              <c:strCach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strCache>
            </c:strRef>
          </c:cat>
          <c:val>
            <c:numRef>
              <c:f>'Dashboard - Executive'!$Z$8:$Z$17</c:f>
              <c:numCache>
                <c:formatCode>0.00</c:formatCode>
                <c:ptCount val="9"/>
                <c:pt idx="0">
                  <c:v>0.3401604835348076</c:v>
                </c:pt>
                <c:pt idx="1">
                  <c:v>0.15579196217494073</c:v>
                </c:pt>
                <c:pt idx="2">
                  <c:v>0.17483862782104032</c:v>
                </c:pt>
                <c:pt idx="3">
                  <c:v>-0.11548143486469495</c:v>
                </c:pt>
                <c:pt idx="4">
                  <c:v>-0.21690650509130713</c:v>
                </c:pt>
                <c:pt idx="5">
                  <c:v>-0.53558441558441539</c:v>
                </c:pt>
                <c:pt idx="6">
                  <c:v>-0.68913043478260894</c:v>
                </c:pt>
                <c:pt idx="7">
                  <c:v>-0.79473684210526363</c:v>
                </c:pt>
                <c:pt idx="8">
                  <c:v>-1.8250000000000008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1-4B3A-9BAA-9B2C77DCD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1742975"/>
        <c:axId val="1551743455"/>
      </c:barChart>
      <c:catAx>
        <c:axId val="155174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43455"/>
        <c:crosses val="autoZero"/>
        <c:auto val="1"/>
        <c:lblAlgn val="ctr"/>
        <c:lblOffset val="100"/>
        <c:noMultiLvlLbl val="0"/>
      </c:catAx>
      <c:valAx>
        <c:axId val="15517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42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Margin</a:t>
            </a:r>
            <a:r>
              <a:rPr lang="vi-VN" b="1"/>
              <a:t> by State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Executive'!$V$7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Executive'!$U$8:$U$11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 - Executive'!$V$8:$V$11</c:f>
              <c:numCache>
                <c:formatCode>0.00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1-457D-8AEC-CBF42A8728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78116976"/>
        <c:axId val="678115536"/>
      </c:barChart>
      <c:catAx>
        <c:axId val="6781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115536"/>
        <c:crosses val="autoZero"/>
        <c:auto val="1"/>
        <c:lblAlgn val="ctr"/>
        <c:lblOffset val="100"/>
        <c:noMultiLvlLbl val="0"/>
      </c:catAx>
      <c:valAx>
        <c:axId val="67811553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7811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Product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Sales &amp; Profit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Product Analysis'!$U$1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- Product Analysis'!$T$2:$T$5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'Dashboard - Product Analysis'!$U$2:$U$5</c:f>
              <c:numCache>
                <c:formatCode>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0-4869-B085-5BDE6E6A519D}"/>
            </c:ext>
          </c:extLst>
        </c:ser>
        <c:ser>
          <c:idx val="1"/>
          <c:order val="1"/>
          <c:tx>
            <c:strRef>
              <c:f>'Dashboard - Product Analysis'!$V$1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- Product Analysis'!$T$2:$T$5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'Dashboard - Product Analysis'!$V$2:$V$5</c:f>
              <c:numCache>
                <c:formatCode>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0-4869-B085-5BDE6E6A5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584159"/>
        <c:axId val="1285968975"/>
      </c:barChart>
      <c:catAx>
        <c:axId val="17095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68975"/>
        <c:crosses val="autoZero"/>
        <c:auto val="1"/>
        <c:lblAlgn val="ctr"/>
        <c:lblOffset val="100"/>
        <c:noMultiLvlLbl val="0"/>
      </c:catAx>
      <c:valAx>
        <c:axId val="12859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84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Product Analysis!PivotTable6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- Product Analysis'!$U$7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'Dashboard - Product Analysis'!$T$8:$T$28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'Dashboard - Product Analysis'!$U$8:$U$28</c:f>
              <c:numCache>
                <c:formatCode>0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E-4C07-9224-B2C5DDC0FA5F}"/>
            </c:ext>
          </c:extLst>
        </c:ser>
        <c:ser>
          <c:idx val="1"/>
          <c:order val="1"/>
          <c:tx>
            <c:strRef>
              <c:f>'Dashboard - Product Analysis'!$V$7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'Dashboard - Product Analysis'!$T$8:$T$28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'Dashboard - Product Analysis'!$V$8:$V$28</c:f>
              <c:numCache>
                <c:formatCode>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E-4C07-9224-B2C5DDC0F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9523855"/>
        <c:axId val="1803334255"/>
      </c:barChart>
      <c:catAx>
        <c:axId val="177952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34255"/>
        <c:crosses val="autoZero"/>
        <c:auto val="1"/>
        <c:lblAlgn val="ctr"/>
        <c:lblOffset val="100"/>
        <c:noMultiLvlLbl val="0"/>
      </c:catAx>
      <c:valAx>
        <c:axId val="180333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2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Product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Top 10 Product by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Product Analysis'!$Y$1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139-4657-A528-9C7E124628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- Product Analysis'!$X$2:$X$22</c:f>
              <c:multiLvlStrCache>
                <c:ptCount val="10"/>
                <c:lvl>
                  <c:pt idx="0">
                    <c:v>Copiers</c:v>
                  </c:pt>
                  <c:pt idx="1">
                    <c:v>Binders</c:v>
                  </c:pt>
                  <c:pt idx="2">
                    <c:v>Copiers</c:v>
                  </c:pt>
                  <c:pt idx="3">
                    <c:v>Copiers</c:v>
                  </c:pt>
                  <c:pt idx="4">
                    <c:v>Machines</c:v>
                  </c:pt>
                  <c:pt idx="5">
                    <c:v>Machines</c:v>
                  </c:pt>
                  <c:pt idx="6">
                    <c:v>Machines</c:v>
                  </c:pt>
                  <c:pt idx="7">
                    <c:v>Accessories</c:v>
                  </c:pt>
                  <c:pt idx="8">
                    <c:v>Binders</c:v>
                  </c:pt>
                  <c:pt idx="9">
                    <c:v>Machines</c:v>
                  </c:pt>
                </c:lvl>
                <c:lvl>
                  <c:pt idx="0">
                    <c:v>Canon imageCLASS 2200 Advanced Copier</c:v>
                  </c:pt>
                  <c:pt idx="1">
                    <c:v>Fellowes PB500 Electric Punch Plastic Comb Binding Machine with Manual Bind</c:v>
                  </c:pt>
                  <c:pt idx="2">
                    <c:v>Hewlett Packard LaserJet 3310 Copier</c:v>
                  </c:pt>
                  <c:pt idx="3">
                    <c:v>Canon PC1060 Personal Laser Copier</c:v>
                  </c:pt>
                  <c:pt idx="4">
                    <c:v>HP Designjet T520 Inkjet Large Format Printer - 24" Color</c:v>
                  </c:pt>
                  <c:pt idx="5">
                    <c:v>Ativa V4110MDD Micro-Cut Shredder</c:v>
                  </c:pt>
                  <c:pt idx="6">
                    <c:v>3D Systems Cube Printer, 2nd Generation, Magenta</c:v>
                  </c:pt>
                  <c:pt idx="7">
                    <c:v>Plantronics Savi W720 Multi-Device Wireless Headset System</c:v>
                  </c:pt>
                  <c:pt idx="8">
                    <c:v>Ibico EPK-21 Electric Binding System</c:v>
                  </c:pt>
                  <c:pt idx="9">
                    <c:v>Zebra ZM400 Thermal Label Printer</c:v>
                  </c:pt>
                </c:lvl>
              </c:multiLvlStrCache>
            </c:multiLvlStrRef>
          </c:cat>
          <c:val>
            <c:numRef>
              <c:f>'Dashboard - Product Analysis'!$Y$2:$Y$22</c:f>
              <c:numCache>
                <c:formatCode>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18839.686000000002</c:v>
                </c:pt>
                <c:pt idx="3">
                  <c:v>11619.833999999999</c:v>
                </c:pt>
                <c:pt idx="4">
                  <c:v>18374.895</c:v>
                </c:pt>
                <c:pt idx="5">
                  <c:v>7699.89</c:v>
                </c:pt>
                <c:pt idx="6">
                  <c:v>14299.89</c:v>
                </c:pt>
                <c:pt idx="7">
                  <c:v>9367.2899999999991</c:v>
                </c:pt>
                <c:pt idx="8">
                  <c:v>15875.916000000001</c:v>
                </c:pt>
                <c:pt idx="9">
                  <c:v>6965.7000000000007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A-4C57-B079-496199FB1C4B}"/>
            </c:ext>
          </c:extLst>
        </c:ser>
        <c:ser>
          <c:idx val="1"/>
          <c:order val="1"/>
          <c:tx>
            <c:strRef>
              <c:f>'Dashboard - Product Analysis'!$Z$1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99-4487-BB48-5DFDE1725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- Product Analysis'!$X$2:$X$22</c:f>
              <c:multiLvlStrCache>
                <c:ptCount val="10"/>
                <c:lvl>
                  <c:pt idx="0">
                    <c:v>Copiers</c:v>
                  </c:pt>
                  <c:pt idx="1">
                    <c:v>Binders</c:v>
                  </c:pt>
                  <c:pt idx="2">
                    <c:v>Copiers</c:v>
                  </c:pt>
                  <c:pt idx="3">
                    <c:v>Copiers</c:v>
                  </c:pt>
                  <c:pt idx="4">
                    <c:v>Machines</c:v>
                  </c:pt>
                  <c:pt idx="5">
                    <c:v>Machines</c:v>
                  </c:pt>
                  <c:pt idx="6">
                    <c:v>Machines</c:v>
                  </c:pt>
                  <c:pt idx="7">
                    <c:v>Accessories</c:v>
                  </c:pt>
                  <c:pt idx="8">
                    <c:v>Binders</c:v>
                  </c:pt>
                  <c:pt idx="9">
                    <c:v>Machines</c:v>
                  </c:pt>
                </c:lvl>
                <c:lvl>
                  <c:pt idx="0">
                    <c:v>Canon imageCLASS 2200 Advanced Copier</c:v>
                  </c:pt>
                  <c:pt idx="1">
                    <c:v>Fellowes PB500 Electric Punch Plastic Comb Binding Machine with Manual Bind</c:v>
                  </c:pt>
                  <c:pt idx="2">
                    <c:v>Hewlett Packard LaserJet 3310 Copier</c:v>
                  </c:pt>
                  <c:pt idx="3">
                    <c:v>Canon PC1060 Personal Laser Copier</c:v>
                  </c:pt>
                  <c:pt idx="4">
                    <c:v>HP Designjet T520 Inkjet Large Format Printer - 24" Color</c:v>
                  </c:pt>
                  <c:pt idx="5">
                    <c:v>Ativa V4110MDD Micro-Cut Shredder</c:v>
                  </c:pt>
                  <c:pt idx="6">
                    <c:v>3D Systems Cube Printer, 2nd Generation, Magenta</c:v>
                  </c:pt>
                  <c:pt idx="7">
                    <c:v>Plantronics Savi W720 Multi-Device Wireless Headset System</c:v>
                  </c:pt>
                  <c:pt idx="8">
                    <c:v>Ibico EPK-21 Electric Binding System</c:v>
                  </c:pt>
                  <c:pt idx="9">
                    <c:v>Zebra ZM400 Thermal Label Printer</c:v>
                  </c:pt>
                </c:lvl>
              </c:multiLvlStrCache>
            </c:multiLvlStrRef>
          </c:cat>
          <c:val>
            <c:numRef>
              <c:f>'Dashboard - Product Analysis'!$Z$2:$Z$22</c:f>
              <c:numCache>
                <c:formatCode>0</c:formatCode>
                <c:ptCount val="10"/>
                <c:pt idx="0">
                  <c:v>25199.928000000004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  <c:pt idx="5">
                  <c:v>3772.9461000000001</c:v>
                </c:pt>
                <c:pt idx="6">
                  <c:v>3717.9714000000004</c:v>
                </c:pt>
                <c:pt idx="7">
                  <c:v>3696.2819999999997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1-4B35-B3C4-34611338AB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46001775"/>
        <c:axId val="1546004655"/>
      </c:barChart>
      <c:catAx>
        <c:axId val="154600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004655"/>
        <c:crosses val="autoZero"/>
        <c:auto val="1"/>
        <c:lblAlgn val="ctr"/>
        <c:lblOffset val="100"/>
        <c:noMultiLvlLbl val="0"/>
      </c:catAx>
      <c:valAx>
        <c:axId val="154600465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54600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Product 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Bottom 10 Product by Profit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Product Analysis'!$Y$24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- Product Analysis'!$X$25:$X$45</c:f>
              <c:multiLvlStrCache>
                <c:ptCount val="10"/>
                <c:lvl>
                  <c:pt idx="0">
                    <c:v>Machines</c:v>
                  </c:pt>
                  <c:pt idx="1">
                    <c:v>Machines</c:v>
                  </c:pt>
                  <c:pt idx="2">
                    <c:v>Machines</c:v>
                  </c:pt>
                  <c:pt idx="3">
                    <c:v>Tables</c:v>
                  </c:pt>
                  <c:pt idx="4">
                    <c:v>Tables</c:v>
                  </c:pt>
                  <c:pt idx="5">
                    <c:v>Binders</c:v>
                  </c:pt>
                  <c:pt idx="6">
                    <c:v>Machines</c:v>
                  </c:pt>
                  <c:pt idx="7">
                    <c:v>Supplies</c:v>
                  </c:pt>
                  <c:pt idx="8">
                    <c:v>Tables</c:v>
                  </c:pt>
                  <c:pt idx="9">
                    <c:v>Tables</c:v>
                  </c:pt>
                </c:lvl>
                <c:lvl>
                  <c:pt idx="0">
                    <c:v>Cubify CubeX 3D Printer Double Head Print</c:v>
                  </c:pt>
                  <c:pt idx="1">
                    <c:v>Lexmark MX611dhe Monochrome Laser Printer</c:v>
                  </c:pt>
                  <c:pt idx="2">
                    <c:v>Cubify CubeX 3D Printer Triple Head Print</c:v>
                  </c:pt>
                  <c:pt idx="3">
                    <c:v>Chromcraft Bull-Nose Wood Oval Conference Tables &amp; Bases</c:v>
                  </c:pt>
                  <c:pt idx="4">
                    <c:v>Bush Advantage Collection Racetrack Conference Table</c:v>
                  </c:pt>
                  <c:pt idx="5">
                    <c:v>GBC DocuBind P400 Electric Binding System</c:v>
                  </c:pt>
                  <c:pt idx="6">
                    <c:v>Cisco TelePresence System EX90 Videoconferencing Unit</c:v>
                  </c:pt>
                  <c:pt idx="7">
                    <c:v>Martin Yale Chadless Opener Electric Letter Opener</c:v>
                  </c:pt>
                  <c:pt idx="8">
                    <c:v>Balt Solid Wood Round Tables</c:v>
                  </c:pt>
                  <c:pt idx="9">
                    <c:v>BoxOffice By Design Rectangular and Half-Moon Meeting Room Tables</c:v>
                  </c:pt>
                </c:lvl>
              </c:multiLvlStrCache>
            </c:multiLvlStrRef>
          </c:cat>
          <c:val>
            <c:numRef>
              <c:f>'Dashboard - Product Analysis'!$Y$25:$Y$45</c:f>
              <c:numCache>
                <c:formatCode>0</c:formatCode>
                <c:ptCount val="10"/>
                <c:pt idx="0">
                  <c:v>11099.963</c:v>
                </c:pt>
                <c:pt idx="1">
                  <c:v>16829.901000000002</c:v>
                </c:pt>
                <c:pt idx="2">
                  <c:v>7999.98</c:v>
                </c:pt>
                <c:pt idx="3">
                  <c:v>9917.64</c:v>
                </c:pt>
                <c:pt idx="4">
                  <c:v>9544.7250000000004</c:v>
                </c:pt>
                <c:pt idx="5">
                  <c:v>17965.067999999999</c:v>
                </c:pt>
                <c:pt idx="6">
                  <c:v>22638.48</c:v>
                </c:pt>
                <c:pt idx="7">
                  <c:v>16656.199999999997</c:v>
                </c:pt>
                <c:pt idx="8">
                  <c:v>6518.7539999999999</c:v>
                </c:pt>
                <c:pt idx="9">
                  <c:v>1706.25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0-43E1-B525-3C9A929986F4}"/>
            </c:ext>
          </c:extLst>
        </c:ser>
        <c:ser>
          <c:idx val="1"/>
          <c:order val="1"/>
          <c:tx>
            <c:strRef>
              <c:f>'Dashboard - Product Analysis'!$Z$24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- Product Analysis'!$X$25:$X$45</c:f>
              <c:multiLvlStrCache>
                <c:ptCount val="10"/>
                <c:lvl>
                  <c:pt idx="0">
                    <c:v>Machines</c:v>
                  </c:pt>
                  <c:pt idx="1">
                    <c:v>Machines</c:v>
                  </c:pt>
                  <c:pt idx="2">
                    <c:v>Machines</c:v>
                  </c:pt>
                  <c:pt idx="3">
                    <c:v>Tables</c:v>
                  </c:pt>
                  <c:pt idx="4">
                    <c:v>Tables</c:v>
                  </c:pt>
                  <c:pt idx="5">
                    <c:v>Binders</c:v>
                  </c:pt>
                  <c:pt idx="6">
                    <c:v>Machines</c:v>
                  </c:pt>
                  <c:pt idx="7">
                    <c:v>Supplies</c:v>
                  </c:pt>
                  <c:pt idx="8">
                    <c:v>Tables</c:v>
                  </c:pt>
                  <c:pt idx="9">
                    <c:v>Tables</c:v>
                  </c:pt>
                </c:lvl>
                <c:lvl>
                  <c:pt idx="0">
                    <c:v>Cubify CubeX 3D Printer Double Head Print</c:v>
                  </c:pt>
                  <c:pt idx="1">
                    <c:v>Lexmark MX611dhe Monochrome Laser Printer</c:v>
                  </c:pt>
                  <c:pt idx="2">
                    <c:v>Cubify CubeX 3D Printer Triple Head Print</c:v>
                  </c:pt>
                  <c:pt idx="3">
                    <c:v>Chromcraft Bull-Nose Wood Oval Conference Tables &amp; Bases</c:v>
                  </c:pt>
                  <c:pt idx="4">
                    <c:v>Bush Advantage Collection Racetrack Conference Table</c:v>
                  </c:pt>
                  <c:pt idx="5">
                    <c:v>GBC DocuBind P400 Electric Binding System</c:v>
                  </c:pt>
                  <c:pt idx="6">
                    <c:v>Cisco TelePresence System EX90 Videoconferencing Unit</c:v>
                  </c:pt>
                  <c:pt idx="7">
                    <c:v>Martin Yale Chadless Opener Electric Letter Opener</c:v>
                  </c:pt>
                  <c:pt idx="8">
                    <c:v>Balt Solid Wood Round Tables</c:v>
                  </c:pt>
                  <c:pt idx="9">
                    <c:v>BoxOffice By Design Rectangular and Half-Moon Meeting Room Tables</c:v>
                  </c:pt>
                </c:lvl>
              </c:multiLvlStrCache>
            </c:multiLvlStrRef>
          </c:cat>
          <c:val>
            <c:numRef>
              <c:f>'Dashboard - Product Analysis'!$Z$25:$Z$45</c:f>
              <c:numCache>
                <c:formatCode>0</c:formatCode>
                <c:ptCount val="10"/>
                <c:pt idx="0">
                  <c:v>-8879.9704000000002</c:v>
                </c:pt>
                <c:pt idx="1">
                  <c:v>-4589.973</c:v>
                </c:pt>
                <c:pt idx="2">
                  <c:v>-3839.9904000000001</c:v>
                </c:pt>
                <c:pt idx="3">
                  <c:v>-2876.1156000000001</c:v>
                </c:pt>
                <c:pt idx="4">
                  <c:v>-1934.3975999999998</c:v>
                </c:pt>
                <c:pt idx="5">
                  <c:v>-1878.1662000000003</c:v>
                </c:pt>
                <c:pt idx="6">
                  <c:v>-1811.0784000000001</c:v>
                </c:pt>
                <c:pt idx="7">
                  <c:v>-1299.1836000000001</c:v>
                </c:pt>
                <c:pt idx="8">
                  <c:v>-1201.0581</c:v>
                </c:pt>
                <c:pt idx="9">
                  <c:v>-1148.4375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E-4C52-8539-E5C945C3C1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75165839"/>
        <c:axId val="1775166319"/>
      </c:barChart>
      <c:catAx>
        <c:axId val="177516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66319"/>
        <c:crosses val="autoZero"/>
        <c:auto val="1"/>
        <c:lblAlgn val="ctr"/>
        <c:lblOffset val="100"/>
        <c:noMultiLvlLbl val="0"/>
      </c:catAx>
      <c:valAx>
        <c:axId val="177516631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7516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Regional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Sales &amp; Profit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Regional Analysis'!$V$1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Regional Analysis'!$U$2:$U$6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 - Regional Analysis'!$V$2:$V$6</c:f>
              <c:numCache>
                <c:formatCode>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0-4111-9919-66A61A685079}"/>
            </c:ext>
          </c:extLst>
        </c:ser>
        <c:ser>
          <c:idx val="1"/>
          <c:order val="1"/>
          <c:tx>
            <c:strRef>
              <c:f>'Dashboard - Regional Analysis'!$W$1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Regional Analysis'!$U$2:$U$6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 - Regional Analysis'!$W$2:$W$6</c:f>
              <c:numCache>
                <c:formatCode>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0-4111-9919-66A61A6850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93595936"/>
        <c:axId val="1793593536"/>
      </c:barChart>
      <c:catAx>
        <c:axId val="179359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93536"/>
        <c:crosses val="autoZero"/>
        <c:auto val="1"/>
        <c:lblAlgn val="ctr"/>
        <c:lblOffset val="100"/>
        <c:noMultiLvlLbl val="0"/>
      </c:catAx>
      <c:valAx>
        <c:axId val="179359353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9359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Regional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Top 10 Profit by State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Regional Analysis'!$Z$1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- Regional Analysis'!$Y$2:$Y$22</c:f>
              <c:multiLvlStrCache>
                <c:ptCount val="10"/>
                <c:lvl>
                  <c:pt idx="0">
                    <c:v>West</c:v>
                  </c:pt>
                  <c:pt idx="1">
                    <c:v>East</c:v>
                  </c:pt>
                  <c:pt idx="2">
                    <c:v>West</c:v>
                  </c:pt>
                  <c:pt idx="3">
                    <c:v>Central</c:v>
                  </c:pt>
                  <c:pt idx="4">
                    <c:v>South</c:v>
                  </c:pt>
                  <c:pt idx="5">
                    <c:v>Central</c:v>
                  </c:pt>
                  <c:pt idx="6">
                    <c:v>South</c:v>
                  </c:pt>
                  <c:pt idx="7">
                    <c:v>South</c:v>
                  </c:pt>
                  <c:pt idx="8">
                    <c:v>Central</c:v>
                  </c:pt>
                  <c:pt idx="9">
                    <c:v>East</c:v>
                  </c:pt>
                </c:lvl>
                <c:lvl>
                  <c:pt idx="0">
                    <c:v>California</c:v>
                  </c:pt>
                  <c:pt idx="1">
                    <c:v>New York</c:v>
                  </c:pt>
                  <c:pt idx="2">
                    <c:v>Washington</c:v>
                  </c:pt>
                  <c:pt idx="3">
                    <c:v>Michigan</c:v>
                  </c:pt>
                  <c:pt idx="4">
                    <c:v>Virginia</c:v>
                  </c:pt>
                  <c:pt idx="5">
                    <c:v>Indiana</c:v>
                  </c:pt>
                  <c:pt idx="6">
                    <c:v>Georgia</c:v>
                  </c:pt>
                  <c:pt idx="7">
                    <c:v>Kentucky</c:v>
                  </c:pt>
                  <c:pt idx="8">
                    <c:v>Minnesota</c:v>
                  </c:pt>
                  <c:pt idx="9">
                    <c:v>Delaware</c:v>
                  </c:pt>
                </c:lvl>
              </c:multiLvlStrCache>
            </c:multiLvlStrRef>
          </c:cat>
          <c:val>
            <c:numRef>
              <c:f>'Dashboard - Regional Analysis'!$Z$2:$Z$22</c:f>
              <c:numCache>
                <c:formatCode>0</c:formatCode>
                <c:ptCount val="10"/>
                <c:pt idx="0">
                  <c:v>76381.387100000167</c:v>
                </c:pt>
                <c:pt idx="1">
                  <c:v>74038.548600000053</c:v>
                </c:pt>
                <c:pt idx="2">
                  <c:v>33402.651699999995</c:v>
                </c:pt>
                <c:pt idx="3">
                  <c:v>24463.187599999994</c:v>
                </c:pt>
                <c:pt idx="4">
                  <c:v>18597.950400000002</c:v>
                </c:pt>
                <c:pt idx="5">
                  <c:v>18382.936300000005</c:v>
                </c:pt>
                <c:pt idx="6">
                  <c:v>16250.043300000003</c:v>
                </c:pt>
                <c:pt idx="7">
                  <c:v>11199.696600000005</c:v>
                </c:pt>
                <c:pt idx="8">
                  <c:v>10823.187400000001</c:v>
                </c:pt>
                <c:pt idx="9">
                  <c:v>9977.3748000000014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A0-4BD6-BE17-9BAA0B9EFF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93581536"/>
        <c:axId val="1793596896"/>
      </c:barChart>
      <c:catAx>
        <c:axId val="179358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96896"/>
        <c:crosses val="autoZero"/>
        <c:auto val="1"/>
        <c:lblAlgn val="ctr"/>
        <c:lblOffset val="100"/>
        <c:noMultiLvlLbl val="0"/>
      </c:catAx>
      <c:valAx>
        <c:axId val="179359689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9358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Regional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Profit Margin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Regional Analysis'!$V$8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Regional Analysis'!$U$9:$U$13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'Dashboard - Regional Analysis'!$V$9:$V$13</c:f>
              <c:numCache>
                <c:formatCode>0.00</c:formatCode>
                <c:ptCount val="4"/>
                <c:pt idx="0">
                  <c:v>7.9216285911775514E-2</c:v>
                </c:pt>
                <c:pt idx="1">
                  <c:v>0.11934341609004487</c:v>
                </c:pt>
                <c:pt idx="2">
                  <c:v>0.13483398568882154</c:v>
                </c:pt>
                <c:pt idx="3">
                  <c:v>0.14944831420727214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D-4C30-90AA-5310D0207C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65567728"/>
        <c:axId val="1865551408"/>
      </c:barChart>
      <c:catAx>
        <c:axId val="18655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51408"/>
        <c:crosses val="autoZero"/>
        <c:auto val="1"/>
        <c:lblAlgn val="ctr"/>
        <c:lblOffset val="100"/>
        <c:noMultiLvlLbl val="0"/>
      </c:catAx>
      <c:valAx>
        <c:axId val="186555140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6556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Regional 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Bottom 10 Profit by State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Regional Analysis'!$Z$24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'Dashboard - Regional Analysis'!$Y$25:$Y$45</c:f>
              <c:multiLvlStrCache>
                <c:ptCount val="10"/>
                <c:lvl>
                  <c:pt idx="0">
                    <c:v>Central</c:v>
                  </c:pt>
                  <c:pt idx="1">
                    <c:v>East</c:v>
                  </c:pt>
                  <c:pt idx="2">
                    <c:v>East</c:v>
                  </c:pt>
                  <c:pt idx="3">
                    <c:v>Central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South</c:v>
                  </c:pt>
                  <c:pt idx="9">
                    <c:v>West</c:v>
                  </c:pt>
                </c:lvl>
                <c:lvl>
                  <c:pt idx="0">
                    <c:v>Texas</c:v>
                  </c:pt>
                  <c:pt idx="1">
                    <c:v>Ohio</c:v>
                  </c:pt>
                  <c:pt idx="2">
                    <c:v>Pennsylvania</c:v>
                  </c:pt>
                  <c:pt idx="3">
                    <c:v>Illinois</c:v>
                  </c:pt>
                  <c:pt idx="4">
                    <c:v>North Carolina</c:v>
                  </c:pt>
                  <c:pt idx="5">
                    <c:v>Colorado</c:v>
                  </c:pt>
                  <c:pt idx="6">
                    <c:v>Tennessee</c:v>
                  </c:pt>
                  <c:pt idx="7">
                    <c:v>Arizona</c:v>
                  </c:pt>
                  <c:pt idx="8">
                    <c:v>Florida</c:v>
                  </c:pt>
                  <c:pt idx="9">
                    <c:v>Oregon</c:v>
                  </c:pt>
                </c:lvl>
              </c:multiLvlStrCache>
            </c:multiLvlStrRef>
          </c:cat>
          <c:val>
            <c:numRef>
              <c:f>'Dashboard - Regional Analysis'!$Z$25:$Z$45</c:f>
              <c:numCache>
                <c:formatCode>0</c:formatCode>
                <c:ptCount val="10"/>
                <c:pt idx="0">
                  <c:v>-25729.356299999999</c:v>
                </c:pt>
                <c:pt idx="1">
                  <c:v>-16971.376600000018</c:v>
                </c:pt>
                <c:pt idx="2">
                  <c:v>-15559.960300000013</c:v>
                </c:pt>
                <c:pt idx="3">
                  <c:v>-12607.886999999981</c:v>
                </c:pt>
                <c:pt idx="4">
                  <c:v>-7490.9122000000034</c:v>
                </c:pt>
                <c:pt idx="5">
                  <c:v>-6527.8579000000009</c:v>
                </c:pt>
                <c:pt idx="6">
                  <c:v>-5341.6935999999996</c:v>
                </c:pt>
                <c:pt idx="7">
                  <c:v>-3427.9245999999998</c:v>
                </c:pt>
                <c:pt idx="8">
                  <c:v>-3399.3017</c:v>
                </c:pt>
                <c:pt idx="9">
                  <c:v>-1190.4704999999992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7-4E25-B653-BE93BA91B7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16634736"/>
        <c:axId val="2016641456"/>
      </c:barChart>
      <c:catAx>
        <c:axId val="20166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41456"/>
        <c:crosses val="autoZero"/>
        <c:auto val="1"/>
        <c:lblAlgn val="ctr"/>
        <c:lblOffset val="100"/>
        <c:noMultiLvlLbl val="0"/>
      </c:catAx>
      <c:valAx>
        <c:axId val="201664145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1663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Discount vs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'Dashboard - Regional Analysis'!$AA$47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'Dashboard - Regional Analysis'!$Z$48:$Z$96</c:f>
              <c:numCache>
                <c:formatCode>General</c:formatCode>
                <c:ptCount val="49"/>
                <c:pt idx="0">
                  <c:v>0</c:v>
                </c:pt>
                <c:pt idx="1">
                  <c:v>0.30357142857142971</c:v>
                </c:pt>
                <c:pt idx="2">
                  <c:v>0</c:v>
                </c:pt>
                <c:pt idx="3">
                  <c:v>7.2763618190904739E-2</c:v>
                </c:pt>
                <c:pt idx="4">
                  <c:v>0.31648351648351752</c:v>
                </c:pt>
                <c:pt idx="5">
                  <c:v>7.3170731707317069E-3</c:v>
                </c:pt>
                <c:pt idx="6">
                  <c:v>6.2499999999999995E-3</c:v>
                </c:pt>
                <c:pt idx="7">
                  <c:v>0</c:v>
                </c:pt>
                <c:pt idx="8">
                  <c:v>0.29934725848564164</c:v>
                </c:pt>
                <c:pt idx="9">
                  <c:v>0</c:v>
                </c:pt>
                <c:pt idx="10">
                  <c:v>8.5714285714285701E-2</c:v>
                </c:pt>
                <c:pt idx="11">
                  <c:v>0.39004065040650299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5.7142857142857143E-3</c:v>
                </c:pt>
                <c:pt idx="19">
                  <c:v>1.5555555555555557E-2</c:v>
                </c:pt>
                <c:pt idx="20">
                  <c:v>7.0588235294117667E-3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6.6666666666666666E-2</c:v>
                </c:pt>
                <c:pt idx="25">
                  <c:v>0</c:v>
                </c:pt>
                <c:pt idx="26">
                  <c:v>6.1538461538461535E-2</c:v>
                </c:pt>
                <c:pt idx="27">
                  <c:v>1.1111111111111112E-2</c:v>
                </c:pt>
                <c:pt idx="28">
                  <c:v>4.6153846153846149E-3</c:v>
                </c:pt>
                <c:pt idx="29">
                  <c:v>5.9459459459459449E-2</c:v>
                </c:pt>
                <c:pt idx="30">
                  <c:v>5.5319148936170487E-2</c:v>
                </c:pt>
                <c:pt idx="31">
                  <c:v>0.28353413654618592</c:v>
                </c:pt>
                <c:pt idx="32">
                  <c:v>0</c:v>
                </c:pt>
                <c:pt idx="33">
                  <c:v>0.32494669509594903</c:v>
                </c:pt>
                <c:pt idx="34">
                  <c:v>0</c:v>
                </c:pt>
                <c:pt idx="35">
                  <c:v>0.28870967741935472</c:v>
                </c:pt>
                <c:pt idx="36">
                  <c:v>0.32862010221464999</c:v>
                </c:pt>
                <c:pt idx="37">
                  <c:v>2.1428571428571429E-2</c:v>
                </c:pt>
                <c:pt idx="38">
                  <c:v>0</c:v>
                </c:pt>
                <c:pt idx="39">
                  <c:v>0</c:v>
                </c:pt>
                <c:pt idx="40">
                  <c:v>0.29125683060109359</c:v>
                </c:pt>
                <c:pt idx="41">
                  <c:v>0.37019289340101386</c:v>
                </c:pt>
                <c:pt idx="42">
                  <c:v>6.0377358490566052E-2</c:v>
                </c:pt>
                <c:pt idx="43">
                  <c:v>0</c:v>
                </c:pt>
                <c:pt idx="44">
                  <c:v>0</c:v>
                </c:pt>
                <c:pt idx="45">
                  <c:v>6.4031620553359522E-2</c:v>
                </c:pt>
                <c:pt idx="46">
                  <c:v>7.4999999999999997E-2</c:v>
                </c:pt>
                <c:pt idx="47">
                  <c:v>0</c:v>
                </c:pt>
                <c:pt idx="48">
                  <c:v>0.2</c:v>
                </c:pt>
              </c:numCache>
            </c:numRef>
          </c:xVal>
          <c:yVal>
            <c:numRef>
              <c:f>'Dashboard - Regional Analysis'!$AA$48:$AA$96</c:f>
              <c:numCache>
                <c:formatCode>General</c:formatCode>
                <c:ptCount val="49"/>
                <c:pt idx="0">
                  <c:v>5786.8252999999986</c:v>
                </c:pt>
                <c:pt idx="1">
                  <c:v>-3427.9245999999998</c:v>
                </c:pt>
                <c:pt idx="2">
                  <c:v>4008.6871000000001</c:v>
                </c:pt>
                <c:pt idx="3">
                  <c:v>76381.387100000167</c:v>
                </c:pt>
                <c:pt idx="4">
                  <c:v>-6527.8579000000009</c:v>
                </c:pt>
                <c:pt idx="5">
                  <c:v>3511.4918000000002</c:v>
                </c:pt>
                <c:pt idx="6">
                  <c:v>9977.3748000000014</c:v>
                </c:pt>
                <c:pt idx="7">
                  <c:v>1059.5892999999999</c:v>
                </c:pt>
                <c:pt idx="8">
                  <c:v>-3399.3017</c:v>
                </c:pt>
                <c:pt idx="9">
                  <c:v>16250.043300000003</c:v>
                </c:pt>
                <c:pt idx="10">
                  <c:v>826.72309999999993</c:v>
                </c:pt>
                <c:pt idx="11">
                  <c:v>-12607.886999999981</c:v>
                </c:pt>
                <c:pt idx="12">
                  <c:v>18382.936300000005</c:v>
                </c:pt>
                <c:pt idx="13">
                  <c:v>1183.8119000000002</c:v>
                </c:pt>
                <c:pt idx="14">
                  <c:v>836.44350000000009</c:v>
                </c:pt>
                <c:pt idx="15">
                  <c:v>11199.696600000005</c:v>
                </c:pt>
                <c:pt idx="16">
                  <c:v>2196.1023000000009</c:v>
                </c:pt>
                <c:pt idx="17">
                  <c:v>454.4862</c:v>
                </c:pt>
                <c:pt idx="18">
                  <c:v>7031.178799999997</c:v>
                </c:pt>
                <c:pt idx="19">
                  <c:v>6785.5016000000051</c:v>
                </c:pt>
                <c:pt idx="20">
                  <c:v>24463.187599999994</c:v>
                </c:pt>
                <c:pt idx="21">
                  <c:v>10823.187400000001</c:v>
                </c:pt>
                <c:pt idx="22">
                  <c:v>3172.9761999999982</c:v>
                </c:pt>
                <c:pt idx="23">
                  <c:v>6436.2104999999992</c:v>
                </c:pt>
                <c:pt idx="24">
                  <c:v>1833.3285000000001</c:v>
                </c:pt>
                <c:pt idx="25">
                  <c:v>2037.0942000000007</c:v>
                </c:pt>
                <c:pt idx="26">
                  <c:v>3316.7658999999999</c:v>
                </c:pt>
                <c:pt idx="27">
                  <c:v>1706.5028</c:v>
                </c:pt>
                <c:pt idx="28">
                  <c:v>9772.9138000000003</c:v>
                </c:pt>
                <c:pt idx="29">
                  <c:v>1157.1161</c:v>
                </c:pt>
                <c:pt idx="30">
                  <c:v>74038.548600000053</c:v>
                </c:pt>
                <c:pt idx="31">
                  <c:v>-7490.9122000000034</c:v>
                </c:pt>
                <c:pt idx="32">
                  <c:v>230.14969999999997</c:v>
                </c:pt>
                <c:pt idx="33">
                  <c:v>-16971.376600000018</c:v>
                </c:pt>
                <c:pt idx="34">
                  <c:v>4853.9560000000001</c:v>
                </c:pt>
                <c:pt idx="35">
                  <c:v>-1190.4704999999992</c:v>
                </c:pt>
                <c:pt idx="36">
                  <c:v>-15559.960300000013</c:v>
                </c:pt>
                <c:pt idx="37">
                  <c:v>7285.6293000000014</c:v>
                </c:pt>
                <c:pt idx="38">
                  <c:v>1769.0566000000003</c:v>
                </c:pt>
                <c:pt idx="39">
                  <c:v>394.82830000000001</c:v>
                </c:pt>
                <c:pt idx="40">
                  <c:v>-5341.6935999999996</c:v>
                </c:pt>
                <c:pt idx="41">
                  <c:v>-25729.356299999999</c:v>
                </c:pt>
                <c:pt idx="42">
                  <c:v>2546.5335000000005</c:v>
                </c:pt>
                <c:pt idx="43">
                  <c:v>2244.9783000000002</c:v>
                </c:pt>
                <c:pt idx="44">
                  <c:v>18597.950400000002</c:v>
                </c:pt>
                <c:pt idx="45">
                  <c:v>33402.651699999995</c:v>
                </c:pt>
                <c:pt idx="46">
                  <c:v>185.92160000000001</c:v>
                </c:pt>
                <c:pt idx="47">
                  <c:v>8401.8003999999983</c:v>
                </c:pt>
                <c:pt idx="48">
                  <c:v>100.196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6-4809-AEF3-BC1B8C39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598256"/>
        <c:axId val="2016611696"/>
      </c:scatterChart>
      <c:valAx>
        <c:axId val="201659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11696"/>
        <c:crosses val="autoZero"/>
        <c:crossBetween val="midCat"/>
      </c:valAx>
      <c:valAx>
        <c:axId val="20166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9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Customer 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Top 10 Customer by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Customer Analysis'!$T$1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Customer Analysis'!$S$2:$S$12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'Dashboard - Customer Analysis'!$T$2:$T$12</c:f>
              <c:numCache>
                <c:formatCode>0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C-44E8-ABAA-A4AD8D5096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16610256"/>
        <c:axId val="2016605936"/>
      </c:barChart>
      <c:catAx>
        <c:axId val="20166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05936"/>
        <c:crosses val="autoZero"/>
        <c:auto val="1"/>
        <c:lblAlgn val="ctr"/>
        <c:lblOffset val="100"/>
        <c:noMultiLvlLbl val="0"/>
      </c:catAx>
      <c:valAx>
        <c:axId val="201660593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166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Customer 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Top 10 Customer by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Customer Analysis'!$W$1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Customer Analysis'!$V$2:$V$12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'Dashboard - Customer Analysis'!$W$2:$W$12</c:f>
              <c:numCache>
                <c:formatCode>0</c:formatCode>
                <c:ptCount val="10"/>
                <c:pt idx="0">
                  <c:v>8981.3239000000012</c:v>
                </c:pt>
                <c:pt idx="1">
                  <c:v>6976.0959000000003</c:v>
                </c:pt>
                <c:pt idx="2">
                  <c:v>5757.4118999999992</c:v>
                </c:pt>
                <c:pt idx="3">
                  <c:v>5622.4292000000005</c:v>
                </c:pt>
                <c:pt idx="4">
                  <c:v>5444.8055000000004</c:v>
                </c:pt>
                <c:pt idx="5">
                  <c:v>4703.7882999999993</c:v>
                </c:pt>
                <c:pt idx="6">
                  <c:v>3899.8903999999998</c:v>
                </c:pt>
                <c:pt idx="7">
                  <c:v>3038.6253999999999</c:v>
                </c:pt>
                <c:pt idx="8">
                  <c:v>2884.6207999999997</c:v>
                </c:pt>
                <c:pt idx="9">
                  <c:v>2869.0760000000005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4F96-BD54-FCA2145284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16649136"/>
        <c:axId val="2016649616"/>
      </c:barChart>
      <c:catAx>
        <c:axId val="201664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49616"/>
        <c:crosses val="autoZero"/>
        <c:auto val="1"/>
        <c:lblAlgn val="ctr"/>
        <c:lblOffset val="100"/>
        <c:noMultiLvlLbl val="0"/>
      </c:catAx>
      <c:valAx>
        <c:axId val="20166496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1664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[dashboard.xlsx]Dashboard - Customer 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</a:t>
            </a:r>
            <a:r>
              <a:rPr lang="vi-VN" sz="1400" b="1" i="0" u="none" strike="noStrike" baseline="0"/>
              <a:t>&amp;</a:t>
            </a:r>
            <a:r>
              <a:rPr lang="en-US" sz="1400" b="1" i="0" u="none" strike="noStrike" baseline="0"/>
              <a:t> Profit Comparison for Top 10 Customers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- Customer Analysis'!$Z$1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- Customer Analysis'!$Y$2:$Y$12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'Dashboard - Customer Analysis'!$Z$2:$Z$12</c:f>
              <c:numCache>
                <c:formatCode>0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4548-AF62-AD27D745911E}"/>
            </c:ext>
          </c:extLst>
        </c:ser>
        <c:ser>
          <c:idx val="1"/>
          <c:order val="1"/>
          <c:tx>
            <c:strRef>
              <c:f>'Dashboard - Customer Analysis'!$AA$1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- Customer Analysis'!$Y$2:$Y$12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'Dashboard - Customer Analysis'!$AA$2:$AA$12</c:f>
              <c:numCache>
                <c:formatCode>0</c:formatCode>
                <c:ptCount val="10"/>
                <c:pt idx="0">
                  <c:v>-1980.7392999999997</c:v>
                </c:pt>
                <c:pt idx="1">
                  <c:v>8981.3239000000012</c:v>
                </c:pt>
                <c:pt idx="2">
                  <c:v>6976.0959000000003</c:v>
                </c:pt>
                <c:pt idx="3">
                  <c:v>4703.7882999999993</c:v>
                </c:pt>
                <c:pt idx="4">
                  <c:v>5444.8055000000004</c:v>
                </c:pt>
                <c:pt idx="5">
                  <c:v>806.85500000000002</c:v>
                </c:pt>
                <c:pt idx="6">
                  <c:v>5757.4118999999992</c:v>
                </c:pt>
                <c:pt idx="7">
                  <c:v>5622.4292000000005</c:v>
                </c:pt>
                <c:pt idx="8">
                  <c:v>2650.6768999999995</c:v>
                </c:pt>
                <c:pt idx="9">
                  <c:v>2177.0493000000001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7-4548-AF62-AD27D7459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596816"/>
        <c:axId val="2016613616"/>
      </c:barChart>
      <c:catAx>
        <c:axId val="201659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13616"/>
        <c:crosses val="autoZero"/>
        <c:auto val="1"/>
        <c:lblAlgn val="ctr"/>
        <c:lblOffset val="100"/>
        <c:noMultiLvlLbl val="0"/>
      </c:catAx>
      <c:valAx>
        <c:axId val="201661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96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vi-VN" b="1"/>
              <a:t> Scenario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- Scenario &amp; Recommen'!$V$1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Scenario &amp; Recommen'!$U$2:$U$4</c:f>
              <c:strCache>
                <c:ptCount val="3"/>
                <c:pt idx="0">
                  <c:v>If Sales increase 10%</c:v>
                </c:pt>
                <c:pt idx="1">
                  <c:v>If Discount decrease 10%</c:v>
                </c:pt>
                <c:pt idx="2">
                  <c:v>If Discount max in 30%</c:v>
                </c:pt>
              </c:strCache>
            </c:strRef>
          </c:cat>
          <c:val>
            <c:numRef>
              <c:f>'Dashboard - Scenario &amp; Recommen'!$V$2:$V$4</c:f>
              <c:numCache>
                <c:formatCode>0</c:formatCode>
                <c:ptCount val="3"/>
                <c:pt idx="0">
                  <c:v>315036.72386999987</c:v>
                </c:pt>
                <c:pt idx="1">
                  <c:v>399420.17909016984</c:v>
                </c:pt>
                <c:pt idx="2">
                  <c:v>463793.30666132865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A-4586-9DD2-1F1BCE3F18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30969424"/>
        <c:axId val="930970864"/>
      </c:barChart>
      <c:catAx>
        <c:axId val="93096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70864"/>
        <c:crosses val="autoZero"/>
        <c:auto val="1"/>
        <c:lblAlgn val="ctr"/>
        <c:lblOffset val="100"/>
        <c:noMultiLvlLbl val="0"/>
      </c:catAx>
      <c:valAx>
        <c:axId val="93097086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93096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</a:t>
            </a:r>
            <a:r>
              <a:rPr lang="vi-VN" b="1"/>
              <a:t>Impro</a:t>
            </a:r>
            <a:r>
              <a:rPr lang="en-US" b="1"/>
              <a:t>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- Scenario &amp; Recommen'!$V$6</c:f>
              <c:strCache>
                <c:ptCount val="1"/>
                <c:pt idx="0">
                  <c:v>Profit Improve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 Scenario &amp; Recommen'!$U$7:$U$9</c:f>
              <c:strCache>
                <c:ptCount val="3"/>
                <c:pt idx="0">
                  <c:v>If Sales increase 10%</c:v>
                </c:pt>
                <c:pt idx="1">
                  <c:v>If Discount decrease 10%</c:v>
                </c:pt>
                <c:pt idx="2">
                  <c:v>If Discount max in 30%</c:v>
                </c:pt>
              </c:strCache>
            </c:strRef>
          </c:cat>
          <c:val>
            <c:numRef>
              <c:f>'Dashboard - Scenario &amp; Recommen'!$V$7:$V$9</c:f>
              <c:numCache>
                <c:formatCode>0</c:formatCode>
                <c:ptCount val="3"/>
                <c:pt idx="0">
                  <c:v>28639.7021700021</c:v>
                </c:pt>
                <c:pt idx="1">
                  <c:v>113023.15739017207</c:v>
                </c:pt>
                <c:pt idx="2">
                  <c:v>177396.28496133088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E-4673-9B7F-7D70DA9BE1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46545424"/>
        <c:axId val="946545904"/>
      </c:barChart>
      <c:catAx>
        <c:axId val="94654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45904"/>
        <c:crosses val="autoZero"/>
        <c:auto val="1"/>
        <c:lblAlgn val="ctr"/>
        <c:lblOffset val="100"/>
        <c:noMultiLvlLbl val="0"/>
      </c:catAx>
      <c:valAx>
        <c:axId val="94654590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94654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US" b="1"/>
              <a:t>Pareto Analysis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65D32C1-4F19-4421-8F4B-38A88E7F7BF4}" formatIdx="0">
          <cx:tx>
            <cx:txData>
              <cx:f>_xlchart.v1.0</cx:f>
              <cx:v>Cumulative %</cx:v>
            </cx:txData>
          </cx:tx>
          <cx:dataLabels pos="outEnd"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14ECCBBE-675F-4057-B107-9270670BDE68}" formatIdx="1">
          <cx:axisId val="2"/>
        </cx:series>
        <cx:series layoutId="clusteredColumn" hidden="1" uniqueId="{F713DBDB-3625-44FE-9E2A-85142E73FB3B}" formatIdx="2">
          <cx:tx>
            <cx:txData>
              <cx:f>_xlchart.v1.2</cx:f>
              <cx:v>Sum of Sales</cx:v>
            </cx:txData>
          </cx:tx>
          <cx:dataLabels pos="outEnd">
            <cx:visibility seriesName="0" categoryName="0" value="1"/>
          </cx:dataLabels>
          <cx:dataId val="1"/>
          <cx:layoutPr>
            <cx:binning intervalClosed="r"/>
          </cx:layoutPr>
          <cx:axisId val="1"/>
        </cx:series>
        <cx:series layoutId="paretoLine" ownerIdx="2" uniqueId="{1EE53A84-45BD-4B29-AFF7-AF535FB3BBDC}" formatIdx="3">
          <cx:axisId val="2"/>
        </cx:series>
      </cx:plotAreaRegion>
      <cx:axis id="0">
        <cx:catScaling gapWidth="0"/>
        <cx:majorTickMarks type="out"/>
        <cx:tickLabels/>
      </cx:axis>
      <cx:axis id="1">
        <cx:valScaling/>
        <cx:majorTickMarks type="out"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6</xdr:row>
      <xdr:rowOff>6350</xdr:rowOff>
    </xdr:from>
    <xdr:to>
      <xdr:col>7</xdr:col>
      <xdr:colOff>317500</xdr:colOff>
      <xdr:row>20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E365CD-9410-4E4E-FC8B-A94AC8306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311150</xdr:colOff>
      <xdr:row>6</xdr:row>
      <xdr:rowOff>6350</xdr:rowOff>
    </xdr:from>
    <xdr:to>
      <xdr:col>15</xdr:col>
      <xdr:colOff>6350</xdr:colOff>
      <xdr:row>20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402B79-1F5C-C26B-5055-9F66AC7AB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22</xdr:row>
      <xdr:rowOff>8466</xdr:rowOff>
    </xdr:from>
    <xdr:to>
      <xdr:col>15</xdr:col>
      <xdr:colOff>0</xdr:colOff>
      <xdr:row>37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72350D-1C55-C47E-1CF6-38E23CC7B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14111</xdr:colOff>
      <xdr:row>22</xdr:row>
      <xdr:rowOff>4233</xdr:rowOff>
    </xdr:from>
    <xdr:to>
      <xdr:col>7</xdr:col>
      <xdr:colOff>303389</xdr:colOff>
      <xdr:row>36</xdr:row>
      <xdr:rowOff>179211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E9027-8304-D53F-BD94-CA0402CB0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</xdr:row>
      <xdr:rowOff>6350</xdr:rowOff>
    </xdr:from>
    <xdr:to>
      <xdr:col>5</xdr:col>
      <xdr:colOff>596900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4FC63-4FB5-ECEC-FEC9-9A7B6EC45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603250</xdr:colOff>
      <xdr:row>2</xdr:row>
      <xdr:rowOff>6350</xdr:rowOff>
    </xdr:from>
    <xdr:to>
      <xdr:col>15</xdr:col>
      <xdr:colOff>0</xdr:colOff>
      <xdr:row>21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063446-435B-A4EE-E0E6-3EA0A4F19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22</xdr:row>
      <xdr:rowOff>12701</xdr:rowOff>
    </xdr:from>
    <xdr:to>
      <xdr:col>15</xdr:col>
      <xdr:colOff>0</xdr:colOff>
      <xdr:row>36</xdr:row>
      <xdr:rowOff>12701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63AF3-4D27-74CB-3FEB-94F74FEDD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12701</xdr:colOff>
      <xdr:row>37</xdr:row>
      <xdr:rowOff>12703</xdr:rowOff>
    </xdr:from>
    <xdr:to>
      <xdr:col>15</xdr:col>
      <xdr:colOff>1</xdr:colOff>
      <xdr:row>53</xdr:row>
      <xdr:rowOff>6353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FB2749-38E8-0542-64E1-44F7E6434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</xdr:row>
      <xdr:rowOff>19050</xdr:rowOff>
    </xdr:from>
    <xdr:to>
      <xdr:col>7</xdr:col>
      <xdr:colOff>311150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7BB37-8708-3006-3084-C1D4CB83F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14</xdr:row>
      <xdr:rowOff>6349</xdr:rowOff>
    </xdr:from>
    <xdr:to>
      <xdr:col>15</xdr:col>
      <xdr:colOff>0</xdr:colOff>
      <xdr:row>23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93020-58B5-3A0C-2568-E857474DB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311150</xdr:colOff>
      <xdr:row>2</xdr:row>
      <xdr:rowOff>12700</xdr:rowOff>
    </xdr:from>
    <xdr:to>
      <xdr:col>15</xdr:col>
      <xdr:colOff>6350</xdr:colOff>
      <xdr:row>13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25299-430D-FB6B-4F6C-A179310B0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</xdr:colOff>
      <xdr:row>25</xdr:row>
      <xdr:rowOff>7940</xdr:rowOff>
    </xdr:from>
    <xdr:to>
      <xdr:col>14</xdr:col>
      <xdr:colOff>603250</xdr:colOff>
      <xdr:row>35</xdr:row>
      <xdr:rowOff>15874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935338-975D-6D4D-7ACD-6A355C260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17462</xdr:colOff>
      <xdr:row>36</xdr:row>
      <xdr:rowOff>11122</xdr:rowOff>
    </xdr:from>
    <xdr:to>
      <xdr:col>15</xdr:col>
      <xdr:colOff>-1</xdr:colOff>
      <xdr:row>46</xdr:row>
      <xdr:rowOff>7938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1EE438-A601-CCA5-1DDC-CEFAD9614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7</xdr:col>
      <xdr:colOff>317500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68867-9063-67D0-DB34-CDE59C99E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2</xdr:row>
      <xdr:rowOff>12700</xdr:rowOff>
    </xdr:from>
    <xdr:to>
      <xdr:col>15</xdr:col>
      <xdr:colOff>9525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AC368-2193-051C-A73F-2F363DC6E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14111</xdr:colOff>
      <xdr:row>18</xdr:row>
      <xdr:rowOff>5646</xdr:rowOff>
    </xdr:from>
    <xdr:to>
      <xdr:col>7</xdr:col>
      <xdr:colOff>314324</xdr:colOff>
      <xdr:row>32</xdr:row>
      <xdr:rowOff>170746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D3F7B6-3B4F-4018-7727-AB851A84C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311150</xdr:colOff>
      <xdr:row>18</xdr:row>
      <xdr:rowOff>6352</xdr:rowOff>
    </xdr:from>
    <xdr:to>
      <xdr:col>15</xdr:col>
      <xdr:colOff>6350</xdr:colOff>
      <xdr:row>32</xdr:row>
      <xdr:rowOff>171452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8F01EB0-58A0-4A1A-AA62-5ED4A5CFD5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8350" y="332105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16</xdr:col>
      <xdr:colOff>127000</xdr:colOff>
      <xdr:row>15</xdr:row>
      <xdr:rowOff>6350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3D282FC-2DBB-1178-9BE6-DA8CF558C9E6}"/>
            </a:ext>
          </a:extLst>
        </xdr:cNvPr>
        <xdr:cNvSpPr txBox="1"/>
      </xdr:nvSpPr>
      <xdr:spPr>
        <a:xfrm>
          <a:off x="9880600" y="276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7</xdr:row>
      <xdr:rowOff>3175</xdr:rowOff>
    </xdr:from>
    <xdr:to>
      <xdr:col>14</xdr:col>
      <xdr:colOff>609599</xdr:colOff>
      <xdr:row>18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535E6-8420-F739-D749-DF3467892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7056</xdr:colOff>
      <xdr:row>18</xdr:row>
      <xdr:rowOff>180976</xdr:rowOff>
    </xdr:from>
    <xdr:to>
      <xdr:col>15</xdr:col>
      <xdr:colOff>353</xdr:colOff>
      <xdr:row>30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AB9320-ED1E-94F3-60E0-DBBB54EF4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book" refreshedDate="46186.989362962966" createdVersion="8" refreshedVersion="8" minRefreshableVersion="3" recordCount="9994" xr:uid="{3005D5FC-D23F-4963-BEC2-BEEE86AE9110}">
  <cacheSource type="worksheet">
    <worksheetSource name="Data_Cleaned"/>
  </cacheSource>
  <cacheFields count="3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Quater" numFmtId="0">
      <sharedItems/>
    </cacheField>
    <cacheField name="Order Month" numFmtId="0">
      <sharedItems count="48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Sales Segment" numFmtId="0">
      <sharedItems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Discount Segment" numFmtId="0">
      <sharedItems count="4">
        <s v="No Discount"/>
        <s v="20%+"/>
        <s v="10-20%"/>
        <s v="0-10%"/>
      </sharedItems>
    </cacheField>
    <cacheField name="Discount Bucket" numFmtId="0">
      <sharedItems containsSemiMixedTypes="0" containsString="0" containsNumber="1" containsInteger="1" minValue="0" maxValue="80" count="9">
        <n v="0"/>
        <n v="50"/>
        <n v="20"/>
        <n v="80"/>
        <n v="30"/>
        <n v="70"/>
        <n v="60"/>
        <n v="40"/>
        <n v="10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Margin" numFmtId="2">
      <sharedItems containsSemiMixedTypes="0" containsString="0" containsNumber="1" minValue="-2.75" maxValue="0.5"/>
    </cacheField>
    <cacheField name="Loss Transaction" numFmtId="1">
      <sharedItems containsSemiMixedTypes="0" containsString="0" containsNumber="1" containsInteger="1" minValue="0" maxValue="1"/>
    </cacheField>
    <cacheField name="Field1" numFmtId="0" formula="Profit/Sales" databaseField="0"/>
    <cacheField name="Profit Margin 1" numFmtId="0" formula="Profit/Sales" databaseField="0"/>
    <cacheField name="Profit Margin 0" numFmtId="0" formula="Profit/Sales" databaseField="0"/>
    <cacheField name="Running Sales" numFmtId="0" formula="Sales/ SUM(Sales)" databaseField="0"/>
    <cacheField name="Profit Margin 2" numFmtId="0" formula="Profit/Sales" databaseField="0"/>
    <cacheField name="Profit Margin 3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s v="Q4"/>
    <x v="0"/>
    <d v="2016-11-11T00:00:00"/>
    <s v="Second Class"/>
    <x v="0"/>
    <x v="0"/>
    <s v="Consumer"/>
    <s v="United States"/>
    <s v="Henderson"/>
    <x v="0"/>
    <n v="42420"/>
    <x v="0"/>
    <x v="0"/>
    <x v="0"/>
    <x v="0"/>
    <x v="0"/>
    <n v="261.95999999999998"/>
    <s v="High"/>
    <n v="2"/>
    <n v="0"/>
    <x v="0"/>
    <x v="0"/>
    <n v="41.913600000000002"/>
    <n v="0.16000000000000003"/>
    <n v="0"/>
  </r>
  <r>
    <n v="2"/>
    <s v="CA-2016-152156"/>
    <d v="2016-11-08T00:00:00"/>
    <x v="0"/>
    <s v="Q4"/>
    <x v="0"/>
    <d v="2016-11-11T00:00:00"/>
    <s v="Second Class"/>
    <x v="0"/>
    <x v="0"/>
    <s v="Consumer"/>
    <s v="United States"/>
    <s v="Henderson"/>
    <x v="0"/>
    <n v="42420"/>
    <x v="0"/>
    <x v="1"/>
    <x v="0"/>
    <x v="1"/>
    <x v="1"/>
    <n v="731.94"/>
    <s v="High"/>
    <n v="3"/>
    <n v="0"/>
    <x v="0"/>
    <x v="0"/>
    <n v="219.58199999999999"/>
    <n v="0.3"/>
    <n v="0"/>
  </r>
  <r>
    <n v="3"/>
    <s v="CA-2016-138688"/>
    <d v="2016-06-12T00:00:00"/>
    <x v="0"/>
    <s v="Q2"/>
    <x v="1"/>
    <d v="2016-06-16T00:00:00"/>
    <s v="Second Class"/>
    <x v="1"/>
    <x v="1"/>
    <s v="Corporate"/>
    <s v="United States"/>
    <s v="Los Angeles"/>
    <x v="1"/>
    <n v="90036"/>
    <x v="1"/>
    <x v="2"/>
    <x v="1"/>
    <x v="2"/>
    <x v="2"/>
    <n v="14.62"/>
    <s v="Low"/>
    <n v="2"/>
    <n v="0"/>
    <x v="0"/>
    <x v="0"/>
    <n v="6.8714000000000004"/>
    <n v="0.47000000000000003"/>
    <n v="0"/>
  </r>
  <r>
    <n v="4"/>
    <s v="US-2015-108966"/>
    <d v="2015-10-11T00:00:00"/>
    <x v="1"/>
    <s v="Q4"/>
    <x v="2"/>
    <d v="2015-10-18T00:00:00"/>
    <s v="Standard Class"/>
    <x v="2"/>
    <x v="2"/>
    <s v="Consumer"/>
    <s v="United States"/>
    <s v="Fort Lauderdale"/>
    <x v="2"/>
    <n v="33311"/>
    <x v="0"/>
    <x v="3"/>
    <x v="0"/>
    <x v="3"/>
    <x v="3"/>
    <n v="957.57749999999999"/>
    <s v="High"/>
    <n v="5"/>
    <n v="0.45"/>
    <x v="1"/>
    <x v="1"/>
    <n v="-383.03100000000001"/>
    <n v="-0.4"/>
    <n v="1"/>
  </r>
  <r>
    <n v="5"/>
    <s v="US-2015-108966"/>
    <d v="2015-10-11T00:00:00"/>
    <x v="1"/>
    <s v="Q4"/>
    <x v="2"/>
    <d v="2015-10-18T00:00:00"/>
    <s v="Standard Class"/>
    <x v="2"/>
    <x v="2"/>
    <s v="Consumer"/>
    <s v="United States"/>
    <s v="Fort Lauderdale"/>
    <x v="2"/>
    <n v="33311"/>
    <x v="0"/>
    <x v="4"/>
    <x v="1"/>
    <x v="4"/>
    <x v="4"/>
    <n v="22.367999999999999"/>
    <s v="Low"/>
    <n v="2"/>
    <n v="0.2"/>
    <x v="2"/>
    <x v="2"/>
    <n v="2.5164"/>
    <n v="0.1125"/>
    <n v="0"/>
  </r>
  <r>
    <n v="6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5"/>
    <x v="0"/>
    <x v="5"/>
    <x v="5"/>
    <n v="48.86"/>
    <s v="Medium"/>
    <n v="7"/>
    <n v="0"/>
    <x v="0"/>
    <x v="0"/>
    <n v="14.1694"/>
    <n v="0.28999999999999998"/>
    <n v="0"/>
  </r>
  <r>
    <n v="7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6"/>
    <x v="1"/>
    <x v="6"/>
    <x v="6"/>
    <n v="7.28"/>
    <s v="Low"/>
    <n v="4"/>
    <n v="0"/>
    <x v="0"/>
    <x v="0"/>
    <n v="1.9656"/>
    <n v="0.27"/>
    <n v="0"/>
  </r>
  <r>
    <n v="8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7"/>
    <x v="2"/>
    <x v="7"/>
    <x v="7"/>
    <n v="907.15200000000004"/>
    <s v="High"/>
    <n v="6"/>
    <n v="0.2"/>
    <x v="2"/>
    <x v="2"/>
    <n v="90.715199999999996"/>
    <n v="9.9999999999999992E-2"/>
    <n v="0"/>
  </r>
  <r>
    <n v="9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8"/>
    <x v="1"/>
    <x v="8"/>
    <x v="8"/>
    <n v="18.504000000000001"/>
    <s v="Low"/>
    <n v="3"/>
    <n v="0.2"/>
    <x v="2"/>
    <x v="2"/>
    <n v="5.7824999999999998"/>
    <n v="0.31249999999999994"/>
    <n v="0"/>
  </r>
  <r>
    <n v="10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9"/>
    <x v="1"/>
    <x v="9"/>
    <x v="9"/>
    <n v="114.9"/>
    <s v="Medium"/>
    <n v="5"/>
    <n v="0"/>
    <x v="0"/>
    <x v="0"/>
    <n v="34.47"/>
    <n v="0.3"/>
    <n v="0"/>
  </r>
  <r>
    <n v="11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10"/>
    <x v="0"/>
    <x v="3"/>
    <x v="10"/>
    <n v="1706.184"/>
    <s v="High"/>
    <n v="9"/>
    <n v="0.2"/>
    <x v="2"/>
    <x v="2"/>
    <n v="85.309200000000004"/>
    <n v="0.05"/>
    <n v="0"/>
  </r>
  <r>
    <n v="12"/>
    <s v="CA-2014-115812"/>
    <d v="2014-06-09T00:00:00"/>
    <x v="2"/>
    <s v="Q2"/>
    <x v="3"/>
    <d v="2014-06-14T00:00:00"/>
    <s v="Standard Class"/>
    <x v="3"/>
    <x v="3"/>
    <s v="Consumer"/>
    <s v="United States"/>
    <s v="Los Angeles"/>
    <x v="1"/>
    <n v="90032"/>
    <x v="1"/>
    <x v="11"/>
    <x v="2"/>
    <x v="7"/>
    <x v="11"/>
    <n v="911.42399999999998"/>
    <s v="High"/>
    <n v="4"/>
    <n v="0.2"/>
    <x v="2"/>
    <x v="2"/>
    <n v="68.356800000000007"/>
    <n v="7.5000000000000011E-2"/>
    <n v="0"/>
  </r>
  <r>
    <n v="13"/>
    <s v="CA-2017-114412"/>
    <d v="2017-04-15T00:00:00"/>
    <x v="3"/>
    <s v="Q2"/>
    <x v="4"/>
    <d v="2017-04-20T00:00:00"/>
    <s v="Standard Class"/>
    <x v="4"/>
    <x v="4"/>
    <s v="Consumer"/>
    <s v="United States"/>
    <s v="Concord"/>
    <x v="3"/>
    <n v="28027"/>
    <x v="0"/>
    <x v="12"/>
    <x v="1"/>
    <x v="10"/>
    <x v="12"/>
    <n v="15.552"/>
    <s v="Low"/>
    <n v="3"/>
    <n v="0.2"/>
    <x v="2"/>
    <x v="2"/>
    <n v="5.4432"/>
    <n v="0.35000000000000003"/>
    <n v="0"/>
  </r>
  <r>
    <n v="14"/>
    <s v="CA-2016-161389"/>
    <d v="2016-12-05T00:00:00"/>
    <x v="0"/>
    <s v="Q4"/>
    <x v="5"/>
    <d v="2016-12-10T00:00:00"/>
    <s v="Standard Class"/>
    <x v="5"/>
    <x v="5"/>
    <s v="Consumer"/>
    <s v="United States"/>
    <s v="Seattle"/>
    <x v="4"/>
    <n v="98103"/>
    <x v="1"/>
    <x v="13"/>
    <x v="1"/>
    <x v="8"/>
    <x v="13"/>
    <n v="407.976"/>
    <s v="High"/>
    <n v="3"/>
    <n v="0.2"/>
    <x v="2"/>
    <x v="2"/>
    <n v="132.59219999999999"/>
    <n v="0.32499999999999996"/>
    <n v="0"/>
  </r>
  <r>
    <n v="15"/>
    <s v="US-2015-118983"/>
    <d v="2015-11-22T00:00:00"/>
    <x v="1"/>
    <s v="Q4"/>
    <x v="6"/>
    <d v="2015-11-26T00:00:00"/>
    <s v="Standard Class"/>
    <x v="6"/>
    <x v="6"/>
    <s v="Home Office"/>
    <s v="United States"/>
    <s v="Fort Worth"/>
    <x v="5"/>
    <n v="76106"/>
    <x v="2"/>
    <x v="14"/>
    <x v="1"/>
    <x v="9"/>
    <x v="14"/>
    <n v="68.81"/>
    <s v="Medium"/>
    <n v="5"/>
    <n v="0.8"/>
    <x v="1"/>
    <x v="3"/>
    <n v="-123.858"/>
    <n v="-1.8"/>
    <n v="1"/>
  </r>
  <r>
    <n v="16"/>
    <s v="US-2015-118983"/>
    <d v="2015-11-22T00:00:00"/>
    <x v="1"/>
    <s v="Q4"/>
    <x v="6"/>
    <d v="2015-11-26T00:00:00"/>
    <s v="Standard Class"/>
    <x v="6"/>
    <x v="6"/>
    <s v="Home Office"/>
    <s v="United States"/>
    <s v="Fort Worth"/>
    <x v="5"/>
    <n v="76106"/>
    <x v="2"/>
    <x v="15"/>
    <x v="1"/>
    <x v="8"/>
    <x v="15"/>
    <n v="2.544"/>
    <s v="Low"/>
    <n v="3"/>
    <n v="0.8"/>
    <x v="1"/>
    <x v="3"/>
    <n v="-3.8159999999999998"/>
    <n v="-1.5"/>
    <n v="1"/>
  </r>
  <r>
    <n v="17"/>
    <s v="CA-2014-105893"/>
    <d v="2014-11-11T00:00:00"/>
    <x v="2"/>
    <s v="Q4"/>
    <x v="7"/>
    <d v="2014-11-18T00:00:00"/>
    <s v="Standard Class"/>
    <x v="7"/>
    <x v="7"/>
    <s v="Consumer"/>
    <s v="United States"/>
    <s v="Madison"/>
    <x v="6"/>
    <n v="53711"/>
    <x v="2"/>
    <x v="16"/>
    <x v="1"/>
    <x v="4"/>
    <x v="16"/>
    <n v="665.88"/>
    <s v="High"/>
    <n v="6"/>
    <n v="0"/>
    <x v="0"/>
    <x v="0"/>
    <n v="13.317600000000001"/>
    <n v="0.02"/>
    <n v="0"/>
  </r>
  <r>
    <n v="18"/>
    <s v="CA-2014-167164"/>
    <d v="2014-05-13T00:00:00"/>
    <x v="2"/>
    <s v="Q2"/>
    <x v="8"/>
    <d v="2014-05-15T00:00:00"/>
    <s v="Second Class"/>
    <x v="8"/>
    <x v="8"/>
    <s v="Consumer"/>
    <s v="United States"/>
    <s v="West Jordan"/>
    <x v="7"/>
    <n v="84084"/>
    <x v="1"/>
    <x v="17"/>
    <x v="1"/>
    <x v="4"/>
    <x v="17"/>
    <n v="55.5"/>
    <s v="Medium"/>
    <n v="2"/>
    <n v="0"/>
    <x v="0"/>
    <x v="0"/>
    <n v="9.99"/>
    <n v="0.18"/>
    <n v="0"/>
  </r>
  <r>
    <n v="19"/>
    <s v="CA-2014-143336"/>
    <d v="2014-08-27T00:00:00"/>
    <x v="2"/>
    <s v="Q3"/>
    <x v="9"/>
    <d v="2014-09-01T00:00:00"/>
    <s v="Second Class"/>
    <x v="9"/>
    <x v="9"/>
    <s v="Consumer"/>
    <s v="United States"/>
    <s v="San Francisco"/>
    <x v="1"/>
    <n v="94109"/>
    <x v="1"/>
    <x v="18"/>
    <x v="1"/>
    <x v="6"/>
    <x v="18"/>
    <n v="8.56"/>
    <s v="Low"/>
    <n v="2"/>
    <n v="0"/>
    <x v="0"/>
    <x v="0"/>
    <n v="2.4824000000000002"/>
    <n v="0.28999999999999998"/>
    <n v="0"/>
  </r>
  <r>
    <n v="20"/>
    <s v="CA-2014-143336"/>
    <d v="2014-08-27T00:00:00"/>
    <x v="2"/>
    <s v="Q3"/>
    <x v="9"/>
    <d v="2014-09-01T00:00:00"/>
    <s v="Second Class"/>
    <x v="9"/>
    <x v="9"/>
    <s v="Consumer"/>
    <s v="United States"/>
    <s v="San Francisco"/>
    <x v="1"/>
    <n v="94109"/>
    <x v="1"/>
    <x v="19"/>
    <x v="2"/>
    <x v="7"/>
    <x v="19"/>
    <n v="213.48"/>
    <s v="High"/>
    <n v="3"/>
    <n v="0.2"/>
    <x v="2"/>
    <x v="2"/>
    <n v="16.010999999999999"/>
    <n v="7.4999999999999997E-2"/>
    <n v="0"/>
  </r>
  <r>
    <n v="21"/>
    <s v="CA-2014-143336"/>
    <d v="2014-08-27T00:00:00"/>
    <x v="2"/>
    <s v="Q3"/>
    <x v="9"/>
    <d v="2014-09-01T00:00:00"/>
    <s v="Second Class"/>
    <x v="9"/>
    <x v="9"/>
    <s v="Consumer"/>
    <s v="United States"/>
    <s v="San Francisco"/>
    <x v="1"/>
    <n v="94109"/>
    <x v="1"/>
    <x v="20"/>
    <x v="1"/>
    <x v="8"/>
    <x v="20"/>
    <n v="22.72"/>
    <s v="Low"/>
    <n v="4"/>
    <n v="0.2"/>
    <x v="2"/>
    <x v="2"/>
    <n v="7.3840000000000003"/>
    <n v="0.32500000000000001"/>
    <n v="0"/>
  </r>
  <r>
    <n v="22"/>
    <s v="CA-2016-137330"/>
    <d v="2016-12-09T00:00:00"/>
    <x v="0"/>
    <s v="Q4"/>
    <x v="5"/>
    <d v="2016-12-13T00:00:00"/>
    <s v="Standard Class"/>
    <x v="10"/>
    <x v="10"/>
    <s v="Corporate"/>
    <s v="United States"/>
    <s v="Fremont"/>
    <x v="8"/>
    <n v="68025"/>
    <x v="2"/>
    <x v="21"/>
    <x v="1"/>
    <x v="6"/>
    <x v="21"/>
    <n v="19.46"/>
    <s v="Low"/>
    <n v="7"/>
    <n v="0"/>
    <x v="0"/>
    <x v="0"/>
    <n v="5.0595999999999997"/>
    <n v="0.25999999999999995"/>
    <n v="0"/>
  </r>
  <r>
    <n v="23"/>
    <s v="CA-2016-137330"/>
    <d v="2016-12-09T00:00:00"/>
    <x v="0"/>
    <s v="Q4"/>
    <x v="5"/>
    <d v="2016-12-13T00:00:00"/>
    <s v="Standard Class"/>
    <x v="10"/>
    <x v="10"/>
    <s v="Corporate"/>
    <s v="United States"/>
    <s v="Fremont"/>
    <x v="8"/>
    <n v="68025"/>
    <x v="2"/>
    <x v="22"/>
    <x v="1"/>
    <x v="9"/>
    <x v="22"/>
    <n v="60.34"/>
    <s v="Medium"/>
    <n v="7"/>
    <n v="0"/>
    <x v="0"/>
    <x v="0"/>
    <n v="15.6884"/>
    <n v="0.25999999999999995"/>
    <n v="0"/>
  </r>
  <r>
    <n v="24"/>
    <s v="US-2017-156909"/>
    <d v="2017-07-16T00:00:00"/>
    <x v="3"/>
    <s v="Q3"/>
    <x v="10"/>
    <d v="2017-07-18T00:00:00"/>
    <s v="Second Class"/>
    <x v="11"/>
    <x v="11"/>
    <s v="Consumer"/>
    <s v="United States"/>
    <s v="Philadelphia"/>
    <x v="9"/>
    <n v="19140"/>
    <x v="3"/>
    <x v="23"/>
    <x v="0"/>
    <x v="1"/>
    <x v="23"/>
    <n v="71.372"/>
    <s v="Medium"/>
    <n v="2"/>
    <n v="0.3"/>
    <x v="1"/>
    <x v="4"/>
    <n v="-1.0196000000000001"/>
    <n v="-1.4285714285714287E-2"/>
    <n v="1"/>
  </r>
  <r>
    <n v="25"/>
    <s v="CA-2015-106320"/>
    <d v="2015-09-25T00:00:00"/>
    <x v="1"/>
    <s v="Q3"/>
    <x v="11"/>
    <d v="2015-09-30T00:00:00"/>
    <s v="Standard Class"/>
    <x v="12"/>
    <x v="12"/>
    <s v="Consumer"/>
    <s v="United States"/>
    <s v="Orem"/>
    <x v="7"/>
    <n v="84057"/>
    <x v="1"/>
    <x v="3"/>
    <x v="0"/>
    <x v="3"/>
    <x v="3"/>
    <n v="1044.6300000000001"/>
    <s v="High"/>
    <n v="3"/>
    <n v="0"/>
    <x v="0"/>
    <x v="0"/>
    <n v="240.26490000000001"/>
    <n v="0.22999999999999998"/>
    <n v="0"/>
  </r>
  <r>
    <n v="26"/>
    <s v="CA-2016-121755"/>
    <d v="2016-01-16T00:00:00"/>
    <x v="0"/>
    <s v="Q1"/>
    <x v="12"/>
    <d v="2016-01-20T00:00:00"/>
    <s v="Second Class"/>
    <x v="13"/>
    <x v="13"/>
    <s v="Consumer"/>
    <s v="United States"/>
    <s v="Los Angeles"/>
    <x v="1"/>
    <n v="90049"/>
    <x v="1"/>
    <x v="24"/>
    <x v="1"/>
    <x v="8"/>
    <x v="24"/>
    <n v="11.648"/>
    <s v="Low"/>
    <n v="2"/>
    <n v="0.2"/>
    <x v="2"/>
    <x v="2"/>
    <n v="4.2224000000000004"/>
    <n v="0.36250000000000004"/>
    <n v="0"/>
  </r>
  <r>
    <n v="27"/>
    <s v="CA-2016-121755"/>
    <d v="2016-01-16T00:00:00"/>
    <x v="0"/>
    <s v="Q1"/>
    <x v="12"/>
    <d v="2016-01-20T00:00:00"/>
    <s v="Second Class"/>
    <x v="13"/>
    <x v="13"/>
    <s v="Consumer"/>
    <s v="United States"/>
    <s v="Los Angeles"/>
    <x v="1"/>
    <n v="90049"/>
    <x v="1"/>
    <x v="25"/>
    <x v="2"/>
    <x v="11"/>
    <x v="25"/>
    <n v="90.57"/>
    <s v="Medium"/>
    <n v="3"/>
    <n v="0"/>
    <x v="0"/>
    <x v="0"/>
    <n v="11.774100000000001"/>
    <n v="0.13"/>
    <n v="0"/>
  </r>
  <r>
    <n v="28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26"/>
    <x v="0"/>
    <x v="0"/>
    <x v="26"/>
    <n v="3083.43"/>
    <s v="High"/>
    <n v="7"/>
    <n v="0.5"/>
    <x v="1"/>
    <x v="1"/>
    <n v="-1665.0522000000001"/>
    <n v="-0.54"/>
    <n v="1"/>
  </r>
  <r>
    <n v="29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27"/>
    <x v="1"/>
    <x v="8"/>
    <x v="27"/>
    <n v="9.6180000000000003"/>
    <s v="Low"/>
    <n v="2"/>
    <n v="0.7"/>
    <x v="1"/>
    <x v="5"/>
    <n v="-7.0532000000000004"/>
    <n v="-0.73333333333333339"/>
    <n v="1"/>
  </r>
  <r>
    <n v="30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28"/>
    <x v="0"/>
    <x v="5"/>
    <x v="28"/>
    <n v="124.2"/>
    <s v="High"/>
    <n v="3"/>
    <n v="0.2"/>
    <x v="2"/>
    <x v="2"/>
    <n v="15.525"/>
    <n v="0.125"/>
    <n v="0"/>
  </r>
  <r>
    <n v="31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29"/>
    <x v="1"/>
    <x v="12"/>
    <x v="29"/>
    <n v="3.2639999999999998"/>
    <s v="Low"/>
    <n v="2"/>
    <n v="0.2"/>
    <x v="2"/>
    <x v="2"/>
    <n v="1.1015999999999999"/>
    <n v="0.33750000000000002"/>
    <n v="0"/>
  </r>
  <r>
    <n v="32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30"/>
    <x v="1"/>
    <x v="6"/>
    <x v="30"/>
    <n v="86.304000000000002"/>
    <s v="Medium"/>
    <n v="6"/>
    <n v="0.2"/>
    <x v="2"/>
    <x v="2"/>
    <n v="9.7091999999999992"/>
    <n v="0.11249999999999999"/>
    <n v="0"/>
  </r>
  <r>
    <n v="33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31"/>
    <x v="1"/>
    <x v="8"/>
    <x v="31"/>
    <n v="6.8579999999999997"/>
    <s v="Low"/>
    <n v="6"/>
    <n v="0.7"/>
    <x v="1"/>
    <x v="5"/>
    <n v="-5.7149999999999999"/>
    <n v="-0.83333333333333337"/>
    <n v="1"/>
  </r>
  <r>
    <n v="34"/>
    <s v="US-2015-150630"/>
    <d v="2015-09-17T00:00:00"/>
    <x v="1"/>
    <s v="Q3"/>
    <x v="11"/>
    <d v="2015-09-21T00:00:00"/>
    <s v="Standard Class"/>
    <x v="14"/>
    <x v="14"/>
    <s v="Consumer"/>
    <s v="United States"/>
    <s v="Philadelphia"/>
    <x v="9"/>
    <n v="19140"/>
    <x v="3"/>
    <x v="32"/>
    <x v="1"/>
    <x v="6"/>
    <x v="32"/>
    <n v="15.76"/>
    <s v="Low"/>
    <n v="2"/>
    <n v="0.2"/>
    <x v="2"/>
    <x v="2"/>
    <n v="3.5459999999999998"/>
    <n v="0.22499999999999998"/>
    <n v="0"/>
  </r>
  <r>
    <n v="35"/>
    <s v="CA-2017-107727"/>
    <d v="2017-10-19T00:00:00"/>
    <x v="3"/>
    <s v="Q4"/>
    <x v="13"/>
    <d v="2017-10-23T00:00:00"/>
    <s v="Second Class"/>
    <x v="15"/>
    <x v="15"/>
    <s v="Home Office"/>
    <s v="United States"/>
    <s v="Houston"/>
    <x v="5"/>
    <n v="77095"/>
    <x v="2"/>
    <x v="33"/>
    <x v="1"/>
    <x v="10"/>
    <x v="33"/>
    <n v="29.472000000000001"/>
    <s v="Medium"/>
    <n v="3"/>
    <n v="0.2"/>
    <x v="2"/>
    <x v="2"/>
    <n v="9.9467999999999996"/>
    <n v="0.33749999999999997"/>
    <n v="0"/>
  </r>
  <r>
    <n v="36"/>
    <s v="CA-2016-117590"/>
    <d v="2016-12-08T00:00:00"/>
    <x v="0"/>
    <s v="Q4"/>
    <x v="5"/>
    <d v="2016-12-10T00:00:00"/>
    <s v="First Class"/>
    <x v="16"/>
    <x v="16"/>
    <s v="Corporate"/>
    <s v="United States"/>
    <s v="Richardson"/>
    <x v="5"/>
    <n v="75080"/>
    <x v="2"/>
    <x v="34"/>
    <x v="2"/>
    <x v="7"/>
    <x v="34"/>
    <n v="1097.5440000000001"/>
    <s v="High"/>
    <n v="7"/>
    <n v="0.2"/>
    <x v="2"/>
    <x v="2"/>
    <n v="123.47369999999999"/>
    <n v="0.11249999999999999"/>
    <n v="0"/>
  </r>
  <r>
    <n v="37"/>
    <s v="CA-2016-117590"/>
    <d v="2016-12-08T00:00:00"/>
    <x v="0"/>
    <s v="Q4"/>
    <x v="5"/>
    <d v="2016-12-10T00:00:00"/>
    <s v="First Class"/>
    <x v="16"/>
    <x v="16"/>
    <s v="Corporate"/>
    <s v="United States"/>
    <s v="Richardson"/>
    <x v="5"/>
    <n v="75080"/>
    <x v="2"/>
    <x v="35"/>
    <x v="0"/>
    <x v="5"/>
    <x v="35"/>
    <n v="190.92"/>
    <s v="High"/>
    <n v="5"/>
    <n v="0.6"/>
    <x v="1"/>
    <x v="6"/>
    <n v="-147.96299999999999"/>
    <n v="-0.77500000000000002"/>
    <n v="1"/>
  </r>
  <r>
    <n v="38"/>
    <s v="CA-2015-117415"/>
    <d v="2015-12-27T00:00:00"/>
    <x v="1"/>
    <s v="Q4"/>
    <x v="14"/>
    <d v="2015-12-31T00:00:00"/>
    <s v="Standard Class"/>
    <x v="17"/>
    <x v="17"/>
    <s v="Home Office"/>
    <s v="United States"/>
    <s v="Houston"/>
    <x v="5"/>
    <n v="77041"/>
    <x v="2"/>
    <x v="36"/>
    <x v="1"/>
    <x v="12"/>
    <x v="36"/>
    <n v="113.328"/>
    <s v="Medium"/>
    <n v="9"/>
    <n v="0.2"/>
    <x v="2"/>
    <x v="2"/>
    <n v="35.414999999999999"/>
    <n v="0.3125"/>
    <n v="0"/>
  </r>
  <r>
    <n v="39"/>
    <s v="CA-2015-117415"/>
    <d v="2015-12-27T00:00:00"/>
    <x v="1"/>
    <s v="Q4"/>
    <x v="14"/>
    <d v="2015-12-31T00:00:00"/>
    <s v="Standard Class"/>
    <x v="17"/>
    <x v="17"/>
    <s v="Home Office"/>
    <s v="United States"/>
    <s v="Houston"/>
    <x v="5"/>
    <n v="77041"/>
    <x v="2"/>
    <x v="37"/>
    <x v="0"/>
    <x v="0"/>
    <x v="37"/>
    <n v="532.39919999999995"/>
    <s v="High"/>
    <n v="3"/>
    <n v="0.32"/>
    <x v="1"/>
    <x v="7"/>
    <n v="-46.976399999999998"/>
    <n v="-8.8235294117647065E-2"/>
    <n v="1"/>
  </r>
  <r>
    <n v="40"/>
    <s v="CA-2015-117415"/>
    <d v="2015-12-27T00:00:00"/>
    <x v="1"/>
    <s v="Q4"/>
    <x v="14"/>
    <d v="2015-12-31T00:00:00"/>
    <s v="Standard Class"/>
    <x v="17"/>
    <x v="17"/>
    <s v="Home Office"/>
    <s v="United States"/>
    <s v="Houston"/>
    <x v="5"/>
    <n v="77041"/>
    <x v="2"/>
    <x v="38"/>
    <x v="0"/>
    <x v="1"/>
    <x v="38"/>
    <n v="212.05799999999999"/>
    <s v="High"/>
    <n v="3"/>
    <n v="0.3"/>
    <x v="1"/>
    <x v="4"/>
    <n v="-15.147"/>
    <n v="-7.1428571428571438E-2"/>
    <n v="1"/>
  </r>
  <r>
    <n v="41"/>
    <s v="CA-2015-117415"/>
    <d v="2015-12-27T00:00:00"/>
    <x v="1"/>
    <s v="Q4"/>
    <x v="14"/>
    <d v="2015-12-31T00:00:00"/>
    <s v="Standard Class"/>
    <x v="17"/>
    <x v="17"/>
    <s v="Home Office"/>
    <s v="United States"/>
    <s v="Houston"/>
    <x v="5"/>
    <n v="77041"/>
    <x v="2"/>
    <x v="39"/>
    <x v="2"/>
    <x v="7"/>
    <x v="39"/>
    <n v="371.16800000000001"/>
    <s v="High"/>
    <n v="4"/>
    <n v="0.2"/>
    <x v="2"/>
    <x v="2"/>
    <n v="41.756399999999999"/>
    <n v="0.1125"/>
    <n v="0"/>
  </r>
  <r>
    <n v="42"/>
    <s v="CA-2017-120999"/>
    <d v="2017-09-10T00:00:00"/>
    <x v="3"/>
    <s v="Q3"/>
    <x v="15"/>
    <d v="2017-09-15T00:00:00"/>
    <s v="Standard Class"/>
    <x v="18"/>
    <x v="18"/>
    <s v="Corporate"/>
    <s v="United States"/>
    <s v="Naperville"/>
    <x v="10"/>
    <n v="60540"/>
    <x v="2"/>
    <x v="40"/>
    <x v="2"/>
    <x v="7"/>
    <x v="40"/>
    <n v="147.16800000000001"/>
    <s v="High"/>
    <n v="4"/>
    <n v="0.2"/>
    <x v="2"/>
    <x v="2"/>
    <n v="16.5564"/>
    <n v="0.11249999999999999"/>
    <n v="0"/>
  </r>
  <r>
    <n v="43"/>
    <s v="CA-2016-101343"/>
    <d v="2016-07-17T00:00:00"/>
    <x v="0"/>
    <s v="Q3"/>
    <x v="16"/>
    <d v="2016-07-22T00:00:00"/>
    <s v="Standard Class"/>
    <x v="19"/>
    <x v="19"/>
    <s v="Corporate"/>
    <s v="United States"/>
    <s v="Los Angeles"/>
    <x v="1"/>
    <n v="90049"/>
    <x v="1"/>
    <x v="41"/>
    <x v="1"/>
    <x v="4"/>
    <x v="41"/>
    <n v="77.88"/>
    <s v="Medium"/>
    <n v="2"/>
    <n v="0"/>
    <x v="0"/>
    <x v="0"/>
    <n v="3.8940000000000001"/>
    <n v="0.05"/>
    <n v="0"/>
  </r>
  <r>
    <n v="44"/>
    <s v="CA-2017-139619"/>
    <d v="2017-09-19T00:00:00"/>
    <x v="3"/>
    <s v="Q3"/>
    <x v="15"/>
    <d v="2017-09-23T00:00:00"/>
    <s v="Standard Class"/>
    <x v="20"/>
    <x v="20"/>
    <s v="Corporate"/>
    <s v="United States"/>
    <s v="Melbourne"/>
    <x v="2"/>
    <n v="32935"/>
    <x v="0"/>
    <x v="42"/>
    <x v="1"/>
    <x v="4"/>
    <x v="42"/>
    <n v="95.616"/>
    <s v="Medium"/>
    <n v="2"/>
    <n v="0.2"/>
    <x v="2"/>
    <x v="2"/>
    <n v="9.5616000000000003"/>
    <n v="0.1"/>
    <n v="0"/>
  </r>
  <r>
    <n v="45"/>
    <s v="CA-2016-118255"/>
    <d v="2016-03-11T00:00:00"/>
    <x v="0"/>
    <s v="Q1"/>
    <x v="17"/>
    <d v="2016-03-13T00:00:00"/>
    <s v="First Class"/>
    <x v="21"/>
    <x v="21"/>
    <s v="Corporate"/>
    <s v="United States"/>
    <s v="Eagan"/>
    <x v="11"/>
    <n v="55122"/>
    <x v="2"/>
    <x v="43"/>
    <x v="2"/>
    <x v="11"/>
    <x v="43"/>
    <n v="45.98"/>
    <s v="Medium"/>
    <n v="2"/>
    <n v="0"/>
    <x v="0"/>
    <x v="0"/>
    <n v="19.7714"/>
    <n v="0.43000000000000005"/>
    <n v="0"/>
  </r>
  <r>
    <n v="46"/>
    <s v="CA-2016-118255"/>
    <d v="2016-03-11T00:00:00"/>
    <x v="0"/>
    <s v="Q1"/>
    <x v="17"/>
    <d v="2016-03-13T00:00:00"/>
    <s v="First Class"/>
    <x v="21"/>
    <x v="21"/>
    <s v="Corporate"/>
    <s v="United States"/>
    <s v="Eagan"/>
    <x v="11"/>
    <n v="55122"/>
    <x v="2"/>
    <x v="44"/>
    <x v="1"/>
    <x v="8"/>
    <x v="44"/>
    <n v="17.46"/>
    <s v="Low"/>
    <n v="2"/>
    <n v="0"/>
    <x v="0"/>
    <x v="0"/>
    <n v="8.2062000000000008"/>
    <n v="0.47000000000000003"/>
    <n v="0"/>
  </r>
  <r>
    <n v="47"/>
    <s v="CA-2014-146703"/>
    <d v="2014-10-20T00:00:00"/>
    <x v="2"/>
    <s v="Q4"/>
    <x v="18"/>
    <d v="2014-10-25T00:00:00"/>
    <s v="Second Class"/>
    <x v="22"/>
    <x v="22"/>
    <s v="Consumer"/>
    <s v="United States"/>
    <s v="Westland"/>
    <x v="12"/>
    <n v="48185"/>
    <x v="2"/>
    <x v="45"/>
    <x v="1"/>
    <x v="4"/>
    <x v="45"/>
    <n v="211.96"/>
    <s v="High"/>
    <n v="4"/>
    <n v="0"/>
    <x v="0"/>
    <x v="0"/>
    <n v="8.4784000000000006"/>
    <n v="0.04"/>
    <n v="0"/>
  </r>
  <r>
    <n v="48"/>
    <s v="CA-2016-169194"/>
    <d v="2016-06-20T00:00:00"/>
    <x v="0"/>
    <s v="Q2"/>
    <x v="1"/>
    <d v="2016-06-25T00:00:00"/>
    <s v="Standard Class"/>
    <x v="23"/>
    <x v="23"/>
    <s v="Consumer"/>
    <s v="United States"/>
    <s v="Dover"/>
    <x v="13"/>
    <n v="19901"/>
    <x v="3"/>
    <x v="46"/>
    <x v="2"/>
    <x v="11"/>
    <x v="46"/>
    <n v="45"/>
    <s v="Medium"/>
    <n v="3"/>
    <n v="0"/>
    <x v="0"/>
    <x v="0"/>
    <n v="4.95"/>
    <n v="0.11"/>
    <n v="0"/>
  </r>
  <r>
    <n v="49"/>
    <s v="CA-2016-169194"/>
    <d v="2016-06-20T00:00:00"/>
    <x v="0"/>
    <s v="Q2"/>
    <x v="1"/>
    <d v="2016-06-25T00:00:00"/>
    <s v="Standard Class"/>
    <x v="23"/>
    <x v="23"/>
    <s v="Consumer"/>
    <s v="United States"/>
    <s v="Dover"/>
    <x v="13"/>
    <n v="19901"/>
    <x v="3"/>
    <x v="47"/>
    <x v="2"/>
    <x v="7"/>
    <x v="47"/>
    <n v="21.8"/>
    <s v="Low"/>
    <n v="2"/>
    <n v="0"/>
    <x v="0"/>
    <x v="0"/>
    <n v="6.1040000000000001"/>
    <n v="0.27999999999999997"/>
    <n v="0"/>
  </r>
  <r>
    <n v="50"/>
    <s v="CA-2015-115742"/>
    <d v="2015-04-18T00:00:00"/>
    <x v="1"/>
    <s v="Q2"/>
    <x v="19"/>
    <d v="2015-04-22T00:00:00"/>
    <s v="Standard Class"/>
    <x v="24"/>
    <x v="24"/>
    <s v="Consumer"/>
    <s v="United States"/>
    <s v="New Albany"/>
    <x v="14"/>
    <n v="47150"/>
    <x v="2"/>
    <x v="48"/>
    <x v="1"/>
    <x v="8"/>
    <x v="48"/>
    <n v="38.22"/>
    <s v="Medium"/>
    <n v="6"/>
    <n v="0"/>
    <x v="0"/>
    <x v="0"/>
    <n v="17.9634"/>
    <n v="0.47000000000000003"/>
    <n v="0"/>
  </r>
  <r>
    <n v="51"/>
    <s v="CA-2015-115742"/>
    <d v="2015-04-18T00:00:00"/>
    <x v="1"/>
    <s v="Q2"/>
    <x v="19"/>
    <d v="2015-04-22T00:00:00"/>
    <s v="Standard Class"/>
    <x v="24"/>
    <x v="24"/>
    <s v="Consumer"/>
    <s v="United States"/>
    <s v="New Albany"/>
    <x v="14"/>
    <n v="47150"/>
    <x v="2"/>
    <x v="49"/>
    <x v="1"/>
    <x v="2"/>
    <x v="49"/>
    <n v="75.180000000000007"/>
    <s v="Medium"/>
    <n v="6"/>
    <n v="0"/>
    <x v="0"/>
    <x v="0"/>
    <n v="35.334600000000002"/>
    <n v="0.47"/>
    <n v="0"/>
  </r>
  <r>
    <n v="52"/>
    <s v="CA-2015-115742"/>
    <d v="2015-04-18T00:00:00"/>
    <x v="1"/>
    <s v="Q2"/>
    <x v="19"/>
    <d v="2015-04-22T00:00:00"/>
    <s v="Standard Class"/>
    <x v="24"/>
    <x v="24"/>
    <s v="Consumer"/>
    <s v="United States"/>
    <s v="New Albany"/>
    <x v="14"/>
    <n v="47150"/>
    <x v="2"/>
    <x v="50"/>
    <x v="0"/>
    <x v="5"/>
    <x v="50"/>
    <n v="6.16"/>
    <s v="Low"/>
    <n v="2"/>
    <n v="0"/>
    <x v="0"/>
    <x v="0"/>
    <n v="2.9567999999999999"/>
    <n v="0.48"/>
    <n v="0"/>
  </r>
  <r>
    <n v="53"/>
    <s v="CA-2015-115742"/>
    <d v="2015-04-18T00:00:00"/>
    <x v="1"/>
    <s v="Q2"/>
    <x v="19"/>
    <d v="2015-04-22T00:00:00"/>
    <s v="Standard Class"/>
    <x v="24"/>
    <x v="24"/>
    <s v="Consumer"/>
    <s v="United States"/>
    <s v="New Albany"/>
    <x v="14"/>
    <n v="47150"/>
    <x v="2"/>
    <x v="51"/>
    <x v="0"/>
    <x v="1"/>
    <x v="51"/>
    <n v="89.99"/>
    <s v="Medium"/>
    <n v="1"/>
    <n v="0"/>
    <x v="0"/>
    <x v="0"/>
    <n v="17.098099999999999"/>
    <n v="0.19"/>
    <n v="0"/>
  </r>
  <r>
    <n v="54"/>
    <s v="CA-2016-105816"/>
    <d v="2016-12-11T00:00:00"/>
    <x v="0"/>
    <s v="Q4"/>
    <x v="5"/>
    <d v="2016-12-17T00:00:00"/>
    <s v="Standard Class"/>
    <x v="25"/>
    <x v="25"/>
    <s v="Corporate"/>
    <s v="United States"/>
    <s v="New York City"/>
    <x v="15"/>
    <n v="10024"/>
    <x v="3"/>
    <x v="52"/>
    <x v="1"/>
    <x v="13"/>
    <x v="52"/>
    <n v="15.26"/>
    <s v="Low"/>
    <n v="7"/>
    <n v="0"/>
    <x v="0"/>
    <x v="0"/>
    <n v="6.2565999999999997"/>
    <n v="0.41"/>
    <n v="0"/>
  </r>
  <r>
    <n v="55"/>
    <s v="CA-2016-105816"/>
    <d v="2016-12-11T00:00:00"/>
    <x v="0"/>
    <s v="Q4"/>
    <x v="5"/>
    <d v="2016-12-17T00:00:00"/>
    <s v="Standard Class"/>
    <x v="25"/>
    <x v="25"/>
    <s v="Corporate"/>
    <s v="United States"/>
    <s v="New York City"/>
    <x v="15"/>
    <n v="10024"/>
    <x v="3"/>
    <x v="53"/>
    <x v="2"/>
    <x v="7"/>
    <x v="53"/>
    <n v="1029.95"/>
    <s v="High"/>
    <n v="5"/>
    <n v="0"/>
    <x v="0"/>
    <x v="0"/>
    <n v="298.68549999999999"/>
    <n v="0.28999999999999998"/>
    <n v="0"/>
  </r>
  <r>
    <n v="56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54"/>
    <x v="1"/>
    <x v="4"/>
    <x v="54"/>
    <n v="208.56"/>
    <s v="High"/>
    <n v="6"/>
    <n v="0"/>
    <x v="0"/>
    <x v="0"/>
    <n v="52.14"/>
    <n v="0.25"/>
    <n v="0"/>
  </r>
  <r>
    <n v="57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55"/>
    <x v="1"/>
    <x v="10"/>
    <x v="55"/>
    <n v="32.4"/>
    <s v="Medium"/>
    <n v="5"/>
    <n v="0"/>
    <x v="0"/>
    <x v="0"/>
    <n v="15.552"/>
    <n v="0.48"/>
    <n v="0"/>
  </r>
  <r>
    <n v="58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56"/>
    <x v="0"/>
    <x v="1"/>
    <x v="56"/>
    <n v="319.41000000000003"/>
    <s v="High"/>
    <n v="5"/>
    <n v="0.1"/>
    <x v="3"/>
    <x v="8"/>
    <n v="7.0979999999999999"/>
    <n v="2.222222222222222E-2"/>
    <n v="0"/>
  </r>
  <r>
    <n v="59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57"/>
    <x v="1"/>
    <x v="10"/>
    <x v="57"/>
    <n v="14.56"/>
    <s v="Low"/>
    <n v="2"/>
    <n v="0"/>
    <x v="0"/>
    <x v="0"/>
    <n v="6.9888000000000003"/>
    <n v="0.48"/>
    <n v="0"/>
  </r>
  <r>
    <n v="60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46"/>
    <x v="2"/>
    <x v="11"/>
    <x v="46"/>
    <n v="30"/>
    <s v="Medium"/>
    <n v="2"/>
    <n v="0"/>
    <x v="0"/>
    <x v="0"/>
    <n v="3.3"/>
    <n v="0.11"/>
    <n v="0"/>
  </r>
  <r>
    <n v="61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58"/>
    <x v="1"/>
    <x v="8"/>
    <x v="58"/>
    <n v="48.48"/>
    <s v="Medium"/>
    <n v="4"/>
    <n v="0.2"/>
    <x v="2"/>
    <x v="2"/>
    <n v="16.361999999999998"/>
    <n v="0.33749999999999997"/>
    <n v="0"/>
  </r>
  <r>
    <n v="62"/>
    <s v="CA-2016-111682"/>
    <d v="2016-06-17T00:00:00"/>
    <x v="0"/>
    <s v="Q2"/>
    <x v="1"/>
    <d v="2016-06-18T00:00:00"/>
    <s v="First Class"/>
    <x v="26"/>
    <x v="26"/>
    <s v="Consumer"/>
    <s v="United States"/>
    <s v="Troy"/>
    <x v="15"/>
    <n v="12180"/>
    <x v="3"/>
    <x v="59"/>
    <x v="1"/>
    <x v="6"/>
    <x v="59"/>
    <n v="1.68"/>
    <s v="Low"/>
    <n v="1"/>
    <n v="0"/>
    <x v="0"/>
    <x v="0"/>
    <n v="0.84"/>
    <n v="0.5"/>
    <n v="0"/>
  </r>
  <r>
    <n v="63"/>
    <s v="CA-2015-135545"/>
    <d v="2015-11-24T00:00:00"/>
    <x v="1"/>
    <s v="Q4"/>
    <x v="6"/>
    <d v="2015-11-30T00:00:00"/>
    <s v="Standard Class"/>
    <x v="27"/>
    <x v="27"/>
    <s v="Consumer"/>
    <s v="United States"/>
    <s v="Los Angeles"/>
    <x v="1"/>
    <n v="90004"/>
    <x v="1"/>
    <x v="60"/>
    <x v="2"/>
    <x v="11"/>
    <x v="60"/>
    <n v="13.98"/>
    <s v="Low"/>
    <n v="2"/>
    <n v="0"/>
    <x v="0"/>
    <x v="0"/>
    <n v="6.1512000000000002"/>
    <n v="0.44"/>
    <n v="0"/>
  </r>
  <r>
    <n v="64"/>
    <s v="CA-2015-135545"/>
    <d v="2015-11-24T00:00:00"/>
    <x v="1"/>
    <s v="Q4"/>
    <x v="6"/>
    <d v="2015-11-30T00:00:00"/>
    <s v="Standard Class"/>
    <x v="27"/>
    <x v="27"/>
    <s v="Consumer"/>
    <s v="United States"/>
    <s v="Los Angeles"/>
    <x v="1"/>
    <n v="90004"/>
    <x v="1"/>
    <x v="61"/>
    <x v="1"/>
    <x v="8"/>
    <x v="61"/>
    <n v="25.824000000000002"/>
    <s v="Medium"/>
    <n v="6"/>
    <n v="0.2"/>
    <x v="2"/>
    <x v="2"/>
    <n v="9.3612000000000002"/>
    <n v="0.36249999999999999"/>
    <n v="0"/>
  </r>
  <r>
    <n v="65"/>
    <s v="CA-2015-135545"/>
    <d v="2015-11-24T00:00:00"/>
    <x v="1"/>
    <s v="Q4"/>
    <x v="6"/>
    <d v="2015-11-30T00:00:00"/>
    <s v="Standard Class"/>
    <x v="27"/>
    <x v="27"/>
    <s v="Consumer"/>
    <s v="United States"/>
    <s v="Los Angeles"/>
    <x v="1"/>
    <n v="90004"/>
    <x v="1"/>
    <x v="62"/>
    <x v="1"/>
    <x v="10"/>
    <x v="62"/>
    <n v="146.72999999999999"/>
    <s v="High"/>
    <n v="3"/>
    <n v="0"/>
    <x v="0"/>
    <x v="0"/>
    <n v="68.963099999999997"/>
    <n v="0.47000000000000003"/>
    <n v="0"/>
  </r>
  <r>
    <n v="66"/>
    <s v="CA-2015-135545"/>
    <d v="2015-11-24T00:00:00"/>
    <x v="1"/>
    <s v="Q4"/>
    <x v="6"/>
    <d v="2015-11-30T00:00:00"/>
    <s v="Standard Class"/>
    <x v="27"/>
    <x v="27"/>
    <s v="Consumer"/>
    <s v="United States"/>
    <s v="Los Angeles"/>
    <x v="1"/>
    <n v="90004"/>
    <x v="1"/>
    <x v="63"/>
    <x v="0"/>
    <x v="5"/>
    <x v="63"/>
    <n v="79.760000000000005"/>
    <s v="Medium"/>
    <n v="4"/>
    <n v="0"/>
    <x v="0"/>
    <x v="0"/>
    <n v="22.332799999999999"/>
    <n v="0.27999999999999997"/>
    <n v="0"/>
  </r>
  <r>
    <n v="67"/>
    <s v="US-2015-164175"/>
    <d v="2015-04-30T00:00:00"/>
    <x v="1"/>
    <s v="Q2"/>
    <x v="19"/>
    <d v="2015-05-05T00:00:00"/>
    <s v="Standard Class"/>
    <x v="28"/>
    <x v="28"/>
    <s v="Home Office"/>
    <s v="United States"/>
    <s v="Chicago"/>
    <x v="10"/>
    <n v="60610"/>
    <x v="2"/>
    <x v="64"/>
    <x v="0"/>
    <x v="1"/>
    <x v="64"/>
    <n v="213.11500000000001"/>
    <s v="High"/>
    <n v="5"/>
    <n v="0.3"/>
    <x v="1"/>
    <x v="4"/>
    <n v="-15.2225"/>
    <n v="-7.1428571428571425E-2"/>
    <n v="1"/>
  </r>
  <r>
    <n v="68"/>
    <s v="CA-2014-106376"/>
    <d v="2014-12-05T00:00:00"/>
    <x v="2"/>
    <s v="Q4"/>
    <x v="20"/>
    <d v="2014-12-10T00:00:00"/>
    <s v="Standard Class"/>
    <x v="29"/>
    <x v="29"/>
    <s v="Corporate"/>
    <s v="United States"/>
    <s v="Gilbert"/>
    <x v="16"/>
    <n v="85234"/>
    <x v="1"/>
    <x v="65"/>
    <x v="1"/>
    <x v="6"/>
    <x v="65"/>
    <n v="1113.0239999999999"/>
    <s v="High"/>
    <n v="8"/>
    <n v="0.2"/>
    <x v="2"/>
    <x v="2"/>
    <n v="111.30240000000001"/>
    <n v="0.10000000000000002"/>
    <n v="0"/>
  </r>
  <r>
    <n v="69"/>
    <s v="CA-2014-106376"/>
    <d v="2014-12-05T00:00:00"/>
    <x v="2"/>
    <s v="Q4"/>
    <x v="20"/>
    <d v="2014-12-10T00:00:00"/>
    <s v="Standard Class"/>
    <x v="29"/>
    <x v="29"/>
    <s v="Corporate"/>
    <s v="United States"/>
    <s v="Gilbert"/>
    <x v="16"/>
    <n v="85234"/>
    <x v="1"/>
    <x v="66"/>
    <x v="2"/>
    <x v="7"/>
    <x v="66"/>
    <n v="167.96799999999999"/>
    <s v="High"/>
    <n v="4"/>
    <n v="0.2"/>
    <x v="2"/>
    <x v="2"/>
    <n v="62.988"/>
    <n v="0.375"/>
    <n v="0"/>
  </r>
  <r>
    <n v="70"/>
    <s v="CA-2016-119823"/>
    <d v="2016-06-04T00:00:00"/>
    <x v="0"/>
    <s v="Q2"/>
    <x v="1"/>
    <d v="2016-06-06T00:00:00"/>
    <s v="First Class"/>
    <x v="30"/>
    <x v="30"/>
    <s v="Consumer"/>
    <s v="United States"/>
    <s v="Springfield"/>
    <x v="17"/>
    <n v="22153"/>
    <x v="0"/>
    <x v="67"/>
    <x v="1"/>
    <x v="10"/>
    <x v="67"/>
    <n v="75.88"/>
    <s v="Medium"/>
    <n v="2"/>
    <n v="0"/>
    <x v="0"/>
    <x v="0"/>
    <n v="35.663600000000002"/>
    <n v="0.47000000000000008"/>
    <n v="0"/>
  </r>
  <r>
    <n v="71"/>
    <s v="CA-2016-106075"/>
    <d v="2016-09-18T00:00:00"/>
    <x v="0"/>
    <s v="Q3"/>
    <x v="21"/>
    <d v="2016-09-23T00:00:00"/>
    <s v="Standard Class"/>
    <x v="31"/>
    <x v="31"/>
    <s v="Consumer"/>
    <s v="United States"/>
    <s v="New York City"/>
    <x v="15"/>
    <n v="10009"/>
    <x v="3"/>
    <x v="68"/>
    <x v="1"/>
    <x v="8"/>
    <x v="68"/>
    <n v="4.6159999999999997"/>
    <s v="Low"/>
    <n v="1"/>
    <n v="0.2"/>
    <x v="2"/>
    <x v="2"/>
    <n v="1.7310000000000001"/>
    <n v="0.37500000000000006"/>
    <n v="0"/>
  </r>
  <r>
    <n v="72"/>
    <s v="CA-2017-114440"/>
    <d v="2017-09-14T00:00:00"/>
    <x v="3"/>
    <s v="Q3"/>
    <x v="15"/>
    <d v="2017-09-17T00:00:00"/>
    <s v="Second Class"/>
    <x v="14"/>
    <x v="14"/>
    <s v="Consumer"/>
    <s v="United States"/>
    <s v="Jackson"/>
    <x v="12"/>
    <n v="49201"/>
    <x v="2"/>
    <x v="69"/>
    <x v="1"/>
    <x v="10"/>
    <x v="69"/>
    <n v="19.05"/>
    <s v="Low"/>
    <n v="3"/>
    <n v="0"/>
    <x v="0"/>
    <x v="0"/>
    <n v="8.7629999999999999"/>
    <n v="0.45999999999999996"/>
    <n v="0"/>
  </r>
  <r>
    <n v="73"/>
    <s v="US-2015-134026"/>
    <d v="2015-04-26T00:00:00"/>
    <x v="1"/>
    <s v="Q2"/>
    <x v="19"/>
    <d v="2015-05-02T00:00:00"/>
    <s v="Standard Class"/>
    <x v="32"/>
    <x v="32"/>
    <s v="Consumer"/>
    <s v="United States"/>
    <s v="Memphis"/>
    <x v="18"/>
    <n v="38109"/>
    <x v="0"/>
    <x v="70"/>
    <x v="0"/>
    <x v="1"/>
    <x v="70"/>
    <n v="831.93600000000004"/>
    <s v="High"/>
    <n v="8"/>
    <n v="0.2"/>
    <x v="2"/>
    <x v="2"/>
    <n v="-114.3912"/>
    <n v="-0.13749999999999998"/>
    <n v="1"/>
  </r>
  <r>
    <n v="74"/>
    <s v="US-2015-134026"/>
    <d v="2015-04-26T00:00:00"/>
    <x v="1"/>
    <s v="Q2"/>
    <x v="19"/>
    <d v="2015-05-02T00:00:00"/>
    <s v="Standard Class"/>
    <x v="32"/>
    <x v="32"/>
    <s v="Consumer"/>
    <s v="United States"/>
    <s v="Memphis"/>
    <x v="18"/>
    <n v="38109"/>
    <x v="0"/>
    <x v="71"/>
    <x v="0"/>
    <x v="5"/>
    <x v="71"/>
    <n v="97.04"/>
    <s v="Medium"/>
    <n v="2"/>
    <n v="0.2"/>
    <x v="2"/>
    <x v="2"/>
    <n v="1.2130000000000001"/>
    <n v="1.2500000000000001E-2"/>
    <n v="0"/>
  </r>
  <r>
    <n v="75"/>
    <s v="US-2015-134026"/>
    <d v="2015-04-26T00:00:00"/>
    <x v="1"/>
    <s v="Q2"/>
    <x v="19"/>
    <d v="2015-05-02T00:00:00"/>
    <s v="Standard Class"/>
    <x v="32"/>
    <x v="32"/>
    <s v="Consumer"/>
    <s v="United States"/>
    <s v="Memphis"/>
    <x v="18"/>
    <n v="38109"/>
    <x v="0"/>
    <x v="72"/>
    <x v="1"/>
    <x v="4"/>
    <x v="72"/>
    <n v="72.784000000000006"/>
    <s v="Medium"/>
    <n v="1"/>
    <n v="0.2"/>
    <x v="2"/>
    <x v="2"/>
    <n v="-18.196000000000002"/>
    <n v="-0.25"/>
    <n v="1"/>
  </r>
  <r>
    <n v="76"/>
    <s v="US-2017-118038"/>
    <d v="2017-12-09T00:00:00"/>
    <x v="3"/>
    <s v="Q4"/>
    <x v="22"/>
    <d v="2017-12-11T00:00:00"/>
    <s v="First Class"/>
    <x v="33"/>
    <x v="33"/>
    <s v="Corporate"/>
    <s v="United States"/>
    <s v="Houston"/>
    <x v="5"/>
    <n v="77041"/>
    <x v="2"/>
    <x v="73"/>
    <x v="1"/>
    <x v="8"/>
    <x v="73"/>
    <n v="1.248"/>
    <s v="Low"/>
    <n v="3"/>
    <n v="0.8"/>
    <x v="1"/>
    <x v="3"/>
    <n v="-1.9343999999999999"/>
    <n v="-1.5499999999999998"/>
    <n v="1"/>
  </r>
  <r>
    <n v="77"/>
    <s v="US-2017-118038"/>
    <d v="2017-12-09T00:00:00"/>
    <x v="3"/>
    <s v="Q4"/>
    <x v="22"/>
    <d v="2017-12-11T00:00:00"/>
    <s v="First Class"/>
    <x v="33"/>
    <x v="33"/>
    <s v="Corporate"/>
    <s v="United States"/>
    <s v="Houston"/>
    <x v="5"/>
    <n v="77041"/>
    <x v="2"/>
    <x v="74"/>
    <x v="0"/>
    <x v="5"/>
    <x v="74"/>
    <n v="9.7080000000000002"/>
    <s v="Low"/>
    <n v="3"/>
    <n v="0.6"/>
    <x v="1"/>
    <x v="6"/>
    <n v="-5.8247999999999998"/>
    <n v="-0.6"/>
    <n v="1"/>
  </r>
  <r>
    <n v="78"/>
    <s v="US-2017-118038"/>
    <d v="2017-12-09T00:00:00"/>
    <x v="3"/>
    <s v="Q4"/>
    <x v="22"/>
    <d v="2017-12-11T00:00:00"/>
    <s v="First Class"/>
    <x v="33"/>
    <x v="33"/>
    <s v="Corporate"/>
    <s v="United States"/>
    <s v="Houston"/>
    <x v="5"/>
    <n v="77041"/>
    <x v="2"/>
    <x v="75"/>
    <x v="1"/>
    <x v="4"/>
    <x v="75"/>
    <n v="27.24"/>
    <s v="Medium"/>
    <n v="3"/>
    <n v="0.2"/>
    <x v="2"/>
    <x v="2"/>
    <n v="2.7240000000000002"/>
    <n v="0.10000000000000002"/>
    <n v="0"/>
  </r>
  <r>
    <n v="79"/>
    <s v="US-2014-147606"/>
    <d v="2014-11-26T00:00:00"/>
    <x v="2"/>
    <s v="Q4"/>
    <x v="7"/>
    <d v="2014-12-01T00:00:00"/>
    <s v="Second Class"/>
    <x v="32"/>
    <x v="32"/>
    <s v="Consumer"/>
    <s v="United States"/>
    <s v="Houston"/>
    <x v="5"/>
    <n v="77070"/>
    <x v="2"/>
    <x v="76"/>
    <x v="0"/>
    <x v="5"/>
    <x v="76"/>
    <n v="19.3"/>
    <s v="Low"/>
    <n v="5"/>
    <n v="0.6"/>
    <x v="1"/>
    <x v="6"/>
    <n v="-14.475"/>
    <n v="-0.75"/>
    <n v="1"/>
  </r>
  <r>
    <n v="80"/>
    <s v="CA-2016-127208"/>
    <d v="2016-06-12T00:00:00"/>
    <x v="0"/>
    <s v="Q2"/>
    <x v="1"/>
    <d v="2016-06-15T00:00:00"/>
    <s v="First Class"/>
    <x v="34"/>
    <x v="34"/>
    <s v="Corporate"/>
    <s v="United States"/>
    <s v="Decatur"/>
    <x v="19"/>
    <n v="35601"/>
    <x v="0"/>
    <x v="77"/>
    <x v="1"/>
    <x v="9"/>
    <x v="77"/>
    <n v="208.16"/>
    <s v="High"/>
    <n v="1"/>
    <n v="0"/>
    <x v="0"/>
    <x v="0"/>
    <n v="56.203200000000002"/>
    <n v="0.27"/>
    <n v="0"/>
  </r>
  <r>
    <n v="81"/>
    <s v="CA-2016-127208"/>
    <d v="2016-06-12T00:00:00"/>
    <x v="0"/>
    <s v="Q2"/>
    <x v="1"/>
    <d v="2016-06-15T00:00:00"/>
    <s v="First Class"/>
    <x v="34"/>
    <x v="34"/>
    <s v="Corporate"/>
    <s v="United States"/>
    <s v="Decatur"/>
    <x v="19"/>
    <n v="35601"/>
    <x v="0"/>
    <x v="78"/>
    <x v="1"/>
    <x v="8"/>
    <x v="78"/>
    <n v="16.739999999999998"/>
    <s v="Low"/>
    <n v="3"/>
    <n v="0"/>
    <x v="0"/>
    <x v="0"/>
    <n v="8.0351999999999997"/>
    <n v="0.48000000000000004"/>
    <n v="0"/>
  </r>
  <r>
    <n v="82"/>
    <s v="CA-2014-139451"/>
    <d v="2014-10-12T00:00:00"/>
    <x v="2"/>
    <s v="Q4"/>
    <x v="18"/>
    <d v="2014-10-16T00:00:00"/>
    <s v="Standard Class"/>
    <x v="35"/>
    <x v="35"/>
    <s v="Consumer"/>
    <s v="United States"/>
    <s v="San Francisco"/>
    <x v="1"/>
    <n v="94122"/>
    <x v="1"/>
    <x v="79"/>
    <x v="1"/>
    <x v="6"/>
    <x v="79"/>
    <n v="14.9"/>
    <s v="Low"/>
    <n v="5"/>
    <n v="0"/>
    <x v="0"/>
    <x v="0"/>
    <n v="4.1719999999999997"/>
    <n v="0.27999999999999997"/>
    <n v="0"/>
  </r>
  <r>
    <n v="83"/>
    <s v="CA-2014-139451"/>
    <d v="2014-10-12T00:00:00"/>
    <x v="2"/>
    <s v="Q4"/>
    <x v="18"/>
    <d v="2014-10-16T00:00:00"/>
    <s v="Standard Class"/>
    <x v="35"/>
    <x v="35"/>
    <s v="Consumer"/>
    <s v="United States"/>
    <s v="San Francisco"/>
    <x v="1"/>
    <n v="94122"/>
    <x v="1"/>
    <x v="80"/>
    <x v="1"/>
    <x v="4"/>
    <x v="80"/>
    <n v="21.39"/>
    <s v="Low"/>
    <n v="1"/>
    <n v="0"/>
    <x v="0"/>
    <x v="0"/>
    <n v="6.2031000000000001"/>
    <n v="0.28999999999999998"/>
    <n v="0"/>
  </r>
  <r>
    <n v="84"/>
    <s v="CA-2015-149734"/>
    <d v="2015-09-03T00:00:00"/>
    <x v="1"/>
    <s v="Q3"/>
    <x v="11"/>
    <d v="2015-09-08T00:00:00"/>
    <s v="Standard Class"/>
    <x v="36"/>
    <x v="36"/>
    <s v="Corporate"/>
    <s v="United States"/>
    <s v="Durham"/>
    <x v="3"/>
    <n v="27707"/>
    <x v="0"/>
    <x v="81"/>
    <x v="1"/>
    <x v="12"/>
    <x v="81"/>
    <n v="200.98400000000001"/>
    <s v="High"/>
    <n v="7"/>
    <n v="0.2"/>
    <x v="2"/>
    <x v="2"/>
    <n v="62.807499999999997"/>
    <n v="0.3125"/>
    <n v="0"/>
  </r>
  <r>
    <n v="85"/>
    <s v="US-2017-119662"/>
    <d v="2017-11-13T00:00:00"/>
    <x v="3"/>
    <s v="Q4"/>
    <x v="23"/>
    <d v="2017-11-16T00:00:00"/>
    <s v="First Class"/>
    <x v="37"/>
    <x v="37"/>
    <s v="Home Office"/>
    <s v="United States"/>
    <s v="Chicago"/>
    <x v="10"/>
    <n v="60623"/>
    <x v="2"/>
    <x v="82"/>
    <x v="1"/>
    <x v="4"/>
    <x v="82"/>
    <n v="230.376"/>
    <s v="High"/>
    <n v="3"/>
    <n v="0.2"/>
    <x v="2"/>
    <x v="2"/>
    <n v="-48.954900000000002"/>
    <n v="-0.21249999999999999"/>
    <n v="1"/>
  </r>
  <r>
    <n v="86"/>
    <s v="CA-2017-140088"/>
    <d v="2017-05-28T00:00:00"/>
    <x v="3"/>
    <s v="Q2"/>
    <x v="24"/>
    <d v="2017-05-30T00:00:00"/>
    <s v="Second Class"/>
    <x v="22"/>
    <x v="22"/>
    <s v="Consumer"/>
    <s v="United States"/>
    <s v="Columbia"/>
    <x v="20"/>
    <n v="29203"/>
    <x v="0"/>
    <x v="83"/>
    <x v="0"/>
    <x v="1"/>
    <x v="83"/>
    <n v="301.95999999999998"/>
    <s v="High"/>
    <n v="2"/>
    <n v="0"/>
    <x v="0"/>
    <x v="0"/>
    <n v="33.215600000000002"/>
    <n v="0.11000000000000001"/>
    <n v="0"/>
  </r>
  <r>
    <n v="87"/>
    <s v="CA-2017-155558"/>
    <d v="2017-10-26T00:00:00"/>
    <x v="3"/>
    <s v="Q4"/>
    <x v="13"/>
    <d v="2017-11-02T00:00:00"/>
    <s v="Standard Class"/>
    <x v="38"/>
    <x v="38"/>
    <s v="Consumer"/>
    <s v="United States"/>
    <s v="Rochester"/>
    <x v="11"/>
    <n v="55901"/>
    <x v="2"/>
    <x v="84"/>
    <x v="2"/>
    <x v="11"/>
    <x v="84"/>
    <n v="19.989999999999998"/>
    <s v="Low"/>
    <n v="1"/>
    <n v="0"/>
    <x v="0"/>
    <x v="0"/>
    <n v="6.7965999999999998"/>
    <n v="0.34"/>
    <n v="0"/>
  </r>
  <r>
    <n v="88"/>
    <s v="CA-2017-155558"/>
    <d v="2017-10-26T00:00:00"/>
    <x v="3"/>
    <s v="Q4"/>
    <x v="13"/>
    <d v="2017-11-02T00:00:00"/>
    <s v="Standard Class"/>
    <x v="38"/>
    <x v="38"/>
    <s v="Consumer"/>
    <s v="United States"/>
    <s v="Rochester"/>
    <x v="11"/>
    <n v="55901"/>
    <x v="2"/>
    <x v="85"/>
    <x v="1"/>
    <x v="2"/>
    <x v="85"/>
    <n v="6.16"/>
    <s v="Low"/>
    <n v="2"/>
    <n v="0"/>
    <x v="0"/>
    <x v="0"/>
    <n v="2.9567999999999999"/>
    <n v="0.48"/>
    <n v="0"/>
  </r>
  <r>
    <n v="89"/>
    <s v="CA-2016-159695"/>
    <d v="2016-04-05T00:00:00"/>
    <x v="0"/>
    <s v="Q2"/>
    <x v="25"/>
    <d v="2016-04-10T00:00:00"/>
    <s v="Second Class"/>
    <x v="39"/>
    <x v="39"/>
    <s v="Home Office"/>
    <s v="United States"/>
    <s v="Houston"/>
    <x v="5"/>
    <n v="77095"/>
    <x v="2"/>
    <x v="86"/>
    <x v="1"/>
    <x v="4"/>
    <x v="86"/>
    <n v="158.36799999999999"/>
    <s v="High"/>
    <n v="7"/>
    <n v="0.2"/>
    <x v="2"/>
    <x v="2"/>
    <n v="13.857200000000001"/>
    <n v="8.7500000000000008E-2"/>
    <n v="0"/>
  </r>
  <r>
    <n v="90"/>
    <s v="CA-2016-109806"/>
    <d v="2016-09-17T00:00:00"/>
    <x v="0"/>
    <s v="Q3"/>
    <x v="21"/>
    <d v="2016-09-22T00:00:00"/>
    <s v="Standard Class"/>
    <x v="40"/>
    <x v="40"/>
    <s v="Corporate"/>
    <s v="United States"/>
    <s v="Los Angeles"/>
    <x v="1"/>
    <n v="90036"/>
    <x v="1"/>
    <x v="87"/>
    <x v="1"/>
    <x v="6"/>
    <x v="87"/>
    <n v="20.100000000000001"/>
    <s v="Low"/>
    <n v="3"/>
    <n v="0"/>
    <x v="0"/>
    <x v="0"/>
    <n v="6.633"/>
    <n v="0.32999999999999996"/>
    <n v="0"/>
  </r>
  <r>
    <n v="91"/>
    <s v="CA-2016-109806"/>
    <d v="2016-09-17T00:00:00"/>
    <x v="0"/>
    <s v="Q3"/>
    <x v="21"/>
    <d v="2016-09-22T00:00:00"/>
    <s v="Standard Class"/>
    <x v="40"/>
    <x v="40"/>
    <s v="Corporate"/>
    <s v="United States"/>
    <s v="Los Angeles"/>
    <x v="1"/>
    <n v="90036"/>
    <x v="1"/>
    <x v="40"/>
    <x v="2"/>
    <x v="7"/>
    <x v="40"/>
    <n v="73.584000000000003"/>
    <s v="Medium"/>
    <n v="2"/>
    <n v="0.2"/>
    <x v="2"/>
    <x v="2"/>
    <n v="8.2782"/>
    <n v="0.11249999999999999"/>
    <n v="0"/>
  </r>
  <r>
    <n v="92"/>
    <s v="CA-2016-109806"/>
    <d v="2016-09-17T00:00:00"/>
    <x v="0"/>
    <s v="Q3"/>
    <x v="21"/>
    <d v="2016-09-22T00:00:00"/>
    <s v="Standard Class"/>
    <x v="40"/>
    <x v="40"/>
    <s v="Corporate"/>
    <s v="United States"/>
    <s v="Los Angeles"/>
    <x v="1"/>
    <n v="90036"/>
    <x v="1"/>
    <x v="88"/>
    <x v="1"/>
    <x v="10"/>
    <x v="88"/>
    <n v="6.48"/>
    <s v="Low"/>
    <n v="1"/>
    <n v="0"/>
    <x v="0"/>
    <x v="0"/>
    <n v="3.1103999999999998"/>
    <n v="0.47999999999999993"/>
    <n v="0"/>
  </r>
  <r>
    <n v="93"/>
    <s v="CA-2015-149587"/>
    <d v="2015-01-31T00:00:00"/>
    <x v="1"/>
    <s v="Q1"/>
    <x v="26"/>
    <d v="2015-02-05T00:00:00"/>
    <s v="Second Class"/>
    <x v="41"/>
    <x v="41"/>
    <s v="Consumer"/>
    <s v="United States"/>
    <s v="Minneapolis"/>
    <x v="11"/>
    <n v="55407"/>
    <x v="2"/>
    <x v="89"/>
    <x v="1"/>
    <x v="10"/>
    <x v="89"/>
    <n v="12.96"/>
    <s v="Low"/>
    <n v="2"/>
    <n v="0"/>
    <x v="0"/>
    <x v="0"/>
    <n v="6.2207999999999997"/>
    <n v="0.47999999999999993"/>
    <n v="0"/>
  </r>
  <r>
    <n v="94"/>
    <s v="CA-2015-149587"/>
    <d v="2015-01-31T00:00:00"/>
    <x v="1"/>
    <s v="Q1"/>
    <x v="26"/>
    <d v="2015-02-05T00:00:00"/>
    <s v="Second Class"/>
    <x v="41"/>
    <x v="41"/>
    <s v="Consumer"/>
    <s v="United States"/>
    <s v="Minneapolis"/>
    <x v="11"/>
    <n v="55407"/>
    <x v="2"/>
    <x v="90"/>
    <x v="0"/>
    <x v="5"/>
    <x v="90"/>
    <n v="53.34"/>
    <s v="Medium"/>
    <n v="3"/>
    <n v="0"/>
    <x v="0"/>
    <x v="0"/>
    <n v="16.535399999999999"/>
    <n v="0.30999999999999994"/>
    <n v="0"/>
  </r>
  <r>
    <n v="95"/>
    <s v="CA-2015-149587"/>
    <d v="2015-01-31T00:00:00"/>
    <x v="1"/>
    <s v="Q1"/>
    <x v="26"/>
    <d v="2015-02-05T00:00:00"/>
    <s v="Second Class"/>
    <x v="41"/>
    <x v="41"/>
    <s v="Consumer"/>
    <s v="United States"/>
    <s v="Minneapolis"/>
    <x v="11"/>
    <n v="55407"/>
    <x v="2"/>
    <x v="91"/>
    <x v="1"/>
    <x v="8"/>
    <x v="91"/>
    <n v="32.96"/>
    <s v="Medium"/>
    <n v="2"/>
    <n v="0"/>
    <x v="0"/>
    <x v="0"/>
    <n v="16.150400000000001"/>
    <n v="0.49000000000000005"/>
    <n v="0"/>
  </r>
  <r>
    <n v="96"/>
    <s v="US-2017-109484"/>
    <d v="2017-11-06T00:00:00"/>
    <x v="3"/>
    <s v="Q4"/>
    <x v="23"/>
    <d v="2017-11-12T00:00:00"/>
    <s v="Standard Class"/>
    <x v="42"/>
    <x v="42"/>
    <s v="Home Office"/>
    <s v="United States"/>
    <s v="Portland"/>
    <x v="21"/>
    <n v="97206"/>
    <x v="1"/>
    <x v="92"/>
    <x v="1"/>
    <x v="8"/>
    <x v="92"/>
    <n v="5.6820000000000004"/>
    <s v="Low"/>
    <n v="1"/>
    <n v="0.7"/>
    <x v="1"/>
    <x v="5"/>
    <n v="-3.7879999999999998"/>
    <n v="-0.66666666666666663"/>
    <n v="1"/>
  </r>
  <r>
    <n v="97"/>
    <s v="CA-2017-161018"/>
    <d v="2017-11-09T00:00:00"/>
    <x v="3"/>
    <s v="Q4"/>
    <x v="23"/>
    <d v="2017-11-11T00:00:00"/>
    <s v="Second Class"/>
    <x v="43"/>
    <x v="43"/>
    <s v="Home Office"/>
    <s v="United States"/>
    <s v="New York City"/>
    <x v="15"/>
    <n v="10009"/>
    <x v="3"/>
    <x v="93"/>
    <x v="0"/>
    <x v="5"/>
    <x v="93"/>
    <n v="96.53"/>
    <s v="Medium"/>
    <n v="7"/>
    <n v="0"/>
    <x v="0"/>
    <x v="0"/>
    <n v="40.5426"/>
    <n v="0.42"/>
    <n v="0"/>
  </r>
  <r>
    <n v="98"/>
    <s v="CA-2017-157833"/>
    <d v="2017-06-17T00:00:00"/>
    <x v="3"/>
    <s v="Q2"/>
    <x v="27"/>
    <d v="2017-06-20T00:00:00"/>
    <s v="First Class"/>
    <x v="44"/>
    <x v="44"/>
    <s v="Consumer"/>
    <s v="United States"/>
    <s v="San Francisco"/>
    <x v="1"/>
    <n v="94122"/>
    <x v="1"/>
    <x v="94"/>
    <x v="1"/>
    <x v="8"/>
    <x v="94"/>
    <n v="51.311999999999998"/>
    <s v="Medium"/>
    <n v="3"/>
    <n v="0.2"/>
    <x v="2"/>
    <x v="2"/>
    <n v="17.959199999999999"/>
    <n v="0.35"/>
    <n v="0"/>
  </r>
  <r>
    <n v="99"/>
    <s v="CA-2016-149223"/>
    <d v="2016-09-06T00:00:00"/>
    <x v="0"/>
    <s v="Q3"/>
    <x v="21"/>
    <d v="2016-09-11T00:00:00"/>
    <s v="Standard Class"/>
    <x v="45"/>
    <x v="45"/>
    <s v="Corporate"/>
    <s v="United States"/>
    <s v="Saint Paul"/>
    <x v="11"/>
    <n v="55106"/>
    <x v="2"/>
    <x v="95"/>
    <x v="1"/>
    <x v="9"/>
    <x v="95"/>
    <n v="77.88"/>
    <s v="Medium"/>
    <n v="6"/>
    <n v="0"/>
    <x v="0"/>
    <x v="0"/>
    <n v="22.5852"/>
    <n v="0.29000000000000004"/>
    <n v="0"/>
  </r>
  <r>
    <n v="100"/>
    <s v="CA-2016-158568"/>
    <d v="2016-08-29T00:00:00"/>
    <x v="0"/>
    <s v="Q3"/>
    <x v="28"/>
    <d v="2016-09-02T00:00:00"/>
    <s v="Standard Class"/>
    <x v="46"/>
    <x v="46"/>
    <s v="Home Office"/>
    <s v="United States"/>
    <s v="Chicago"/>
    <x v="10"/>
    <n v="60610"/>
    <x v="2"/>
    <x v="96"/>
    <x v="1"/>
    <x v="10"/>
    <x v="96"/>
    <n v="64.623999999999995"/>
    <s v="Medium"/>
    <n v="7"/>
    <n v="0.2"/>
    <x v="2"/>
    <x v="2"/>
    <n v="22.618400000000001"/>
    <n v="0.35000000000000003"/>
    <n v="0"/>
  </r>
  <r>
    <n v="101"/>
    <s v="CA-2016-158568"/>
    <d v="2016-08-29T00:00:00"/>
    <x v="0"/>
    <s v="Q3"/>
    <x v="28"/>
    <d v="2016-09-02T00:00:00"/>
    <s v="Standard Class"/>
    <x v="46"/>
    <x v="46"/>
    <s v="Home Office"/>
    <s v="United States"/>
    <s v="Chicago"/>
    <x v="10"/>
    <n v="60610"/>
    <x v="2"/>
    <x v="97"/>
    <x v="2"/>
    <x v="11"/>
    <x v="97"/>
    <n v="95.975999999999999"/>
    <s v="Medium"/>
    <n v="3"/>
    <n v="0.2"/>
    <x v="2"/>
    <x v="2"/>
    <n v="-10.7973"/>
    <n v="-0.1125"/>
    <n v="1"/>
  </r>
  <r>
    <n v="102"/>
    <s v="CA-2016-158568"/>
    <d v="2016-08-29T00:00:00"/>
    <x v="0"/>
    <s v="Q3"/>
    <x v="28"/>
    <d v="2016-09-02T00:00:00"/>
    <s v="Standard Class"/>
    <x v="46"/>
    <x v="46"/>
    <s v="Home Office"/>
    <s v="United States"/>
    <s v="Chicago"/>
    <x v="10"/>
    <n v="60610"/>
    <x v="2"/>
    <x v="98"/>
    <x v="1"/>
    <x v="8"/>
    <x v="98"/>
    <n v="1.788"/>
    <s v="Low"/>
    <n v="3"/>
    <n v="0.8"/>
    <x v="1"/>
    <x v="3"/>
    <n v="-3.0396000000000001"/>
    <n v="-1.7"/>
    <n v="1"/>
  </r>
  <r>
    <n v="103"/>
    <s v="CA-2016-129903"/>
    <d v="2016-12-01T00:00:00"/>
    <x v="0"/>
    <s v="Q4"/>
    <x v="5"/>
    <d v="2016-12-04T00:00:00"/>
    <s v="Second Class"/>
    <x v="47"/>
    <x v="47"/>
    <s v="Consumer"/>
    <s v="United States"/>
    <s v="Rochester"/>
    <x v="11"/>
    <n v="55901"/>
    <x v="2"/>
    <x v="99"/>
    <x v="1"/>
    <x v="10"/>
    <x v="99"/>
    <n v="23.92"/>
    <s v="Low"/>
    <n v="4"/>
    <n v="0"/>
    <x v="0"/>
    <x v="0"/>
    <n v="11.720800000000001"/>
    <n v="0.49"/>
    <n v="0"/>
  </r>
  <r>
    <n v="104"/>
    <s v="US-2015-156867"/>
    <d v="2015-11-13T00:00:00"/>
    <x v="1"/>
    <s v="Q4"/>
    <x v="6"/>
    <d v="2015-11-17T00:00:00"/>
    <s v="Standard Class"/>
    <x v="48"/>
    <x v="48"/>
    <s v="Consumer"/>
    <s v="United States"/>
    <s v="Aurora"/>
    <x v="22"/>
    <n v="80013"/>
    <x v="1"/>
    <x v="100"/>
    <x v="2"/>
    <x v="11"/>
    <x v="100"/>
    <n v="238.89599999999999"/>
    <s v="High"/>
    <n v="6"/>
    <n v="0.2"/>
    <x v="2"/>
    <x v="2"/>
    <n v="-26.875800000000002"/>
    <n v="-0.11250000000000002"/>
    <n v="1"/>
  </r>
  <r>
    <n v="105"/>
    <s v="US-2015-156867"/>
    <d v="2015-11-13T00:00:00"/>
    <x v="1"/>
    <s v="Q4"/>
    <x v="6"/>
    <d v="2015-11-17T00:00:00"/>
    <s v="Standard Class"/>
    <x v="48"/>
    <x v="48"/>
    <s v="Consumer"/>
    <s v="United States"/>
    <s v="Aurora"/>
    <x v="22"/>
    <n v="80013"/>
    <x v="1"/>
    <x v="101"/>
    <x v="0"/>
    <x v="5"/>
    <x v="101"/>
    <n v="102.36"/>
    <s v="Medium"/>
    <n v="3"/>
    <n v="0.2"/>
    <x v="2"/>
    <x v="2"/>
    <n v="-3.8384999999999998"/>
    <n v="-3.7499999999999999E-2"/>
    <n v="1"/>
  </r>
  <r>
    <n v="106"/>
    <s v="US-2015-156867"/>
    <d v="2015-11-13T00:00:00"/>
    <x v="1"/>
    <s v="Q4"/>
    <x v="6"/>
    <d v="2015-11-17T00:00:00"/>
    <s v="Standard Class"/>
    <x v="48"/>
    <x v="48"/>
    <s v="Consumer"/>
    <s v="United States"/>
    <s v="Aurora"/>
    <x v="22"/>
    <n v="80013"/>
    <x v="1"/>
    <x v="102"/>
    <x v="1"/>
    <x v="8"/>
    <x v="102"/>
    <n v="36.881999999999998"/>
    <s v="Medium"/>
    <n v="3"/>
    <n v="0.7"/>
    <x v="1"/>
    <x v="5"/>
    <n v="-25.817399999999999"/>
    <n v="-0.70000000000000007"/>
    <n v="1"/>
  </r>
  <r>
    <n v="107"/>
    <s v="CA-2017-119004"/>
    <d v="2017-11-23T00:00:00"/>
    <x v="3"/>
    <s v="Q4"/>
    <x v="23"/>
    <d v="2017-11-28T00:00:00"/>
    <s v="Standard Class"/>
    <x v="49"/>
    <x v="49"/>
    <s v="Consumer"/>
    <s v="United States"/>
    <s v="Charlotte"/>
    <x v="3"/>
    <n v="28205"/>
    <x v="0"/>
    <x v="103"/>
    <x v="2"/>
    <x v="11"/>
    <x v="103"/>
    <n v="74.111999999999995"/>
    <s v="Medium"/>
    <n v="8"/>
    <n v="0.2"/>
    <x v="2"/>
    <x v="2"/>
    <n v="17.601600000000001"/>
    <n v="0.23750000000000004"/>
    <n v="0"/>
  </r>
  <r>
    <n v="108"/>
    <s v="CA-2017-119004"/>
    <d v="2017-11-23T00:00:00"/>
    <x v="3"/>
    <s v="Q4"/>
    <x v="23"/>
    <d v="2017-11-28T00:00:00"/>
    <s v="Standard Class"/>
    <x v="49"/>
    <x v="49"/>
    <s v="Consumer"/>
    <s v="United States"/>
    <s v="Charlotte"/>
    <x v="3"/>
    <n v="28205"/>
    <x v="0"/>
    <x v="104"/>
    <x v="2"/>
    <x v="7"/>
    <x v="104"/>
    <n v="27.992000000000001"/>
    <s v="Medium"/>
    <n v="1"/>
    <n v="0.2"/>
    <x v="2"/>
    <x v="2"/>
    <n v="2.0994000000000002"/>
    <n v="7.4999999999999997E-2"/>
    <n v="0"/>
  </r>
  <r>
    <n v="109"/>
    <s v="CA-2017-119004"/>
    <d v="2017-11-23T00:00:00"/>
    <x v="3"/>
    <s v="Q4"/>
    <x v="23"/>
    <d v="2017-11-28T00:00:00"/>
    <s v="Standard Class"/>
    <x v="49"/>
    <x v="49"/>
    <s v="Consumer"/>
    <s v="United States"/>
    <s v="Charlotte"/>
    <x v="3"/>
    <n v="28205"/>
    <x v="0"/>
    <x v="105"/>
    <x v="1"/>
    <x v="6"/>
    <x v="105"/>
    <n v="3.3039999999999998"/>
    <s v="Low"/>
    <n v="1"/>
    <n v="0.2"/>
    <x v="2"/>
    <x v="2"/>
    <n v="1.0738000000000001"/>
    <n v="0.32500000000000007"/>
    <n v="0"/>
  </r>
  <r>
    <n v="110"/>
    <s v="CA-2015-129476"/>
    <d v="2015-10-15T00:00:00"/>
    <x v="1"/>
    <s v="Q4"/>
    <x v="2"/>
    <d v="2015-10-20T00:00:00"/>
    <s v="Standard Class"/>
    <x v="50"/>
    <x v="50"/>
    <s v="Home Office"/>
    <s v="United States"/>
    <s v="Orland Park"/>
    <x v="10"/>
    <n v="60462"/>
    <x v="2"/>
    <x v="106"/>
    <x v="2"/>
    <x v="11"/>
    <x v="106"/>
    <n v="339.96"/>
    <s v="High"/>
    <n v="5"/>
    <n v="0.2"/>
    <x v="2"/>
    <x v="2"/>
    <n v="67.992000000000004"/>
    <n v="0.20000000000000004"/>
    <n v="0"/>
  </r>
  <r>
    <n v="111"/>
    <s v="CA-2017-146780"/>
    <d v="2017-12-25T00:00:00"/>
    <x v="3"/>
    <s v="Q4"/>
    <x v="22"/>
    <d v="2017-12-30T00:00:00"/>
    <s v="Standard Class"/>
    <x v="51"/>
    <x v="51"/>
    <s v="Corporate"/>
    <s v="United States"/>
    <s v="New York City"/>
    <x v="15"/>
    <n v="10035"/>
    <x v="3"/>
    <x v="107"/>
    <x v="0"/>
    <x v="5"/>
    <x v="107"/>
    <n v="41.96"/>
    <s v="Medium"/>
    <n v="2"/>
    <n v="0"/>
    <x v="0"/>
    <x v="0"/>
    <n v="10.909599999999999"/>
    <n v="0.25999999999999995"/>
    <n v="0"/>
  </r>
  <r>
    <n v="112"/>
    <s v="CA-2016-128867"/>
    <d v="2016-11-03T00:00:00"/>
    <x v="0"/>
    <s v="Q4"/>
    <x v="0"/>
    <d v="2016-11-10T00:00:00"/>
    <s v="Standard Class"/>
    <x v="52"/>
    <x v="52"/>
    <s v="Consumer"/>
    <s v="United States"/>
    <s v="Urbandale"/>
    <x v="23"/>
    <n v="50322"/>
    <x v="2"/>
    <x v="108"/>
    <x v="1"/>
    <x v="6"/>
    <x v="108"/>
    <n v="75.959999999999994"/>
    <s v="Medium"/>
    <n v="2"/>
    <n v="0"/>
    <x v="0"/>
    <x v="0"/>
    <n v="22.788"/>
    <n v="0.30000000000000004"/>
    <n v="0"/>
  </r>
  <r>
    <n v="113"/>
    <s v="CA-2016-128867"/>
    <d v="2016-11-03T00:00:00"/>
    <x v="0"/>
    <s v="Q4"/>
    <x v="0"/>
    <d v="2016-11-10T00:00:00"/>
    <s v="Standard Class"/>
    <x v="52"/>
    <x v="52"/>
    <s v="Consumer"/>
    <s v="United States"/>
    <s v="Urbandale"/>
    <x v="23"/>
    <n v="50322"/>
    <x v="2"/>
    <x v="109"/>
    <x v="1"/>
    <x v="8"/>
    <x v="109"/>
    <n v="27.24"/>
    <s v="Medium"/>
    <n v="6"/>
    <n v="0"/>
    <x v="0"/>
    <x v="0"/>
    <n v="13.3476"/>
    <n v="0.49000000000000005"/>
    <n v="0"/>
  </r>
  <r>
    <n v="114"/>
    <s v="CA-2014-115259"/>
    <d v="2014-08-25T00:00:00"/>
    <x v="2"/>
    <s v="Q3"/>
    <x v="9"/>
    <d v="2014-08-27T00:00:00"/>
    <s v="Second Class"/>
    <x v="53"/>
    <x v="53"/>
    <s v="Consumer"/>
    <s v="United States"/>
    <s v="Columbus"/>
    <x v="24"/>
    <n v="43229"/>
    <x v="3"/>
    <x v="110"/>
    <x v="1"/>
    <x v="13"/>
    <x v="110"/>
    <n v="40.095999999999997"/>
    <s v="Medium"/>
    <n v="14"/>
    <n v="0.2"/>
    <x v="2"/>
    <x v="2"/>
    <n v="14.534800000000001"/>
    <n v="0.36250000000000004"/>
    <n v="0"/>
  </r>
  <r>
    <n v="115"/>
    <s v="CA-2014-115259"/>
    <d v="2014-08-25T00:00:00"/>
    <x v="2"/>
    <s v="Q3"/>
    <x v="9"/>
    <d v="2014-08-27T00:00:00"/>
    <s v="Second Class"/>
    <x v="53"/>
    <x v="53"/>
    <s v="Consumer"/>
    <s v="United States"/>
    <s v="Columbus"/>
    <x v="24"/>
    <n v="43229"/>
    <x v="3"/>
    <x v="111"/>
    <x v="1"/>
    <x v="12"/>
    <x v="111"/>
    <n v="4.72"/>
    <s v="Low"/>
    <n v="2"/>
    <n v="0.2"/>
    <x v="2"/>
    <x v="2"/>
    <n v="1.6519999999999999"/>
    <n v="0.35"/>
    <n v="0"/>
  </r>
  <r>
    <n v="116"/>
    <s v="CA-2014-115259"/>
    <d v="2014-08-25T00:00:00"/>
    <x v="2"/>
    <s v="Q3"/>
    <x v="9"/>
    <d v="2014-08-27T00:00:00"/>
    <s v="Second Class"/>
    <x v="53"/>
    <x v="53"/>
    <s v="Consumer"/>
    <s v="United States"/>
    <s v="Columbus"/>
    <x v="24"/>
    <n v="43229"/>
    <x v="3"/>
    <x v="112"/>
    <x v="1"/>
    <x v="10"/>
    <x v="112"/>
    <n v="23.975999999999999"/>
    <s v="Low"/>
    <n v="3"/>
    <n v="0.2"/>
    <x v="2"/>
    <x v="2"/>
    <n v="7.4924999999999997"/>
    <n v="0.3125"/>
    <n v="0"/>
  </r>
  <r>
    <n v="117"/>
    <s v="CA-2014-115259"/>
    <d v="2014-08-25T00:00:00"/>
    <x v="2"/>
    <s v="Q3"/>
    <x v="9"/>
    <d v="2014-08-27T00:00:00"/>
    <s v="Second Class"/>
    <x v="53"/>
    <x v="53"/>
    <s v="Consumer"/>
    <s v="United States"/>
    <s v="Columbus"/>
    <x v="24"/>
    <n v="43229"/>
    <x v="3"/>
    <x v="113"/>
    <x v="1"/>
    <x v="12"/>
    <x v="113"/>
    <n v="130.464"/>
    <s v="High"/>
    <n v="6"/>
    <n v="0.2"/>
    <x v="2"/>
    <x v="2"/>
    <n v="44.031599999999997"/>
    <n v="0.33749999999999997"/>
    <n v="0"/>
  </r>
  <r>
    <n v="118"/>
    <s v="CA-2015-110457"/>
    <d v="2015-03-02T00:00:00"/>
    <x v="1"/>
    <s v="Q1"/>
    <x v="29"/>
    <d v="2015-03-06T00:00:00"/>
    <s v="Standard Class"/>
    <x v="54"/>
    <x v="54"/>
    <s v="Consumer"/>
    <s v="United States"/>
    <s v="Seattle"/>
    <x v="4"/>
    <n v="98103"/>
    <x v="1"/>
    <x v="114"/>
    <x v="0"/>
    <x v="3"/>
    <x v="114"/>
    <n v="787.53"/>
    <s v="High"/>
    <n v="3"/>
    <n v="0"/>
    <x v="0"/>
    <x v="0"/>
    <n v="165.38130000000001"/>
    <n v="0.21000000000000002"/>
    <n v="0"/>
  </r>
  <r>
    <n v="119"/>
    <s v="US-2015-136476"/>
    <d v="2015-04-05T00:00:00"/>
    <x v="1"/>
    <s v="Q2"/>
    <x v="19"/>
    <d v="2015-04-10T00:00:00"/>
    <s v="Standard Class"/>
    <x v="55"/>
    <x v="55"/>
    <s v="Corporate"/>
    <s v="United States"/>
    <s v="Bristol"/>
    <x v="18"/>
    <n v="37620"/>
    <x v="0"/>
    <x v="115"/>
    <x v="1"/>
    <x v="8"/>
    <x v="115"/>
    <n v="157.79400000000001"/>
    <s v="High"/>
    <n v="1"/>
    <n v="0.7"/>
    <x v="1"/>
    <x v="5"/>
    <n v="-115.71559999999999"/>
    <n v="-0.73333333333333328"/>
    <n v="1"/>
  </r>
  <r>
    <n v="120"/>
    <s v="CA-2016-103730"/>
    <d v="2016-06-12T00:00:00"/>
    <x v="0"/>
    <s v="Q2"/>
    <x v="1"/>
    <d v="2016-06-15T00:00:00"/>
    <s v="First Class"/>
    <x v="56"/>
    <x v="56"/>
    <s v="Consumer"/>
    <s v="United States"/>
    <s v="Wilmington"/>
    <x v="13"/>
    <n v="19805"/>
    <x v="3"/>
    <x v="116"/>
    <x v="0"/>
    <x v="5"/>
    <x v="116"/>
    <n v="47.04"/>
    <s v="Medium"/>
    <n v="3"/>
    <n v="0"/>
    <x v="0"/>
    <x v="0"/>
    <n v="18.345600000000001"/>
    <n v="0.39"/>
    <n v="0"/>
  </r>
  <r>
    <n v="121"/>
    <s v="CA-2016-103730"/>
    <d v="2016-06-12T00:00:00"/>
    <x v="0"/>
    <s v="Q2"/>
    <x v="1"/>
    <d v="2016-06-15T00:00:00"/>
    <s v="First Class"/>
    <x v="56"/>
    <x v="56"/>
    <s v="Consumer"/>
    <s v="United States"/>
    <s v="Wilmington"/>
    <x v="13"/>
    <n v="19805"/>
    <x v="3"/>
    <x v="8"/>
    <x v="1"/>
    <x v="8"/>
    <x v="8"/>
    <n v="30.84"/>
    <s v="Medium"/>
    <n v="4"/>
    <n v="0"/>
    <x v="0"/>
    <x v="0"/>
    <n v="13.878"/>
    <n v="0.45"/>
    <n v="0"/>
  </r>
  <r>
    <n v="122"/>
    <s v="CA-2016-103730"/>
    <d v="2016-06-12T00:00:00"/>
    <x v="0"/>
    <s v="Q2"/>
    <x v="1"/>
    <d v="2016-06-15T00:00:00"/>
    <s v="First Class"/>
    <x v="56"/>
    <x v="56"/>
    <s v="Consumer"/>
    <s v="United States"/>
    <s v="Wilmington"/>
    <x v="13"/>
    <n v="19805"/>
    <x v="3"/>
    <x v="117"/>
    <x v="1"/>
    <x v="4"/>
    <x v="117"/>
    <n v="226.56"/>
    <s v="High"/>
    <n v="6"/>
    <n v="0"/>
    <x v="0"/>
    <x v="0"/>
    <n v="63.436799999999998"/>
    <n v="0.27999999999999997"/>
    <n v="0"/>
  </r>
  <r>
    <n v="123"/>
    <s v="CA-2016-103730"/>
    <d v="2016-06-12T00:00:00"/>
    <x v="0"/>
    <s v="Q2"/>
    <x v="1"/>
    <d v="2016-06-15T00:00:00"/>
    <s v="First Class"/>
    <x v="56"/>
    <x v="56"/>
    <s v="Consumer"/>
    <s v="United States"/>
    <s v="Wilmington"/>
    <x v="13"/>
    <n v="19805"/>
    <x v="3"/>
    <x v="118"/>
    <x v="1"/>
    <x v="12"/>
    <x v="118"/>
    <n v="115.02"/>
    <s v="Medium"/>
    <n v="9"/>
    <n v="0"/>
    <x v="0"/>
    <x v="0"/>
    <n v="51.759"/>
    <n v="0.45"/>
    <n v="0"/>
  </r>
  <r>
    <n v="124"/>
    <s v="CA-2016-103730"/>
    <d v="2016-06-12T00:00:00"/>
    <x v="0"/>
    <s v="Q2"/>
    <x v="1"/>
    <d v="2016-06-15T00:00:00"/>
    <s v="First Class"/>
    <x v="56"/>
    <x v="56"/>
    <s v="Consumer"/>
    <s v="United States"/>
    <s v="Wilmington"/>
    <x v="13"/>
    <n v="19805"/>
    <x v="3"/>
    <x v="119"/>
    <x v="2"/>
    <x v="7"/>
    <x v="119"/>
    <n v="68.040000000000006"/>
    <s v="Medium"/>
    <n v="7"/>
    <n v="0"/>
    <x v="0"/>
    <x v="0"/>
    <n v="19.7316"/>
    <n v="0.28999999999999998"/>
    <n v="0"/>
  </r>
  <r>
    <n v="125"/>
    <s v="US-2014-152030"/>
    <d v="2014-12-26T00:00:00"/>
    <x v="2"/>
    <s v="Q4"/>
    <x v="20"/>
    <d v="2014-12-28T00:00:00"/>
    <s v="Second Class"/>
    <x v="57"/>
    <x v="57"/>
    <s v="Home Office"/>
    <s v="United States"/>
    <s v="Houston"/>
    <x v="5"/>
    <n v="77041"/>
    <x v="2"/>
    <x v="120"/>
    <x v="0"/>
    <x v="1"/>
    <x v="120"/>
    <n v="600.55799999999999"/>
    <s v="High"/>
    <n v="3"/>
    <n v="0.3"/>
    <x v="1"/>
    <x v="4"/>
    <n v="-8.5793999999999997"/>
    <n v="-1.4285714285714285E-2"/>
    <n v="1"/>
  </r>
  <r>
    <n v="126"/>
    <s v="US-2014-134614"/>
    <d v="2014-09-20T00:00:00"/>
    <x v="2"/>
    <s v="Q3"/>
    <x v="30"/>
    <d v="2014-09-25T00:00:00"/>
    <s v="Standard Class"/>
    <x v="58"/>
    <x v="58"/>
    <s v="Consumer"/>
    <s v="United States"/>
    <s v="Bloomington"/>
    <x v="10"/>
    <n v="61701"/>
    <x v="2"/>
    <x v="121"/>
    <x v="0"/>
    <x v="3"/>
    <x v="121"/>
    <n v="617.70000000000005"/>
    <s v="High"/>
    <n v="6"/>
    <n v="0.5"/>
    <x v="1"/>
    <x v="1"/>
    <n v="-407.68200000000002"/>
    <n v="-0.66"/>
    <n v="1"/>
  </r>
  <r>
    <n v="127"/>
    <s v="US-2017-107272"/>
    <d v="2017-11-05T00:00:00"/>
    <x v="3"/>
    <s v="Q4"/>
    <x v="23"/>
    <d v="2017-11-12T00:00:00"/>
    <s v="Standard Class"/>
    <x v="59"/>
    <x v="59"/>
    <s v="Consumer"/>
    <s v="United States"/>
    <s v="Phoenix"/>
    <x v="16"/>
    <n v="85023"/>
    <x v="1"/>
    <x v="122"/>
    <x v="1"/>
    <x v="8"/>
    <x v="122"/>
    <n v="2.3879999999999999"/>
    <s v="Low"/>
    <n v="2"/>
    <n v="0.7"/>
    <x v="1"/>
    <x v="5"/>
    <n v="-1.8308"/>
    <n v="-0.76666666666666672"/>
    <n v="1"/>
  </r>
  <r>
    <n v="128"/>
    <s v="US-2017-107272"/>
    <d v="2017-11-05T00:00:00"/>
    <x v="3"/>
    <s v="Q4"/>
    <x v="23"/>
    <d v="2017-11-12T00:00:00"/>
    <s v="Standard Class"/>
    <x v="59"/>
    <x v="59"/>
    <s v="Consumer"/>
    <s v="United States"/>
    <s v="Phoenix"/>
    <x v="16"/>
    <n v="85023"/>
    <x v="1"/>
    <x v="123"/>
    <x v="1"/>
    <x v="4"/>
    <x v="123"/>
    <n v="243.99199999999999"/>
    <s v="High"/>
    <n v="7"/>
    <n v="0.2"/>
    <x v="2"/>
    <x v="2"/>
    <n v="30.498999999999999"/>
    <n v="0.125"/>
    <n v="0"/>
  </r>
  <r>
    <n v="129"/>
    <s v="US-2016-125969"/>
    <d v="2016-11-06T00:00:00"/>
    <x v="0"/>
    <s v="Q4"/>
    <x v="0"/>
    <d v="2016-11-10T00:00:00"/>
    <s v="Second Class"/>
    <x v="60"/>
    <x v="60"/>
    <s v="Home Office"/>
    <s v="United States"/>
    <s v="Los Angeles"/>
    <x v="1"/>
    <n v="90004"/>
    <x v="1"/>
    <x v="64"/>
    <x v="0"/>
    <x v="1"/>
    <x v="124"/>
    <n v="81.424000000000007"/>
    <s v="Medium"/>
    <n v="2"/>
    <n v="0.2"/>
    <x v="2"/>
    <x v="2"/>
    <n v="-9.1601999999999997"/>
    <n v="-0.11249999999999999"/>
    <n v="1"/>
  </r>
  <r>
    <n v="130"/>
    <s v="US-2016-125969"/>
    <d v="2016-11-06T00:00:00"/>
    <x v="0"/>
    <s v="Q4"/>
    <x v="0"/>
    <d v="2016-11-10T00:00:00"/>
    <s v="Second Class"/>
    <x v="60"/>
    <x v="60"/>
    <s v="Home Office"/>
    <s v="United States"/>
    <s v="Los Angeles"/>
    <x v="1"/>
    <n v="90004"/>
    <x v="1"/>
    <x v="124"/>
    <x v="0"/>
    <x v="5"/>
    <x v="125"/>
    <n v="238.56"/>
    <s v="High"/>
    <n v="3"/>
    <n v="0"/>
    <x v="0"/>
    <x v="0"/>
    <n v="26.241599999999998"/>
    <n v="0.10999999999999999"/>
    <n v="0"/>
  </r>
  <r>
    <n v="131"/>
    <s v="US-2017-164147"/>
    <d v="2017-02-02T00:00:00"/>
    <x v="3"/>
    <s v="Q1"/>
    <x v="31"/>
    <d v="2017-02-05T00:00:00"/>
    <s v="First Class"/>
    <x v="61"/>
    <x v="61"/>
    <s v="Corporate"/>
    <s v="United States"/>
    <s v="Columbus"/>
    <x v="24"/>
    <n v="43229"/>
    <x v="3"/>
    <x v="125"/>
    <x v="2"/>
    <x v="7"/>
    <x v="126"/>
    <n v="59.97"/>
    <s v="Medium"/>
    <n v="5"/>
    <n v="0.4"/>
    <x v="1"/>
    <x v="7"/>
    <n v="-11.994"/>
    <n v="-0.2"/>
    <n v="1"/>
  </r>
  <r>
    <n v="132"/>
    <s v="US-2017-164147"/>
    <d v="2017-02-02T00:00:00"/>
    <x v="3"/>
    <s v="Q1"/>
    <x v="31"/>
    <d v="2017-02-05T00:00:00"/>
    <s v="First Class"/>
    <x v="61"/>
    <x v="61"/>
    <s v="Corporate"/>
    <s v="United States"/>
    <s v="Columbus"/>
    <x v="24"/>
    <n v="43229"/>
    <x v="3"/>
    <x v="126"/>
    <x v="1"/>
    <x v="10"/>
    <x v="127"/>
    <n v="78.304000000000002"/>
    <s v="Medium"/>
    <n v="2"/>
    <n v="0.2"/>
    <x v="2"/>
    <x v="2"/>
    <n v="29.364000000000001"/>
    <n v="0.375"/>
    <n v="0"/>
  </r>
  <r>
    <n v="133"/>
    <s v="US-2017-164147"/>
    <d v="2017-02-02T00:00:00"/>
    <x v="3"/>
    <s v="Q1"/>
    <x v="31"/>
    <d v="2017-02-05T00:00:00"/>
    <s v="First Class"/>
    <x v="61"/>
    <x v="61"/>
    <s v="Corporate"/>
    <s v="United States"/>
    <s v="Columbus"/>
    <x v="24"/>
    <n v="43229"/>
    <x v="3"/>
    <x v="127"/>
    <x v="1"/>
    <x v="13"/>
    <x v="128"/>
    <n v="21.456"/>
    <s v="Low"/>
    <n v="9"/>
    <n v="0.2"/>
    <x v="2"/>
    <x v="2"/>
    <n v="6.9732000000000003"/>
    <n v="0.32500000000000001"/>
    <n v="0"/>
  </r>
  <r>
    <n v="134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128"/>
    <x v="1"/>
    <x v="10"/>
    <x v="129"/>
    <n v="20.04"/>
    <s v="Low"/>
    <n v="3"/>
    <n v="0"/>
    <x v="0"/>
    <x v="0"/>
    <n v="9.6191999999999993"/>
    <n v="0.48"/>
    <n v="0"/>
  </r>
  <r>
    <n v="135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129"/>
    <x v="1"/>
    <x v="10"/>
    <x v="130"/>
    <n v="35.44"/>
    <s v="Medium"/>
    <n v="1"/>
    <n v="0"/>
    <x v="0"/>
    <x v="0"/>
    <n v="16.6568"/>
    <n v="0.47000000000000003"/>
    <n v="0"/>
  </r>
  <r>
    <n v="136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130"/>
    <x v="1"/>
    <x v="6"/>
    <x v="131"/>
    <n v="11.52"/>
    <s v="Low"/>
    <n v="4"/>
    <n v="0"/>
    <x v="0"/>
    <x v="0"/>
    <n v="3.456"/>
    <n v="0.3"/>
    <n v="0"/>
  </r>
  <r>
    <n v="137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131"/>
    <x v="1"/>
    <x v="13"/>
    <x v="132"/>
    <n v="4.0199999999999996"/>
    <s v="Low"/>
    <n v="2"/>
    <n v="0"/>
    <x v="0"/>
    <x v="0"/>
    <n v="1.9698"/>
    <n v="0.49000000000000005"/>
    <n v="0"/>
  </r>
  <r>
    <n v="138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132"/>
    <x v="1"/>
    <x v="8"/>
    <x v="133"/>
    <n v="76.176000000000002"/>
    <s v="Medium"/>
    <n v="3"/>
    <n v="0.2"/>
    <x v="2"/>
    <x v="2"/>
    <n v="26.6616"/>
    <n v="0.35"/>
    <n v="0"/>
  </r>
  <r>
    <n v="139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133"/>
    <x v="1"/>
    <x v="14"/>
    <x v="134"/>
    <n v="65.88"/>
    <s v="Medium"/>
    <n v="6"/>
    <n v="0"/>
    <x v="0"/>
    <x v="0"/>
    <n v="18.446400000000001"/>
    <n v="0.28000000000000003"/>
    <n v="0"/>
  </r>
  <r>
    <n v="140"/>
    <s v="CA-2016-145583"/>
    <d v="2016-10-13T00:00:00"/>
    <x v="0"/>
    <s v="Q4"/>
    <x v="32"/>
    <d v="2016-10-19T00:00:00"/>
    <s v="Standard Class"/>
    <x v="62"/>
    <x v="62"/>
    <s v="Consumer"/>
    <s v="United States"/>
    <s v="Roseville"/>
    <x v="1"/>
    <n v="95661"/>
    <x v="1"/>
    <x v="50"/>
    <x v="0"/>
    <x v="5"/>
    <x v="50"/>
    <n v="43.12"/>
    <s v="Medium"/>
    <n v="14"/>
    <n v="0"/>
    <x v="0"/>
    <x v="0"/>
    <n v="20.697600000000001"/>
    <n v="0.48000000000000004"/>
    <n v="0"/>
  </r>
  <r>
    <n v="141"/>
    <s v="CA-2016-110366"/>
    <d v="2016-09-05T00:00:00"/>
    <x v="0"/>
    <s v="Q3"/>
    <x v="21"/>
    <d v="2016-09-07T00:00:00"/>
    <s v="Second Class"/>
    <x v="63"/>
    <x v="63"/>
    <s v="Corporate"/>
    <s v="United States"/>
    <s v="Philadelphia"/>
    <x v="9"/>
    <n v="19140"/>
    <x v="3"/>
    <x v="28"/>
    <x v="0"/>
    <x v="5"/>
    <x v="28"/>
    <n v="82.8"/>
    <s v="Medium"/>
    <n v="2"/>
    <n v="0.2"/>
    <x v="2"/>
    <x v="2"/>
    <n v="10.35"/>
    <n v="0.125"/>
    <n v="0"/>
  </r>
  <r>
    <n v="142"/>
    <s v="CA-2017-106180"/>
    <d v="2017-09-18T00:00:00"/>
    <x v="3"/>
    <s v="Q3"/>
    <x v="15"/>
    <d v="2017-09-23T00:00:00"/>
    <s v="Standard Class"/>
    <x v="64"/>
    <x v="64"/>
    <s v="Corporate"/>
    <s v="United States"/>
    <s v="San Francisco"/>
    <x v="1"/>
    <n v="94122"/>
    <x v="1"/>
    <x v="134"/>
    <x v="1"/>
    <x v="6"/>
    <x v="135"/>
    <n v="8.82"/>
    <s v="Low"/>
    <n v="3"/>
    <n v="0"/>
    <x v="0"/>
    <x v="0"/>
    <n v="2.3814000000000002"/>
    <n v="0.27"/>
    <n v="0"/>
  </r>
  <r>
    <n v="143"/>
    <s v="CA-2017-106180"/>
    <d v="2017-09-18T00:00:00"/>
    <x v="3"/>
    <s v="Q3"/>
    <x v="15"/>
    <d v="2017-09-23T00:00:00"/>
    <s v="Standard Class"/>
    <x v="64"/>
    <x v="64"/>
    <s v="Corporate"/>
    <s v="United States"/>
    <s v="San Francisco"/>
    <x v="1"/>
    <n v="94122"/>
    <x v="1"/>
    <x v="135"/>
    <x v="1"/>
    <x v="12"/>
    <x v="136"/>
    <n v="10.86"/>
    <s v="Low"/>
    <n v="3"/>
    <n v="0"/>
    <x v="0"/>
    <x v="0"/>
    <n v="5.1041999999999996"/>
    <n v="0.47"/>
    <n v="0"/>
  </r>
  <r>
    <n v="144"/>
    <s v="CA-2017-106180"/>
    <d v="2017-09-18T00:00:00"/>
    <x v="3"/>
    <s v="Q3"/>
    <x v="15"/>
    <d v="2017-09-23T00:00:00"/>
    <s v="Standard Class"/>
    <x v="64"/>
    <x v="64"/>
    <s v="Corporate"/>
    <s v="United States"/>
    <s v="San Francisco"/>
    <x v="1"/>
    <n v="94122"/>
    <x v="1"/>
    <x v="136"/>
    <x v="1"/>
    <x v="10"/>
    <x v="137"/>
    <n v="143.69999999999999"/>
    <s v="High"/>
    <n v="3"/>
    <n v="0"/>
    <x v="0"/>
    <x v="0"/>
    <n v="68.975999999999999"/>
    <n v="0.48000000000000004"/>
    <n v="0"/>
  </r>
  <r>
    <n v="145"/>
    <s v="CA-2017-155376"/>
    <d v="2017-12-22T00:00:00"/>
    <x v="3"/>
    <s v="Q4"/>
    <x v="22"/>
    <d v="2017-12-27T00:00:00"/>
    <s v="Standard Class"/>
    <x v="65"/>
    <x v="65"/>
    <s v="Consumer"/>
    <s v="United States"/>
    <s v="Independence"/>
    <x v="25"/>
    <n v="64055"/>
    <x v="2"/>
    <x v="137"/>
    <x v="1"/>
    <x v="9"/>
    <x v="138"/>
    <n v="839.43"/>
    <s v="High"/>
    <n v="3"/>
    <n v="0"/>
    <x v="0"/>
    <x v="0"/>
    <n v="218.2518"/>
    <n v="0.26"/>
    <n v="0"/>
  </r>
  <r>
    <n v="146"/>
    <s v="CA-2015-110744"/>
    <d v="2015-09-07T00:00:00"/>
    <x v="1"/>
    <s v="Q3"/>
    <x v="11"/>
    <d v="2015-09-12T00:00:00"/>
    <s v="Standard Class"/>
    <x v="66"/>
    <x v="66"/>
    <s v="Consumer"/>
    <s v="United States"/>
    <s v="Pasadena"/>
    <x v="1"/>
    <n v="91104"/>
    <x v="1"/>
    <x v="82"/>
    <x v="1"/>
    <x v="4"/>
    <x v="82"/>
    <n v="671.93"/>
    <s v="High"/>
    <n v="7"/>
    <n v="0"/>
    <x v="0"/>
    <x v="0"/>
    <n v="20.157900000000001"/>
    <n v="3.0000000000000006E-2"/>
    <n v="0"/>
  </r>
  <r>
    <n v="147"/>
    <s v="CA-2014-110072"/>
    <d v="2014-10-22T00:00:00"/>
    <x v="2"/>
    <s v="Q4"/>
    <x v="18"/>
    <d v="2014-10-28T00:00:00"/>
    <s v="Standard Class"/>
    <x v="67"/>
    <x v="67"/>
    <s v="Home Office"/>
    <s v="United States"/>
    <s v="Newark"/>
    <x v="24"/>
    <n v="43055"/>
    <x v="3"/>
    <x v="138"/>
    <x v="0"/>
    <x v="5"/>
    <x v="139"/>
    <n v="93.888000000000005"/>
    <s v="Medium"/>
    <n v="4"/>
    <n v="0.2"/>
    <x v="2"/>
    <x v="2"/>
    <n v="12.909599999999999"/>
    <n v="0.13749999999999998"/>
    <n v="0"/>
  </r>
  <r>
    <n v="148"/>
    <s v="CA-2016-114489"/>
    <d v="2016-12-05T00:00:00"/>
    <x v="0"/>
    <s v="Q4"/>
    <x v="5"/>
    <d v="2016-12-09T00:00:00"/>
    <s v="Standard Class"/>
    <x v="68"/>
    <x v="68"/>
    <s v="Corporate"/>
    <s v="United States"/>
    <s v="Franklin"/>
    <x v="6"/>
    <n v="53132"/>
    <x v="2"/>
    <x v="139"/>
    <x v="2"/>
    <x v="7"/>
    <x v="140"/>
    <n v="384.45"/>
    <s v="High"/>
    <n v="11"/>
    <n v="0"/>
    <x v="0"/>
    <x v="0"/>
    <n v="103.8015"/>
    <n v="0.27"/>
    <n v="0"/>
  </r>
  <r>
    <n v="149"/>
    <s v="CA-2016-114489"/>
    <d v="2016-12-05T00:00:00"/>
    <x v="0"/>
    <s v="Q4"/>
    <x v="5"/>
    <d v="2016-12-09T00:00:00"/>
    <s v="Standard Class"/>
    <x v="68"/>
    <x v="68"/>
    <s v="Corporate"/>
    <s v="United States"/>
    <s v="Franklin"/>
    <x v="6"/>
    <n v="53132"/>
    <x v="2"/>
    <x v="140"/>
    <x v="2"/>
    <x v="7"/>
    <x v="141"/>
    <n v="149.97"/>
    <s v="High"/>
    <n v="3"/>
    <n v="0"/>
    <x v="0"/>
    <x v="0"/>
    <n v="5.9988000000000001"/>
    <n v="0.04"/>
    <n v="0"/>
  </r>
  <r>
    <n v="150"/>
    <s v="CA-2016-114489"/>
    <d v="2016-12-05T00:00:00"/>
    <x v="0"/>
    <s v="Q4"/>
    <x v="5"/>
    <d v="2016-12-09T00:00:00"/>
    <s v="Standard Class"/>
    <x v="68"/>
    <x v="68"/>
    <s v="Corporate"/>
    <s v="United States"/>
    <s v="Franklin"/>
    <x v="6"/>
    <n v="53132"/>
    <x v="2"/>
    <x v="1"/>
    <x v="0"/>
    <x v="1"/>
    <x v="1"/>
    <n v="1951.84"/>
    <s v="High"/>
    <n v="8"/>
    <n v="0"/>
    <x v="0"/>
    <x v="0"/>
    <n v="585.55200000000002"/>
    <n v="0.30000000000000004"/>
    <n v="0"/>
  </r>
  <r>
    <n v="151"/>
    <s v="CA-2016-114489"/>
    <d v="2016-12-05T00:00:00"/>
    <x v="0"/>
    <s v="Q4"/>
    <x v="5"/>
    <d v="2016-12-09T00:00:00"/>
    <s v="Standard Class"/>
    <x v="68"/>
    <x v="68"/>
    <s v="Corporate"/>
    <s v="United States"/>
    <s v="Franklin"/>
    <x v="6"/>
    <n v="53132"/>
    <x v="2"/>
    <x v="141"/>
    <x v="1"/>
    <x v="8"/>
    <x v="142"/>
    <n v="171.55"/>
    <s v="High"/>
    <n v="5"/>
    <n v="0"/>
    <x v="0"/>
    <x v="0"/>
    <n v="80.628500000000003"/>
    <n v="0.47"/>
    <n v="0"/>
  </r>
  <r>
    <n v="152"/>
    <s v="CA-2016-158834"/>
    <d v="2016-03-13T00:00:00"/>
    <x v="0"/>
    <s v="Q1"/>
    <x v="17"/>
    <d v="2016-03-16T00:00:00"/>
    <s v="First Class"/>
    <x v="69"/>
    <x v="69"/>
    <s v="Home Office"/>
    <s v="United States"/>
    <s v="Scottsdale"/>
    <x v="16"/>
    <n v="85254"/>
    <x v="1"/>
    <x v="142"/>
    <x v="1"/>
    <x v="9"/>
    <x v="143"/>
    <n v="157.91999999999999"/>
    <s v="High"/>
    <n v="5"/>
    <n v="0.2"/>
    <x v="2"/>
    <x v="2"/>
    <n v="17.765999999999998"/>
    <n v="0.1125"/>
    <n v="0"/>
  </r>
  <r>
    <n v="153"/>
    <s v="CA-2016-158834"/>
    <d v="2016-03-13T00:00:00"/>
    <x v="0"/>
    <s v="Q1"/>
    <x v="17"/>
    <d v="2016-03-16T00:00:00"/>
    <s v="First Class"/>
    <x v="69"/>
    <x v="69"/>
    <s v="Home Office"/>
    <s v="United States"/>
    <s v="Scottsdale"/>
    <x v="16"/>
    <n v="85254"/>
    <x v="1"/>
    <x v="143"/>
    <x v="2"/>
    <x v="7"/>
    <x v="144"/>
    <n v="203.184"/>
    <s v="High"/>
    <n v="2"/>
    <n v="0.2"/>
    <x v="2"/>
    <x v="2"/>
    <n v="15.238799999999999"/>
    <n v="7.4999999999999997E-2"/>
    <n v="0"/>
  </r>
  <r>
    <n v="154"/>
    <s v="CA-2015-124919"/>
    <d v="2015-05-31T00:00:00"/>
    <x v="1"/>
    <s v="Q2"/>
    <x v="33"/>
    <d v="2015-06-02T00:00:00"/>
    <s v="First Class"/>
    <x v="70"/>
    <x v="70"/>
    <s v="Corporate"/>
    <s v="United States"/>
    <s v="San Jose"/>
    <x v="1"/>
    <n v="95123"/>
    <x v="1"/>
    <x v="144"/>
    <x v="1"/>
    <x v="10"/>
    <x v="145"/>
    <n v="58.38"/>
    <s v="Medium"/>
    <n v="7"/>
    <n v="0"/>
    <x v="0"/>
    <x v="0"/>
    <n v="26.271000000000001"/>
    <n v="0.45"/>
    <n v="0"/>
  </r>
  <r>
    <n v="155"/>
    <s v="CA-2015-124919"/>
    <d v="2015-05-31T00:00:00"/>
    <x v="1"/>
    <s v="Q2"/>
    <x v="33"/>
    <d v="2015-06-02T00:00:00"/>
    <s v="First Class"/>
    <x v="70"/>
    <x v="70"/>
    <s v="Corporate"/>
    <s v="United States"/>
    <s v="San Jose"/>
    <x v="1"/>
    <n v="95123"/>
    <x v="1"/>
    <x v="145"/>
    <x v="1"/>
    <x v="10"/>
    <x v="146"/>
    <n v="105.52"/>
    <s v="Medium"/>
    <n v="4"/>
    <n v="0"/>
    <x v="0"/>
    <x v="0"/>
    <n v="48.539200000000001"/>
    <n v="0.46"/>
    <n v="0"/>
  </r>
  <r>
    <n v="156"/>
    <s v="CA-2015-124919"/>
    <d v="2015-05-31T00:00:00"/>
    <x v="1"/>
    <s v="Q2"/>
    <x v="33"/>
    <d v="2015-06-02T00:00:00"/>
    <s v="First Class"/>
    <x v="70"/>
    <x v="70"/>
    <s v="Corporate"/>
    <s v="United States"/>
    <s v="San Jose"/>
    <x v="1"/>
    <n v="95123"/>
    <x v="1"/>
    <x v="146"/>
    <x v="1"/>
    <x v="4"/>
    <x v="147"/>
    <n v="80.88"/>
    <s v="Medium"/>
    <n v="6"/>
    <n v="0"/>
    <x v="0"/>
    <x v="0"/>
    <n v="21.0288"/>
    <n v="0.26"/>
    <n v="0"/>
  </r>
  <r>
    <n v="157"/>
    <s v="CA-2015-118948"/>
    <d v="2015-05-28T00:00:00"/>
    <x v="1"/>
    <s v="Q2"/>
    <x v="33"/>
    <d v="2015-06-03T00:00:00"/>
    <s v="Standard Class"/>
    <x v="71"/>
    <x v="71"/>
    <s v="Home Office"/>
    <s v="United States"/>
    <s v="Seattle"/>
    <x v="4"/>
    <n v="98105"/>
    <x v="1"/>
    <x v="147"/>
    <x v="1"/>
    <x v="6"/>
    <x v="148"/>
    <n v="6.63"/>
    <s v="Low"/>
    <n v="3"/>
    <n v="0"/>
    <x v="0"/>
    <x v="0"/>
    <n v="1.7901"/>
    <n v="0.27"/>
    <n v="0"/>
  </r>
  <r>
    <n v="158"/>
    <s v="CA-2014-104269"/>
    <d v="2014-03-01T00:00:00"/>
    <x v="2"/>
    <s v="Q1"/>
    <x v="34"/>
    <d v="2014-03-06T00:00:00"/>
    <s v="Second Class"/>
    <x v="72"/>
    <x v="72"/>
    <s v="Consumer"/>
    <s v="United States"/>
    <s v="Seattle"/>
    <x v="4"/>
    <n v="98115"/>
    <x v="1"/>
    <x v="120"/>
    <x v="0"/>
    <x v="1"/>
    <x v="120"/>
    <n v="457.56799999999998"/>
    <s v="High"/>
    <n v="2"/>
    <n v="0.2"/>
    <x v="2"/>
    <x v="2"/>
    <n v="51.476399999999998"/>
    <n v="0.1125"/>
    <n v="0"/>
  </r>
  <r>
    <n v="159"/>
    <s v="CA-2016-114104"/>
    <d v="2016-11-20T00:00:00"/>
    <x v="0"/>
    <s v="Q4"/>
    <x v="0"/>
    <d v="2016-11-24T00:00:00"/>
    <s v="Standard Class"/>
    <x v="73"/>
    <x v="73"/>
    <s v="Consumer"/>
    <s v="United States"/>
    <s v="Edmond"/>
    <x v="26"/>
    <n v="73034"/>
    <x v="2"/>
    <x v="148"/>
    <x v="1"/>
    <x v="2"/>
    <x v="149"/>
    <n v="14.62"/>
    <s v="Low"/>
    <n v="2"/>
    <n v="0"/>
    <x v="0"/>
    <x v="0"/>
    <n v="6.8714000000000004"/>
    <n v="0.47000000000000003"/>
    <n v="0"/>
  </r>
  <r>
    <n v="160"/>
    <s v="CA-2016-114104"/>
    <d v="2016-11-20T00:00:00"/>
    <x v="0"/>
    <s v="Q4"/>
    <x v="0"/>
    <d v="2016-11-24T00:00:00"/>
    <s v="Standard Class"/>
    <x v="73"/>
    <x v="73"/>
    <s v="Consumer"/>
    <s v="United States"/>
    <s v="Edmond"/>
    <x v="26"/>
    <n v="73034"/>
    <x v="2"/>
    <x v="149"/>
    <x v="2"/>
    <x v="7"/>
    <x v="150"/>
    <n v="944.93"/>
    <s v="High"/>
    <n v="7"/>
    <n v="0"/>
    <x v="0"/>
    <x v="0"/>
    <n v="236.23249999999999"/>
    <n v="0.25"/>
    <n v="0"/>
  </r>
  <r>
    <n v="161"/>
    <s v="CA-2016-162733"/>
    <d v="2016-05-11T00:00:00"/>
    <x v="0"/>
    <s v="Q2"/>
    <x v="35"/>
    <d v="2016-05-12T00:00:00"/>
    <s v="First Class"/>
    <x v="74"/>
    <x v="74"/>
    <s v="Consumer"/>
    <s v="United States"/>
    <s v="Los Angeles"/>
    <x v="1"/>
    <n v="90045"/>
    <x v="1"/>
    <x v="150"/>
    <x v="1"/>
    <x v="10"/>
    <x v="151"/>
    <n v="5.98"/>
    <s v="Low"/>
    <n v="1"/>
    <n v="0"/>
    <x v="0"/>
    <x v="0"/>
    <n v="2.6909999999999998"/>
    <n v="0.44999999999999996"/>
    <n v="0"/>
  </r>
  <r>
    <n v="162"/>
    <s v="CA-2015-119697"/>
    <d v="2015-12-28T00:00:00"/>
    <x v="1"/>
    <s v="Q4"/>
    <x v="14"/>
    <d v="2015-12-31T00:00:00"/>
    <s v="Second Class"/>
    <x v="75"/>
    <x v="75"/>
    <s v="Consumer"/>
    <s v="United States"/>
    <s v="Philadelphia"/>
    <x v="9"/>
    <n v="19134"/>
    <x v="3"/>
    <x v="151"/>
    <x v="2"/>
    <x v="11"/>
    <x v="152"/>
    <n v="54.384"/>
    <s v="Medium"/>
    <n v="2"/>
    <n v="0.2"/>
    <x v="2"/>
    <x v="2"/>
    <n v="1.3595999999999999"/>
    <n v="2.4999999999999998E-2"/>
    <n v="0"/>
  </r>
  <r>
    <n v="163"/>
    <s v="CA-2016-154508"/>
    <d v="2016-11-16T00:00:00"/>
    <x v="0"/>
    <s v="Q4"/>
    <x v="0"/>
    <d v="2016-11-20T00:00:00"/>
    <s v="Standard Class"/>
    <x v="76"/>
    <x v="76"/>
    <s v="Consumer"/>
    <s v="United States"/>
    <s v="Carlsbad"/>
    <x v="27"/>
    <n v="88220"/>
    <x v="1"/>
    <x v="152"/>
    <x v="1"/>
    <x v="12"/>
    <x v="153"/>
    <n v="28.4"/>
    <s v="Medium"/>
    <n v="5"/>
    <n v="0"/>
    <x v="0"/>
    <x v="0"/>
    <n v="13.348000000000001"/>
    <n v="0.47000000000000003"/>
    <n v="0"/>
  </r>
  <r>
    <n v="164"/>
    <s v="CA-2016-113817"/>
    <d v="2016-11-07T00:00:00"/>
    <x v="0"/>
    <s v="Q4"/>
    <x v="0"/>
    <d v="2016-11-11T00:00:00"/>
    <s v="Standard Class"/>
    <x v="77"/>
    <x v="77"/>
    <s v="Consumer"/>
    <s v="United States"/>
    <s v="Seattle"/>
    <x v="4"/>
    <n v="98115"/>
    <x v="1"/>
    <x v="153"/>
    <x v="1"/>
    <x v="8"/>
    <x v="154"/>
    <n v="27.68"/>
    <s v="Medium"/>
    <n v="2"/>
    <n v="0.2"/>
    <x v="2"/>
    <x v="2"/>
    <n v="9.6880000000000006"/>
    <n v="0.35000000000000003"/>
    <n v="0"/>
  </r>
  <r>
    <n v="165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54"/>
    <x v="1"/>
    <x v="6"/>
    <x v="155"/>
    <n v="9.9359999999999999"/>
    <s v="Low"/>
    <n v="3"/>
    <n v="0.2"/>
    <x v="2"/>
    <x v="2"/>
    <n v="2.7324000000000002"/>
    <n v="0.27500000000000002"/>
    <n v="0"/>
  </r>
  <r>
    <n v="166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55"/>
    <x v="2"/>
    <x v="15"/>
    <x v="156"/>
    <n v="8159.9520000000002"/>
    <s v="High"/>
    <n v="8"/>
    <n v="0.4"/>
    <x v="1"/>
    <x v="7"/>
    <n v="-1359.992"/>
    <n v="-0.16666666666666666"/>
    <n v="1"/>
  </r>
  <r>
    <n v="167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56"/>
    <x v="1"/>
    <x v="4"/>
    <x v="157"/>
    <n v="275.928"/>
    <s v="High"/>
    <n v="3"/>
    <n v="0.2"/>
    <x v="2"/>
    <x v="2"/>
    <n v="-58.634700000000002"/>
    <n v="-0.21250000000000002"/>
    <n v="1"/>
  </r>
  <r>
    <n v="168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57"/>
    <x v="0"/>
    <x v="1"/>
    <x v="158"/>
    <n v="1740.06"/>
    <s v="High"/>
    <n v="9"/>
    <n v="0.3"/>
    <x v="1"/>
    <x v="4"/>
    <n v="-24.858000000000001"/>
    <n v="-1.4285714285714287E-2"/>
    <n v="1"/>
  </r>
  <r>
    <n v="169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58"/>
    <x v="1"/>
    <x v="6"/>
    <x v="159"/>
    <n v="32.064"/>
    <s v="Medium"/>
    <n v="6"/>
    <n v="0.2"/>
    <x v="2"/>
    <x v="2"/>
    <n v="6.8136000000000001"/>
    <n v="0.21249999999999999"/>
    <n v="0"/>
  </r>
  <r>
    <n v="170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59"/>
    <x v="1"/>
    <x v="9"/>
    <x v="160"/>
    <n v="177.98"/>
    <s v="High"/>
    <n v="5"/>
    <n v="0.8"/>
    <x v="1"/>
    <x v="3"/>
    <n v="-453.84899999999999"/>
    <n v="-2.5500000000000003"/>
    <n v="1"/>
  </r>
  <r>
    <n v="171"/>
    <s v="CA-2014-139892"/>
    <d v="2014-09-08T00:00:00"/>
    <x v="2"/>
    <s v="Q3"/>
    <x v="30"/>
    <d v="2014-09-12T00:00:00"/>
    <s v="Standard Class"/>
    <x v="78"/>
    <x v="78"/>
    <s v="Consumer"/>
    <s v="United States"/>
    <s v="San Antonio"/>
    <x v="5"/>
    <n v="78207"/>
    <x v="2"/>
    <x v="160"/>
    <x v="2"/>
    <x v="7"/>
    <x v="161"/>
    <n v="143.976"/>
    <s v="High"/>
    <n v="3"/>
    <n v="0.2"/>
    <x v="2"/>
    <x v="2"/>
    <n v="8.9984999999999999"/>
    <n v="6.25E-2"/>
    <n v="0"/>
  </r>
  <r>
    <n v="172"/>
    <s v="CA-2014-118962"/>
    <d v="2014-08-05T00:00:00"/>
    <x v="2"/>
    <s v="Q3"/>
    <x v="9"/>
    <d v="2014-08-09T00:00:00"/>
    <s v="Standard Class"/>
    <x v="79"/>
    <x v="79"/>
    <s v="Consumer"/>
    <s v="United States"/>
    <s v="Los Angeles"/>
    <x v="1"/>
    <n v="90004"/>
    <x v="1"/>
    <x v="161"/>
    <x v="1"/>
    <x v="10"/>
    <x v="162"/>
    <n v="20.94"/>
    <s v="Low"/>
    <n v="3"/>
    <n v="0"/>
    <x v="0"/>
    <x v="0"/>
    <n v="9.8417999999999992"/>
    <n v="0.46999999999999992"/>
    <n v="0"/>
  </r>
  <r>
    <n v="173"/>
    <s v="CA-2014-118962"/>
    <d v="2014-08-05T00:00:00"/>
    <x v="2"/>
    <s v="Q3"/>
    <x v="9"/>
    <d v="2014-08-09T00:00:00"/>
    <s v="Standard Class"/>
    <x v="79"/>
    <x v="79"/>
    <s v="Consumer"/>
    <s v="United States"/>
    <s v="Los Angeles"/>
    <x v="1"/>
    <n v="90004"/>
    <x v="1"/>
    <x v="162"/>
    <x v="1"/>
    <x v="10"/>
    <x v="163"/>
    <n v="110.96"/>
    <s v="Medium"/>
    <n v="2"/>
    <n v="0"/>
    <x v="0"/>
    <x v="0"/>
    <n v="53.260800000000003"/>
    <n v="0.48000000000000004"/>
    <n v="0"/>
  </r>
  <r>
    <n v="174"/>
    <s v="CA-2014-118962"/>
    <d v="2014-08-05T00:00:00"/>
    <x v="2"/>
    <s v="Q3"/>
    <x v="9"/>
    <d v="2014-08-09T00:00:00"/>
    <s v="Standard Class"/>
    <x v="79"/>
    <x v="79"/>
    <s v="Consumer"/>
    <s v="United States"/>
    <s v="Los Angeles"/>
    <x v="1"/>
    <n v="90004"/>
    <x v="1"/>
    <x v="163"/>
    <x v="0"/>
    <x v="1"/>
    <x v="164"/>
    <n v="340.14400000000001"/>
    <s v="High"/>
    <n v="7"/>
    <n v="0.2"/>
    <x v="2"/>
    <x v="2"/>
    <n v="21.259"/>
    <n v="6.25E-2"/>
    <n v="0"/>
  </r>
  <r>
    <n v="175"/>
    <s v="US-2014-100853"/>
    <d v="2014-09-14T00:00:00"/>
    <x v="2"/>
    <s v="Q3"/>
    <x v="30"/>
    <d v="2014-09-19T00:00:00"/>
    <s v="Standard Class"/>
    <x v="80"/>
    <x v="80"/>
    <s v="Corporate"/>
    <s v="United States"/>
    <s v="Chicago"/>
    <x v="10"/>
    <n v="60623"/>
    <x v="2"/>
    <x v="164"/>
    <x v="1"/>
    <x v="9"/>
    <x v="165"/>
    <n v="52.448"/>
    <s v="Medium"/>
    <n v="2"/>
    <n v="0.8"/>
    <x v="1"/>
    <x v="3"/>
    <n v="-131.12"/>
    <n v="-2.5"/>
    <n v="1"/>
  </r>
  <r>
    <n v="176"/>
    <s v="US-2014-100853"/>
    <d v="2014-09-14T00:00:00"/>
    <x v="2"/>
    <s v="Q3"/>
    <x v="30"/>
    <d v="2014-09-19T00:00:00"/>
    <s v="Standard Class"/>
    <x v="80"/>
    <x v="80"/>
    <s v="Corporate"/>
    <s v="United States"/>
    <s v="Chicago"/>
    <x v="10"/>
    <n v="60623"/>
    <x v="2"/>
    <x v="165"/>
    <x v="1"/>
    <x v="2"/>
    <x v="166"/>
    <n v="20.16"/>
    <s v="Low"/>
    <n v="4"/>
    <n v="0.2"/>
    <x v="2"/>
    <x v="2"/>
    <n v="6.5519999999999996"/>
    <n v="0.32499999999999996"/>
    <n v="0"/>
  </r>
  <r>
    <n v="177"/>
    <s v="US-2017-152366"/>
    <d v="2017-04-21T00:00:00"/>
    <x v="3"/>
    <s v="Q2"/>
    <x v="4"/>
    <d v="2017-04-25T00:00:00"/>
    <s v="Second Class"/>
    <x v="81"/>
    <x v="81"/>
    <s v="Consumer"/>
    <s v="United States"/>
    <s v="Houston"/>
    <x v="5"/>
    <n v="77036"/>
    <x v="2"/>
    <x v="166"/>
    <x v="1"/>
    <x v="9"/>
    <x v="167"/>
    <n v="97.263999999999996"/>
    <s v="Medium"/>
    <n v="4"/>
    <n v="0.8"/>
    <x v="1"/>
    <x v="3"/>
    <n v="-243.16"/>
    <n v="-2.5"/>
    <n v="1"/>
  </r>
  <r>
    <n v="178"/>
    <s v="US-2015-101511"/>
    <d v="2015-11-21T00:00:00"/>
    <x v="1"/>
    <s v="Q4"/>
    <x v="6"/>
    <d v="2015-11-23T00:00:00"/>
    <s v="Second Class"/>
    <x v="32"/>
    <x v="32"/>
    <s v="Consumer"/>
    <s v="United States"/>
    <s v="Newark"/>
    <x v="24"/>
    <n v="43055"/>
    <x v="3"/>
    <x v="167"/>
    <x v="0"/>
    <x v="1"/>
    <x v="168"/>
    <n v="396.80200000000002"/>
    <s v="High"/>
    <n v="7"/>
    <n v="0.3"/>
    <x v="1"/>
    <x v="4"/>
    <n v="-11.337199999999999"/>
    <n v="-2.8571428571428567E-2"/>
    <n v="1"/>
  </r>
  <r>
    <n v="179"/>
    <s v="US-2015-101511"/>
    <d v="2015-11-21T00:00:00"/>
    <x v="1"/>
    <s v="Q4"/>
    <x v="6"/>
    <d v="2015-11-23T00:00:00"/>
    <s v="Second Class"/>
    <x v="32"/>
    <x v="32"/>
    <s v="Consumer"/>
    <s v="United States"/>
    <s v="Newark"/>
    <x v="24"/>
    <n v="43055"/>
    <x v="3"/>
    <x v="168"/>
    <x v="1"/>
    <x v="14"/>
    <x v="169"/>
    <n v="15.88"/>
    <s v="Low"/>
    <n v="5"/>
    <n v="0.2"/>
    <x v="2"/>
    <x v="2"/>
    <n v="-3.7715000000000001"/>
    <n v="-0.23749999999999999"/>
    <n v="1"/>
  </r>
  <r>
    <n v="180"/>
    <s v="CA-2015-137225"/>
    <d v="2015-12-15T00:00:00"/>
    <x v="1"/>
    <s v="Q4"/>
    <x v="14"/>
    <d v="2015-12-19T00:00:00"/>
    <s v="Standard Class"/>
    <x v="82"/>
    <x v="82"/>
    <s v="Home Office"/>
    <s v="United States"/>
    <s v="New York City"/>
    <x v="15"/>
    <n v="10009"/>
    <x v="3"/>
    <x v="169"/>
    <x v="1"/>
    <x v="6"/>
    <x v="170"/>
    <n v="3.28"/>
    <s v="Low"/>
    <n v="1"/>
    <n v="0"/>
    <x v="0"/>
    <x v="0"/>
    <n v="1.4104000000000001"/>
    <n v="0.43000000000000005"/>
    <n v="0"/>
  </r>
  <r>
    <n v="181"/>
    <s v="CA-2014-166191"/>
    <d v="2014-12-05T00:00:00"/>
    <x v="2"/>
    <s v="Q4"/>
    <x v="20"/>
    <d v="2014-12-09T00:00:00"/>
    <s v="Second Class"/>
    <x v="83"/>
    <x v="83"/>
    <s v="Corporate"/>
    <s v="United States"/>
    <s v="Decatur"/>
    <x v="10"/>
    <n v="62521"/>
    <x v="2"/>
    <x v="170"/>
    <x v="1"/>
    <x v="4"/>
    <x v="171"/>
    <n v="24.815999999999999"/>
    <s v="Low"/>
    <n v="2"/>
    <n v="0.2"/>
    <x v="2"/>
    <x v="2"/>
    <n v="1.8612"/>
    <n v="7.4999999999999997E-2"/>
    <n v="0"/>
  </r>
  <r>
    <n v="182"/>
    <s v="CA-2014-166191"/>
    <d v="2014-12-05T00:00:00"/>
    <x v="2"/>
    <s v="Q4"/>
    <x v="20"/>
    <d v="2014-12-09T00:00:00"/>
    <s v="Second Class"/>
    <x v="83"/>
    <x v="83"/>
    <s v="Corporate"/>
    <s v="United States"/>
    <s v="Decatur"/>
    <x v="10"/>
    <n v="62521"/>
    <x v="2"/>
    <x v="171"/>
    <x v="2"/>
    <x v="11"/>
    <x v="172"/>
    <n v="408.74400000000003"/>
    <s v="High"/>
    <n v="7"/>
    <n v="0.2"/>
    <x v="2"/>
    <x v="2"/>
    <n v="76.639499999999998"/>
    <n v="0.18749999999999997"/>
    <n v="0"/>
  </r>
  <r>
    <n v="183"/>
    <s v="CA-2014-158274"/>
    <d v="2014-11-19T00:00:00"/>
    <x v="2"/>
    <s v="Q4"/>
    <x v="7"/>
    <d v="2014-11-24T00:00:00"/>
    <s v="Second Class"/>
    <x v="84"/>
    <x v="84"/>
    <s v="Home Office"/>
    <s v="United States"/>
    <s v="Monroe"/>
    <x v="28"/>
    <n v="71203"/>
    <x v="0"/>
    <x v="172"/>
    <x v="2"/>
    <x v="7"/>
    <x v="173"/>
    <n v="503.96"/>
    <s v="High"/>
    <n v="4"/>
    <n v="0"/>
    <x v="0"/>
    <x v="0"/>
    <n v="131.02959999999999"/>
    <n v="0.26"/>
    <n v="0"/>
  </r>
  <r>
    <n v="184"/>
    <s v="CA-2014-158274"/>
    <d v="2014-11-19T00:00:00"/>
    <x v="2"/>
    <s v="Q4"/>
    <x v="7"/>
    <d v="2014-11-24T00:00:00"/>
    <s v="Second Class"/>
    <x v="84"/>
    <x v="84"/>
    <s v="Home Office"/>
    <s v="United States"/>
    <s v="Monroe"/>
    <x v="28"/>
    <n v="71203"/>
    <x v="0"/>
    <x v="173"/>
    <x v="2"/>
    <x v="7"/>
    <x v="174"/>
    <n v="149.94999999999999"/>
    <s v="High"/>
    <n v="5"/>
    <n v="0"/>
    <x v="0"/>
    <x v="0"/>
    <n v="41.985999999999997"/>
    <n v="0.28000000000000003"/>
    <n v="0"/>
  </r>
  <r>
    <n v="185"/>
    <s v="CA-2014-158274"/>
    <d v="2014-11-19T00:00:00"/>
    <x v="2"/>
    <s v="Q4"/>
    <x v="7"/>
    <d v="2014-11-24T00:00:00"/>
    <s v="Second Class"/>
    <x v="84"/>
    <x v="84"/>
    <s v="Home Office"/>
    <s v="United States"/>
    <s v="Monroe"/>
    <x v="28"/>
    <n v="71203"/>
    <x v="0"/>
    <x v="174"/>
    <x v="2"/>
    <x v="11"/>
    <x v="175"/>
    <n v="29"/>
    <s v="Medium"/>
    <n v="2"/>
    <n v="0"/>
    <x v="0"/>
    <x v="0"/>
    <n v="7.25"/>
    <n v="0.25"/>
    <n v="0"/>
  </r>
  <r>
    <n v="186"/>
    <s v="CA-2016-105018"/>
    <d v="2016-11-28T00:00:00"/>
    <x v="0"/>
    <s v="Q4"/>
    <x v="0"/>
    <d v="2016-12-02T00:00:00"/>
    <s v="Standard Class"/>
    <x v="85"/>
    <x v="85"/>
    <s v="Consumer"/>
    <s v="United States"/>
    <s v="Fairfield"/>
    <x v="29"/>
    <n v="6824"/>
    <x v="3"/>
    <x v="175"/>
    <x v="1"/>
    <x v="8"/>
    <x v="176"/>
    <n v="7.16"/>
    <s v="Low"/>
    <n v="2"/>
    <n v="0"/>
    <x v="0"/>
    <x v="0"/>
    <n v="3.4367999999999999"/>
    <n v="0.48"/>
    <n v="0"/>
  </r>
  <r>
    <n v="187"/>
    <s v="CA-2014-123260"/>
    <d v="2014-08-26T00:00:00"/>
    <x v="2"/>
    <s v="Q3"/>
    <x v="9"/>
    <d v="2014-08-30T00:00:00"/>
    <s v="Standard Class"/>
    <x v="86"/>
    <x v="86"/>
    <s v="Home Office"/>
    <s v="United States"/>
    <s v="Los Angeles"/>
    <x v="1"/>
    <n v="90032"/>
    <x v="1"/>
    <x v="176"/>
    <x v="2"/>
    <x v="11"/>
    <x v="177"/>
    <n v="176.8"/>
    <s v="High"/>
    <n v="8"/>
    <n v="0"/>
    <x v="0"/>
    <x v="0"/>
    <n v="22.984000000000002"/>
    <n v="0.13"/>
    <n v="0"/>
  </r>
  <r>
    <n v="188"/>
    <s v="CA-2016-157000"/>
    <d v="2016-07-16T00:00:00"/>
    <x v="0"/>
    <s v="Q3"/>
    <x v="16"/>
    <d v="2016-07-22T00:00:00"/>
    <s v="Standard Class"/>
    <x v="87"/>
    <x v="87"/>
    <s v="Corporate"/>
    <s v="United States"/>
    <s v="Grand Prairie"/>
    <x v="5"/>
    <n v="75051"/>
    <x v="2"/>
    <x v="177"/>
    <x v="1"/>
    <x v="4"/>
    <x v="178"/>
    <n v="37.223999999999997"/>
    <s v="Medium"/>
    <n v="3"/>
    <n v="0.2"/>
    <x v="2"/>
    <x v="2"/>
    <n v="3.7223999999999999"/>
    <n v="0.1"/>
    <n v="0"/>
  </r>
  <r>
    <n v="189"/>
    <s v="CA-2016-157000"/>
    <d v="2016-07-16T00:00:00"/>
    <x v="0"/>
    <s v="Q3"/>
    <x v="16"/>
    <d v="2016-07-22T00:00:00"/>
    <s v="Standard Class"/>
    <x v="87"/>
    <x v="87"/>
    <s v="Corporate"/>
    <s v="United States"/>
    <s v="Grand Prairie"/>
    <x v="5"/>
    <n v="75051"/>
    <x v="2"/>
    <x v="144"/>
    <x v="1"/>
    <x v="10"/>
    <x v="145"/>
    <n v="20.015999999999998"/>
    <s v="Low"/>
    <n v="3"/>
    <n v="0.2"/>
    <x v="2"/>
    <x v="2"/>
    <n v="6.2549999999999999"/>
    <n v="0.3125"/>
    <n v="0"/>
  </r>
  <r>
    <n v="190"/>
    <s v="CA-2015-102281"/>
    <d v="2015-10-12T00:00:00"/>
    <x v="1"/>
    <s v="Q4"/>
    <x v="2"/>
    <d v="2015-10-14T00:00:00"/>
    <s v="First Class"/>
    <x v="88"/>
    <x v="88"/>
    <s v="Home Office"/>
    <s v="United States"/>
    <s v="New York City"/>
    <x v="15"/>
    <n v="10035"/>
    <x v="3"/>
    <x v="178"/>
    <x v="0"/>
    <x v="0"/>
    <x v="179"/>
    <n v="899.13599999999997"/>
    <s v="High"/>
    <n v="4"/>
    <n v="0.2"/>
    <x v="2"/>
    <x v="2"/>
    <n v="112.392"/>
    <n v="0.125"/>
    <n v="0"/>
  </r>
  <r>
    <n v="191"/>
    <s v="CA-2015-102281"/>
    <d v="2015-10-12T00:00:00"/>
    <x v="1"/>
    <s v="Q4"/>
    <x v="2"/>
    <d v="2015-10-14T00:00:00"/>
    <s v="First Class"/>
    <x v="88"/>
    <x v="88"/>
    <s v="Home Office"/>
    <s v="United States"/>
    <s v="New York City"/>
    <x v="15"/>
    <n v="10035"/>
    <x v="3"/>
    <x v="179"/>
    <x v="2"/>
    <x v="7"/>
    <x v="180"/>
    <n v="71.760000000000005"/>
    <s v="Medium"/>
    <n v="6"/>
    <n v="0"/>
    <x v="0"/>
    <x v="0"/>
    <n v="20.0928"/>
    <n v="0.27999999999999997"/>
    <n v="0"/>
  </r>
  <r>
    <n v="192"/>
    <s v="CA-2015-102281"/>
    <d v="2015-10-12T00:00:00"/>
    <x v="1"/>
    <s v="Q4"/>
    <x v="2"/>
    <d v="2015-10-14T00:00:00"/>
    <s v="First Class"/>
    <x v="88"/>
    <x v="88"/>
    <s v="Home Office"/>
    <s v="United States"/>
    <s v="New York City"/>
    <x v="15"/>
    <n v="10035"/>
    <x v="3"/>
    <x v="180"/>
    <x v="1"/>
    <x v="10"/>
    <x v="181"/>
    <n v="51.84"/>
    <s v="Medium"/>
    <n v="8"/>
    <n v="0"/>
    <x v="0"/>
    <x v="0"/>
    <n v="24.883199999999999"/>
    <n v="0.47999999999999993"/>
    <n v="0"/>
  </r>
  <r>
    <n v="193"/>
    <s v="CA-2015-102281"/>
    <d v="2015-10-12T00:00:00"/>
    <x v="1"/>
    <s v="Q4"/>
    <x v="2"/>
    <d v="2015-10-14T00:00:00"/>
    <s v="First Class"/>
    <x v="88"/>
    <x v="88"/>
    <s v="Home Office"/>
    <s v="United States"/>
    <s v="New York City"/>
    <x v="15"/>
    <n v="10035"/>
    <x v="3"/>
    <x v="37"/>
    <x v="0"/>
    <x v="0"/>
    <x v="37"/>
    <n v="626.35199999999998"/>
    <s v="High"/>
    <n v="3"/>
    <n v="0.2"/>
    <x v="2"/>
    <x v="2"/>
    <n v="46.976399999999998"/>
    <n v="7.4999999999999997E-2"/>
    <n v="0"/>
  </r>
  <r>
    <n v="194"/>
    <s v="CA-2015-102281"/>
    <d v="2015-10-12T00:00:00"/>
    <x v="1"/>
    <s v="Q4"/>
    <x v="2"/>
    <d v="2015-10-14T00:00:00"/>
    <s v="First Class"/>
    <x v="88"/>
    <x v="88"/>
    <s v="Home Office"/>
    <s v="United States"/>
    <s v="New York City"/>
    <x v="15"/>
    <n v="10035"/>
    <x v="3"/>
    <x v="181"/>
    <x v="1"/>
    <x v="6"/>
    <x v="182"/>
    <n v="19.899999999999999"/>
    <s v="Low"/>
    <n v="5"/>
    <n v="0"/>
    <x v="0"/>
    <x v="0"/>
    <n v="6.5670000000000002"/>
    <n v="0.33"/>
    <n v="0"/>
  </r>
  <r>
    <n v="195"/>
    <s v="CA-2015-131457"/>
    <d v="2015-10-31T00:00:00"/>
    <x v="1"/>
    <s v="Q4"/>
    <x v="2"/>
    <d v="2015-11-06T00:00:00"/>
    <s v="Standard Class"/>
    <x v="89"/>
    <x v="89"/>
    <s v="Corporate"/>
    <s v="United States"/>
    <s v="Redlands"/>
    <x v="1"/>
    <n v="92374"/>
    <x v="1"/>
    <x v="29"/>
    <x v="1"/>
    <x v="12"/>
    <x v="29"/>
    <n v="14.28"/>
    <s v="Low"/>
    <n v="7"/>
    <n v="0"/>
    <x v="0"/>
    <x v="0"/>
    <n v="6.7115999999999998"/>
    <n v="0.47000000000000003"/>
    <n v="0"/>
  </r>
  <r>
    <n v="196"/>
    <s v="CA-2014-140004"/>
    <d v="2014-03-21T00:00:00"/>
    <x v="2"/>
    <s v="Q1"/>
    <x v="34"/>
    <d v="2014-03-25T00:00:00"/>
    <s v="Standard Class"/>
    <x v="90"/>
    <x v="90"/>
    <s v="Consumer"/>
    <s v="United States"/>
    <s v="Hamilton"/>
    <x v="24"/>
    <n v="45011"/>
    <x v="3"/>
    <x v="182"/>
    <x v="1"/>
    <x v="6"/>
    <x v="183"/>
    <n v="7.4080000000000004"/>
    <s v="Low"/>
    <n v="2"/>
    <n v="0.2"/>
    <x v="2"/>
    <x v="2"/>
    <n v="1.2038"/>
    <n v="0.16249999999999998"/>
    <n v="0"/>
  </r>
  <r>
    <n v="197"/>
    <s v="CA-2014-140004"/>
    <d v="2014-03-21T00:00:00"/>
    <x v="2"/>
    <s v="Q1"/>
    <x v="34"/>
    <d v="2014-03-25T00:00:00"/>
    <s v="Standard Class"/>
    <x v="90"/>
    <x v="90"/>
    <s v="Consumer"/>
    <s v="United States"/>
    <s v="Hamilton"/>
    <x v="24"/>
    <n v="45011"/>
    <x v="3"/>
    <x v="183"/>
    <x v="1"/>
    <x v="6"/>
    <x v="184"/>
    <n v="6.048"/>
    <s v="Low"/>
    <n v="3"/>
    <n v="0.2"/>
    <x v="2"/>
    <x v="2"/>
    <n v="1.5875999999999999"/>
    <n v="0.26249999999999996"/>
    <n v="0"/>
  </r>
  <r>
    <n v="198"/>
    <s v="CA-2017-107720"/>
    <d v="2017-11-06T00:00:00"/>
    <x v="3"/>
    <s v="Q4"/>
    <x v="23"/>
    <d v="2017-11-13T00:00:00"/>
    <s v="Standard Class"/>
    <x v="91"/>
    <x v="91"/>
    <s v="Home Office"/>
    <s v="United States"/>
    <s v="Westfield"/>
    <x v="30"/>
    <n v="7090"/>
    <x v="3"/>
    <x v="184"/>
    <x v="1"/>
    <x v="4"/>
    <x v="185"/>
    <n v="46.26"/>
    <s v="Medium"/>
    <n v="3"/>
    <n v="0"/>
    <x v="0"/>
    <x v="0"/>
    <n v="12.0276"/>
    <n v="0.26"/>
    <n v="0"/>
  </r>
  <r>
    <n v="199"/>
    <s v="US-2017-124303"/>
    <d v="2017-07-06T00:00:00"/>
    <x v="3"/>
    <s v="Q3"/>
    <x v="10"/>
    <d v="2017-07-13T00:00:00"/>
    <s v="Standard Class"/>
    <x v="92"/>
    <x v="92"/>
    <s v="Corporate"/>
    <s v="United States"/>
    <s v="Philadelphia"/>
    <x v="9"/>
    <n v="19120"/>
    <x v="3"/>
    <x v="185"/>
    <x v="1"/>
    <x v="8"/>
    <x v="186"/>
    <n v="2.9460000000000002"/>
    <s v="Low"/>
    <n v="2"/>
    <n v="0.7"/>
    <x v="1"/>
    <x v="5"/>
    <n v="-2.2585999999999999"/>
    <n v="-0.76666666666666661"/>
    <n v="1"/>
  </r>
  <r>
    <n v="200"/>
    <s v="US-2017-124303"/>
    <d v="2017-07-06T00:00:00"/>
    <x v="3"/>
    <s v="Q3"/>
    <x v="10"/>
    <d v="2017-07-13T00:00:00"/>
    <s v="Standard Class"/>
    <x v="92"/>
    <x v="92"/>
    <s v="Corporate"/>
    <s v="United States"/>
    <s v="Philadelphia"/>
    <x v="9"/>
    <n v="19120"/>
    <x v="3"/>
    <x v="186"/>
    <x v="1"/>
    <x v="10"/>
    <x v="187"/>
    <n v="16.056000000000001"/>
    <s v="Low"/>
    <n v="3"/>
    <n v="0.2"/>
    <x v="2"/>
    <x v="2"/>
    <n v="5.8202999999999996"/>
    <n v="0.36249999999999993"/>
    <n v="0"/>
  </r>
  <r>
    <n v="201"/>
    <s v="CA-2017-105074"/>
    <d v="2017-06-24T00:00:00"/>
    <x v="3"/>
    <s v="Q2"/>
    <x v="27"/>
    <d v="2017-06-29T00:00:00"/>
    <s v="Standard Class"/>
    <x v="93"/>
    <x v="93"/>
    <s v="Consumer"/>
    <s v="United States"/>
    <s v="Akron"/>
    <x v="24"/>
    <n v="44312"/>
    <x v="3"/>
    <x v="187"/>
    <x v="1"/>
    <x v="10"/>
    <x v="188"/>
    <n v="21.744"/>
    <s v="Low"/>
    <n v="3"/>
    <n v="0.2"/>
    <x v="2"/>
    <x v="2"/>
    <n v="6.7949999999999999"/>
    <n v="0.3125"/>
    <n v="0"/>
  </r>
  <r>
    <n v="202"/>
    <s v="CA-2014-133690"/>
    <d v="2014-08-03T00:00:00"/>
    <x v="2"/>
    <s v="Q3"/>
    <x v="9"/>
    <d v="2014-08-05T00:00:00"/>
    <s v="First Class"/>
    <x v="94"/>
    <x v="94"/>
    <s v="Consumer"/>
    <s v="United States"/>
    <s v="Denver"/>
    <x v="22"/>
    <n v="80219"/>
    <x v="1"/>
    <x v="188"/>
    <x v="0"/>
    <x v="3"/>
    <x v="189"/>
    <n v="218.75"/>
    <s v="High"/>
    <n v="2"/>
    <n v="0.5"/>
    <x v="1"/>
    <x v="1"/>
    <n v="-161.875"/>
    <n v="-0.74"/>
    <n v="1"/>
  </r>
  <r>
    <n v="203"/>
    <s v="CA-2014-133690"/>
    <d v="2014-08-03T00:00:00"/>
    <x v="2"/>
    <s v="Q3"/>
    <x v="9"/>
    <d v="2014-08-05T00:00:00"/>
    <s v="First Class"/>
    <x v="94"/>
    <x v="94"/>
    <s v="Consumer"/>
    <s v="United States"/>
    <s v="Denver"/>
    <x v="22"/>
    <n v="80219"/>
    <x v="1"/>
    <x v="189"/>
    <x v="1"/>
    <x v="9"/>
    <x v="190"/>
    <n v="2.6"/>
    <s v="Low"/>
    <n v="1"/>
    <n v="0.2"/>
    <x v="2"/>
    <x v="2"/>
    <n v="0.29249999999999998"/>
    <n v="0.11249999999999999"/>
    <n v="0"/>
  </r>
  <r>
    <n v="204"/>
    <s v="US-2017-116701"/>
    <d v="2017-12-17T00:00:00"/>
    <x v="3"/>
    <s v="Q4"/>
    <x v="22"/>
    <d v="2017-12-21T00:00:00"/>
    <s v="Second Class"/>
    <x v="95"/>
    <x v="95"/>
    <s v="Consumer"/>
    <s v="United States"/>
    <s v="Dallas"/>
    <x v="5"/>
    <n v="75220"/>
    <x v="2"/>
    <x v="190"/>
    <x v="1"/>
    <x v="9"/>
    <x v="191"/>
    <n v="66.284000000000006"/>
    <s v="Medium"/>
    <n v="2"/>
    <n v="0.8"/>
    <x v="1"/>
    <x v="3"/>
    <n v="-178.96680000000001"/>
    <n v="-2.6999999999999997"/>
    <n v="1"/>
  </r>
  <r>
    <n v="205"/>
    <s v="CA-2017-126382"/>
    <d v="2017-06-03T00:00:00"/>
    <x v="3"/>
    <s v="Q2"/>
    <x v="27"/>
    <d v="2017-06-07T00:00:00"/>
    <s v="Standard Class"/>
    <x v="96"/>
    <x v="96"/>
    <s v="Corporate"/>
    <s v="United States"/>
    <s v="Franklin"/>
    <x v="18"/>
    <n v="37064"/>
    <x v="0"/>
    <x v="191"/>
    <x v="0"/>
    <x v="5"/>
    <x v="192"/>
    <n v="35.167999999999999"/>
    <s v="Medium"/>
    <n v="7"/>
    <n v="0.2"/>
    <x v="2"/>
    <x v="2"/>
    <n v="9.6712000000000007"/>
    <n v="0.27500000000000002"/>
    <n v="0"/>
  </r>
  <r>
    <n v="206"/>
    <s v="CA-2017-108329"/>
    <d v="2017-12-09T00:00:00"/>
    <x v="3"/>
    <s v="Q4"/>
    <x v="22"/>
    <d v="2017-12-14T00:00:00"/>
    <s v="Standard Class"/>
    <x v="97"/>
    <x v="97"/>
    <s v="Consumer"/>
    <s v="United States"/>
    <s v="Whittier"/>
    <x v="1"/>
    <n v="90604"/>
    <x v="1"/>
    <x v="192"/>
    <x v="2"/>
    <x v="7"/>
    <x v="193"/>
    <n v="444.76799999999997"/>
    <s v="High"/>
    <n v="4"/>
    <n v="0.2"/>
    <x v="2"/>
    <x v="2"/>
    <n v="44.476799999999997"/>
    <n v="0.1"/>
    <n v="0"/>
  </r>
  <r>
    <n v="207"/>
    <s v="CA-2017-135860"/>
    <d v="2017-12-01T00:00:00"/>
    <x v="3"/>
    <s v="Q4"/>
    <x v="22"/>
    <d v="2017-12-07T00:00:00"/>
    <s v="Standard Class"/>
    <x v="98"/>
    <x v="98"/>
    <s v="Consumer"/>
    <s v="United States"/>
    <s v="Saginaw"/>
    <x v="12"/>
    <n v="48601"/>
    <x v="2"/>
    <x v="193"/>
    <x v="1"/>
    <x v="4"/>
    <x v="194"/>
    <n v="83.92"/>
    <s v="Medium"/>
    <n v="4"/>
    <n v="0"/>
    <x v="0"/>
    <x v="0"/>
    <n v="5.8743999999999996"/>
    <n v="6.9999999999999993E-2"/>
    <n v="0"/>
  </r>
  <r>
    <n v="208"/>
    <s v="CA-2017-135860"/>
    <d v="2017-12-01T00:00:00"/>
    <x v="3"/>
    <s v="Q4"/>
    <x v="22"/>
    <d v="2017-12-07T00:00:00"/>
    <s v="Standard Class"/>
    <x v="98"/>
    <x v="98"/>
    <s v="Consumer"/>
    <s v="United States"/>
    <s v="Saginaw"/>
    <x v="12"/>
    <n v="48601"/>
    <x v="2"/>
    <x v="194"/>
    <x v="2"/>
    <x v="7"/>
    <x v="195"/>
    <n v="131.97999999999999"/>
    <s v="High"/>
    <n v="2"/>
    <n v="0"/>
    <x v="0"/>
    <x v="0"/>
    <n v="35.634599999999999"/>
    <n v="0.27"/>
    <n v="0"/>
  </r>
  <r>
    <n v="209"/>
    <s v="CA-2017-135860"/>
    <d v="2017-12-01T00:00:00"/>
    <x v="3"/>
    <s v="Q4"/>
    <x v="22"/>
    <d v="2017-12-07T00:00:00"/>
    <s v="Standard Class"/>
    <x v="98"/>
    <x v="98"/>
    <s v="Consumer"/>
    <s v="United States"/>
    <s v="Saginaw"/>
    <x v="12"/>
    <n v="48601"/>
    <x v="2"/>
    <x v="122"/>
    <x v="1"/>
    <x v="8"/>
    <x v="122"/>
    <n v="15.92"/>
    <s v="Low"/>
    <n v="4"/>
    <n v="0"/>
    <x v="0"/>
    <x v="0"/>
    <n v="7.4824000000000002"/>
    <n v="0.47000000000000003"/>
    <n v="0"/>
  </r>
  <r>
    <n v="210"/>
    <s v="CA-2017-135860"/>
    <d v="2017-12-01T00:00:00"/>
    <x v="3"/>
    <s v="Q4"/>
    <x v="22"/>
    <d v="2017-12-07T00:00:00"/>
    <s v="Standard Class"/>
    <x v="98"/>
    <x v="98"/>
    <s v="Consumer"/>
    <s v="United States"/>
    <s v="Saginaw"/>
    <x v="12"/>
    <n v="48601"/>
    <x v="2"/>
    <x v="195"/>
    <x v="1"/>
    <x v="13"/>
    <x v="196"/>
    <n v="52.29"/>
    <s v="Medium"/>
    <n v="9"/>
    <n v="0"/>
    <x v="0"/>
    <x v="0"/>
    <n v="16.209900000000001"/>
    <n v="0.31000000000000005"/>
    <n v="0"/>
  </r>
  <r>
    <n v="211"/>
    <s v="CA-2017-135860"/>
    <d v="2017-12-01T00:00:00"/>
    <x v="3"/>
    <s v="Q4"/>
    <x v="22"/>
    <d v="2017-12-07T00:00:00"/>
    <s v="Standard Class"/>
    <x v="98"/>
    <x v="98"/>
    <s v="Consumer"/>
    <s v="United States"/>
    <s v="Saginaw"/>
    <x v="12"/>
    <n v="48601"/>
    <x v="2"/>
    <x v="196"/>
    <x v="1"/>
    <x v="4"/>
    <x v="197"/>
    <n v="91.99"/>
    <s v="Medium"/>
    <n v="1"/>
    <n v="0"/>
    <x v="0"/>
    <x v="0"/>
    <n v="3.6796000000000002"/>
    <n v="4.0000000000000008E-2"/>
    <n v="0"/>
  </r>
  <r>
    <n v="212"/>
    <s v="CA-2015-101007"/>
    <d v="2015-02-09T00:00:00"/>
    <x v="1"/>
    <s v="Q1"/>
    <x v="36"/>
    <d v="2015-02-13T00:00:00"/>
    <s v="Second Class"/>
    <x v="99"/>
    <x v="99"/>
    <s v="Corporate"/>
    <s v="United States"/>
    <s v="Dallas"/>
    <x v="5"/>
    <n v="75220"/>
    <x v="2"/>
    <x v="197"/>
    <x v="2"/>
    <x v="11"/>
    <x v="198"/>
    <n v="20.8"/>
    <s v="Low"/>
    <n v="2"/>
    <n v="0.2"/>
    <x v="2"/>
    <x v="2"/>
    <n v="6.5"/>
    <n v="0.3125"/>
    <n v="0"/>
  </r>
  <r>
    <n v="213"/>
    <s v="CA-2015-146262"/>
    <d v="2015-01-02T00:00:00"/>
    <x v="1"/>
    <s v="Q1"/>
    <x v="26"/>
    <d v="2015-01-09T00:00:00"/>
    <s v="Standard Class"/>
    <x v="100"/>
    <x v="100"/>
    <s v="Corporate"/>
    <s v="United States"/>
    <s v="Medina"/>
    <x v="24"/>
    <n v="44256"/>
    <x v="3"/>
    <x v="198"/>
    <x v="1"/>
    <x v="2"/>
    <x v="199"/>
    <n v="23.68"/>
    <s v="Low"/>
    <n v="2"/>
    <n v="0.2"/>
    <x v="2"/>
    <x v="2"/>
    <n v="8.8800000000000008"/>
    <n v="0.37500000000000006"/>
    <n v="0"/>
  </r>
  <r>
    <n v="214"/>
    <s v="CA-2015-146262"/>
    <d v="2015-01-02T00:00:00"/>
    <x v="1"/>
    <s v="Q1"/>
    <x v="26"/>
    <d v="2015-01-09T00:00:00"/>
    <s v="Standard Class"/>
    <x v="100"/>
    <x v="100"/>
    <s v="Corporate"/>
    <s v="United States"/>
    <s v="Medina"/>
    <x v="24"/>
    <n v="44256"/>
    <x v="3"/>
    <x v="199"/>
    <x v="0"/>
    <x v="0"/>
    <x v="200"/>
    <n v="452.45"/>
    <s v="High"/>
    <n v="5"/>
    <n v="0.5"/>
    <x v="1"/>
    <x v="1"/>
    <n v="-244.32300000000001"/>
    <n v="-0.54"/>
    <n v="1"/>
  </r>
  <r>
    <n v="215"/>
    <s v="CA-2015-146262"/>
    <d v="2015-01-02T00:00:00"/>
    <x v="1"/>
    <s v="Q1"/>
    <x v="26"/>
    <d v="2015-01-09T00:00:00"/>
    <s v="Standard Class"/>
    <x v="100"/>
    <x v="100"/>
    <s v="Corporate"/>
    <s v="United States"/>
    <s v="Medina"/>
    <x v="24"/>
    <n v="44256"/>
    <x v="3"/>
    <x v="104"/>
    <x v="2"/>
    <x v="7"/>
    <x v="104"/>
    <n v="62.981999999999999"/>
    <s v="Medium"/>
    <n v="3"/>
    <n v="0.4"/>
    <x v="1"/>
    <x v="7"/>
    <n v="-14.6958"/>
    <n v="-0.23333333333333334"/>
    <n v="1"/>
  </r>
  <r>
    <n v="216"/>
    <s v="CA-2015-146262"/>
    <d v="2015-01-02T00:00:00"/>
    <x v="1"/>
    <s v="Q1"/>
    <x v="26"/>
    <d v="2015-01-09T00:00:00"/>
    <s v="Standard Class"/>
    <x v="100"/>
    <x v="100"/>
    <s v="Corporate"/>
    <s v="United States"/>
    <s v="Medina"/>
    <x v="24"/>
    <n v="44256"/>
    <x v="3"/>
    <x v="200"/>
    <x v="2"/>
    <x v="15"/>
    <x v="201"/>
    <n v="1188"/>
    <s v="High"/>
    <n v="9"/>
    <n v="0.7"/>
    <x v="1"/>
    <x v="5"/>
    <n v="-950.4"/>
    <n v="-0.79999999999999993"/>
    <n v="1"/>
  </r>
  <r>
    <n v="217"/>
    <s v="CA-2015-146262"/>
    <d v="2015-01-02T00:00:00"/>
    <x v="1"/>
    <s v="Q1"/>
    <x v="26"/>
    <d v="2015-01-09T00:00:00"/>
    <s v="Standard Class"/>
    <x v="100"/>
    <x v="100"/>
    <s v="Corporate"/>
    <s v="United States"/>
    <s v="Medina"/>
    <x v="24"/>
    <n v="44256"/>
    <x v="3"/>
    <x v="201"/>
    <x v="2"/>
    <x v="11"/>
    <x v="202"/>
    <n v="89.584000000000003"/>
    <s v="Medium"/>
    <n v="2"/>
    <n v="0.2"/>
    <x v="2"/>
    <x v="2"/>
    <n v="4.4791999999999996"/>
    <n v="4.9999999999999996E-2"/>
    <n v="0"/>
  </r>
  <r>
    <n v="218"/>
    <s v="CA-2016-130162"/>
    <d v="2016-10-28T00:00:00"/>
    <x v="0"/>
    <s v="Q4"/>
    <x v="32"/>
    <d v="2016-11-01T00:00:00"/>
    <s v="Standard Class"/>
    <x v="101"/>
    <x v="101"/>
    <s v="Consumer"/>
    <s v="United States"/>
    <s v="Los Angeles"/>
    <x v="1"/>
    <n v="90032"/>
    <x v="1"/>
    <x v="177"/>
    <x v="1"/>
    <x v="4"/>
    <x v="178"/>
    <n v="93.06"/>
    <s v="Medium"/>
    <n v="6"/>
    <n v="0"/>
    <x v="0"/>
    <x v="0"/>
    <n v="26.056799999999999"/>
    <n v="0.27999999999999997"/>
    <n v="0"/>
  </r>
  <r>
    <n v="219"/>
    <s v="CA-2016-130162"/>
    <d v="2016-10-28T00:00:00"/>
    <x v="0"/>
    <s v="Q4"/>
    <x v="32"/>
    <d v="2016-11-01T00:00:00"/>
    <s v="Standard Class"/>
    <x v="101"/>
    <x v="101"/>
    <s v="Consumer"/>
    <s v="United States"/>
    <s v="Los Angeles"/>
    <x v="1"/>
    <n v="90032"/>
    <x v="1"/>
    <x v="202"/>
    <x v="2"/>
    <x v="7"/>
    <x v="203"/>
    <n v="302.37599999999998"/>
    <s v="High"/>
    <n v="3"/>
    <n v="0.2"/>
    <x v="2"/>
    <x v="2"/>
    <n v="22.6782"/>
    <n v="7.5000000000000011E-2"/>
    <n v="0"/>
  </r>
  <r>
    <n v="220"/>
    <s v="CA-2015-169397"/>
    <d v="2015-12-24T00:00:00"/>
    <x v="1"/>
    <s v="Q4"/>
    <x v="14"/>
    <d v="2015-12-27T00:00:00"/>
    <s v="First Class"/>
    <x v="102"/>
    <x v="102"/>
    <s v="Consumer"/>
    <s v="United States"/>
    <s v="Dublin"/>
    <x v="24"/>
    <n v="43017"/>
    <x v="3"/>
    <x v="203"/>
    <x v="1"/>
    <x v="13"/>
    <x v="204"/>
    <n v="5.5839999999999996"/>
    <s v="Low"/>
    <n v="2"/>
    <n v="0.2"/>
    <x v="2"/>
    <x v="2"/>
    <n v="1.8148"/>
    <n v="0.32500000000000001"/>
    <n v="0"/>
  </r>
  <r>
    <n v="221"/>
    <s v="CA-2015-169397"/>
    <d v="2015-12-24T00:00:00"/>
    <x v="1"/>
    <s v="Q4"/>
    <x v="14"/>
    <d v="2015-12-27T00:00:00"/>
    <s v="First Class"/>
    <x v="102"/>
    <x v="102"/>
    <s v="Consumer"/>
    <s v="United States"/>
    <s v="Dublin"/>
    <x v="24"/>
    <n v="43017"/>
    <x v="3"/>
    <x v="204"/>
    <x v="1"/>
    <x v="10"/>
    <x v="205"/>
    <n v="22.704000000000001"/>
    <s v="Low"/>
    <n v="6"/>
    <n v="0.2"/>
    <x v="2"/>
    <x v="2"/>
    <n v="8.2302"/>
    <n v="0.36249999999999999"/>
    <n v="0"/>
  </r>
  <r>
    <n v="222"/>
    <s v="CA-2015-169397"/>
    <d v="2015-12-24T00:00:00"/>
    <x v="1"/>
    <s v="Q4"/>
    <x v="14"/>
    <d v="2015-12-27T00:00:00"/>
    <s v="First Class"/>
    <x v="102"/>
    <x v="102"/>
    <s v="Consumer"/>
    <s v="United States"/>
    <s v="Dublin"/>
    <x v="24"/>
    <n v="43017"/>
    <x v="3"/>
    <x v="91"/>
    <x v="1"/>
    <x v="8"/>
    <x v="91"/>
    <n v="19.776"/>
    <s v="Low"/>
    <n v="4"/>
    <n v="0.7"/>
    <x v="1"/>
    <x v="5"/>
    <n v="-13.8432"/>
    <n v="-0.7"/>
    <n v="1"/>
  </r>
  <r>
    <n v="223"/>
    <s v="CA-2015-169397"/>
    <d v="2015-12-24T00:00:00"/>
    <x v="1"/>
    <s v="Q4"/>
    <x v="14"/>
    <d v="2015-12-27T00:00:00"/>
    <s v="First Class"/>
    <x v="102"/>
    <x v="102"/>
    <s v="Consumer"/>
    <s v="United States"/>
    <s v="Dublin"/>
    <x v="24"/>
    <n v="43017"/>
    <x v="3"/>
    <x v="205"/>
    <x v="0"/>
    <x v="5"/>
    <x v="206"/>
    <n v="72.703999999999994"/>
    <s v="Medium"/>
    <n v="4"/>
    <n v="0.2"/>
    <x v="2"/>
    <x v="2"/>
    <n v="19.084800000000001"/>
    <n v="0.26250000000000007"/>
    <n v="0"/>
  </r>
  <r>
    <n v="224"/>
    <s v="CA-2015-169397"/>
    <d v="2015-12-24T00:00:00"/>
    <x v="1"/>
    <s v="Q4"/>
    <x v="14"/>
    <d v="2015-12-27T00:00:00"/>
    <s v="First Class"/>
    <x v="102"/>
    <x v="102"/>
    <s v="Consumer"/>
    <s v="United States"/>
    <s v="Dublin"/>
    <x v="24"/>
    <n v="43017"/>
    <x v="3"/>
    <x v="206"/>
    <x v="2"/>
    <x v="15"/>
    <x v="207"/>
    <n v="479.988"/>
    <s v="High"/>
    <n v="4"/>
    <n v="0.7"/>
    <x v="1"/>
    <x v="5"/>
    <n v="-383.99040000000002"/>
    <n v="-0.8"/>
    <n v="1"/>
  </r>
  <r>
    <n v="225"/>
    <s v="CA-2015-169397"/>
    <d v="2015-12-24T00:00:00"/>
    <x v="1"/>
    <s v="Q4"/>
    <x v="14"/>
    <d v="2015-12-27T00:00:00"/>
    <s v="First Class"/>
    <x v="102"/>
    <x v="102"/>
    <s v="Consumer"/>
    <s v="United States"/>
    <s v="Dublin"/>
    <x v="24"/>
    <n v="43017"/>
    <x v="3"/>
    <x v="207"/>
    <x v="1"/>
    <x v="6"/>
    <x v="208"/>
    <n v="27.167999999999999"/>
    <s v="Medium"/>
    <n v="2"/>
    <n v="0.2"/>
    <x v="2"/>
    <x v="2"/>
    <n v="2.7168000000000001"/>
    <n v="0.1"/>
    <n v="0"/>
  </r>
  <r>
    <n v="226"/>
    <s v="CA-2015-163055"/>
    <d v="2015-08-09T00:00:00"/>
    <x v="1"/>
    <s v="Q3"/>
    <x v="37"/>
    <d v="2015-08-16T00:00:00"/>
    <s v="Standard Class"/>
    <x v="103"/>
    <x v="103"/>
    <s v="Corporate"/>
    <s v="United States"/>
    <s v="Detroit"/>
    <x v="12"/>
    <n v="48227"/>
    <x v="2"/>
    <x v="208"/>
    <x v="1"/>
    <x v="6"/>
    <x v="209"/>
    <n v="2.2000000000000002"/>
    <s v="Low"/>
    <n v="1"/>
    <n v="0"/>
    <x v="0"/>
    <x v="0"/>
    <n v="0.96799999999999997"/>
    <n v="0.43999999999999995"/>
    <n v="0"/>
  </r>
  <r>
    <n v="227"/>
    <s v="CA-2015-163055"/>
    <d v="2015-08-09T00:00:00"/>
    <x v="1"/>
    <s v="Q3"/>
    <x v="37"/>
    <d v="2015-08-16T00:00:00"/>
    <s v="Standard Class"/>
    <x v="103"/>
    <x v="103"/>
    <s v="Corporate"/>
    <s v="United States"/>
    <s v="Detroit"/>
    <x v="12"/>
    <n v="48227"/>
    <x v="2"/>
    <x v="209"/>
    <x v="0"/>
    <x v="3"/>
    <x v="210"/>
    <n v="622.45000000000005"/>
    <s v="High"/>
    <n v="5"/>
    <n v="0"/>
    <x v="0"/>
    <x v="0"/>
    <n v="136.93899999999999"/>
    <n v="0.21999999999999997"/>
    <n v="0"/>
  </r>
  <r>
    <n v="228"/>
    <s v="CA-2015-163055"/>
    <d v="2015-08-09T00:00:00"/>
    <x v="1"/>
    <s v="Q3"/>
    <x v="37"/>
    <d v="2015-08-16T00:00:00"/>
    <s v="Standard Class"/>
    <x v="103"/>
    <x v="103"/>
    <s v="Corporate"/>
    <s v="United States"/>
    <s v="Detroit"/>
    <x v="12"/>
    <n v="48227"/>
    <x v="2"/>
    <x v="210"/>
    <x v="1"/>
    <x v="4"/>
    <x v="211"/>
    <n v="21.98"/>
    <s v="Low"/>
    <n v="1"/>
    <n v="0"/>
    <x v="0"/>
    <x v="0"/>
    <n v="0.2198"/>
    <n v="0.01"/>
    <n v="0"/>
  </r>
  <r>
    <n v="229"/>
    <s v="US-2015-145436"/>
    <d v="2015-02-28T00:00:00"/>
    <x v="1"/>
    <s v="Q1"/>
    <x v="36"/>
    <d v="2015-03-04T00:00:00"/>
    <s v="Standard Class"/>
    <x v="104"/>
    <x v="104"/>
    <s v="Consumer"/>
    <s v="United States"/>
    <s v="Columbia"/>
    <x v="18"/>
    <n v="38401"/>
    <x v="0"/>
    <x v="211"/>
    <x v="0"/>
    <x v="1"/>
    <x v="212"/>
    <n v="161.56800000000001"/>
    <s v="High"/>
    <n v="2"/>
    <n v="0.2"/>
    <x v="2"/>
    <x v="2"/>
    <n v="-28.2744"/>
    <n v="-0.17499999999999999"/>
    <n v="1"/>
  </r>
  <r>
    <n v="230"/>
    <s v="US-2015-145436"/>
    <d v="2015-02-28T00:00:00"/>
    <x v="1"/>
    <s v="Q1"/>
    <x v="36"/>
    <d v="2015-03-04T00:00:00"/>
    <s v="Standard Class"/>
    <x v="104"/>
    <x v="104"/>
    <s v="Consumer"/>
    <s v="United States"/>
    <s v="Columbia"/>
    <x v="18"/>
    <n v="38401"/>
    <x v="0"/>
    <x v="212"/>
    <x v="0"/>
    <x v="1"/>
    <x v="213"/>
    <n v="389.69600000000003"/>
    <s v="High"/>
    <n v="8"/>
    <n v="0.2"/>
    <x v="2"/>
    <x v="2"/>
    <n v="43.840800000000002"/>
    <n v="0.1125"/>
    <n v="0"/>
  </r>
  <r>
    <n v="231"/>
    <s v="US-2014-156216"/>
    <d v="2014-09-13T00:00:00"/>
    <x v="2"/>
    <s v="Q3"/>
    <x v="30"/>
    <d v="2014-09-17T00:00:00"/>
    <s v="Standard Class"/>
    <x v="105"/>
    <x v="105"/>
    <s v="Corporate"/>
    <s v="United States"/>
    <s v="Charlotte"/>
    <x v="3"/>
    <n v="28205"/>
    <x v="0"/>
    <x v="213"/>
    <x v="1"/>
    <x v="8"/>
    <x v="214"/>
    <n v="18.648"/>
    <s v="Low"/>
    <n v="7"/>
    <n v="0.7"/>
    <x v="1"/>
    <x v="5"/>
    <n v="-12.432"/>
    <n v="-0.66666666666666674"/>
    <n v="1"/>
  </r>
  <r>
    <n v="232"/>
    <s v="US-2017-100930"/>
    <d v="2017-04-07T00:00:00"/>
    <x v="3"/>
    <s v="Q2"/>
    <x v="4"/>
    <d v="2017-04-12T00:00:00"/>
    <s v="Standard Class"/>
    <x v="37"/>
    <x v="37"/>
    <s v="Home Office"/>
    <s v="United States"/>
    <s v="Tampa"/>
    <x v="2"/>
    <n v="33614"/>
    <x v="0"/>
    <x v="214"/>
    <x v="0"/>
    <x v="3"/>
    <x v="215"/>
    <n v="233.86"/>
    <s v="High"/>
    <n v="2"/>
    <n v="0.45"/>
    <x v="1"/>
    <x v="1"/>
    <n v="-102.048"/>
    <n v="-0.43636363636363634"/>
    <n v="1"/>
  </r>
  <r>
    <n v="233"/>
    <s v="US-2017-100930"/>
    <d v="2017-04-07T00:00:00"/>
    <x v="3"/>
    <s v="Q2"/>
    <x v="4"/>
    <d v="2017-04-12T00:00:00"/>
    <s v="Standard Class"/>
    <x v="37"/>
    <x v="37"/>
    <s v="Home Office"/>
    <s v="United States"/>
    <s v="Tampa"/>
    <x v="2"/>
    <n v="33614"/>
    <x v="0"/>
    <x v="215"/>
    <x v="0"/>
    <x v="3"/>
    <x v="216"/>
    <n v="620.61450000000002"/>
    <s v="High"/>
    <n v="3"/>
    <n v="0.45"/>
    <x v="1"/>
    <x v="1"/>
    <n v="-248.2458"/>
    <n v="-0.39999999999999997"/>
    <n v="1"/>
  </r>
  <r>
    <n v="234"/>
    <s v="US-2017-100930"/>
    <d v="2017-04-07T00:00:00"/>
    <x v="3"/>
    <s v="Q2"/>
    <x v="4"/>
    <d v="2017-04-12T00:00:00"/>
    <s v="Standard Class"/>
    <x v="37"/>
    <x v="37"/>
    <s v="Home Office"/>
    <s v="United States"/>
    <s v="Tampa"/>
    <x v="2"/>
    <n v="33614"/>
    <x v="0"/>
    <x v="213"/>
    <x v="1"/>
    <x v="8"/>
    <x v="214"/>
    <n v="5.3280000000000003"/>
    <s v="Low"/>
    <n v="2"/>
    <n v="0.7"/>
    <x v="1"/>
    <x v="5"/>
    <n v="-3.552"/>
    <n v="-0.66666666666666663"/>
    <n v="1"/>
  </r>
  <r>
    <n v="235"/>
    <s v="US-2017-100930"/>
    <d v="2017-04-07T00:00:00"/>
    <x v="3"/>
    <s v="Q2"/>
    <x v="4"/>
    <d v="2017-04-12T00:00:00"/>
    <s v="Standard Class"/>
    <x v="37"/>
    <x v="37"/>
    <s v="Home Office"/>
    <s v="United States"/>
    <s v="Tampa"/>
    <x v="2"/>
    <n v="33614"/>
    <x v="0"/>
    <x v="216"/>
    <x v="0"/>
    <x v="5"/>
    <x v="217"/>
    <n v="258.072"/>
    <s v="High"/>
    <n v="3"/>
    <n v="0.2"/>
    <x v="2"/>
    <x v="2"/>
    <n v="0"/>
    <n v="0"/>
    <n v="0"/>
  </r>
  <r>
    <n v="236"/>
    <s v="US-2017-100930"/>
    <d v="2017-04-07T00:00:00"/>
    <x v="3"/>
    <s v="Q2"/>
    <x v="4"/>
    <d v="2017-04-12T00:00:00"/>
    <s v="Standard Class"/>
    <x v="37"/>
    <x v="37"/>
    <s v="Home Office"/>
    <s v="United States"/>
    <s v="Tampa"/>
    <x v="2"/>
    <n v="33614"/>
    <x v="0"/>
    <x v="217"/>
    <x v="2"/>
    <x v="11"/>
    <x v="218"/>
    <n v="617.976"/>
    <s v="High"/>
    <n v="3"/>
    <n v="0.2"/>
    <x v="2"/>
    <x v="2"/>
    <n v="-7.7247000000000003"/>
    <n v="-1.2500000000000001E-2"/>
    <n v="1"/>
  </r>
  <r>
    <n v="237"/>
    <s v="CA-2017-160514"/>
    <d v="2017-11-12T00:00:00"/>
    <x v="3"/>
    <s v="Q4"/>
    <x v="23"/>
    <d v="2017-11-16T00:00:00"/>
    <s v="Standard Class"/>
    <x v="106"/>
    <x v="106"/>
    <s v="Corporate"/>
    <s v="United States"/>
    <s v="Santa Clara"/>
    <x v="1"/>
    <n v="95051"/>
    <x v="1"/>
    <x v="218"/>
    <x v="1"/>
    <x v="10"/>
    <x v="219"/>
    <n v="10.56"/>
    <s v="Low"/>
    <n v="2"/>
    <n v="0"/>
    <x v="0"/>
    <x v="0"/>
    <n v="4.7519999999999998"/>
    <n v="0.44999999999999996"/>
    <n v="0"/>
  </r>
  <r>
    <n v="238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219"/>
    <x v="1"/>
    <x v="10"/>
    <x v="220"/>
    <n v="25.92"/>
    <s v="Medium"/>
    <n v="5"/>
    <n v="0.2"/>
    <x v="2"/>
    <x v="2"/>
    <n v="9.3960000000000008"/>
    <n v="0.36249999999999999"/>
    <n v="0"/>
  </r>
  <r>
    <n v="239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220"/>
    <x v="0"/>
    <x v="5"/>
    <x v="221"/>
    <n v="419.68"/>
    <s v="High"/>
    <n v="5"/>
    <n v="0.6"/>
    <x v="1"/>
    <x v="6"/>
    <n v="-356.72800000000001"/>
    <n v="-0.85"/>
    <n v="1"/>
  </r>
  <r>
    <n v="240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221"/>
    <x v="0"/>
    <x v="5"/>
    <x v="222"/>
    <n v="11.688000000000001"/>
    <s v="Low"/>
    <n v="3"/>
    <n v="0.6"/>
    <x v="1"/>
    <x v="6"/>
    <n v="-4.6752000000000002"/>
    <n v="-0.4"/>
    <n v="1"/>
  </r>
  <r>
    <n v="241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222"/>
    <x v="2"/>
    <x v="7"/>
    <x v="223"/>
    <n v="31.984000000000002"/>
    <s v="Medium"/>
    <n v="2"/>
    <n v="0.2"/>
    <x v="2"/>
    <x v="2"/>
    <n v="11.1944"/>
    <n v="0.35"/>
    <n v="0"/>
  </r>
  <r>
    <n v="242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223"/>
    <x v="0"/>
    <x v="3"/>
    <x v="224"/>
    <n v="177.22499999999999"/>
    <s v="High"/>
    <n v="5"/>
    <n v="0.5"/>
    <x v="1"/>
    <x v="1"/>
    <n v="-120.51300000000001"/>
    <n v="-0.68"/>
    <n v="1"/>
  </r>
  <r>
    <n v="243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224"/>
    <x v="0"/>
    <x v="5"/>
    <x v="225"/>
    <n v="4.0439999999999996"/>
    <s v="Low"/>
    <n v="3"/>
    <n v="0.6"/>
    <x v="1"/>
    <x v="6"/>
    <n v="-2.8308"/>
    <n v="-0.70000000000000007"/>
    <n v="1"/>
  </r>
  <r>
    <n v="244"/>
    <s v="CA-2016-157749"/>
    <d v="2016-06-04T00:00:00"/>
    <x v="0"/>
    <s v="Q2"/>
    <x v="1"/>
    <d v="2016-06-09T00:00:00"/>
    <s v="Second Class"/>
    <x v="107"/>
    <x v="107"/>
    <s v="Consumer"/>
    <s v="United States"/>
    <s v="Chicago"/>
    <x v="10"/>
    <n v="60610"/>
    <x v="2"/>
    <x v="182"/>
    <x v="1"/>
    <x v="6"/>
    <x v="183"/>
    <n v="7.4080000000000004"/>
    <s v="Low"/>
    <n v="2"/>
    <n v="0.2"/>
    <x v="2"/>
    <x v="2"/>
    <n v="1.2038"/>
    <n v="0.16249999999999998"/>
    <n v="0"/>
  </r>
  <r>
    <n v="245"/>
    <s v="CA-2014-131926"/>
    <d v="2014-06-01T00:00:00"/>
    <x v="2"/>
    <s v="Q2"/>
    <x v="3"/>
    <d v="2014-06-06T00:00:00"/>
    <s v="Second Class"/>
    <x v="108"/>
    <x v="108"/>
    <s v="Home Office"/>
    <s v="United States"/>
    <s v="Lakeville"/>
    <x v="11"/>
    <n v="55044"/>
    <x v="2"/>
    <x v="120"/>
    <x v="0"/>
    <x v="1"/>
    <x v="120"/>
    <n v="2001.86"/>
    <s v="High"/>
    <n v="7"/>
    <n v="0"/>
    <x v="0"/>
    <x v="0"/>
    <n v="580.5394"/>
    <n v="0.29000000000000004"/>
    <n v="0"/>
  </r>
  <r>
    <n v="246"/>
    <s v="CA-2014-131926"/>
    <d v="2014-06-01T00:00:00"/>
    <x v="2"/>
    <s v="Q2"/>
    <x v="3"/>
    <d v="2014-06-06T00:00:00"/>
    <s v="Second Class"/>
    <x v="108"/>
    <x v="108"/>
    <s v="Home Office"/>
    <s v="United States"/>
    <s v="Lakeville"/>
    <x v="11"/>
    <n v="55044"/>
    <x v="2"/>
    <x v="225"/>
    <x v="1"/>
    <x v="4"/>
    <x v="226"/>
    <n v="166.72"/>
    <s v="High"/>
    <n v="2"/>
    <n v="0"/>
    <x v="0"/>
    <x v="0"/>
    <n v="41.68"/>
    <n v="0.25"/>
    <n v="0"/>
  </r>
  <r>
    <n v="247"/>
    <s v="CA-2014-131926"/>
    <d v="2014-06-01T00:00:00"/>
    <x v="2"/>
    <s v="Q2"/>
    <x v="3"/>
    <d v="2014-06-06T00:00:00"/>
    <s v="Second Class"/>
    <x v="108"/>
    <x v="108"/>
    <s v="Home Office"/>
    <s v="United States"/>
    <s v="Lakeville"/>
    <x v="11"/>
    <n v="55044"/>
    <x v="2"/>
    <x v="226"/>
    <x v="1"/>
    <x v="10"/>
    <x v="227"/>
    <n v="47.88"/>
    <s v="Medium"/>
    <n v="6"/>
    <n v="0"/>
    <x v="0"/>
    <x v="0"/>
    <n v="23.94"/>
    <n v="0.5"/>
    <n v="0"/>
  </r>
  <r>
    <n v="248"/>
    <s v="CA-2014-131926"/>
    <d v="2014-06-01T00:00:00"/>
    <x v="2"/>
    <s v="Q2"/>
    <x v="3"/>
    <d v="2014-06-06T00:00:00"/>
    <s v="Second Class"/>
    <x v="108"/>
    <x v="108"/>
    <s v="Home Office"/>
    <s v="United States"/>
    <s v="Lakeville"/>
    <x v="11"/>
    <n v="55044"/>
    <x v="2"/>
    <x v="227"/>
    <x v="1"/>
    <x v="9"/>
    <x v="228"/>
    <n v="1503.25"/>
    <s v="High"/>
    <n v="5"/>
    <n v="0"/>
    <x v="0"/>
    <x v="0"/>
    <n v="496.07249999999999"/>
    <n v="0.33"/>
    <n v="0"/>
  </r>
  <r>
    <n v="249"/>
    <s v="CA-2014-131926"/>
    <d v="2014-06-01T00:00:00"/>
    <x v="2"/>
    <s v="Q2"/>
    <x v="3"/>
    <d v="2014-06-06T00:00:00"/>
    <s v="Second Class"/>
    <x v="108"/>
    <x v="108"/>
    <s v="Home Office"/>
    <s v="United States"/>
    <s v="Lakeville"/>
    <x v="11"/>
    <n v="55044"/>
    <x v="2"/>
    <x v="180"/>
    <x v="1"/>
    <x v="10"/>
    <x v="181"/>
    <n v="25.92"/>
    <s v="Medium"/>
    <n v="4"/>
    <n v="0"/>
    <x v="0"/>
    <x v="0"/>
    <n v="12.441599999999999"/>
    <n v="0.47999999999999993"/>
    <n v="0"/>
  </r>
  <r>
    <n v="250"/>
    <s v="CA-2016-154739"/>
    <d v="2016-12-10T00:00:00"/>
    <x v="0"/>
    <s v="Q4"/>
    <x v="5"/>
    <d v="2016-12-15T00:00:00"/>
    <s v="Second Class"/>
    <x v="109"/>
    <x v="109"/>
    <s v="Consumer"/>
    <s v="United States"/>
    <s v="San Francisco"/>
    <x v="1"/>
    <n v="94109"/>
    <x v="1"/>
    <x v="228"/>
    <x v="0"/>
    <x v="1"/>
    <x v="229"/>
    <n v="321.56799999999998"/>
    <s v="High"/>
    <n v="2"/>
    <n v="0.2"/>
    <x v="2"/>
    <x v="2"/>
    <n v="28.1372"/>
    <n v="8.7500000000000008E-2"/>
    <n v="0"/>
  </r>
  <r>
    <n v="251"/>
    <s v="CA-2016-145625"/>
    <d v="2016-09-11T00:00:00"/>
    <x v="0"/>
    <s v="Q3"/>
    <x v="21"/>
    <d v="2016-09-17T00:00:00"/>
    <s v="Standard Class"/>
    <x v="110"/>
    <x v="110"/>
    <s v="Consumer"/>
    <s v="United States"/>
    <s v="San Diego"/>
    <x v="1"/>
    <n v="92037"/>
    <x v="1"/>
    <x v="229"/>
    <x v="1"/>
    <x v="10"/>
    <x v="230"/>
    <n v="7.61"/>
    <s v="Low"/>
    <n v="1"/>
    <n v="0"/>
    <x v="0"/>
    <x v="0"/>
    <n v="3.5767000000000002"/>
    <n v="0.47000000000000003"/>
    <n v="0"/>
  </r>
  <r>
    <n v="252"/>
    <s v="CA-2016-145625"/>
    <d v="2016-09-11T00:00:00"/>
    <x v="0"/>
    <s v="Q3"/>
    <x v="21"/>
    <d v="2016-09-17T00:00:00"/>
    <s v="Standard Class"/>
    <x v="110"/>
    <x v="110"/>
    <s v="Consumer"/>
    <s v="United States"/>
    <s v="San Diego"/>
    <x v="1"/>
    <n v="92037"/>
    <x v="1"/>
    <x v="217"/>
    <x v="2"/>
    <x v="11"/>
    <x v="218"/>
    <n v="3347.37"/>
    <s v="High"/>
    <n v="13"/>
    <n v="0"/>
    <x v="0"/>
    <x v="0"/>
    <n v="636.00030000000004"/>
    <n v="0.19000000000000003"/>
    <n v="0"/>
  </r>
  <r>
    <n v="253"/>
    <s v="CA-2016-146941"/>
    <d v="2016-12-10T00:00:00"/>
    <x v="0"/>
    <s v="Q4"/>
    <x v="5"/>
    <d v="2016-12-13T00:00:00"/>
    <s v="First Class"/>
    <x v="111"/>
    <x v="111"/>
    <s v="Consumer"/>
    <s v="United States"/>
    <s v="New York City"/>
    <x v="15"/>
    <n v="10024"/>
    <x v="3"/>
    <x v="230"/>
    <x v="1"/>
    <x v="4"/>
    <x v="231"/>
    <n v="80.58"/>
    <s v="Medium"/>
    <n v="6"/>
    <n v="0"/>
    <x v="0"/>
    <x v="0"/>
    <n v="22.5624"/>
    <n v="0.28000000000000003"/>
    <n v="0"/>
  </r>
  <r>
    <n v="254"/>
    <s v="CA-2016-146941"/>
    <d v="2016-12-10T00:00:00"/>
    <x v="0"/>
    <s v="Q4"/>
    <x v="5"/>
    <d v="2016-12-13T00:00:00"/>
    <s v="First Class"/>
    <x v="111"/>
    <x v="111"/>
    <s v="Consumer"/>
    <s v="United States"/>
    <s v="New York City"/>
    <x v="15"/>
    <n v="10024"/>
    <x v="3"/>
    <x v="231"/>
    <x v="1"/>
    <x v="12"/>
    <x v="232"/>
    <n v="361.92"/>
    <s v="High"/>
    <n v="4"/>
    <n v="0"/>
    <x v="0"/>
    <x v="0"/>
    <n v="162.864"/>
    <n v="0.45"/>
    <n v="0"/>
  </r>
  <r>
    <n v="255"/>
    <s v="US-2015-159982"/>
    <d v="2015-11-28T00:00:00"/>
    <x v="1"/>
    <s v="Q4"/>
    <x v="6"/>
    <d v="2015-12-04T00:00:00"/>
    <s v="Standard Class"/>
    <x v="112"/>
    <x v="112"/>
    <s v="Corporate"/>
    <s v="United States"/>
    <s v="Chicago"/>
    <x v="10"/>
    <n v="60623"/>
    <x v="2"/>
    <x v="224"/>
    <x v="0"/>
    <x v="5"/>
    <x v="225"/>
    <n v="12.132"/>
    <s v="Low"/>
    <n v="9"/>
    <n v="0.6"/>
    <x v="1"/>
    <x v="6"/>
    <n v="-8.4923999999999999"/>
    <n v="-0.70000000000000007"/>
    <n v="1"/>
  </r>
  <r>
    <n v="256"/>
    <s v="US-2015-159982"/>
    <d v="2015-11-28T00:00:00"/>
    <x v="1"/>
    <s v="Q4"/>
    <x v="6"/>
    <d v="2015-12-04T00:00:00"/>
    <s v="Standard Class"/>
    <x v="112"/>
    <x v="112"/>
    <s v="Corporate"/>
    <s v="United States"/>
    <s v="Chicago"/>
    <x v="10"/>
    <n v="60623"/>
    <x v="2"/>
    <x v="232"/>
    <x v="1"/>
    <x v="4"/>
    <x v="233"/>
    <n v="82.367999999999995"/>
    <s v="Medium"/>
    <n v="2"/>
    <n v="0.2"/>
    <x v="2"/>
    <x v="2"/>
    <n v="-19.5624"/>
    <n v="-0.23750000000000002"/>
    <n v="1"/>
  </r>
  <r>
    <n v="257"/>
    <s v="US-2015-159982"/>
    <d v="2015-11-28T00:00:00"/>
    <x v="1"/>
    <s v="Q4"/>
    <x v="6"/>
    <d v="2015-12-04T00:00:00"/>
    <s v="Standard Class"/>
    <x v="112"/>
    <x v="112"/>
    <s v="Corporate"/>
    <s v="United States"/>
    <s v="Chicago"/>
    <x v="10"/>
    <n v="60623"/>
    <x v="2"/>
    <x v="146"/>
    <x v="1"/>
    <x v="4"/>
    <x v="147"/>
    <n v="53.92"/>
    <s v="Medium"/>
    <n v="5"/>
    <n v="0.2"/>
    <x v="2"/>
    <x v="2"/>
    <n v="4.0439999999999996"/>
    <n v="7.4999999999999983E-2"/>
    <n v="0"/>
  </r>
  <r>
    <n v="258"/>
    <s v="US-2015-159982"/>
    <d v="2015-11-28T00:00:00"/>
    <x v="1"/>
    <s v="Q4"/>
    <x v="6"/>
    <d v="2015-12-04T00:00:00"/>
    <s v="Standard Class"/>
    <x v="112"/>
    <x v="112"/>
    <s v="Corporate"/>
    <s v="United States"/>
    <s v="Chicago"/>
    <x v="10"/>
    <n v="60623"/>
    <x v="2"/>
    <x v="233"/>
    <x v="2"/>
    <x v="7"/>
    <x v="234"/>
    <n v="647.904"/>
    <s v="High"/>
    <n v="6"/>
    <n v="0.2"/>
    <x v="2"/>
    <x v="2"/>
    <n v="56.691600000000001"/>
    <n v="8.7500000000000008E-2"/>
    <n v="0"/>
  </r>
  <r>
    <n v="259"/>
    <s v="CA-2017-163139"/>
    <d v="2017-12-01T00:00:00"/>
    <x v="3"/>
    <s v="Q4"/>
    <x v="22"/>
    <d v="2017-12-03T00:00:00"/>
    <s v="Second Class"/>
    <x v="113"/>
    <x v="113"/>
    <s v="Consumer"/>
    <s v="United States"/>
    <s v="New York City"/>
    <x v="15"/>
    <n v="10009"/>
    <x v="3"/>
    <x v="234"/>
    <x v="2"/>
    <x v="11"/>
    <x v="235"/>
    <n v="20.37"/>
    <s v="Low"/>
    <n v="3"/>
    <n v="0"/>
    <x v="0"/>
    <x v="0"/>
    <n v="6.9257999999999997"/>
    <n v="0.33999999999999997"/>
    <n v="0"/>
  </r>
  <r>
    <n v="260"/>
    <s v="CA-2017-163139"/>
    <d v="2017-12-01T00:00:00"/>
    <x v="3"/>
    <s v="Q4"/>
    <x v="22"/>
    <d v="2017-12-03T00:00:00"/>
    <s v="Second Class"/>
    <x v="113"/>
    <x v="113"/>
    <s v="Consumer"/>
    <s v="United States"/>
    <s v="New York City"/>
    <x v="15"/>
    <n v="10009"/>
    <x v="3"/>
    <x v="235"/>
    <x v="1"/>
    <x v="4"/>
    <x v="236"/>
    <n v="221.55"/>
    <s v="High"/>
    <n v="3"/>
    <n v="0"/>
    <x v="0"/>
    <x v="0"/>
    <n v="6.6464999999999996"/>
    <n v="2.9999999999999995E-2"/>
    <n v="0"/>
  </r>
  <r>
    <n v="261"/>
    <s v="CA-2017-163139"/>
    <d v="2017-12-01T00:00:00"/>
    <x v="3"/>
    <s v="Q4"/>
    <x v="22"/>
    <d v="2017-12-03T00:00:00"/>
    <s v="Second Class"/>
    <x v="113"/>
    <x v="113"/>
    <s v="Consumer"/>
    <s v="United States"/>
    <s v="New York City"/>
    <x v="15"/>
    <n v="10009"/>
    <x v="3"/>
    <x v="236"/>
    <x v="1"/>
    <x v="8"/>
    <x v="237"/>
    <n v="17.52"/>
    <s v="Low"/>
    <n v="5"/>
    <n v="0.2"/>
    <x v="2"/>
    <x v="2"/>
    <n v="6.1319999999999997"/>
    <n v="0.35"/>
    <n v="0"/>
  </r>
  <r>
    <n v="262"/>
    <s v="US-2017-155299"/>
    <d v="2017-06-08T00:00:00"/>
    <x v="3"/>
    <s v="Q2"/>
    <x v="27"/>
    <d v="2017-06-12T00:00:00"/>
    <s v="Standard Class"/>
    <x v="114"/>
    <x v="114"/>
    <s v="Corporate"/>
    <s v="United States"/>
    <s v="Pasadena"/>
    <x v="5"/>
    <n v="77506"/>
    <x v="2"/>
    <x v="237"/>
    <x v="1"/>
    <x v="9"/>
    <x v="238"/>
    <n v="1.6240000000000001"/>
    <s v="Low"/>
    <n v="2"/>
    <n v="0.8"/>
    <x v="1"/>
    <x v="3"/>
    <n v="-4.4660000000000002"/>
    <n v="-2.75"/>
    <n v="1"/>
  </r>
  <r>
    <n v="263"/>
    <s v="US-2014-106992"/>
    <d v="2014-09-19T00:00:00"/>
    <x v="2"/>
    <s v="Q3"/>
    <x v="30"/>
    <d v="2014-09-21T00:00:00"/>
    <s v="Second Class"/>
    <x v="115"/>
    <x v="115"/>
    <s v="Corporate"/>
    <s v="United States"/>
    <s v="Houston"/>
    <x v="5"/>
    <n v="77036"/>
    <x v="2"/>
    <x v="155"/>
    <x v="2"/>
    <x v="15"/>
    <x v="156"/>
    <n v="3059.982"/>
    <s v="High"/>
    <n v="3"/>
    <n v="0.4"/>
    <x v="1"/>
    <x v="7"/>
    <n v="-509.99700000000001"/>
    <n v="-0.16666666666666669"/>
    <n v="1"/>
  </r>
  <r>
    <n v="264"/>
    <s v="US-2014-106992"/>
    <d v="2014-09-19T00:00:00"/>
    <x v="2"/>
    <s v="Q3"/>
    <x v="30"/>
    <d v="2014-09-21T00:00:00"/>
    <s v="Second Class"/>
    <x v="115"/>
    <x v="115"/>
    <s v="Corporate"/>
    <s v="United States"/>
    <s v="Houston"/>
    <x v="5"/>
    <n v="77036"/>
    <x v="2"/>
    <x v="238"/>
    <x v="2"/>
    <x v="15"/>
    <x v="239"/>
    <n v="2519.9580000000001"/>
    <s v="High"/>
    <n v="7"/>
    <n v="0.4"/>
    <x v="1"/>
    <x v="7"/>
    <n v="-251.9958"/>
    <n v="-9.9999999999999992E-2"/>
    <n v="1"/>
  </r>
  <r>
    <n v="265"/>
    <s v="CA-2016-125318"/>
    <d v="2016-06-06T00:00:00"/>
    <x v="0"/>
    <s v="Q2"/>
    <x v="1"/>
    <d v="2016-06-13T00:00:00"/>
    <s v="Standard Class"/>
    <x v="116"/>
    <x v="116"/>
    <s v="Consumer"/>
    <s v="United States"/>
    <s v="Chicago"/>
    <x v="10"/>
    <n v="60610"/>
    <x v="2"/>
    <x v="239"/>
    <x v="2"/>
    <x v="7"/>
    <x v="240"/>
    <n v="328.22399999999999"/>
    <s v="High"/>
    <n v="4"/>
    <n v="0.2"/>
    <x v="2"/>
    <x v="2"/>
    <n v="28.7196"/>
    <n v="8.7500000000000008E-2"/>
    <n v="0"/>
  </r>
  <r>
    <n v="266"/>
    <s v="CA-2015-155040"/>
    <d v="2015-11-10T00:00:00"/>
    <x v="1"/>
    <s v="Q4"/>
    <x v="6"/>
    <d v="2015-11-15T00:00:00"/>
    <s v="Standard Class"/>
    <x v="117"/>
    <x v="117"/>
    <s v="Consumer"/>
    <s v="United States"/>
    <s v="Brentwood"/>
    <x v="1"/>
    <n v="94513"/>
    <x v="1"/>
    <x v="240"/>
    <x v="2"/>
    <x v="11"/>
    <x v="241"/>
    <n v="79.900000000000006"/>
    <s v="Medium"/>
    <n v="2"/>
    <n v="0"/>
    <x v="0"/>
    <x v="0"/>
    <n v="35.155999999999999"/>
    <n v="0.43999999999999995"/>
    <n v="0"/>
  </r>
  <r>
    <n v="267"/>
    <s v="CA-2017-136826"/>
    <d v="2017-06-16T00:00:00"/>
    <x v="3"/>
    <s v="Q2"/>
    <x v="27"/>
    <d v="2017-06-20T00:00:00"/>
    <s v="Standard Class"/>
    <x v="118"/>
    <x v="118"/>
    <s v="Corporate"/>
    <s v="United States"/>
    <s v="Chapel Hill"/>
    <x v="3"/>
    <n v="27514"/>
    <x v="0"/>
    <x v="241"/>
    <x v="1"/>
    <x v="6"/>
    <x v="242"/>
    <n v="14.016"/>
    <s v="Low"/>
    <n v="3"/>
    <n v="0.2"/>
    <x v="2"/>
    <x v="2"/>
    <n v="4.7304000000000004"/>
    <n v="0.33750000000000002"/>
    <n v="0"/>
  </r>
  <r>
    <n v="268"/>
    <s v="CA-2016-111010"/>
    <d v="2016-01-22T00:00:00"/>
    <x v="0"/>
    <s v="Q1"/>
    <x v="12"/>
    <d v="2016-01-28T00:00:00"/>
    <s v="Standard Class"/>
    <x v="38"/>
    <x v="38"/>
    <s v="Consumer"/>
    <s v="United States"/>
    <s v="Morristown"/>
    <x v="30"/>
    <n v="7960"/>
    <x v="3"/>
    <x v="242"/>
    <x v="1"/>
    <x v="13"/>
    <x v="243"/>
    <n v="7.56"/>
    <s v="Low"/>
    <n v="6"/>
    <n v="0"/>
    <x v="0"/>
    <x v="0"/>
    <n v="0.3024"/>
    <n v="0.04"/>
    <n v="0"/>
  </r>
  <r>
    <n v="269"/>
    <s v="US-2017-145366"/>
    <d v="2017-12-09T00:00:00"/>
    <x v="3"/>
    <s v="Q4"/>
    <x v="22"/>
    <d v="2017-12-13T00:00:00"/>
    <s v="Standard Class"/>
    <x v="119"/>
    <x v="119"/>
    <s v="Corporate"/>
    <s v="United States"/>
    <s v="Cincinnati"/>
    <x v="24"/>
    <n v="45231"/>
    <x v="3"/>
    <x v="243"/>
    <x v="1"/>
    <x v="4"/>
    <x v="244"/>
    <n v="37.207999999999998"/>
    <s v="Medium"/>
    <n v="1"/>
    <n v="0.2"/>
    <x v="2"/>
    <x v="2"/>
    <n v="-7.4416000000000002"/>
    <n v="-0.2"/>
    <n v="1"/>
  </r>
  <r>
    <n v="270"/>
    <s v="US-2017-145366"/>
    <d v="2017-12-09T00:00:00"/>
    <x v="3"/>
    <s v="Q4"/>
    <x v="22"/>
    <d v="2017-12-13T00:00:00"/>
    <s v="Standard Class"/>
    <x v="119"/>
    <x v="119"/>
    <s v="Corporate"/>
    <s v="United States"/>
    <s v="Cincinnati"/>
    <x v="24"/>
    <n v="45231"/>
    <x v="3"/>
    <x v="244"/>
    <x v="1"/>
    <x v="12"/>
    <x v="245"/>
    <n v="57.576000000000001"/>
    <s v="Medium"/>
    <n v="3"/>
    <n v="0.2"/>
    <x v="2"/>
    <x v="2"/>
    <n v="21.591000000000001"/>
    <n v="0.375"/>
    <n v="0"/>
  </r>
  <r>
    <n v="271"/>
    <s v="CA-2017-163979"/>
    <d v="2017-12-28T00:00:00"/>
    <x v="3"/>
    <s v="Q4"/>
    <x v="22"/>
    <d v="2018-01-02T00:00:00"/>
    <s v="Second Class"/>
    <x v="120"/>
    <x v="120"/>
    <s v="Corporate"/>
    <s v="United States"/>
    <s v="San Francisco"/>
    <x v="1"/>
    <n v="94110"/>
    <x v="1"/>
    <x v="245"/>
    <x v="1"/>
    <x v="4"/>
    <x v="246"/>
    <n v="725.84"/>
    <s v="High"/>
    <n v="4"/>
    <n v="0"/>
    <x v="0"/>
    <x v="0"/>
    <n v="210.49359999999999"/>
    <n v="0.28999999999999998"/>
    <n v="0"/>
  </r>
  <r>
    <n v="272"/>
    <s v="CA-2015-155334"/>
    <d v="2015-07-30T00:00:00"/>
    <x v="1"/>
    <s v="Q3"/>
    <x v="38"/>
    <d v="2015-07-31T00:00:00"/>
    <s v="First Class"/>
    <x v="66"/>
    <x v="66"/>
    <s v="Consumer"/>
    <s v="United States"/>
    <s v="San Francisco"/>
    <x v="1"/>
    <n v="94109"/>
    <x v="1"/>
    <x v="246"/>
    <x v="2"/>
    <x v="11"/>
    <x v="247"/>
    <n v="209.93"/>
    <s v="High"/>
    <n v="7"/>
    <n v="0"/>
    <x v="0"/>
    <x v="0"/>
    <n v="92.369200000000006"/>
    <n v="0.44"/>
    <n v="0"/>
  </r>
  <r>
    <n v="273"/>
    <s v="CA-2015-155334"/>
    <d v="2015-07-30T00:00:00"/>
    <x v="1"/>
    <s v="Q3"/>
    <x v="38"/>
    <d v="2015-07-31T00:00:00"/>
    <s v="First Class"/>
    <x v="66"/>
    <x v="66"/>
    <s v="Consumer"/>
    <s v="United States"/>
    <s v="San Francisco"/>
    <x v="1"/>
    <n v="94109"/>
    <x v="1"/>
    <x v="247"/>
    <x v="0"/>
    <x v="5"/>
    <x v="248"/>
    <n v="5.28"/>
    <s v="Low"/>
    <n v="3"/>
    <n v="0"/>
    <x v="0"/>
    <x v="0"/>
    <n v="2.3231999999999999"/>
    <n v="0.43999999999999995"/>
    <n v="0"/>
  </r>
  <r>
    <n v="274"/>
    <s v="CA-2015-155334"/>
    <d v="2015-07-30T00:00:00"/>
    <x v="1"/>
    <s v="Q3"/>
    <x v="38"/>
    <d v="2015-07-31T00:00:00"/>
    <s v="First Class"/>
    <x v="66"/>
    <x v="66"/>
    <s v="Consumer"/>
    <s v="United States"/>
    <s v="San Francisco"/>
    <x v="1"/>
    <n v="94109"/>
    <x v="1"/>
    <x v="248"/>
    <x v="1"/>
    <x v="8"/>
    <x v="249"/>
    <n v="10.92"/>
    <s v="Low"/>
    <n v="3"/>
    <n v="0.2"/>
    <x v="2"/>
    <x v="2"/>
    <n v="4.0949999999999998"/>
    <n v="0.375"/>
    <n v="0"/>
  </r>
  <r>
    <n v="275"/>
    <s v="CA-2017-118136"/>
    <d v="2017-09-16T00:00:00"/>
    <x v="3"/>
    <s v="Q3"/>
    <x v="15"/>
    <d v="2017-09-17T00:00:00"/>
    <s v="First Class"/>
    <x v="121"/>
    <x v="121"/>
    <s v="Corporate"/>
    <s v="United States"/>
    <s v="Inglewood"/>
    <x v="1"/>
    <n v="90301"/>
    <x v="1"/>
    <x v="249"/>
    <x v="1"/>
    <x v="10"/>
    <x v="250"/>
    <n v="8.82"/>
    <s v="Low"/>
    <n v="2"/>
    <n v="0"/>
    <x v="0"/>
    <x v="0"/>
    <n v="4.0571999999999999"/>
    <n v="0.45999999999999996"/>
    <n v="0"/>
  </r>
  <r>
    <n v="276"/>
    <s v="CA-2017-118136"/>
    <d v="2017-09-16T00:00:00"/>
    <x v="3"/>
    <s v="Q3"/>
    <x v="15"/>
    <d v="2017-09-17T00:00:00"/>
    <s v="First Class"/>
    <x v="121"/>
    <x v="121"/>
    <s v="Corporate"/>
    <s v="United States"/>
    <s v="Inglewood"/>
    <x v="1"/>
    <n v="90301"/>
    <x v="1"/>
    <x v="250"/>
    <x v="1"/>
    <x v="6"/>
    <x v="251"/>
    <n v="5.98"/>
    <s v="Low"/>
    <n v="1"/>
    <n v="0"/>
    <x v="0"/>
    <x v="0"/>
    <n v="1.5548"/>
    <n v="0.25999999999999995"/>
    <n v="0"/>
  </r>
  <r>
    <n v="277"/>
    <s v="CA-2017-132976"/>
    <d v="2017-10-13T00:00:00"/>
    <x v="3"/>
    <s v="Q4"/>
    <x v="13"/>
    <d v="2017-10-17T00:00:00"/>
    <s v="Standard Class"/>
    <x v="122"/>
    <x v="122"/>
    <s v="Corporate"/>
    <s v="United States"/>
    <s v="Philadelphia"/>
    <x v="9"/>
    <n v="19140"/>
    <x v="3"/>
    <x v="251"/>
    <x v="1"/>
    <x v="10"/>
    <x v="252"/>
    <n v="11.648"/>
    <s v="Low"/>
    <n v="2"/>
    <n v="0.2"/>
    <x v="2"/>
    <x v="2"/>
    <n v="4.0768000000000004"/>
    <n v="0.35000000000000003"/>
    <n v="0"/>
  </r>
  <r>
    <n v="278"/>
    <s v="CA-2017-132976"/>
    <d v="2017-10-13T00:00:00"/>
    <x v="3"/>
    <s v="Q4"/>
    <x v="13"/>
    <d v="2017-10-17T00:00:00"/>
    <s v="Standard Class"/>
    <x v="122"/>
    <x v="122"/>
    <s v="Corporate"/>
    <s v="United States"/>
    <s v="Philadelphia"/>
    <x v="9"/>
    <n v="19140"/>
    <x v="3"/>
    <x v="252"/>
    <x v="1"/>
    <x v="10"/>
    <x v="253"/>
    <n v="18.175999999999998"/>
    <s v="Low"/>
    <n v="4"/>
    <n v="0.2"/>
    <x v="2"/>
    <x v="2"/>
    <n v="5.9071999999999996"/>
    <n v="0.32500000000000001"/>
    <n v="0"/>
  </r>
  <r>
    <n v="279"/>
    <s v="CA-2017-132976"/>
    <d v="2017-10-13T00:00:00"/>
    <x v="3"/>
    <s v="Q4"/>
    <x v="13"/>
    <d v="2017-10-17T00:00:00"/>
    <s v="Standard Class"/>
    <x v="122"/>
    <x v="122"/>
    <s v="Corporate"/>
    <s v="United States"/>
    <s v="Philadelphia"/>
    <x v="9"/>
    <n v="19140"/>
    <x v="3"/>
    <x v="253"/>
    <x v="1"/>
    <x v="4"/>
    <x v="254"/>
    <n v="59.712000000000003"/>
    <s v="Medium"/>
    <n v="6"/>
    <n v="0.2"/>
    <x v="2"/>
    <x v="2"/>
    <n v="5.9711999999999996"/>
    <n v="9.9999999999999992E-2"/>
    <n v="0"/>
  </r>
  <r>
    <n v="280"/>
    <s v="CA-2017-132976"/>
    <d v="2017-10-13T00:00:00"/>
    <x v="3"/>
    <s v="Q4"/>
    <x v="13"/>
    <d v="2017-10-17T00:00:00"/>
    <s v="Standard Class"/>
    <x v="122"/>
    <x v="122"/>
    <s v="Corporate"/>
    <s v="United States"/>
    <s v="Philadelphia"/>
    <x v="9"/>
    <n v="19140"/>
    <x v="3"/>
    <x v="254"/>
    <x v="1"/>
    <x v="2"/>
    <x v="255"/>
    <n v="24.84"/>
    <s v="Low"/>
    <n v="3"/>
    <n v="0.2"/>
    <x v="2"/>
    <x v="2"/>
    <n v="8.6940000000000008"/>
    <n v="0.35000000000000003"/>
    <n v="0"/>
  </r>
  <r>
    <n v="281"/>
    <s v="US-2015-161991"/>
    <d v="2015-09-26T00:00:00"/>
    <x v="1"/>
    <s v="Q3"/>
    <x v="11"/>
    <d v="2015-09-28T00:00:00"/>
    <s v="Second Class"/>
    <x v="56"/>
    <x v="56"/>
    <s v="Consumer"/>
    <s v="United States"/>
    <s v="Houston"/>
    <x v="5"/>
    <n v="77070"/>
    <x v="2"/>
    <x v="255"/>
    <x v="1"/>
    <x v="8"/>
    <x v="256"/>
    <n v="2.08"/>
    <s v="Low"/>
    <n v="5"/>
    <n v="0.8"/>
    <x v="1"/>
    <x v="3"/>
    <n v="-3.4319999999999999"/>
    <n v="-1.65"/>
    <n v="1"/>
  </r>
  <r>
    <n v="282"/>
    <s v="US-2015-161991"/>
    <d v="2015-09-26T00:00:00"/>
    <x v="1"/>
    <s v="Q3"/>
    <x v="11"/>
    <d v="2015-09-28T00:00:00"/>
    <s v="Second Class"/>
    <x v="56"/>
    <x v="56"/>
    <s v="Consumer"/>
    <s v="United States"/>
    <s v="Houston"/>
    <x v="5"/>
    <n v="77070"/>
    <x v="2"/>
    <x v="256"/>
    <x v="2"/>
    <x v="7"/>
    <x v="257"/>
    <n v="1114.4000000000001"/>
    <s v="High"/>
    <n v="7"/>
    <n v="0.2"/>
    <x v="2"/>
    <x v="2"/>
    <n v="376.11"/>
    <n v="0.33749999999999997"/>
    <n v="0"/>
  </r>
  <r>
    <n v="283"/>
    <s v="CA-2015-130890"/>
    <d v="2015-11-02T00:00:00"/>
    <x v="1"/>
    <s v="Q4"/>
    <x v="6"/>
    <d v="2015-11-06T00:00:00"/>
    <s v="Standard Class"/>
    <x v="123"/>
    <x v="123"/>
    <s v="Consumer"/>
    <s v="United States"/>
    <s v="Los Angeles"/>
    <x v="1"/>
    <n v="90004"/>
    <x v="1"/>
    <x v="257"/>
    <x v="0"/>
    <x v="3"/>
    <x v="258"/>
    <n v="1038.8399999999999"/>
    <s v="High"/>
    <n v="5"/>
    <n v="0.2"/>
    <x v="2"/>
    <x v="2"/>
    <n v="51.942"/>
    <n v="0.05"/>
    <n v="0"/>
  </r>
  <r>
    <n v="284"/>
    <s v="CA-2015-130883"/>
    <d v="2015-09-26T00:00:00"/>
    <x v="1"/>
    <s v="Q3"/>
    <x v="11"/>
    <d v="2015-10-02T00:00:00"/>
    <s v="Standard Class"/>
    <x v="14"/>
    <x v="14"/>
    <s v="Consumer"/>
    <s v="United States"/>
    <s v="Portland"/>
    <x v="21"/>
    <n v="97206"/>
    <x v="1"/>
    <x v="258"/>
    <x v="1"/>
    <x v="10"/>
    <x v="33"/>
    <n v="141.76"/>
    <s v="High"/>
    <n v="5"/>
    <n v="0.2"/>
    <x v="2"/>
    <x v="2"/>
    <n v="47.844000000000001"/>
    <n v="0.33750000000000002"/>
    <n v="0"/>
  </r>
  <r>
    <n v="285"/>
    <s v="CA-2015-130883"/>
    <d v="2015-09-26T00:00:00"/>
    <x v="1"/>
    <s v="Q3"/>
    <x v="11"/>
    <d v="2015-10-02T00:00:00"/>
    <s v="Standard Class"/>
    <x v="14"/>
    <x v="14"/>
    <s v="Consumer"/>
    <s v="United States"/>
    <s v="Portland"/>
    <x v="21"/>
    <n v="97206"/>
    <x v="1"/>
    <x v="259"/>
    <x v="2"/>
    <x v="11"/>
    <x v="259"/>
    <n v="239.8"/>
    <s v="High"/>
    <n v="5"/>
    <n v="0.2"/>
    <x v="2"/>
    <x v="2"/>
    <n v="47.96"/>
    <n v="0.19999999999999998"/>
    <n v="0"/>
  </r>
  <r>
    <n v="286"/>
    <s v="CA-2015-130883"/>
    <d v="2015-09-26T00:00:00"/>
    <x v="1"/>
    <s v="Q3"/>
    <x v="11"/>
    <d v="2015-10-02T00:00:00"/>
    <s v="Standard Class"/>
    <x v="14"/>
    <x v="14"/>
    <s v="Consumer"/>
    <s v="United States"/>
    <s v="Portland"/>
    <x v="21"/>
    <n v="97206"/>
    <x v="1"/>
    <x v="260"/>
    <x v="1"/>
    <x v="10"/>
    <x v="260"/>
    <n v="31.103999999999999"/>
    <s v="Medium"/>
    <n v="6"/>
    <n v="0.2"/>
    <x v="2"/>
    <x v="2"/>
    <n v="10.8864"/>
    <n v="0.35000000000000003"/>
    <n v="0"/>
  </r>
  <r>
    <n v="287"/>
    <s v="CA-2016-112697"/>
    <d v="2016-12-18T00:00:00"/>
    <x v="0"/>
    <s v="Q4"/>
    <x v="5"/>
    <d v="2016-12-20T00:00:00"/>
    <s v="Second Class"/>
    <x v="124"/>
    <x v="124"/>
    <s v="Corporate"/>
    <s v="United States"/>
    <s v="Tamarac"/>
    <x v="2"/>
    <n v="33319"/>
    <x v="0"/>
    <x v="261"/>
    <x v="1"/>
    <x v="8"/>
    <x v="261"/>
    <n v="254.05799999999999"/>
    <s v="High"/>
    <n v="7"/>
    <n v="0.7"/>
    <x v="1"/>
    <x v="5"/>
    <n v="-169.37200000000001"/>
    <n v="-0.66666666666666674"/>
    <n v="1"/>
  </r>
  <r>
    <n v="288"/>
    <s v="CA-2016-112697"/>
    <d v="2016-12-18T00:00:00"/>
    <x v="0"/>
    <s v="Q4"/>
    <x v="5"/>
    <d v="2016-12-20T00:00:00"/>
    <s v="Second Class"/>
    <x v="124"/>
    <x v="124"/>
    <s v="Corporate"/>
    <s v="United States"/>
    <s v="Tamarac"/>
    <x v="2"/>
    <n v="33319"/>
    <x v="0"/>
    <x v="166"/>
    <x v="1"/>
    <x v="9"/>
    <x v="167"/>
    <n v="194.52799999999999"/>
    <s v="High"/>
    <n v="2"/>
    <n v="0.2"/>
    <x v="2"/>
    <x v="2"/>
    <n v="24.315999999999999"/>
    <n v="0.125"/>
    <n v="0"/>
  </r>
  <r>
    <n v="289"/>
    <s v="CA-2016-112697"/>
    <d v="2016-12-18T00:00:00"/>
    <x v="0"/>
    <s v="Q4"/>
    <x v="5"/>
    <d v="2016-12-20T00:00:00"/>
    <s v="Second Class"/>
    <x v="124"/>
    <x v="124"/>
    <s v="Corporate"/>
    <s v="United States"/>
    <s v="Tamarac"/>
    <x v="2"/>
    <n v="33319"/>
    <x v="0"/>
    <x v="262"/>
    <x v="1"/>
    <x v="14"/>
    <x v="262"/>
    <n v="961.48"/>
    <s v="High"/>
    <n v="5"/>
    <n v="0.2"/>
    <x v="2"/>
    <x v="2"/>
    <n v="-204.31450000000001"/>
    <n v="-0.21249999999999999"/>
    <n v="1"/>
  </r>
  <r>
    <n v="290"/>
    <s v="CA-2016-110772"/>
    <d v="2016-11-20T00:00:00"/>
    <x v="0"/>
    <s v="Q4"/>
    <x v="0"/>
    <d v="2016-11-24T00:00:00"/>
    <s v="Second Class"/>
    <x v="125"/>
    <x v="125"/>
    <s v="Home Office"/>
    <s v="United States"/>
    <s v="Columbus"/>
    <x v="24"/>
    <n v="43229"/>
    <x v="3"/>
    <x v="263"/>
    <x v="1"/>
    <x v="13"/>
    <x v="263"/>
    <n v="19.096"/>
    <s v="Low"/>
    <n v="7"/>
    <n v="0.2"/>
    <x v="2"/>
    <x v="2"/>
    <n v="6.6836000000000002"/>
    <n v="0.35000000000000003"/>
    <n v="0"/>
  </r>
  <r>
    <n v="291"/>
    <s v="CA-2016-110772"/>
    <d v="2016-11-20T00:00:00"/>
    <x v="0"/>
    <s v="Q4"/>
    <x v="0"/>
    <d v="2016-11-24T00:00:00"/>
    <s v="Second Class"/>
    <x v="125"/>
    <x v="125"/>
    <s v="Home Office"/>
    <s v="United States"/>
    <s v="Columbus"/>
    <x v="24"/>
    <n v="43229"/>
    <x v="3"/>
    <x v="264"/>
    <x v="1"/>
    <x v="2"/>
    <x v="264"/>
    <n v="18.495999999999999"/>
    <s v="Low"/>
    <n v="8"/>
    <n v="0.2"/>
    <x v="2"/>
    <x v="2"/>
    <n v="6.2423999999999999"/>
    <n v="0.33750000000000002"/>
    <n v="0"/>
  </r>
  <r>
    <n v="292"/>
    <s v="CA-2016-110772"/>
    <d v="2016-11-20T00:00:00"/>
    <x v="0"/>
    <s v="Q4"/>
    <x v="0"/>
    <d v="2016-11-24T00:00:00"/>
    <s v="Second Class"/>
    <x v="125"/>
    <x v="125"/>
    <s v="Home Office"/>
    <s v="United States"/>
    <s v="Columbus"/>
    <x v="24"/>
    <n v="43229"/>
    <x v="3"/>
    <x v="265"/>
    <x v="2"/>
    <x v="11"/>
    <x v="265"/>
    <n v="255.98400000000001"/>
    <s v="High"/>
    <n v="2"/>
    <n v="0.2"/>
    <x v="2"/>
    <x v="2"/>
    <n v="54.396599999999999"/>
    <n v="0.21249999999999999"/>
    <n v="0"/>
  </r>
  <r>
    <n v="293"/>
    <s v="CA-2016-110772"/>
    <d v="2016-11-20T00:00:00"/>
    <x v="0"/>
    <s v="Q4"/>
    <x v="0"/>
    <d v="2016-11-24T00:00:00"/>
    <s v="Second Class"/>
    <x v="125"/>
    <x v="125"/>
    <s v="Home Office"/>
    <s v="United States"/>
    <s v="Columbus"/>
    <x v="24"/>
    <n v="43229"/>
    <x v="3"/>
    <x v="266"/>
    <x v="0"/>
    <x v="0"/>
    <x v="266"/>
    <n v="86.97"/>
    <s v="Medium"/>
    <n v="3"/>
    <n v="0.5"/>
    <x v="1"/>
    <x v="1"/>
    <n v="-48.703200000000002"/>
    <n v="-0.56000000000000005"/>
    <n v="1"/>
  </r>
  <r>
    <n v="294"/>
    <s v="CA-2014-111451"/>
    <d v="2014-12-26T00:00:00"/>
    <x v="2"/>
    <s v="Q4"/>
    <x v="20"/>
    <d v="2014-12-28T00:00:00"/>
    <s v="First Class"/>
    <x v="126"/>
    <x v="126"/>
    <s v="Corporate"/>
    <s v="United States"/>
    <s v="Colorado Springs"/>
    <x v="22"/>
    <n v="80906"/>
    <x v="1"/>
    <x v="267"/>
    <x v="0"/>
    <x v="5"/>
    <x v="267"/>
    <n v="300.416"/>
    <s v="High"/>
    <n v="8"/>
    <n v="0.2"/>
    <x v="2"/>
    <x v="2"/>
    <n v="78.859200000000001"/>
    <n v="0.26250000000000001"/>
    <n v="0"/>
  </r>
  <r>
    <n v="295"/>
    <s v="CA-2014-111451"/>
    <d v="2014-12-26T00:00:00"/>
    <x v="2"/>
    <s v="Q4"/>
    <x v="20"/>
    <d v="2014-12-28T00:00:00"/>
    <s v="First Class"/>
    <x v="126"/>
    <x v="126"/>
    <s v="Corporate"/>
    <s v="United States"/>
    <s v="Colorado Springs"/>
    <x v="22"/>
    <n v="80906"/>
    <x v="1"/>
    <x v="268"/>
    <x v="0"/>
    <x v="1"/>
    <x v="268"/>
    <n v="230.352"/>
    <s v="High"/>
    <n v="3"/>
    <n v="0.2"/>
    <x v="2"/>
    <x v="2"/>
    <n v="20.155799999999999"/>
    <n v="8.7499999999999994E-2"/>
    <n v="0"/>
  </r>
  <r>
    <n v="296"/>
    <s v="CA-2014-111451"/>
    <d v="2014-12-26T00:00:00"/>
    <x v="2"/>
    <s v="Q4"/>
    <x v="20"/>
    <d v="2014-12-28T00:00:00"/>
    <s v="First Class"/>
    <x v="126"/>
    <x v="126"/>
    <s v="Corporate"/>
    <s v="United States"/>
    <s v="Colorado Springs"/>
    <x v="22"/>
    <n v="80906"/>
    <x v="1"/>
    <x v="269"/>
    <x v="0"/>
    <x v="5"/>
    <x v="269"/>
    <n v="218.352"/>
    <s v="High"/>
    <n v="3"/>
    <n v="0.2"/>
    <x v="2"/>
    <x v="2"/>
    <n v="-24.564599999999999"/>
    <n v="-0.11249999999999999"/>
    <n v="1"/>
  </r>
  <r>
    <n v="297"/>
    <s v="CA-2014-111451"/>
    <d v="2014-12-26T00:00:00"/>
    <x v="2"/>
    <s v="Q4"/>
    <x v="20"/>
    <d v="2014-12-28T00:00:00"/>
    <s v="First Class"/>
    <x v="126"/>
    <x v="126"/>
    <s v="Corporate"/>
    <s v="United States"/>
    <s v="Colorado Springs"/>
    <x v="22"/>
    <n v="80906"/>
    <x v="1"/>
    <x v="270"/>
    <x v="1"/>
    <x v="8"/>
    <x v="270"/>
    <n v="78.599999999999994"/>
    <s v="Medium"/>
    <n v="5"/>
    <n v="0.7"/>
    <x v="1"/>
    <x v="5"/>
    <n v="-62.88"/>
    <n v="-0.8"/>
    <n v="1"/>
  </r>
  <r>
    <n v="298"/>
    <s v="CA-2014-111451"/>
    <d v="2014-12-26T00:00:00"/>
    <x v="2"/>
    <s v="Q4"/>
    <x v="20"/>
    <d v="2014-12-28T00:00:00"/>
    <s v="First Class"/>
    <x v="126"/>
    <x v="126"/>
    <s v="Corporate"/>
    <s v="United States"/>
    <s v="Colorado Springs"/>
    <x v="22"/>
    <n v="80906"/>
    <x v="1"/>
    <x v="271"/>
    <x v="1"/>
    <x v="13"/>
    <x v="271"/>
    <n v="27.552"/>
    <s v="Medium"/>
    <n v="3"/>
    <n v="0.2"/>
    <x v="2"/>
    <x v="2"/>
    <n v="9.2988"/>
    <n v="0.33750000000000002"/>
    <n v="0"/>
  </r>
  <r>
    <n v="299"/>
    <s v="CA-2016-142545"/>
    <d v="2016-10-28T00:00:00"/>
    <x v="0"/>
    <s v="Q4"/>
    <x v="32"/>
    <d v="2016-11-03T00:00:00"/>
    <s v="Standard Class"/>
    <x v="63"/>
    <x v="63"/>
    <s v="Corporate"/>
    <s v="United States"/>
    <s v="Belleville"/>
    <x v="30"/>
    <n v="7109"/>
    <x v="3"/>
    <x v="272"/>
    <x v="1"/>
    <x v="10"/>
    <x v="272"/>
    <n v="32.4"/>
    <s v="Medium"/>
    <n v="5"/>
    <n v="0"/>
    <x v="0"/>
    <x v="0"/>
    <n v="15.552"/>
    <n v="0.48"/>
    <n v="0"/>
  </r>
  <r>
    <n v="300"/>
    <s v="CA-2016-142545"/>
    <d v="2016-10-28T00:00:00"/>
    <x v="0"/>
    <s v="Q4"/>
    <x v="32"/>
    <d v="2016-11-03T00:00:00"/>
    <s v="Standard Class"/>
    <x v="63"/>
    <x v="63"/>
    <s v="Corporate"/>
    <s v="United States"/>
    <s v="Belleville"/>
    <x v="30"/>
    <n v="7109"/>
    <x v="3"/>
    <x v="273"/>
    <x v="1"/>
    <x v="4"/>
    <x v="273"/>
    <n v="1082.48"/>
    <s v="High"/>
    <n v="8"/>
    <n v="0"/>
    <x v="0"/>
    <x v="0"/>
    <n v="10.8248"/>
    <n v="0.01"/>
    <n v="0"/>
  </r>
  <r>
    <n v="301"/>
    <s v="CA-2016-142545"/>
    <d v="2016-10-28T00:00:00"/>
    <x v="0"/>
    <s v="Q4"/>
    <x v="32"/>
    <d v="2016-11-03T00:00:00"/>
    <s v="Standard Class"/>
    <x v="63"/>
    <x v="63"/>
    <s v="Corporate"/>
    <s v="United States"/>
    <s v="Belleville"/>
    <x v="30"/>
    <n v="7109"/>
    <x v="3"/>
    <x v="274"/>
    <x v="1"/>
    <x v="10"/>
    <x v="274"/>
    <n v="56.91"/>
    <s v="Medium"/>
    <n v="3"/>
    <n v="0"/>
    <x v="0"/>
    <x v="0"/>
    <n v="27.316800000000001"/>
    <n v="0.48000000000000004"/>
    <n v="0"/>
  </r>
  <r>
    <n v="302"/>
    <s v="CA-2016-142545"/>
    <d v="2016-10-28T00:00:00"/>
    <x v="0"/>
    <s v="Q4"/>
    <x v="32"/>
    <d v="2016-11-03T00:00:00"/>
    <s v="Standard Class"/>
    <x v="63"/>
    <x v="63"/>
    <s v="Corporate"/>
    <s v="United States"/>
    <s v="Belleville"/>
    <x v="30"/>
    <n v="7109"/>
    <x v="3"/>
    <x v="275"/>
    <x v="0"/>
    <x v="5"/>
    <x v="275"/>
    <n v="77.599999999999994"/>
    <s v="Medium"/>
    <n v="4"/>
    <n v="0"/>
    <x v="0"/>
    <x v="0"/>
    <n v="38.024000000000001"/>
    <n v="0.49000000000000005"/>
    <n v="0"/>
  </r>
  <r>
    <n v="303"/>
    <s v="CA-2016-142545"/>
    <d v="2016-10-28T00:00:00"/>
    <x v="0"/>
    <s v="Q4"/>
    <x v="32"/>
    <d v="2016-11-03T00:00:00"/>
    <s v="Standard Class"/>
    <x v="63"/>
    <x v="63"/>
    <s v="Corporate"/>
    <s v="United States"/>
    <s v="Belleville"/>
    <x v="30"/>
    <n v="7109"/>
    <x v="3"/>
    <x v="276"/>
    <x v="1"/>
    <x v="8"/>
    <x v="276"/>
    <n v="14.28"/>
    <s v="Low"/>
    <n v="1"/>
    <n v="0"/>
    <x v="0"/>
    <x v="0"/>
    <n v="6.5688000000000004"/>
    <n v="0.46000000000000008"/>
    <n v="0"/>
  </r>
  <r>
    <n v="304"/>
    <s v="US-2017-152380"/>
    <d v="2017-11-19T00:00:00"/>
    <x v="3"/>
    <s v="Q4"/>
    <x v="23"/>
    <d v="2017-11-23T00:00:00"/>
    <s v="Standard Class"/>
    <x v="101"/>
    <x v="101"/>
    <s v="Consumer"/>
    <s v="United States"/>
    <s v="Chicago"/>
    <x v="10"/>
    <n v="60623"/>
    <x v="2"/>
    <x v="277"/>
    <x v="0"/>
    <x v="3"/>
    <x v="277"/>
    <n v="219.07499999999999"/>
    <s v="High"/>
    <n v="3"/>
    <n v="0.5"/>
    <x v="1"/>
    <x v="1"/>
    <n v="-131.44499999999999"/>
    <n v="-0.6"/>
    <n v="1"/>
  </r>
  <r>
    <n v="305"/>
    <s v="CA-2015-144253"/>
    <d v="2015-05-04T00:00:00"/>
    <x v="1"/>
    <s v="Q2"/>
    <x v="33"/>
    <d v="2015-05-09T00:00:00"/>
    <s v="Second Class"/>
    <x v="127"/>
    <x v="127"/>
    <s v="Corporate"/>
    <s v="United States"/>
    <s v="New York City"/>
    <x v="15"/>
    <n v="10024"/>
    <x v="3"/>
    <x v="278"/>
    <x v="0"/>
    <x v="5"/>
    <x v="278"/>
    <n v="26.8"/>
    <s v="Medium"/>
    <n v="2"/>
    <n v="0"/>
    <x v="0"/>
    <x v="0"/>
    <n v="12.864000000000001"/>
    <n v="0.48000000000000004"/>
    <n v="0"/>
  </r>
  <r>
    <n v="306"/>
    <s v="CA-2014-130960"/>
    <d v="2014-12-30T00:00:00"/>
    <x v="2"/>
    <s v="Q4"/>
    <x v="20"/>
    <d v="2015-01-04T00:00:00"/>
    <s v="Standard Class"/>
    <x v="33"/>
    <x v="33"/>
    <s v="Corporate"/>
    <s v="United States"/>
    <s v="Taylor"/>
    <x v="12"/>
    <n v="48180"/>
    <x v="2"/>
    <x v="279"/>
    <x v="1"/>
    <x v="6"/>
    <x v="279"/>
    <n v="9.84"/>
    <s v="Low"/>
    <n v="3"/>
    <n v="0"/>
    <x v="0"/>
    <x v="0"/>
    <n v="2.8536000000000001"/>
    <n v="0.29000000000000004"/>
    <n v="0"/>
  </r>
  <r>
    <n v="307"/>
    <s v="CA-2014-111003"/>
    <d v="2014-06-01T00:00:00"/>
    <x v="2"/>
    <s v="Q2"/>
    <x v="3"/>
    <d v="2014-06-06T00:00:00"/>
    <s v="Standard Class"/>
    <x v="128"/>
    <x v="128"/>
    <s v="Home Office"/>
    <s v="United States"/>
    <s v="Lakewood"/>
    <x v="30"/>
    <n v="8701"/>
    <x v="3"/>
    <x v="280"/>
    <x v="1"/>
    <x v="8"/>
    <x v="280"/>
    <n v="45.48"/>
    <s v="Medium"/>
    <n v="3"/>
    <n v="0"/>
    <x v="0"/>
    <x v="0"/>
    <n v="20.9208"/>
    <n v="0.46"/>
    <n v="0"/>
  </r>
  <r>
    <n v="308"/>
    <s v="CA-2014-111003"/>
    <d v="2014-06-01T00:00:00"/>
    <x v="2"/>
    <s v="Q2"/>
    <x v="3"/>
    <d v="2014-06-06T00:00:00"/>
    <s v="Standard Class"/>
    <x v="128"/>
    <x v="128"/>
    <s v="Home Office"/>
    <s v="United States"/>
    <s v="Lakewood"/>
    <x v="30"/>
    <n v="8701"/>
    <x v="3"/>
    <x v="281"/>
    <x v="1"/>
    <x v="6"/>
    <x v="281"/>
    <n v="289.2"/>
    <s v="High"/>
    <n v="6"/>
    <n v="0"/>
    <x v="0"/>
    <x v="0"/>
    <n v="83.867999999999995"/>
    <n v="0.28999999999999998"/>
    <n v="0"/>
  </r>
  <r>
    <n v="309"/>
    <s v="CA-2017-126774"/>
    <d v="2017-04-15T00:00:00"/>
    <x v="3"/>
    <s v="Q2"/>
    <x v="4"/>
    <d v="2017-04-17T00:00:00"/>
    <s v="First Class"/>
    <x v="129"/>
    <x v="129"/>
    <s v="Consumer"/>
    <s v="United States"/>
    <s v="Arlington"/>
    <x v="17"/>
    <n v="22204"/>
    <x v="0"/>
    <x v="282"/>
    <x v="1"/>
    <x v="6"/>
    <x v="282"/>
    <n v="4.8899999999999997"/>
    <s v="Low"/>
    <n v="1"/>
    <n v="0"/>
    <x v="0"/>
    <x v="0"/>
    <n v="2.0049000000000001"/>
    <n v="0.41000000000000003"/>
    <n v="0"/>
  </r>
  <r>
    <n v="310"/>
    <s v="CA-2016-142902"/>
    <d v="2016-09-12T00:00:00"/>
    <x v="0"/>
    <s v="Q3"/>
    <x v="21"/>
    <d v="2016-09-14T00:00:00"/>
    <s v="Second Class"/>
    <x v="130"/>
    <x v="130"/>
    <s v="Corporate"/>
    <s v="United States"/>
    <s v="Arvada"/>
    <x v="22"/>
    <n v="80004"/>
    <x v="1"/>
    <x v="283"/>
    <x v="0"/>
    <x v="5"/>
    <x v="283"/>
    <n v="15.135999999999999"/>
    <s v="Low"/>
    <n v="4"/>
    <n v="0.2"/>
    <x v="2"/>
    <x v="2"/>
    <n v="3.5948000000000002"/>
    <n v="0.23750000000000002"/>
    <n v="0"/>
  </r>
  <r>
    <n v="311"/>
    <s v="CA-2016-142902"/>
    <d v="2016-09-12T00:00:00"/>
    <x v="0"/>
    <s v="Q3"/>
    <x v="21"/>
    <d v="2016-09-14T00:00:00"/>
    <s v="Second Class"/>
    <x v="130"/>
    <x v="130"/>
    <s v="Corporate"/>
    <s v="United States"/>
    <s v="Arvada"/>
    <x v="22"/>
    <n v="80004"/>
    <x v="1"/>
    <x v="284"/>
    <x v="0"/>
    <x v="1"/>
    <x v="284"/>
    <n v="466.76799999999997"/>
    <s v="High"/>
    <n v="2"/>
    <n v="0.2"/>
    <x v="2"/>
    <x v="2"/>
    <n v="52.511400000000002"/>
    <n v="0.11250000000000002"/>
    <n v="0"/>
  </r>
  <r>
    <n v="312"/>
    <s v="CA-2016-142902"/>
    <d v="2016-09-12T00:00:00"/>
    <x v="0"/>
    <s v="Q3"/>
    <x v="21"/>
    <d v="2016-09-14T00:00:00"/>
    <s v="Second Class"/>
    <x v="130"/>
    <x v="130"/>
    <s v="Corporate"/>
    <s v="United States"/>
    <s v="Arvada"/>
    <x v="22"/>
    <n v="80004"/>
    <x v="1"/>
    <x v="285"/>
    <x v="0"/>
    <x v="5"/>
    <x v="285"/>
    <n v="15.231999999999999"/>
    <s v="Low"/>
    <n v="1"/>
    <n v="0.2"/>
    <x v="2"/>
    <x v="2"/>
    <n v="1.7136"/>
    <n v="0.1125"/>
    <n v="0"/>
  </r>
  <r>
    <n v="313"/>
    <s v="CA-2016-142902"/>
    <d v="2016-09-12T00:00:00"/>
    <x v="0"/>
    <s v="Q3"/>
    <x v="21"/>
    <d v="2016-09-14T00:00:00"/>
    <s v="Second Class"/>
    <x v="130"/>
    <x v="130"/>
    <s v="Corporate"/>
    <s v="United States"/>
    <s v="Arvada"/>
    <x v="22"/>
    <n v="80004"/>
    <x v="1"/>
    <x v="286"/>
    <x v="1"/>
    <x v="2"/>
    <x v="286"/>
    <n v="6.2640000000000002"/>
    <s v="Low"/>
    <n v="3"/>
    <n v="0.2"/>
    <x v="2"/>
    <x v="2"/>
    <n v="2.0358000000000001"/>
    <n v="0.32500000000000001"/>
    <n v="0"/>
  </r>
  <r>
    <n v="314"/>
    <s v="CA-2014-120887"/>
    <d v="2014-09-27T00:00:00"/>
    <x v="2"/>
    <s v="Q3"/>
    <x v="30"/>
    <d v="2014-10-03T00:00:00"/>
    <s v="Standard Class"/>
    <x v="131"/>
    <x v="131"/>
    <s v="Corporate"/>
    <s v="United States"/>
    <s v="Hackensack"/>
    <x v="30"/>
    <n v="7601"/>
    <x v="3"/>
    <x v="287"/>
    <x v="0"/>
    <x v="5"/>
    <x v="287"/>
    <n v="87.54"/>
    <s v="Medium"/>
    <n v="3"/>
    <n v="0"/>
    <x v="0"/>
    <x v="0"/>
    <n v="37.642200000000003"/>
    <n v="0.43"/>
    <n v="0"/>
  </r>
  <r>
    <n v="315"/>
    <s v="CA-2014-167850"/>
    <d v="2014-08-09T00:00:00"/>
    <x v="2"/>
    <s v="Q3"/>
    <x v="9"/>
    <d v="2014-08-16T00:00:00"/>
    <s v="Standard Class"/>
    <x v="132"/>
    <x v="132"/>
    <s v="Corporate"/>
    <s v="United States"/>
    <s v="Saint Petersburg"/>
    <x v="2"/>
    <n v="33710"/>
    <x v="0"/>
    <x v="288"/>
    <x v="2"/>
    <x v="7"/>
    <x v="288"/>
    <n v="178.38399999999999"/>
    <s v="High"/>
    <n v="2"/>
    <n v="0.2"/>
    <x v="2"/>
    <x v="2"/>
    <n v="22.297999999999998"/>
    <n v="0.125"/>
    <n v="0"/>
  </r>
  <r>
    <n v="316"/>
    <s v="CA-2014-167850"/>
    <d v="2014-08-09T00:00:00"/>
    <x v="2"/>
    <s v="Q3"/>
    <x v="9"/>
    <d v="2014-08-16T00:00:00"/>
    <s v="Standard Class"/>
    <x v="132"/>
    <x v="132"/>
    <s v="Corporate"/>
    <s v="United States"/>
    <s v="Saint Petersburg"/>
    <x v="2"/>
    <n v="33710"/>
    <x v="0"/>
    <x v="289"/>
    <x v="1"/>
    <x v="10"/>
    <x v="289"/>
    <n v="15.552"/>
    <s v="Low"/>
    <n v="3"/>
    <n v="0.2"/>
    <x v="2"/>
    <x v="2"/>
    <n v="5.4432"/>
    <n v="0.35000000000000003"/>
    <n v="0"/>
  </r>
  <r>
    <n v="317"/>
    <s v="CA-2014-164259"/>
    <d v="2014-12-28T00:00:00"/>
    <x v="2"/>
    <s v="Q4"/>
    <x v="20"/>
    <d v="2014-12-30T00:00:00"/>
    <s v="First Class"/>
    <x v="133"/>
    <x v="133"/>
    <s v="Corporate"/>
    <s v="United States"/>
    <s v="Philadelphia"/>
    <x v="9"/>
    <n v="19143"/>
    <x v="3"/>
    <x v="290"/>
    <x v="1"/>
    <x v="6"/>
    <x v="290"/>
    <n v="99.135999999999996"/>
    <s v="Medium"/>
    <n v="4"/>
    <n v="0.2"/>
    <x v="2"/>
    <x v="2"/>
    <n v="8.6744000000000003"/>
    <n v="8.7500000000000008E-2"/>
    <n v="0"/>
  </r>
  <r>
    <n v="318"/>
    <s v="CA-2014-164973"/>
    <d v="2014-11-04T00:00:00"/>
    <x v="2"/>
    <s v="Q4"/>
    <x v="7"/>
    <d v="2014-11-09T00:00:00"/>
    <s v="Standard Class"/>
    <x v="134"/>
    <x v="134"/>
    <s v="Home Office"/>
    <s v="United States"/>
    <s v="New York City"/>
    <x v="15"/>
    <n v="10024"/>
    <x v="3"/>
    <x v="291"/>
    <x v="0"/>
    <x v="1"/>
    <x v="291"/>
    <n v="135.88200000000001"/>
    <s v="High"/>
    <n v="1"/>
    <n v="0.1"/>
    <x v="3"/>
    <x v="8"/>
    <n v="24.1568"/>
    <n v="0.17777777777777778"/>
    <n v="0"/>
  </r>
  <r>
    <n v="319"/>
    <s v="CA-2014-164973"/>
    <d v="2014-11-04T00:00:00"/>
    <x v="2"/>
    <s v="Q4"/>
    <x v="7"/>
    <d v="2014-11-09T00:00:00"/>
    <s v="Standard Class"/>
    <x v="134"/>
    <x v="134"/>
    <s v="Home Office"/>
    <s v="United States"/>
    <s v="New York City"/>
    <x v="15"/>
    <n v="10024"/>
    <x v="3"/>
    <x v="292"/>
    <x v="2"/>
    <x v="15"/>
    <x v="292"/>
    <n v="3991.98"/>
    <s v="High"/>
    <n v="2"/>
    <n v="0"/>
    <x v="0"/>
    <x v="0"/>
    <n v="1995.99"/>
    <n v="0.5"/>
    <n v="0"/>
  </r>
  <r>
    <n v="320"/>
    <s v="CA-2014-164973"/>
    <d v="2014-11-04T00:00:00"/>
    <x v="2"/>
    <s v="Q4"/>
    <x v="7"/>
    <d v="2014-11-09T00:00:00"/>
    <s v="Standard Class"/>
    <x v="134"/>
    <x v="134"/>
    <s v="Home Office"/>
    <s v="United States"/>
    <s v="New York City"/>
    <x v="15"/>
    <n v="10024"/>
    <x v="3"/>
    <x v="40"/>
    <x v="2"/>
    <x v="7"/>
    <x v="40"/>
    <n v="275.94"/>
    <s v="High"/>
    <n v="6"/>
    <n v="0"/>
    <x v="0"/>
    <x v="0"/>
    <n v="80.022599999999997"/>
    <n v="0.28999999999999998"/>
    <n v="0"/>
  </r>
  <r>
    <n v="321"/>
    <s v="CA-2014-164973"/>
    <d v="2014-11-04T00:00:00"/>
    <x v="2"/>
    <s v="Q4"/>
    <x v="7"/>
    <d v="2014-11-09T00:00:00"/>
    <s v="Standard Class"/>
    <x v="134"/>
    <x v="134"/>
    <s v="Home Office"/>
    <s v="United States"/>
    <s v="New York City"/>
    <x v="15"/>
    <n v="10024"/>
    <x v="3"/>
    <x v="293"/>
    <x v="2"/>
    <x v="11"/>
    <x v="293"/>
    <n v="360"/>
    <s v="High"/>
    <n v="4"/>
    <n v="0"/>
    <x v="0"/>
    <x v="0"/>
    <n v="129.6"/>
    <n v="0.36"/>
    <n v="0"/>
  </r>
  <r>
    <n v="322"/>
    <s v="CA-2014-164973"/>
    <d v="2014-11-04T00:00:00"/>
    <x v="2"/>
    <s v="Q4"/>
    <x v="7"/>
    <d v="2014-11-09T00:00:00"/>
    <s v="Standard Class"/>
    <x v="134"/>
    <x v="134"/>
    <s v="Home Office"/>
    <s v="United States"/>
    <s v="New York City"/>
    <x v="15"/>
    <n v="10024"/>
    <x v="3"/>
    <x v="123"/>
    <x v="1"/>
    <x v="4"/>
    <x v="123"/>
    <n v="43.57"/>
    <s v="Medium"/>
    <n v="1"/>
    <n v="0"/>
    <x v="0"/>
    <x v="0"/>
    <n v="13.071"/>
    <n v="0.3"/>
    <n v="0"/>
  </r>
  <r>
    <n v="323"/>
    <s v="CA-2014-156601"/>
    <d v="2014-09-19T00:00:00"/>
    <x v="2"/>
    <s v="Q3"/>
    <x v="30"/>
    <d v="2014-09-24T00:00:00"/>
    <s v="Standard Class"/>
    <x v="135"/>
    <x v="135"/>
    <s v="Corporate"/>
    <s v="United States"/>
    <s v="Long Beach"/>
    <x v="1"/>
    <n v="90805"/>
    <x v="1"/>
    <x v="294"/>
    <x v="1"/>
    <x v="13"/>
    <x v="294"/>
    <n v="7.16"/>
    <s v="Low"/>
    <n v="2"/>
    <n v="0"/>
    <x v="0"/>
    <x v="0"/>
    <n v="3.58"/>
    <n v="0.5"/>
    <n v="0"/>
  </r>
  <r>
    <n v="324"/>
    <s v="CA-2016-162138"/>
    <d v="2016-04-23T00:00:00"/>
    <x v="0"/>
    <s v="Q2"/>
    <x v="25"/>
    <d v="2016-04-27T00:00:00"/>
    <s v="Standard Class"/>
    <x v="136"/>
    <x v="136"/>
    <s v="Corporate"/>
    <s v="United States"/>
    <s v="Hesperia"/>
    <x v="1"/>
    <n v="92345"/>
    <x v="1"/>
    <x v="270"/>
    <x v="1"/>
    <x v="8"/>
    <x v="270"/>
    <n v="251.52"/>
    <s v="High"/>
    <n v="6"/>
    <n v="0.2"/>
    <x v="2"/>
    <x v="2"/>
    <n v="81.744"/>
    <n v="0.32500000000000001"/>
    <n v="0"/>
  </r>
  <r>
    <n v="325"/>
    <s v="CA-2016-162138"/>
    <d v="2016-04-23T00:00:00"/>
    <x v="0"/>
    <s v="Q2"/>
    <x v="25"/>
    <d v="2016-04-27T00:00:00"/>
    <s v="Standard Class"/>
    <x v="136"/>
    <x v="136"/>
    <s v="Corporate"/>
    <s v="United States"/>
    <s v="Hesperia"/>
    <x v="1"/>
    <n v="92345"/>
    <x v="1"/>
    <x v="295"/>
    <x v="2"/>
    <x v="11"/>
    <x v="295"/>
    <n v="99.99"/>
    <s v="Medium"/>
    <n v="1"/>
    <n v="0"/>
    <x v="0"/>
    <x v="0"/>
    <n v="34.996499999999997"/>
    <n v="0.35"/>
    <n v="0"/>
  </r>
  <r>
    <n v="326"/>
    <s v="CA-2017-153339"/>
    <d v="2017-11-03T00:00:00"/>
    <x v="3"/>
    <s v="Q4"/>
    <x v="23"/>
    <d v="2017-11-05T00:00:00"/>
    <s v="Second Class"/>
    <x v="137"/>
    <x v="137"/>
    <s v="Corporate"/>
    <s v="United States"/>
    <s v="Murfreesboro"/>
    <x v="18"/>
    <n v="37130"/>
    <x v="0"/>
    <x v="296"/>
    <x v="0"/>
    <x v="5"/>
    <x v="296"/>
    <n v="15.992000000000001"/>
    <s v="Low"/>
    <n v="1"/>
    <n v="0.2"/>
    <x v="2"/>
    <x v="2"/>
    <n v="0.99950000000000006"/>
    <n v="6.25E-2"/>
    <n v="0"/>
  </r>
  <r>
    <n v="327"/>
    <s v="US-2016-141544"/>
    <d v="2016-08-30T00:00:00"/>
    <x v="0"/>
    <s v="Q3"/>
    <x v="28"/>
    <d v="2016-09-01T00:00:00"/>
    <s v="First Class"/>
    <x v="138"/>
    <x v="138"/>
    <s v="Consumer"/>
    <s v="United States"/>
    <s v="Philadelphia"/>
    <x v="9"/>
    <n v="19143"/>
    <x v="3"/>
    <x v="297"/>
    <x v="2"/>
    <x v="7"/>
    <x v="297"/>
    <n v="290.89800000000002"/>
    <s v="High"/>
    <n v="3"/>
    <n v="0.4"/>
    <x v="1"/>
    <x v="7"/>
    <n v="-67.876199999999997"/>
    <n v="-0.23333333333333331"/>
    <n v="1"/>
  </r>
  <r>
    <n v="328"/>
    <s v="US-2016-141544"/>
    <d v="2016-08-30T00:00:00"/>
    <x v="0"/>
    <s v="Q3"/>
    <x v="28"/>
    <d v="2016-09-01T00:00:00"/>
    <s v="First Class"/>
    <x v="138"/>
    <x v="138"/>
    <s v="Consumer"/>
    <s v="United States"/>
    <s v="Philadelphia"/>
    <x v="9"/>
    <n v="19143"/>
    <x v="3"/>
    <x v="298"/>
    <x v="1"/>
    <x v="4"/>
    <x v="298"/>
    <n v="54.223999999999997"/>
    <s v="Medium"/>
    <n v="2"/>
    <n v="0.2"/>
    <x v="2"/>
    <x v="2"/>
    <n v="3.3889999999999998"/>
    <n v="6.25E-2"/>
    <n v="0"/>
  </r>
  <r>
    <n v="329"/>
    <s v="US-2016-141544"/>
    <d v="2016-08-30T00:00:00"/>
    <x v="0"/>
    <s v="Q3"/>
    <x v="28"/>
    <d v="2016-09-01T00:00:00"/>
    <s v="First Class"/>
    <x v="138"/>
    <x v="138"/>
    <s v="Consumer"/>
    <s v="United States"/>
    <s v="Philadelphia"/>
    <x v="9"/>
    <n v="19143"/>
    <x v="3"/>
    <x v="299"/>
    <x v="0"/>
    <x v="1"/>
    <x v="299"/>
    <n v="786.74400000000003"/>
    <s v="High"/>
    <n v="4"/>
    <n v="0.3"/>
    <x v="1"/>
    <x v="4"/>
    <n v="-258.5016"/>
    <n v="-0.32857142857142857"/>
    <n v="1"/>
  </r>
  <r>
    <n v="330"/>
    <s v="US-2016-141544"/>
    <d v="2016-08-30T00:00:00"/>
    <x v="0"/>
    <s v="Q3"/>
    <x v="28"/>
    <d v="2016-09-01T00:00:00"/>
    <s v="First Class"/>
    <x v="138"/>
    <x v="138"/>
    <s v="Consumer"/>
    <s v="United States"/>
    <s v="Philadelphia"/>
    <x v="9"/>
    <n v="19143"/>
    <x v="3"/>
    <x v="300"/>
    <x v="1"/>
    <x v="2"/>
    <x v="300"/>
    <n v="100.24"/>
    <s v="Medium"/>
    <n v="10"/>
    <n v="0.2"/>
    <x v="2"/>
    <x v="2"/>
    <n v="33.831000000000003"/>
    <n v="0.33750000000000002"/>
    <n v="0"/>
  </r>
  <r>
    <n v="331"/>
    <s v="US-2016-141544"/>
    <d v="2016-08-30T00:00:00"/>
    <x v="0"/>
    <s v="Q3"/>
    <x v="28"/>
    <d v="2016-09-01T00:00:00"/>
    <s v="First Class"/>
    <x v="138"/>
    <x v="138"/>
    <s v="Consumer"/>
    <s v="United States"/>
    <s v="Philadelphia"/>
    <x v="9"/>
    <n v="19143"/>
    <x v="3"/>
    <x v="301"/>
    <x v="1"/>
    <x v="8"/>
    <x v="301"/>
    <n v="37.764000000000003"/>
    <s v="Medium"/>
    <n v="6"/>
    <n v="0.7"/>
    <x v="1"/>
    <x v="5"/>
    <n v="-27.6936"/>
    <n v="-0.73333333333333328"/>
    <n v="1"/>
  </r>
  <r>
    <n v="332"/>
    <s v="US-2016-150147"/>
    <d v="2016-04-25T00:00:00"/>
    <x v="0"/>
    <s v="Q2"/>
    <x v="25"/>
    <d v="2016-04-29T00:00:00"/>
    <s v="Second Class"/>
    <x v="139"/>
    <x v="139"/>
    <s v="Consumer"/>
    <s v="United States"/>
    <s v="Philadelphia"/>
    <x v="9"/>
    <n v="19134"/>
    <x v="3"/>
    <x v="302"/>
    <x v="2"/>
    <x v="7"/>
    <x v="302"/>
    <n v="82.8"/>
    <s v="Medium"/>
    <n v="2"/>
    <n v="0.4"/>
    <x v="1"/>
    <x v="7"/>
    <n v="-20.7"/>
    <n v="-0.25"/>
    <n v="1"/>
  </r>
  <r>
    <n v="333"/>
    <s v="US-2016-150147"/>
    <d v="2016-04-25T00:00:00"/>
    <x v="0"/>
    <s v="Q2"/>
    <x v="25"/>
    <d v="2016-04-29T00:00:00"/>
    <s v="Second Class"/>
    <x v="139"/>
    <x v="139"/>
    <s v="Consumer"/>
    <s v="United States"/>
    <s v="Philadelphia"/>
    <x v="9"/>
    <n v="19134"/>
    <x v="3"/>
    <x v="303"/>
    <x v="1"/>
    <x v="8"/>
    <x v="303"/>
    <n v="20.724"/>
    <s v="Low"/>
    <n v="2"/>
    <n v="0.7"/>
    <x v="1"/>
    <x v="5"/>
    <n v="-13.816000000000001"/>
    <n v="-0.66666666666666674"/>
    <n v="1"/>
  </r>
  <r>
    <n v="334"/>
    <s v="US-2016-150147"/>
    <d v="2016-04-25T00:00:00"/>
    <x v="0"/>
    <s v="Q2"/>
    <x v="25"/>
    <d v="2016-04-29T00:00:00"/>
    <s v="Second Class"/>
    <x v="139"/>
    <x v="139"/>
    <s v="Consumer"/>
    <s v="United States"/>
    <s v="Philadelphia"/>
    <x v="9"/>
    <n v="19134"/>
    <x v="3"/>
    <x v="304"/>
    <x v="1"/>
    <x v="8"/>
    <x v="304"/>
    <n v="4.8959999999999999"/>
    <s v="Low"/>
    <n v="3"/>
    <n v="0.7"/>
    <x v="1"/>
    <x v="5"/>
    <n v="-3.4272"/>
    <n v="-0.70000000000000007"/>
    <n v="1"/>
  </r>
  <r>
    <n v="335"/>
    <s v="CA-2015-137946"/>
    <d v="2015-09-01T00:00:00"/>
    <x v="1"/>
    <s v="Q3"/>
    <x v="11"/>
    <d v="2015-09-04T00:00:00"/>
    <s v="Second Class"/>
    <x v="140"/>
    <x v="140"/>
    <s v="Consumer"/>
    <s v="United States"/>
    <s v="Los Angeles"/>
    <x v="1"/>
    <n v="90045"/>
    <x v="1"/>
    <x v="305"/>
    <x v="1"/>
    <x v="8"/>
    <x v="305"/>
    <n v="4.7519999999999998"/>
    <s v="Low"/>
    <n v="1"/>
    <n v="0.2"/>
    <x v="2"/>
    <x v="2"/>
    <n v="1.6037999999999999"/>
    <n v="0.33749999999999997"/>
    <n v="0"/>
  </r>
  <r>
    <n v="336"/>
    <s v="CA-2015-137946"/>
    <d v="2015-09-01T00:00:00"/>
    <x v="1"/>
    <s v="Q3"/>
    <x v="11"/>
    <d v="2015-09-04T00:00:00"/>
    <s v="Second Class"/>
    <x v="140"/>
    <x v="140"/>
    <s v="Consumer"/>
    <s v="United States"/>
    <s v="Los Angeles"/>
    <x v="1"/>
    <n v="90045"/>
    <x v="1"/>
    <x v="306"/>
    <x v="2"/>
    <x v="16"/>
    <x v="306"/>
    <n v="959.98400000000004"/>
    <s v="High"/>
    <n v="2"/>
    <n v="0.2"/>
    <x v="2"/>
    <x v="2"/>
    <n v="335.99439999999998"/>
    <n v="0.35"/>
    <n v="0"/>
  </r>
  <r>
    <n v="337"/>
    <s v="CA-2015-137946"/>
    <d v="2015-09-01T00:00:00"/>
    <x v="1"/>
    <s v="Q3"/>
    <x v="11"/>
    <d v="2015-09-04T00:00:00"/>
    <s v="Second Class"/>
    <x v="140"/>
    <x v="140"/>
    <s v="Consumer"/>
    <s v="United States"/>
    <s v="Los Angeles"/>
    <x v="1"/>
    <n v="90045"/>
    <x v="1"/>
    <x v="307"/>
    <x v="1"/>
    <x v="8"/>
    <x v="307"/>
    <n v="14.368"/>
    <s v="Low"/>
    <n v="4"/>
    <n v="0.2"/>
    <x v="2"/>
    <x v="2"/>
    <n v="4.49"/>
    <n v="0.3125"/>
    <n v="0"/>
  </r>
  <r>
    <n v="338"/>
    <s v="CA-2014-129924"/>
    <d v="2014-07-12T00:00:00"/>
    <x v="2"/>
    <s v="Q3"/>
    <x v="39"/>
    <d v="2014-07-17T00:00:00"/>
    <s v="Standard Class"/>
    <x v="141"/>
    <x v="141"/>
    <s v="Corporate"/>
    <s v="United States"/>
    <s v="San Francisco"/>
    <x v="1"/>
    <n v="94122"/>
    <x v="1"/>
    <x v="308"/>
    <x v="1"/>
    <x v="8"/>
    <x v="308"/>
    <n v="7.7119999999999997"/>
    <s v="Low"/>
    <n v="2"/>
    <n v="0.2"/>
    <x v="2"/>
    <x v="2"/>
    <n v="2.7955999999999999"/>
    <n v="0.36249999999999999"/>
    <n v="0"/>
  </r>
  <r>
    <n v="339"/>
    <s v="CA-2014-129924"/>
    <d v="2014-07-12T00:00:00"/>
    <x v="2"/>
    <s v="Q3"/>
    <x v="39"/>
    <d v="2014-07-17T00:00:00"/>
    <s v="Standard Class"/>
    <x v="141"/>
    <x v="141"/>
    <s v="Corporate"/>
    <s v="United States"/>
    <s v="San Francisco"/>
    <x v="1"/>
    <n v="94122"/>
    <x v="1"/>
    <x v="309"/>
    <x v="0"/>
    <x v="3"/>
    <x v="309"/>
    <n v="698.35199999999998"/>
    <s v="High"/>
    <n v="3"/>
    <n v="0.2"/>
    <x v="2"/>
    <x v="2"/>
    <n v="-17.4588"/>
    <n v="-2.5000000000000001E-2"/>
    <n v="1"/>
  </r>
  <r>
    <n v="340"/>
    <s v="CA-2015-128167"/>
    <d v="2015-06-22T00:00:00"/>
    <x v="1"/>
    <s v="Q2"/>
    <x v="40"/>
    <d v="2015-06-26T00:00:00"/>
    <s v="Second Class"/>
    <x v="107"/>
    <x v="107"/>
    <s v="Consumer"/>
    <s v="United States"/>
    <s v="Layton"/>
    <x v="7"/>
    <n v="84041"/>
    <x v="1"/>
    <x v="310"/>
    <x v="1"/>
    <x v="13"/>
    <x v="310"/>
    <n v="4.96"/>
    <s v="Low"/>
    <n v="4"/>
    <n v="0"/>
    <x v="0"/>
    <x v="0"/>
    <n v="2.3311999999999999"/>
    <n v="0.47"/>
    <n v="0"/>
  </r>
  <r>
    <n v="341"/>
    <s v="CA-2014-122336"/>
    <d v="2014-04-13T00:00:00"/>
    <x v="2"/>
    <s v="Q2"/>
    <x v="41"/>
    <d v="2014-04-17T00:00:00"/>
    <s v="Second Class"/>
    <x v="63"/>
    <x v="63"/>
    <s v="Corporate"/>
    <s v="United States"/>
    <s v="Philadelphia"/>
    <x v="9"/>
    <n v="19140"/>
    <x v="3"/>
    <x v="311"/>
    <x v="1"/>
    <x v="6"/>
    <x v="311"/>
    <n v="17.856000000000002"/>
    <s v="Low"/>
    <n v="4"/>
    <n v="0.2"/>
    <x v="2"/>
    <x v="2"/>
    <n v="1.1160000000000001"/>
    <n v="6.25E-2"/>
    <n v="0"/>
  </r>
  <r>
    <n v="342"/>
    <s v="CA-2014-122336"/>
    <d v="2014-04-13T00:00:00"/>
    <x v="2"/>
    <s v="Q2"/>
    <x v="41"/>
    <d v="2014-04-17T00:00:00"/>
    <s v="Second Class"/>
    <x v="63"/>
    <x v="63"/>
    <s v="Corporate"/>
    <s v="United States"/>
    <s v="Philadelphia"/>
    <x v="9"/>
    <n v="19140"/>
    <x v="3"/>
    <x v="13"/>
    <x v="1"/>
    <x v="8"/>
    <x v="13"/>
    <n v="509.97"/>
    <s v="High"/>
    <n v="10"/>
    <n v="0.7"/>
    <x v="1"/>
    <x v="5"/>
    <n v="-407.976"/>
    <n v="-0.79999999999999993"/>
    <n v="1"/>
  </r>
  <r>
    <n v="343"/>
    <s v="CA-2014-122336"/>
    <d v="2014-04-13T00:00:00"/>
    <x v="2"/>
    <s v="Q2"/>
    <x v="41"/>
    <d v="2014-04-17T00:00:00"/>
    <s v="Second Class"/>
    <x v="63"/>
    <x v="63"/>
    <s v="Corporate"/>
    <s v="United States"/>
    <s v="Philadelphia"/>
    <x v="9"/>
    <n v="19140"/>
    <x v="3"/>
    <x v="127"/>
    <x v="1"/>
    <x v="13"/>
    <x v="128"/>
    <n v="30.992000000000001"/>
    <s v="Medium"/>
    <n v="13"/>
    <n v="0.2"/>
    <x v="2"/>
    <x v="2"/>
    <n v="10.0724"/>
    <n v="0.32500000000000001"/>
    <n v="0"/>
  </r>
  <r>
    <n v="344"/>
    <s v="CA-2014-122336"/>
    <d v="2014-04-13T00:00:00"/>
    <x v="2"/>
    <s v="Q2"/>
    <x v="41"/>
    <d v="2014-04-17T00:00:00"/>
    <s v="Second Class"/>
    <x v="63"/>
    <x v="63"/>
    <s v="Corporate"/>
    <s v="United States"/>
    <s v="Philadelphia"/>
    <x v="9"/>
    <n v="19140"/>
    <x v="3"/>
    <x v="312"/>
    <x v="2"/>
    <x v="7"/>
    <x v="312"/>
    <n v="71.927999999999997"/>
    <s v="Medium"/>
    <n v="12"/>
    <n v="0.4"/>
    <x v="1"/>
    <x v="7"/>
    <n v="8.3916000000000004"/>
    <n v="0.11666666666666668"/>
    <n v="0"/>
  </r>
  <r>
    <n v="345"/>
    <s v="US-2015-120712"/>
    <d v="2015-12-20T00:00:00"/>
    <x v="1"/>
    <s v="Q4"/>
    <x v="14"/>
    <d v="2015-12-24T00:00:00"/>
    <s v="Standard Class"/>
    <x v="79"/>
    <x v="79"/>
    <s v="Consumer"/>
    <s v="United States"/>
    <s v="Austin"/>
    <x v="5"/>
    <n v="78745"/>
    <x v="2"/>
    <x v="17"/>
    <x v="1"/>
    <x v="4"/>
    <x v="17"/>
    <n v="88.8"/>
    <s v="Medium"/>
    <n v="4"/>
    <n v="0.2"/>
    <x v="2"/>
    <x v="2"/>
    <n v="-2.2200000000000002"/>
    <n v="-2.5000000000000001E-2"/>
    <n v="1"/>
  </r>
  <r>
    <n v="346"/>
    <s v="CA-2017-169901"/>
    <d v="2017-06-15T00:00:00"/>
    <x v="3"/>
    <s v="Q2"/>
    <x v="27"/>
    <d v="2017-06-19T00:00:00"/>
    <s v="Standard Class"/>
    <x v="142"/>
    <x v="142"/>
    <s v="Consumer"/>
    <s v="United States"/>
    <s v="San Francisco"/>
    <x v="1"/>
    <n v="94122"/>
    <x v="1"/>
    <x v="125"/>
    <x v="2"/>
    <x v="7"/>
    <x v="126"/>
    <n v="47.975999999999999"/>
    <s v="Medium"/>
    <n v="3"/>
    <n v="0.2"/>
    <x v="2"/>
    <x v="2"/>
    <n v="4.7976000000000001"/>
    <n v="0.1"/>
    <n v="0"/>
  </r>
  <r>
    <n v="347"/>
    <s v="CA-2017-134306"/>
    <d v="2017-07-08T00:00:00"/>
    <x v="3"/>
    <s v="Q3"/>
    <x v="10"/>
    <d v="2017-07-12T00:00:00"/>
    <s v="Standard Class"/>
    <x v="143"/>
    <x v="143"/>
    <s v="Consumer"/>
    <s v="United States"/>
    <s v="Lowell"/>
    <x v="31"/>
    <n v="1852"/>
    <x v="3"/>
    <x v="183"/>
    <x v="1"/>
    <x v="6"/>
    <x v="184"/>
    <n v="7.56"/>
    <s v="Low"/>
    <n v="3"/>
    <n v="0"/>
    <x v="0"/>
    <x v="0"/>
    <n v="3.0996000000000001"/>
    <n v="0.41000000000000003"/>
    <n v="0"/>
  </r>
  <r>
    <n v="348"/>
    <s v="CA-2017-134306"/>
    <d v="2017-07-08T00:00:00"/>
    <x v="3"/>
    <s v="Q3"/>
    <x v="10"/>
    <d v="2017-07-12T00:00:00"/>
    <s v="Standard Class"/>
    <x v="143"/>
    <x v="143"/>
    <s v="Consumer"/>
    <s v="United States"/>
    <s v="Lowell"/>
    <x v="31"/>
    <n v="1852"/>
    <x v="3"/>
    <x v="33"/>
    <x v="1"/>
    <x v="10"/>
    <x v="33"/>
    <n v="24.56"/>
    <s v="Low"/>
    <n v="2"/>
    <n v="0"/>
    <x v="0"/>
    <x v="0"/>
    <n v="11.543200000000001"/>
    <n v="0.47000000000000003"/>
    <n v="0"/>
  </r>
  <r>
    <n v="349"/>
    <s v="CA-2017-134306"/>
    <d v="2017-07-08T00:00:00"/>
    <x v="3"/>
    <s v="Q3"/>
    <x v="10"/>
    <d v="2017-07-12T00:00:00"/>
    <s v="Standard Class"/>
    <x v="143"/>
    <x v="143"/>
    <s v="Consumer"/>
    <s v="United States"/>
    <s v="Lowell"/>
    <x v="31"/>
    <n v="1852"/>
    <x v="3"/>
    <x v="313"/>
    <x v="1"/>
    <x v="6"/>
    <x v="313"/>
    <n v="12.96"/>
    <s v="Low"/>
    <n v="2"/>
    <n v="0"/>
    <x v="0"/>
    <x v="0"/>
    <n v="4.1471999999999998"/>
    <n v="0.31999999999999995"/>
    <n v="0"/>
  </r>
  <r>
    <n v="350"/>
    <s v="CA-2016-129714"/>
    <d v="2016-09-01T00:00:00"/>
    <x v="0"/>
    <s v="Q3"/>
    <x v="21"/>
    <d v="2016-09-03T00:00:00"/>
    <s v="First Class"/>
    <x v="144"/>
    <x v="144"/>
    <s v="Home Office"/>
    <s v="United States"/>
    <s v="New York City"/>
    <x v="15"/>
    <n v="10009"/>
    <x v="3"/>
    <x v="234"/>
    <x v="2"/>
    <x v="11"/>
    <x v="235"/>
    <n v="6.79"/>
    <s v="Low"/>
    <n v="1"/>
    <n v="0"/>
    <x v="0"/>
    <x v="0"/>
    <n v="2.3086000000000002"/>
    <n v="0.34"/>
    <n v="0"/>
  </r>
  <r>
    <n v="351"/>
    <s v="CA-2016-129714"/>
    <d v="2016-09-01T00:00:00"/>
    <x v="0"/>
    <s v="Q3"/>
    <x v="21"/>
    <d v="2016-09-03T00:00:00"/>
    <s v="First Class"/>
    <x v="144"/>
    <x v="144"/>
    <s v="Home Office"/>
    <s v="United States"/>
    <s v="New York City"/>
    <x v="15"/>
    <n v="10009"/>
    <x v="3"/>
    <x v="314"/>
    <x v="1"/>
    <x v="10"/>
    <x v="314"/>
    <n v="24.56"/>
    <s v="Low"/>
    <n v="2"/>
    <n v="0"/>
    <x v="0"/>
    <x v="0"/>
    <n v="11.543200000000001"/>
    <n v="0.47000000000000003"/>
    <n v="0"/>
  </r>
  <r>
    <n v="352"/>
    <s v="CA-2016-129714"/>
    <d v="2016-09-01T00:00:00"/>
    <x v="0"/>
    <s v="Q3"/>
    <x v="21"/>
    <d v="2016-09-03T00:00:00"/>
    <s v="First Class"/>
    <x v="144"/>
    <x v="144"/>
    <s v="Home Office"/>
    <s v="United States"/>
    <s v="New York City"/>
    <x v="15"/>
    <n v="10009"/>
    <x v="3"/>
    <x v="315"/>
    <x v="1"/>
    <x v="8"/>
    <x v="315"/>
    <n v="3.048"/>
    <s v="Low"/>
    <n v="1"/>
    <n v="0.2"/>
    <x v="2"/>
    <x v="2"/>
    <n v="1.0668"/>
    <n v="0.35"/>
    <n v="0"/>
  </r>
  <r>
    <n v="353"/>
    <s v="CA-2016-129714"/>
    <d v="2016-09-01T00:00:00"/>
    <x v="0"/>
    <s v="Q3"/>
    <x v="21"/>
    <d v="2016-09-03T00:00:00"/>
    <s v="First Class"/>
    <x v="144"/>
    <x v="144"/>
    <s v="Home Office"/>
    <s v="United States"/>
    <s v="New York City"/>
    <x v="15"/>
    <n v="10009"/>
    <x v="3"/>
    <x v="314"/>
    <x v="1"/>
    <x v="10"/>
    <x v="314"/>
    <n v="49.12"/>
    <s v="Medium"/>
    <n v="4"/>
    <n v="0"/>
    <x v="0"/>
    <x v="0"/>
    <n v="23.086400000000001"/>
    <n v="0.47000000000000003"/>
    <n v="0"/>
  </r>
  <r>
    <n v="354"/>
    <s v="CA-2016-129714"/>
    <d v="2016-09-01T00:00:00"/>
    <x v="0"/>
    <s v="Q3"/>
    <x v="21"/>
    <d v="2016-09-03T00:00:00"/>
    <s v="First Class"/>
    <x v="144"/>
    <x v="144"/>
    <s v="Home Office"/>
    <s v="United States"/>
    <s v="New York City"/>
    <x v="15"/>
    <n v="10009"/>
    <x v="3"/>
    <x v="316"/>
    <x v="1"/>
    <x v="8"/>
    <x v="316"/>
    <n v="4355.1679999999997"/>
    <s v="High"/>
    <n v="4"/>
    <n v="0.2"/>
    <x v="2"/>
    <x v="2"/>
    <n v="1415.4295999999999"/>
    <n v="0.32500000000000001"/>
    <n v="0"/>
  </r>
  <r>
    <n v="355"/>
    <s v="CA-2016-138520"/>
    <d v="2016-04-08T00:00:00"/>
    <x v="0"/>
    <s v="Q2"/>
    <x v="25"/>
    <d v="2016-04-13T00:00:00"/>
    <s v="Standard Class"/>
    <x v="145"/>
    <x v="145"/>
    <s v="Consumer"/>
    <s v="United States"/>
    <s v="New York City"/>
    <x v="15"/>
    <n v="10035"/>
    <x v="3"/>
    <x v="317"/>
    <x v="0"/>
    <x v="0"/>
    <x v="317"/>
    <n v="388.70400000000001"/>
    <s v="High"/>
    <n v="6"/>
    <n v="0.2"/>
    <x v="2"/>
    <x v="2"/>
    <n v="-4.8587999999999996"/>
    <n v="-1.2499999999999999E-2"/>
    <n v="1"/>
  </r>
  <r>
    <n v="356"/>
    <s v="CA-2016-138520"/>
    <d v="2016-04-08T00:00:00"/>
    <x v="0"/>
    <s v="Q2"/>
    <x v="25"/>
    <d v="2016-04-13T00:00:00"/>
    <s v="Standard Class"/>
    <x v="145"/>
    <x v="145"/>
    <s v="Consumer"/>
    <s v="United States"/>
    <s v="New York City"/>
    <x v="15"/>
    <n v="10035"/>
    <x v="3"/>
    <x v="318"/>
    <x v="1"/>
    <x v="12"/>
    <x v="318"/>
    <n v="8.26"/>
    <s v="Low"/>
    <n v="2"/>
    <n v="0"/>
    <x v="0"/>
    <x v="0"/>
    <n v="3.7995999999999999"/>
    <n v="0.46"/>
    <n v="0"/>
  </r>
  <r>
    <n v="357"/>
    <s v="CA-2016-138520"/>
    <d v="2016-04-08T00:00:00"/>
    <x v="0"/>
    <s v="Q2"/>
    <x v="25"/>
    <d v="2016-04-13T00:00:00"/>
    <s v="Standard Class"/>
    <x v="145"/>
    <x v="145"/>
    <s v="Consumer"/>
    <s v="United States"/>
    <s v="New York City"/>
    <x v="15"/>
    <n v="10035"/>
    <x v="3"/>
    <x v="319"/>
    <x v="1"/>
    <x v="6"/>
    <x v="319"/>
    <n v="17.04"/>
    <s v="Low"/>
    <n v="4"/>
    <n v="0"/>
    <x v="0"/>
    <x v="0"/>
    <n v="6.9863999999999997"/>
    <n v="0.41000000000000003"/>
    <n v="0"/>
  </r>
  <r>
    <n v="358"/>
    <s v="CA-2016-138520"/>
    <d v="2016-04-08T00:00:00"/>
    <x v="0"/>
    <s v="Q2"/>
    <x v="25"/>
    <d v="2016-04-13T00:00:00"/>
    <s v="Standard Class"/>
    <x v="145"/>
    <x v="145"/>
    <s v="Consumer"/>
    <s v="United States"/>
    <s v="New York City"/>
    <x v="15"/>
    <n v="10035"/>
    <x v="3"/>
    <x v="320"/>
    <x v="1"/>
    <x v="10"/>
    <x v="320"/>
    <n v="34.4"/>
    <s v="Medium"/>
    <n v="5"/>
    <n v="0"/>
    <x v="0"/>
    <x v="0"/>
    <n v="15.824"/>
    <n v="0.46"/>
    <n v="0"/>
  </r>
  <r>
    <n v="359"/>
    <s v="CA-2016-130001"/>
    <d v="2016-04-23T00:00:00"/>
    <x v="0"/>
    <s v="Q2"/>
    <x v="25"/>
    <d v="2016-04-28T00:00:00"/>
    <s v="Standard Class"/>
    <x v="96"/>
    <x v="96"/>
    <s v="Corporate"/>
    <s v="United States"/>
    <s v="Charlotte"/>
    <x v="3"/>
    <n v="28205"/>
    <x v="0"/>
    <x v="187"/>
    <x v="1"/>
    <x v="10"/>
    <x v="188"/>
    <n v="36.24"/>
    <s v="Medium"/>
    <n v="5"/>
    <n v="0.2"/>
    <x v="2"/>
    <x v="2"/>
    <n v="11.324999999999999"/>
    <n v="0.31249999999999994"/>
    <n v="0"/>
  </r>
  <r>
    <n v="360"/>
    <s v="CA-2017-155698"/>
    <d v="2017-03-08T00:00:00"/>
    <x v="3"/>
    <s v="Q1"/>
    <x v="42"/>
    <d v="2017-03-11T00:00:00"/>
    <s v="First Class"/>
    <x v="146"/>
    <x v="146"/>
    <s v="Corporate"/>
    <s v="United States"/>
    <s v="Columbus"/>
    <x v="32"/>
    <n v="31907"/>
    <x v="0"/>
    <x v="321"/>
    <x v="1"/>
    <x v="9"/>
    <x v="321"/>
    <n v="647.84"/>
    <s v="High"/>
    <n v="8"/>
    <n v="0"/>
    <x v="0"/>
    <x v="0"/>
    <n v="168.4384"/>
    <n v="0.26"/>
    <n v="0"/>
  </r>
  <r>
    <n v="361"/>
    <s v="CA-2017-155698"/>
    <d v="2017-03-08T00:00:00"/>
    <x v="3"/>
    <s v="Q1"/>
    <x v="42"/>
    <d v="2017-03-11T00:00:00"/>
    <s v="First Class"/>
    <x v="146"/>
    <x v="146"/>
    <s v="Corporate"/>
    <s v="United States"/>
    <s v="Columbus"/>
    <x v="32"/>
    <n v="31907"/>
    <x v="0"/>
    <x v="322"/>
    <x v="1"/>
    <x v="2"/>
    <x v="322"/>
    <n v="20.7"/>
    <s v="Low"/>
    <n v="2"/>
    <n v="0"/>
    <x v="0"/>
    <x v="0"/>
    <n v="9.9359999999999999"/>
    <n v="0.48000000000000004"/>
    <n v="0"/>
  </r>
  <r>
    <n v="362"/>
    <s v="CA-2017-144904"/>
    <d v="2017-09-25T00:00:00"/>
    <x v="3"/>
    <s v="Q3"/>
    <x v="15"/>
    <d v="2017-10-01T00:00:00"/>
    <s v="Standard Class"/>
    <x v="147"/>
    <x v="147"/>
    <s v="Consumer"/>
    <s v="United States"/>
    <s v="New York City"/>
    <x v="15"/>
    <n v="10009"/>
    <x v="3"/>
    <x v="322"/>
    <x v="1"/>
    <x v="2"/>
    <x v="322"/>
    <n v="20.7"/>
    <s v="Low"/>
    <n v="2"/>
    <n v="0"/>
    <x v="0"/>
    <x v="0"/>
    <n v="9.9359999999999999"/>
    <n v="0.48000000000000004"/>
    <n v="0"/>
  </r>
  <r>
    <n v="363"/>
    <s v="CA-2017-144904"/>
    <d v="2017-09-25T00:00:00"/>
    <x v="3"/>
    <s v="Q3"/>
    <x v="15"/>
    <d v="2017-10-01T00:00:00"/>
    <s v="Standard Class"/>
    <x v="147"/>
    <x v="147"/>
    <s v="Consumer"/>
    <s v="United States"/>
    <s v="New York City"/>
    <x v="15"/>
    <n v="10009"/>
    <x v="3"/>
    <x v="323"/>
    <x v="0"/>
    <x v="1"/>
    <x v="323"/>
    <n v="488.64600000000002"/>
    <s v="High"/>
    <n v="3"/>
    <n v="0.1"/>
    <x v="3"/>
    <x v="8"/>
    <n v="86.870400000000004"/>
    <n v="0.17777777777777778"/>
    <n v="0"/>
  </r>
  <r>
    <n v="364"/>
    <s v="CA-2017-144904"/>
    <d v="2017-09-25T00:00:00"/>
    <x v="3"/>
    <s v="Q3"/>
    <x v="15"/>
    <d v="2017-10-01T00:00:00"/>
    <s v="Standard Class"/>
    <x v="147"/>
    <x v="147"/>
    <s v="Consumer"/>
    <s v="United States"/>
    <s v="New York City"/>
    <x v="15"/>
    <n v="10009"/>
    <x v="3"/>
    <x v="324"/>
    <x v="1"/>
    <x v="6"/>
    <x v="324"/>
    <n v="5.56"/>
    <s v="Low"/>
    <n v="2"/>
    <n v="0"/>
    <x v="0"/>
    <x v="0"/>
    <n v="1.4456"/>
    <n v="0.26"/>
    <n v="0"/>
  </r>
  <r>
    <n v="365"/>
    <s v="CA-2017-144904"/>
    <d v="2017-09-25T00:00:00"/>
    <x v="3"/>
    <s v="Q3"/>
    <x v="15"/>
    <d v="2017-10-01T00:00:00"/>
    <s v="Standard Class"/>
    <x v="147"/>
    <x v="147"/>
    <s v="Consumer"/>
    <s v="United States"/>
    <s v="New York City"/>
    <x v="15"/>
    <n v="10009"/>
    <x v="3"/>
    <x v="325"/>
    <x v="0"/>
    <x v="5"/>
    <x v="325"/>
    <n v="47.12"/>
    <s v="Medium"/>
    <n v="8"/>
    <n v="0"/>
    <x v="0"/>
    <x v="0"/>
    <n v="20.732800000000001"/>
    <n v="0.44000000000000006"/>
    <n v="0"/>
  </r>
  <r>
    <n v="366"/>
    <s v="CA-2014-123344"/>
    <d v="2014-09-24T00:00:00"/>
    <x v="2"/>
    <s v="Q3"/>
    <x v="30"/>
    <d v="2014-09-29T00:00:00"/>
    <s v="Standard Class"/>
    <x v="148"/>
    <x v="148"/>
    <s v="Consumer"/>
    <s v="United States"/>
    <s v="San Francisco"/>
    <x v="1"/>
    <n v="94109"/>
    <x v="1"/>
    <x v="45"/>
    <x v="1"/>
    <x v="4"/>
    <x v="45"/>
    <n v="211.96"/>
    <s v="High"/>
    <n v="4"/>
    <n v="0"/>
    <x v="0"/>
    <x v="0"/>
    <n v="8.4784000000000006"/>
    <n v="0.04"/>
    <n v="0"/>
  </r>
  <r>
    <n v="367"/>
    <s v="CA-2016-155516"/>
    <d v="2016-10-21T00:00:00"/>
    <x v="0"/>
    <s v="Q4"/>
    <x v="32"/>
    <d v="2016-10-21T00:00:00"/>
    <s v="Same Day"/>
    <x v="149"/>
    <x v="149"/>
    <s v="Corporate"/>
    <s v="United States"/>
    <s v="Manchester"/>
    <x v="29"/>
    <n v="6040"/>
    <x v="3"/>
    <x v="326"/>
    <x v="1"/>
    <x v="8"/>
    <x v="326"/>
    <n v="23.2"/>
    <s v="Low"/>
    <n v="4"/>
    <n v="0"/>
    <x v="0"/>
    <x v="0"/>
    <n v="10.44"/>
    <n v="0.45"/>
    <n v="0"/>
  </r>
  <r>
    <n v="368"/>
    <s v="CA-2016-155516"/>
    <d v="2016-10-21T00:00:00"/>
    <x v="0"/>
    <s v="Q4"/>
    <x v="32"/>
    <d v="2016-10-21T00:00:00"/>
    <s v="Same Day"/>
    <x v="149"/>
    <x v="149"/>
    <s v="Corporate"/>
    <s v="United States"/>
    <s v="Manchester"/>
    <x v="29"/>
    <n v="6040"/>
    <x v="3"/>
    <x v="327"/>
    <x v="1"/>
    <x v="14"/>
    <x v="327"/>
    <n v="7.36"/>
    <s v="Low"/>
    <n v="2"/>
    <n v="0"/>
    <x v="0"/>
    <x v="0"/>
    <n v="0.1472"/>
    <n v="0.02"/>
    <n v="0"/>
  </r>
  <r>
    <n v="369"/>
    <s v="CA-2016-155516"/>
    <d v="2016-10-21T00:00:00"/>
    <x v="0"/>
    <s v="Q4"/>
    <x v="32"/>
    <d v="2016-10-21T00:00:00"/>
    <s v="Same Day"/>
    <x v="149"/>
    <x v="149"/>
    <s v="Corporate"/>
    <s v="United States"/>
    <s v="Manchester"/>
    <x v="29"/>
    <n v="6040"/>
    <x v="3"/>
    <x v="328"/>
    <x v="1"/>
    <x v="4"/>
    <x v="328"/>
    <n v="104.79"/>
    <s v="Medium"/>
    <n v="7"/>
    <n v="0"/>
    <x v="0"/>
    <x v="0"/>
    <n v="29.341200000000001"/>
    <n v="0.27999999999999997"/>
    <n v="0"/>
  </r>
  <r>
    <n v="370"/>
    <s v="CA-2016-155516"/>
    <d v="2016-10-21T00:00:00"/>
    <x v="0"/>
    <s v="Q4"/>
    <x v="32"/>
    <d v="2016-10-21T00:00:00"/>
    <s v="Same Day"/>
    <x v="149"/>
    <x v="149"/>
    <s v="Corporate"/>
    <s v="United States"/>
    <s v="Manchester"/>
    <x v="29"/>
    <n v="6040"/>
    <x v="3"/>
    <x v="37"/>
    <x v="0"/>
    <x v="0"/>
    <x v="37"/>
    <n v="1043.92"/>
    <s v="High"/>
    <n v="4"/>
    <n v="0"/>
    <x v="0"/>
    <x v="0"/>
    <n v="271.41919999999999"/>
    <n v="0.25999999999999995"/>
    <n v="0"/>
  </r>
  <r>
    <n v="371"/>
    <s v="CA-2017-104745"/>
    <d v="2017-05-29T00:00:00"/>
    <x v="3"/>
    <s v="Q2"/>
    <x v="24"/>
    <d v="2017-06-04T00:00:00"/>
    <s v="Standard Class"/>
    <x v="150"/>
    <x v="150"/>
    <s v="Consumer"/>
    <s v="United States"/>
    <s v="Harlingen"/>
    <x v="5"/>
    <n v="78550"/>
    <x v="2"/>
    <x v="329"/>
    <x v="1"/>
    <x v="10"/>
    <x v="329"/>
    <n v="25.92"/>
    <s v="Medium"/>
    <n v="5"/>
    <n v="0.2"/>
    <x v="2"/>
    <x v="2"/>
    <n v="9.3960000000000008"/>
    <n v="0.36249999999999999"/>
    <n v="0"/>
  </r>
  <r>
    <n v="372"/>
    <s v="CA-2017-104745"/>
    <d v="2017-05-29T00:00:00"/>
    <x v="3"/>
    <s v="Q2"/>
    <x v="24"/>
    <d v="2017-06-04T00:00:00"/>
    <s v="Standard Class"/>
    <x v="150"/>
    <x v="150"/>
    <s v="Consumer"/>
    <s v="United States"/>
    <s v="Harlingen"/>
    <x v="5"/>
    <n v="78550"/>
    <x v="2"/>
    <x v="330"/>
    <x v="1"/>
    <x v="4"/>
    <x v="330"/>
    <n v="53.423999999999999"/>
    <s v="Medium"/>
    <n v="3"/>
    <n v="0.2"/>
    <x v="2"/>
    <x v="2"/>
    <n v="4.6745999999999999"/>
    <n v="8.7499999999999994E-2"/>
    <n v="0"/>
  </r>
  <r>
    <n v="373"/>
    <s v="US-2014-119137"/>
    <d v="2014-07-23T00:00:00"/>
    <x v="2"/>
    <s v="Q3"/>
    <x v="39"/>
    <d v="2014-07-27T00:00:00"/>
    <s v="Standard Class"/>
    <x v="151"/>
    <x v="151"/>
    <s v="Consumer"/>
    <s v="United States"/>
    <s v="Tucson"/>
    <x v="16"/>
    <n v="85705"/>
    <x v="1"/>
    <x v="304"/>
    <x v="1"/>
    <x v="8"/>
    <x v="304"/>
    <n v="8.16"/>
    <s v="Low"/>
    <n v="5"/>
    <n v="0.7"/>
    <x v="1"/>
    <x v="5"/>
    <n v="-5.7119999999999997"/>
    <n v="-0.7"/>
    <n v="1"/>
  </r>
  <r>
    <n v="374"/>
    <s v="US-2014-119137"/>
    <d v="2014-07-23T00:00:00"/>
    <x v="2"/>
    <s v="Q3"/>
    <x v="39"/>
    <d v="2014-07-27T00:00:00"/>
    <s v="Standard Class"/>
    <x v="151"/>
    <x v="151"/>
    <s v="Consumer"/>
    <s v="United States"/>
    <s v="Tucson"/>
    <x v="16"/>
    <n v="85705"/>
    <x v="1"/>
    <x v="331"/>
    <x v="2"/>
    <x v="11"/>
    <x v="331"/>
    <n v="1023.936"/>
    <s v="High"/>
    <n v="8"/>
    <n v="0.2"/>
    <x v="2"/>
    <x v="2"/>
    <n v="179.18879999999999"/>
    <n v="0.17499999999999999"/>
    <n v="0"/>
  </r>
  <r>
    <n v="375"/>
    <s v="US-2014-119137"/>
    <d v="2014-07-23T00:00:00"/>
    <x v="2"/>
    <s v="Q3"/>
    <x v="39"/>
    <d v="2014-07-27T00:00:00"/>
    <s v="Standard Class"/>
    <x v="151"/>
    <x v="151"/>
    <s v="Consumer"/>
    <s v="United States"/>
    <s v="Tucson"/>
    <x v="16"/>
    <n v="85705"/>
    <x v="1"/>
    <x v="332"/>
    <x v="1"/>
    <x v="6"/>
    <x v="332"/>
    <n v="9.24"/>
    <s v="Low"/>
    <n v="1"/>
    <n v="0.2"/>
    <x v="2"/>
    <x v="2"/>
    <n v="0.92400000000000004"/>
    <n v="0.1"/>
    <n v="0"/>
  </r>
  <r>
    <n v="376"/>
    <s v="US-2014-119137"/>
    <d v="2014-07-23T00:00:00"/>
    <x v="2"/>
    <s v="Q3"/>
    <x v="39"/>
    <d v="2014-07-27T00:00:00"/>
    <s v="Standard Class"/>
    <x v="151"/>
    <x v="151"/>
    <s v="Consumer"/>
    <s v="United States"/>
    <s v="Tucson"/>
    <x v="16"/>
    <n v="85705"/>
    <x v="1"/>
    <x v="333"/>
    <x v="2"/>
    <x v="11"/>
    <x v="333"/>
    <n v="479.04"/>
    <s v="High"/>
    <n v="10"/>
    <n v="0.2"/>
    <x v="2"/>
    <x v="2"/>
    <n v="-29.94"/>
    <n v="-6.25E-2"/>
    <n v="1"/>
  </r>
  <r>
    <n v="377"/>
    <s v="US-2016-134656"/>
    <d v="2016-09-28T00:00:00"/>
    <x v="0"/>
    <s v="Q3"/>
    <x v="21"/>
    <d v="2016-10-01T00:00:00"/>
    <s v="First Class"/>
    <x v="152"/>
    <x v="152"/>
    <s v="Corporate"/>
    <s v="United States"/>
    <s v="Quincy"/>
    <x v="10"/>
    <n v="62301"/>
    <x v="2"/>
    <x v="334"/>
    <x v="1"/>
    <x v="10"/>
    <x v="334"/>
    <n v="99.135999999999996"/>
    <s v="Medium"/>
    <n v="4"/>
    <n v="0.2"/>
    <x v="2"/>
    <x v="2"/>
    <n v="30.98"/>
    <n v="0.3125"/>
    <n v="0"/>
  </r>
  <r>
    <n v="378"/>
    <s v="US-2017-134481"/>
    <d v="2017-08-27T00:00:00"/>
    <x v="3"/>
    <s v="Q3"/>
    <x v="43"/>
    <d v="2017-09-01T00:00:00"/>
    <s v="Standard Class"/>
    <x v="153"/>
    <x v="153"/>
    <s v="Corporate"/>
    <s v="United States"/>
    <s v="Franklin"/>
    <x v="31"/>
    <n v="2038"/>
    <x v="3"/>
    <x v="335"/>
    <x v="0"/>
    <x v="3"/>
    <x v="335"/>
    <n v="1488.424"/>
    <s v="High"/>
    <n v="7"/>
    <n v="0.3"/>
    <x v="1"/>
    <x v="4"/>
    <n v="-297.6848"/>
    <n v="-0.2"/>
    <n v="1"/>
  </r>
  <r>
    <n v="379"/>
    <s v="CA-2015-130792"/>
    <d v="2015-04-28T00:00:00"/>
    <x v="1"/>
    <s v="Q2"/>
    <x v="19"/>
    <d v="2015-05-05T00:00:00"/>
    <s v="Standard Class"/>
    <x v="154"/>
    <x v="154"/>
    <s v="Consumer"/>
    <s v="United States"/>
    <s v="Houston"/>
    <x v="5"/>
    <n v="77095"/>
    <x v="2"/>
    <x v="336"/>
    <x v="1"/>
    <x v="9"/>
    <x v="336"/>
    <n v="8.6519999999999992"/>
    <s v="Low"/>
    <n v="3"/>
    <n v="0.8"/>
    <x v="1"/>
    <x v="3"/>
    <n v="-20.3322"/>
    <n v="-2.35"/>
    <n v="1"/>
  </r>
  <r>
    <n v="380"/>
    <s v="CA-2015-130792"/>
    <d v="2015-04-28T00:00:00"/>
    <x v="1"/>
    <s v="Q2"/>
    <x v="19"/>
    <d v="2015-05-05T00:00:00"/>
    <s v="Standard Class"/>
    <x v="154"/>
    <x v="154"/>
    <s v="Consumer"/>
    <s v="United States"/>
    <s v="Houston"/>
    <x v="5"/>
    <n v="77095"/>
    <x v="2"/>
    <x v="337"/>
    <x v="1"/>
    <x v="4"/>
    <x v="337"/>
    <n v="23.832000000000001"/>
    <s v="Low"/>
    <n v="3"/>
    <n v="0.2"/>
    <x v="2"/>
    <x v="2"/>
    <n v="2.6810999999999998"/>
    <n v="0.11249999999999999"/>
    <n v="0"/>
  </r>
  <r>
    <n v="381"/>
    <s v="CA-2015-130792"/>
    <d v="2015-04-28T00:00:00"/>
    <x v="1"/>
    <s v="Q2"/>
    <x v="19"/>
    <d v="2015-05-05T00:00:00"/>
    <s v="Standard Class"/>
    <x v="154"/>
    <x v="154"/>
    <s v="Consumer"/>
    <s v="United States"/>
    <s v="Houston"/>
    <x v="5"/>
    <n v="77095"/>
    <x v="2"/>
    <x v="338"/>
    <x v="1"/>
    <x v="8"/>
    <x v="338"/>
    <n v="12.176"/>
    <s v="Low"/>
    <n v="4"/>
    <n v="0.8"/>
    <x v="1"/>
    <x v="3"/>
    <n v="-18.872800000000002"/>
    <n v="-1.55"/>
    <n v="1"/>
  </r>
  <r>
    <n v="382"/>
    <s v="CA-2016-134775"/>
    <d v="2016-10-28T00:00:00"/>
    <x v="0"/>
    <s v="Q4"/>
    <x v="32"/>
    <d v="2016-10-29T00:00:00"/>
    <s v="First Class"/>
    <x v="155"/>
    <x v="155"/>
    <s v="Corporate"/>
    <s v="United States"/>
    <s v="San Francisco"/>
    <x v="1"/>
    <n v="94109"/>
    <x v="1"/>
    <x v="339"/>
    <x v="1"/>
    <x v="10"/>
    <x v="339"/>
    <n v="50.96"/>
    <s v="Medium"/>
    <n v="7"/>
    <n v="0"/>
    <x v="0"/>
    <x v="0"/>
    <n v="25.48"/>
    <n v="0.5"/>
    <n v="0"/>
  </r>
  <r>
    <n v="383"/>
    <s v="CA-2016-134775"/>
    <d v="2016-10-28T00:00:00"/>
    <x v="0"/>
    <s v="Q4"/>
    <x v="32"/>
    <d v="2016-10-29T00:00:00"/>
    <s v="First Class"/>
    <x v="155"/>
    <x v="155"/>
    <s v="Corporate"/>
    <s v="United States"/>
    <s v="San Francisco"/>
    <x v="1"/>
    <n v="94109"/>
    <x v="1"/>
    <x v="340"/>
    <x v="1"/>
    <x v="8"/>
    <x v="340"/>
    <n v="49.536000000000001"/>
    <s v="Medium"/>
    <n v="3"/>
    <n v="0.2"/>
    <x v="2"/>
    <x v="2"/>
    <n v="17.337599999999998"/>
    <n v="0.35"/>
    <n v="0"/>
  </r>
  <r>
    <n v="384"/>
    <s v="CA-2015-125395"/>
    <d v="2015-06-26T00:00:00"/>
    <x v="1"/>
    <s v="Q2"/>
    <x v="40"/>
    <d v="2015-06-29T00:00:00"/>
    <s v="Second Class"/>
    <x v="156"/>
    <x v="156"/>
    <s v="Corporate"/>
    <s v="United States"/>
    <s v="Taylor"/>
    <x v="12"/>
    <n v="48180"/>
    <x v="2"/>
    <x v="341"/>
    <x v="2"/>
    <x v="11"/>
    <x v="341"/>
    <n v="41.9"/>
    <s v="Medium"/>
    <n v="2"/>
    <n v="0"/>
    <x v="0"/>
    <x v="0"/>
    <n v="8.7989999999999995"/>
    <n v="0.21"/>
    <n v="0"/>
  </r>
  <r>
    <n v="385"/>
    <s v="US-2015-168935"/>
    <d v="2015-11-27T00:00:00"/>
    <x v="1"/>
    <s v="Q4"/>
    <x v="6"/>
    <d v="2015-12-02T00:00:00"/>
    <s v="Standard Class"/>
    <x v="157"/>
    <x v="157"/>
    <s v="Consumer"/>
    <s v="United States"/>
    <s v="Pembroke Pines"/>
    <x v="2"/>
    <n v="33024"/>
    <x v="0"/>
    <x v="342"/>
    <x v="0"/>
    <x v="3"/>
    <x v="342"/>
    <n v="375.45749999999998"/>
    <s v="High"/>
    <n v="3"/>
    <n v="0.45"/>
    <x v="1"/>
    <x v="1"/>
    <n v="-157.0095"/>
    <n v="-0.41818181818181821"/>
    <n v="1"/>
  </r>
  <r>
    <n v="386"/>
    <s v="US-2015-168935"/>
    <d v="2015-11-27T00:00:00"/>
    <x v="1"/>
    <s v="Q4"/>
    <x v="6"/>
    <d v="2015-12-02T00:00:00"/>
    <s v="Standard Class"/>
    <x v="157"/>
    <x v="157"/>
    <s v="Consumer"/>
    <s v="United States"/>
    <s v="Pembroke Pines"/>
    <x v="2"/>
    <n v="33024"/>
    <x v="0"/>
    <x v="343"/>
    <x v="2"/>
    <x v="11"/>
    <x v="343"/>
    <n v="83.975999999999999"/>
    <s v="Medium"/>
    <n v="3"/>
    <n v="0.2"/>
    <x v="2"/>
    <x v="2"/>
    <n v="-1.0497000000000001"/>
    <n v="-1.2500000000000001E-2"/>
    <n v="1"/>
  </r>
  <r>
    <n v="387"/>
    <s v="CA-2015-122756"/>
    <d v="2015-12-03T00:00:00"/>
    <x v="1"/>
    <s v="Q4"/>
    <x v="14"/>
    <d v="2015-12-07T00:00:00"/>
    <s v="Standard Class"/>
    <x v="158"/>
    <x v="158"/>
    <s v="Corporate"/>
    <s v="United States"/>
    <s v="Philadelphia"/>
    <x v="9"/>
    <n v="19140"/>
    <x v="3"/>
    <x v="344"/>
    <x v="2"/>
    <x v="15"/>
    <x v="344"/>
    <n v="482.34"/>
    <s v="High"/>
    <n v="4"/>
    <n v="0.7"/>
    <x v="1"/>
    <x v="5"/>
    <n v="-337.63799999999998"/>
    <n v="-0.7"/>
    <n v="1"/>
  </r>
  <r>
    <n v="388"/>
    <s v="CA-2015-122756"/>
    <d v="2015-12-03T00:00:00"/>
    <x v="1"/>
    <s v="Q4"/>
    <x v="14"/>
    <d v="2015-12-07T00:00:00"/>
    <s v="Standard Class"/>
    <x v="158"/>
    <x v="158"/>
    <s v="Corporate"/>
    <s v="United States"/>
    <s v="Philadelphia"/>
    <x v="9"/>
    <n v="19140"/>
    <x v="3"/>
    <x v="345"/>
    <x v="0"/>
    <x v="5"/>
    <x v="345"/>
    <n v="2.96"/>
    <s v="Low"/>
    <n v="1"/>
    <n v="0.2"/>
    <x v="2"/>
    <x v="2"/>
    <n v="0.77700000000000002"/>
    <n v="0.26250000000000001"/>
    <n v="0"/>
  </r>
  <r>
    <n v="389"/>
    <s v="CA-2014-115973"/>
    <d v="2014-11-24T00:00:00"/>
    <x v="2"/>
    <s v="Q4"/>
    <x v="7"/>
    <d v="2014-11-26T00:00:00"/>
    <s v="First Class"/>
    <x v="159"/>
    <x v="159"/>
    <s v="Consumer"/>
    <s v="United States"/>
    <s v="Cincinnati"/>
    <x v="24"/>
    <n v="45231"/>
    <x v="3"/>
    <x v="346"/>
    <x v="1"/>
    <x v="6"/>
    <x v="346"/>
    <n v="2.6240000000000001"/>
    <s v="Low"/>
    <n v="1"/>
    <n v="0.2"/>
    <x v="2"/>
    <x v="2"/>
    <n v="0.4264"/>
    <n v="0.16250000000000001"/>
    <n v="0"/>
  </r>
  <r>
    <n v="390"/>
    <s v="CA-2017-101798"/>
    <d v="2017-12-11T00:00:00"/>
    <x v="3"/>
    <s v="Q4"/>
    <x v="22"/>
    <d v="2017-12-15T00:00:00"/>
    <s v="Standard Class"/>
    <x v="160"/>
    <x v="160"/>
    <s v="Consumer"/>
    <s v="United States"/>
    <s v="New York City"/>
    <x v="15"/>
    <n v="10009"/>
    <x v="3"/>
    <x v="347"/>
    <x v="1"/>
    <x v="8"/>
    <x v="347"/>
    <n v="23.36"/>
    <s v="Low"/>
    <n v="4"/>
    <n v="0.2"/>
    <x v="2"/>
    <x v="2"/>
    <n v="7.8840000000000003"/>
    <n v="0.33750000000000002"/>
    <n v="0"/>
  </r>
  <r>
    <n v="391"/>
    <s v="CA-2017-101798"/>
    <d v="2017-12-11T00:00:00"/>
    <x v="3"/>
    <s v="Q4"/>
    <x v="22"/>
    <d v="2017-12-15T00:00:00"/>
    <s v="Standard Class"/>
    <x v="160"/>
    <x v="160"/>
    <s v="Consumer"/>
    <s v="United States"/>
    <s v="New York City"/>
    <x v="15"/>
    <n v="10009"/>
    <x v="3"/>
    <x v="84"/>
    <x v="2"/>
    <x v="11"/>
    <x v="84"/>
    <n v="39.979999999999997"/>
    <s v="Medium"/>
    <n v="2"/>
    <n v="0"/>
    <x v="0"/>
    <x v="0"/>
    <n v="13.5932"/>
    <n v="0.34"/>
    <n v="0"/>
  </r>
  <r>
    <n v="392"/>
    <s v="US-2014-135972"/>
    <d v="2014-09-21T00:00:00"/>
    <x v="2"/>
    <s v="Q3"/>
    <x v="30"/>
    <d v="2014-09-23T00:00:00"/>
    <s v="Second Class"/>
    <x v="161"/>
    <x v="161"/>
    <s v="Consumer"/>
    <s v="United States"/>
    <s v="Des Moines"/>
    <x v="4"/>
    <n v="98198"/>
    <x v="1"/>
    <x v="348"/>
    <x v="2"/>
    <x v="7"/>
    <x v="348"/>
    <n v="246.38399999999999"/>
    <s v="High"/>
    <n v="2"/>
    <n v="0.2"/>
    <x v="2"/>
    <x v="2"/>
    <n v="27.7182"/>
    <n v="0.1125"/>
    <n v="0"/>
  </r>
  <r>
    <n v="393"/>
    <s v="US-2014-135972"/>
    <d v="2014-09-21T00:00:00"/>
    <x v="2"/>
    <s v="Q3"/>
    <x v="30"/>
    <d v="2014-09-23T00:00:00"/>
    <s v="Second Class"/>
    <x v="161"/>
    <x v="161"/>
    <s v="Consumer"/>
    <s v="United States"/>
    <s v="Des Moines"/>
    <x v="4"/>
    <n v="98198"/>
    <x v="1"/>
    <x v="349"/>
    <x v="2"/>
    <x v="16"/>
    <x v="349"/>
    <n v="1799.97"/>
    <s v="High"/>
    <n v="3"/>
    <n v="0"/>
    <x v="0"/>
    <x v="0"/>
    <n v="701.98829999999998"/>
    <n v="0.38999999999999996"/>
    <n v="0"/>
  </r>
  <r>
    <n v="394"/>
    <s v="US-2014-134971"/>
    <d v="2014-06-07T00:00:00"/>
    <x v="2"/>
    <s v="Q2"/>
    <x v="3"/>
    <d v="2014-06-10T00:00:00"/>
    <s v="Second Class"/>
    <x v="162"/>
    <x v="162"/>
    <s v="Corporate"/>
    <s v="United States"/>
    <s v="Peoria"/>
    <x v="10"/>
    <n v="61604"/>
    <x v="2"/>
    <x v="350"/>
    <x v="1"/>
    <x v="8"/>
    <x v="350"/>
    <n v="12.462"/>
    <s v="Low"/>
    <n v="3"/>
    <n v="0.8"/>
    <x v="1"/>
    <x v="3"/>
    <n v="-20.5623"/>
    <n v="-1.6500000000000001"/>
    <n v="1"/>
  </r>
  <r>
    <n v="395"/>
    <s v="CA-2017-102946"/>
    <d v="2017-06-30T00:00:00"/>
    <x v="3"/>
    <s v="Q2"/>
    <x v="27"/>
    <d v="2017-07-05T00:00:00"/>
    <s v="Standard Class"/>
    <x v="163"/>
    <x v="163"/>
    <s v="Home Office"/>
    <s v="United States"/>
    <s v="Las Vegas"/>
    <x v="33"/>
    <n v="89115"/>
    <x v="1"/>
    <x v="351"/>
    <x v="1"/>
    <x v="8"/>
    <x v="351"/>
    <n v="75.792000000000002"/>
    <s v="Medium"/>
    <n v="3"/>
    <n v="0.2"/>
    <x v="2"/>
    <x v="2"/>
    <n v="25.579799999999999"/>
    <n v="0.33749999999999997"/>
    <n v="0"/>
  </r>
  <r>
    <n v="396"/>
    <s v="CA-2017-165603"/>
    <d v="2017-10-17T00:00:00"/>
    <x v="3"/>
    <s v="Q4"/>
    <x v="13"/>
    <d v="2017-10-19T00:00:00"/>
    <s v="Second Class"/>
    <x v="164"/>
    <x v="164"/>
    <s v="Corporate"/>
    <s v="United States"/>
    <s v="Warwick"/>
    <x v="34"/>
    <n v="2886"/>
    <x v="3"/>
    <x v="352"/>
    <x v="1"/>
    <x v="4"/>
    <x v="352"/>
    <n v="49.96"/>
    <s v="Medium"/>
    <n v="2"/>
    <n v="0"/>
    <x v="0"/>
    <x v="0"/>
    <n v="9.4923999999999999"/>
    <n v="0.19"/>
    <n v="0"/>
  </r>
  <r>
    <n v="397"/>
    <s v="CA-2017-165603"/>
    <d v="2017-10-17T00:00:00"/>
    <x v="3"/>
    <s v="Q4"/>
    <x v="13"/>
    <d v="2017-10-19T00:00:00"/>
    <s v="Second Class"/>
    <x v="164"/>
    <x v="164"/>
    <s v="Corporate"/>
    <s v="United States"/>
    <s v="Warwick"/>
    <x v="34"/>
    <n v="2886"/>
    <x v="3"/>
    <x v="353"/>
    <x v="1"/>
    <x v="10"/>
    <x v="353"/>
    <n v="12.96"/>
    <s v="Low"/>
    <n v="2"/>
    <n v="0"/>
    <x v="0"/>
    <x v="0"/>
    <n v="6.2207999999999997"/>
    <n v="0.47999999999999993"/>
    <n v="0"/>
  </r>
  <r>
    <n v="398"/>
    <s v="CA-2015-122259"/>
    <d v="2015-10-31T00:00:00"/>
    <x v="1"/>
    <s v="Q4"/>
    <x v="2"/>
    <d v="2015-11-04T00:00:00"/>
    <s v="Standard Class"/>
    <x v="6"/>
    <x v="6"/>
    <s v="Home Office"/>
    <s v="United States"/>
    <s v="Jackson"/>
    <x v="12"/>
    <n v="49201"/>
    <x v="2"/>
    <x v="354"/>
    <x v="1"/>
    <x v="14"/>
    <x v="354"/>
    <n v="70.12"/>
    <s v="Medium"/>
    <n v="4"/>
    <n v="0"/>
    <x v="0"/>
    <x v="0"/>
    <n v="21.036000000000001"/>
    <n v="0.3"/>
    <n v="0"/>
  </r>
  <r>
    <n v="399"/>
    <s v="CA-2016-108987"/>
    <d v="2016-09-08T00:00:00"/>
    <x v="0"/>
    <s v="Q3"/>
    <x v="21"/>
    <d v="2016-09-10T00:00:00"/>
    <s v="Second Class"/>
    <x v="165"/>
    <x v="165"/>
    <s v="Consumer"/>
    <s v="United States"/>
    <s v="Houston"/>
    <x v="5"/>
    <n v="77036"/>
    <x v="2"/>
    <x v="355"/>
    <x v="1"/>
    <x v="4"/>
    <x v="355"/>
    <n v="35.951999999999998"/>
    <s v="Medium"/>
    <n v="3"/>
    <n v="0.2"/>
    <x v="2"/>
    <x v="2"/>
    <n v="3.5952000000000002"/>
    <n v="0.1"/>
    <n v="0"/>
  </r>
  <r>
    <n v="400"/>
    <s v="CA-2016-108987"/>
    <d v="2016-09-08T00:00:00"/>
    <x v="0"/>
    <s v="Q3"/>
    <x v="21"/>
    <d v="2016-09-10T00:00:00"/>
    <s v="Second Class"/>
    <x v="165"/>
    <x v="165"/>
    <s v="Consumer"/>
    <s v="United States"/>
    <s v="Houston"/>
    <x v="5"/>
    <n v="77036"/>
    <x v="2"/>
    <x v="26"/>
    <x v="0"/>
    <x v="0"/>
    <x v="26"/>
    <n v="2396.2656000000002"/>
    <s v="High"/>
    <n v="4"/>
    <n v="0.32"/>
    <x v="1"/>
    <x v="7"/>
    <n v="-317.15280000000001"/>
    <n v="-0.13235294117647059"/>
    <n v="1"/>
  </r>
  <r>
    <n v="401"/>
    <s v="CA-2016-108987"/>
    <d v="2016-09-08T00:00:00"/>
    <x v="0"/>
    <s v="Q3"/>
    <x v="21"/>
    <d v="2016-09-10T00:00:00"/>
    <s v="Second Class"/>
    <x v="165"/>
    <x v="165"/>
    <s v="Consumer"/>
    <s v="United States"/>
    <s v="Houston"/>
    <x v="5"/>
    <n v="77036"/>
    <x v="2"/>
    <x v="356"/>
    <x v="1"/>
    <x v="4"/>
    <x v="356"/>
    <n v="131.136"/>
    <s v="High"/>
    <n v="4"/>
    <n v="0.2"/>
    <x v="2"/>
    <x v="2"/>
    <n v="-32.783999999999999"/>
    <n v="-0.25"/>
    <n v="1"/>
  </r>
  <r>
    <n v="402"/>
    <s v="CA-2016-108987"/>
    <d v="2016-09-08T00:00:00"/>
    <x v="0"/>
    <s v="Q3"/>
    <x v="21"/>
    <d v="2016-09-10T00:00:00"/>
    <s v="Second Class"/>
    <x v="165"/>
    <x v="165"/>
    <s v="Consumer"/>
    <s v="United States"/>
    <s v="Houston"/>
    <x v="5"/>
    <n v="77036"/>
    <x v="2"/>
    <x v="357"/>
    <x v="2"/>
    <x v="11"/>
    <x v="357"/>
    <n v="57.584000000000003"/>
    <s v="Medium"/>
    <n v="2"/>
    <n v="0.2"/>
    <x v="2"/>
    <x v="2"/>
    <n v="0.7198"/>
    <n v="1.2499999999999999E-2"/>
    <n v="0"/>
  </r>
  <r>
    <n v="403"/>
    <s v="CA-2014-113166"/>
    <d v="2014-12-24T00:00:00"/>
    <x v="2"/>
    <s v="Q4"/>
    <x v="20"/>
    <d v="2014-12-26T00:00:00"/>
    <s v="First Class"/>
    <x v="166"/>
    <x v="166"/>
    <s v="Consumer"/>
    <s v="United States"/>
    <s v="Miami"/>
    <x v="2"/>
    <n v="33180"/>
    <x v="0"/>
    <x v="358"/>
    <x v="1"/>
    <x v="10"/>
    <x v="358"/>
    <n v="9.5679999999999996"/>
    <s v="Low"/>
    <n v="2"/>
    <n v="0.2"/>
    <x v="2"/>
    <x v="2"/>
    <n v="3.4683999999999999"/>
    <n v="0.36249999999999999"/>
    <n v="0"/>
  </r>
  <r>
    <n v="404"/>
    <s v="CA-2014-155208"/>
    <d v="2014-04-16T00:00:00"/>
    <x v="2"/>
    <s v="Q2"/>
    <x v="41"/>
    <d v="2014-04-20T00:00:00"/>
    <s v="Standard Class"/>
    <x v="70"/>
    <x v="70"/>
    <s v="Corporate"/>
    <s v="United States"/>
    <s v="Wilmington"/>
    <x v="3"/>
    <n v="28403"/>
    <x v="0"/>
    <x v="359"/>
    <x v="1"/>
    <x v="6"/>
    <x v="359"/>
    <n v="39.072000000000003"/>
    <s v="Medium"/>
    <n v="6"/>
    <n v="0.2"/>
    <x v="2"/>
    <x v="2"/>
    <n v="9.7680000000000007"/>
    <n v="0.25"/>
    <n v="0"/>
  </r>
  <r>
    <n v="405"/>
    <s v="CA-2017-117933"/>
    <d v="2017-12-24T00:00:00"/>
    <x v="3"/>
    <s v="Q4"/>
    <x v="22"/>
    <d v="2017-12-29T00:00:00"/>
    <s v="Standard Class"/>
    <x v="167"/>
    <x v="167"/>
    <s v="Consumer"/>
    <s v="United States"/>
    <s v="New York City"/>
    <x v="15"/>
    <n v="10024"/>
    <x v="3"/>
    <x v="360"/>
    <x v="1"/>
    <x v="9"/>
    <x v="360"/>
    <n v="35.909999999999997"/>
    <s v="Medium"/>
    <n v="3"/>
    <n v="0"/>
    <x v="0"/>
    <x v="0"/>
    <n v="9.6957000000000004"/>
    <n v="0.27"/>
    <n v="0"/>
  </r>
  <r>
    <n v="406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57"/>
    <x v="2"/>
    <x v="11"/>
    <x v="357"/>
    <n v="179.95"/>
    <s v="High"/>
    <n v="5"/>
    <n v="0"/>
    <x v="0"/>
    <x v="0"/>
    <n v="37.789499999999997"/>
    <n v="0.21"/>
    <n v="0"/>
  </r>
  <r>
    <n v="407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1"/>
    <x v="2"/>
    <x v="16"/>
    <x v="361"/>
    <n v="1199.9760000000001"/>
    <s v="High"/>
    <n v="3"/>
    <n v="0.2"/>
    <x v="2"/>
    <x v="2"/>
    <n v="434.99130000000002"/>
    <n v="0.36249999999999999"/>
    <n v="0"/>
  </r>
  <r>
    <n v="408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2"/>
    <x v="1"/>
    <x v="10"/>
    <x v="362"/>
    <n v="27.15"/>
    <s v="Medium"/>
    <n v="5"/>
    <n v="0"/>
    <x v="0"/>
    <x v="0"/>
    <n v="13.3035"/>
    <n v="0.49"/>
    <n v="0"/>
  </r>
  <r>
    <n v="409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3"/>
    <x v="0"/>
    <x v="3"/>
    <x v="363"/>
    <n v="1004.024"/>
    <s v="High"/>
    <n v="7"/>
    <n v="0.2"/>
    <x v="2"/>
    <x v="2"/>
    <n v="-112.95269999999999"/>
    <n v="-0.11249999999999999"/>
    <n v="1"/>
  </r>
  <r>
    <n v="410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4"/>
    <x v="1"/>
    <x v="10"/>
    <x v="364"/>
    <n v="9.68"/>
    <s v="Low"/>
    <n v="1"/>
    <n v="0"/>
    <x v="0"/>
    <x v="0"/>
    <n v="4.6463999999999999"/>
    <n v="0.48"/>
    <n v="0"/>
  </r>
  <r>
    <n v="411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5"/>
    <x v="1"/>
    <x v="2"/>
    <x v="365"/>
    <n v="28.35"/>
    <s v="Medium"/>
    <n v="9"/>
    <n v="0"/>
    <x v="0"/>
    <x v="0"/>
    <n v="13.608000000000001"/>
    <n v="0.48"/>
    <n v="0"/>
  </r>
  <r>
    <n v="412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14"/>
    <x v="1"/>
    <x v="10"/>
    <x v="366"/>
    <n v="55.98"/>
    <s v="Medium"/>
    <n v="1"/>
    <n v="0"/>
    <x v="0"/>
    <x v="0"/>
    <n v="27.430199999999999"/>
    <n v="0.49"/>
    <n v="0"/>
  </r>
  <r>
    <n v="413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6"/>
    <x v="0"/>
    <x v="0"/>
    <x v="367"/>
    <n v="1336.829"/>
    <s v="High"/>
    <n v="13"/>
    <n v="0.15"/>
    <x v="2"/>
    <x v="2"/>
    <n v="31.454799999999999"/>
    <n v="2.3529411764705882E-2"/>
    <n v="0"/>
  </r>
  <r>
    <n v="414"/>
    <s v="CA-2017-117457"/>
    <d v="2017-12-08T00:00:00"/>
    <x v="3"/>
    <s v="Q4"/>
    <x v="22"/>
    <d v="2017-12-12T00:00:00"/>
    <s v="Standard Class"/>
    <x v="168"/>
    <x v="168"/>
    <s v="Consumer"/>
    <s v="United States"/>
    <s v="San Francisco"/>
    <x v="1"/>
    <n v="94110"/>
    <x v="1"/>
    <x v="367"/>
    <x v="0"/>
    <x v="1"/>
    <x v="368"/>
    <n v="113.568"/>
    <s v="Medium"/>
    <n v="2"/>
    <n v="0.2"/>
    <x v="2"/>
    <x v="2"/>
    <n v="-18.454799999999999"/>
    <n v="-0.16250000000000001"/>
    <n v="1"/>
  </r>
  <r>
    <n v="415"/>
    <s v="CA-2017-142636"/>
    <d v="2017-11-03T00:00:00"/>
    <x v="3"/>
    <s v="Q4"/>
    <x v="23"/>
    <d v="2017-11-07T00:00:00"/>
    <s v="Standard Class"/>
    <x v="169"/>
    <x v="169"/>
    <s v="Corporate"/>
    <s v="United States"/>
    <s v="Seattle"/>
    <x v="4"/>
    <n v="98105"/>
    <x v="1"/>
    <x v="368"/>
    <x v="1"/>
    <x v="10"/>
    <x v="369"/>
    <n v="139.86000000000001"/>
    <s v="High"/>
    <n v="7"/>
    <n v="0"/>
    <x v="0"/>
    <x v="0"/>
    <n v="65.734200000000001"/>
    <n v="0.47"/>
    <n v="0"/>
  </r>
  <r>
    <n v="416"/>
    <s v="CA-2017-142636"/>
    <d v="2017-11-03T00:00:00"/>
    <x v="3"/>
    <s v="Q4"/>
    <x v="23"/>
    <d v="2017-11-07T00:00:00"/>
    <s v="Standard Class"/>
    <x v="169"/>
    <x v="169"/>
    <s v="Corporate"/>
    <s v="United States"/>
    <s v="Seattle"/>
    <x v="4"/>
    <n v="98105"/>
    <x v="1"/>
    <x v="268"/>
    <x v="0"/>
    <x v="1"/>
    <x v="268"/>
    <n v="307.13600000000002"/>
    <s v="High"/>
    <n v="4"/>
    <n v="0.2"/>
    <x v="2"/>
    <x v="2"/>
    <n v="26.874400000000001"/>
    <n v="8.7499999999999994E-2"/>
    <n v="0"/>
  </r>
  <r>
    <n v="417"/>
    <s v="CA-2017-122105"/>
    <d v="2017-06-24T00:00:00"/>
    <x v="3"/>
    <s v="Q2"/>
    <x v="27"/>
    <d v="2017-06-28T00:00:00"/>
    <s v="Standard Class"/>
    <x v="170"/>
    <x v="170"/>
    <s v="Consumer"/>
    <s v="United States"/>
    <s v="Huntington Beach"/>
    <x v="1"/>
    <n v="92646"/>
    <x v="1"/>
    <x v="369"/>
    <x v="1"/>
    <x v="6"/>
    <x v="370"/>
    <n v="95.92"/>
    <s v="Medium"/>
    <n v="8"/>
    <n v="0"/>
    <x v="0"/>
    <x v="0"/>
    <n v="25.898399999999999"/>
    <n v="0.26999999999999996"/>
    <n v="0"/>
  </r>
  <r>
    <n v="418"/>
    <s v="CA-2016-148796"/>
    <d v="2016-04-14T00:00:00"/>
    <x v="0"/>
    <s v="Q2"/>
    <x v="25"/>
    <d v="2016-04-18T00:00:00"/>
    <s v="Standard Class"/>
    <x v="171"/>
    <x v="171"/>
    <s v="Consumer"/>
    <s v="United States"/>
    <s v="Los Angeles"/>
    <x v="1"/>
    <n v="90004"/>
    <x v="1"/>
    <x v="370"/>
    <x v="0"/>
    <x v="1"/>
    <x v="371"/>
    <n v="383.8"/>
    <s v="High"/>
    <n v="5"/>
    <n v="0.2"/>
    <x v="2"/>
    <x v="2"/>
    <n v="38.380000000000003"/>
    <n v="0.1"/>
    <n v="0"/>
  </r>
  <r>
    <n v="419"/>
    <s v="CA-2017-154816"/>
    <d v="2017-11-06T00:00:00"/>
    <x v="3"/>
    <s v="Q4"/>
    <x v="23"/>
    <d v="2017-11-10T00:00:00"/>
    <s v="Standard Class"/>
    <x v="146"/>
    <x v="146"/>
    <s v="Corporate"/>
    <s v="United States"/>
    <s v="Richmond"/>
    <x v="0"/>
    <n v="40475"/>
    <x v="0"/>
    <x v="371"/>
    <x v="1"/>
    <x v="10"/>
    <x v="372"/>
    <n v="5.78"/>
    <s v="Low"/>
    <n v="1"/>
    <n v="0"/>
    <x v="0"/>
    <x v="0"/>
    <n v="2.8321999999999998"/>
    <n v="0.48999999999999994"/>
    <n v="0"/>
  </r>
  <r>
    <n v="420"/>
    <s v="CA-2017-110478"/>
    <d v="2017-03-04T00:00:00"/>
    <x v="3"/>
    <s v="Q1"/>
    <x v="42"/>
    <d v="2017-03-09T00:00:00"/>
    <s v="Standard Class"/>
    <x v="133"/>
    <x v="133"/>
    <s v="Corporate"/>
    <s v="United States"/>
    <s v="Los Angeles"/>
    <x v="1"/>
    <n v="90045"/>
    <x v="1"/>
    <x v="372"/>
    <x v="1"/>
    <x v="6"/>
    <x v="373"/>
    <n v="9.32"/>
    <s v="Low"/>
    <n v="4"/>
    <n v="0"/>
    <x v="0"/>
    <x v="0"/>
    <n v="2.7027999999999999"/>
    <n v="0.28999999999999998"/>
    <n v="0"/>
  </r>
  <r>
    <n v="421"/>
    <s v="CA-2017-110478"/>
    <d v="2017-03-04T00:00:00"/>
    <x v="3"/>
    <s v="Q1"/>
    <x v="42"/>
    <d v="2017-03-09T00:00:00"/>
    <s v="Standard Class"/>
    <x v="133"/>
    <x v="133"/>
    <s v="Corporate"/>
    <s v="United States"/>
    <s v="Los Angeles"/>
    <x v="1"/>
    <n v="90045"/>
    <x v="1"/>
    <x v="373"/>
    <x v="1"/>
    <x v="12"/>
    <x v="374"/>
    <n v="15.25"/>
    <s v="Low"/>
    <n v="1"/>
    <n v="0"/>
    <x v="0"/>
    <x v="0"/>
    <n v="7.0149999999999997"/>
    <n v="0.45999999999999996"/>
    <n v="0"/>
  </r>
  <r>
    <n v="422"/>
    <s v="CA-2014-142048"/>
    <d v="2014-06-22T00:00:00"/>
    <x v="2"/>
    <s v="Q2"/>
    <x v="3"/>
    <d v="2014-06-25T00:00:00"/>
    <s v="First Class"/>
    <x v="32"/>
    <x v="32"/>
    <s v="Consumer"/>
    <s v="United States"/>
    <s v="Louisville"/>
    <x v="22"/>
    <n v="80027"/>
    <x v="1"/>
    <x v="374"/>
    <x v="2"/>
    <x v="11"/>
    <x v="375"/>
    <n v="196.75200000000001"/>
    <s v="High"/>
    <n v="6"/>
    <n v="0.2"/>
    <x v="2"/>
    <x v="2"/>
    <n v="56.566200000000002"/>
    <n v="0.28749999999999998"/>
    <n v="0"/>
  </r>
  <r>
    <n v="423"/>
    <s v="CA-2017-125388"/>
    <d v="2017-10-19T00:00:00"/>
    <x v="3"/>
    <s v="Q4"/>
    <x v="13"/>
    <d v="2017-10-23T00:00:00"/>
    <s v="Standard Class"/>
    <x v="172"/>
    <x v="172"/>
    <s v="Corporate"/>
    <s v="United States"/>
    <s v="Lawrence"/>
    <x v="31"/>
    <n v="1841"/>
    <x v="3"/>
    <x v="375"/>
    <x v="0"/>
    <x v="5"/>
    <x v="376"/>
    <n v="56.56"/>
    <s v="Medium"/>
    <n v="4"/>
    <n v="0"/>
    <x v="0"/>
    <x v="0"/>
    <n v="14.7056"/>
    <n v="0.26"/>
    <n v="0"/>
  </r>
  <r>
    <n v="424"/>
    <s v="CA-2017-125388"/>
    <d v="2017-10-19T00:00:00"/>
    <x v="3"/>
    <s v="Q4"/>
    <x v="13"/>
    <d v="2017-10-23T00:00:00"/>
    <s v="Standard Class"/>
    <x v="172"/>
    <x v="172"/>
    <s v="Corporate"/>
    <s v="United States"/>
    <s v="Lawrence"/>
    <x v="31"/>
    <n v="1841"/>
    <x v="3"/>
    <x v="376"/>
    <x v="1"/>
    <x v="4"/>
    <x v="377"/>
    <n v="32.700000000000003"/>
    <s v="Medium"/>
    <n v="3"/>
    <n v="0"/>
    <x v="0"/>
    <x v="0"/>
    <n v="8.5020000000000007"/>
    <n v="0.26"/>
    <n v="0"/>
  </r>
  <r>
    <n v="425"/>
    <s v="CA-2017-155705"/>
    <d v="2017-08-21T00:00:00"/>
    <x v="3"/>
    <s v="Q3"/>
    <x v="43"/>
    <d v="2017-08-23T00:00:00"/>
    <s v="Second Class"/>
    <x v="173"/>
    <x v="173"/>
    <s v="Consumer"/>
    <s v="United States"/>
    <s v="Jackson"/>
    <x v="35"/>
    <n v="39212"/>
    <x v="0"/>
    <x v="377"/>
    <x v="0"/>
    <x v="1"/>
    <x v="378"/>
    <n v="866.4"/>
    <s v="High"/>
    <n v="4"/>
    <n v="0"/>
    <x v="0"/>
    <x v="0"/>
    <n v="225.26400000000001"/>
    <n v="0.26"/>
    <n v="0"/>
  </r>
  <r>
    <n v="426"/>
    <s v="CA-2017-149160"/>
    <d v="2017-11-23T00:00:00"/>
    <x v="3"/>
    <s v="Q4"/>
    <x v="23"/>
    <d v="2017-11-26T00:00:00"/>
    <s v="Second Class"/>
    <x v="25"/>
    <x v="25"/>
    <s v="Corporate"/>
    <s v="United States"/>
    <s v="Canton"/>
    <x v="12"/>
    <n v="48187"/>
    <x v="2"/>
    <x v="378"/>
    <x v="0"/>
    <x v="5"/>
    <x v="379"/>
    <n v="28.4"/>
    <s v="Medium"/>
    <n v="2"/>
    <n v="0"/>
    <x v="0"/>
    <x v="0"/>
    <n v="11.076000000000001"/>
    <n v="0.39"/>
    <n v="0"/>
  </r>
  <r>
    <n v="427"/>
    <s v="CA-2017-149160"/>
    <d v="2017-11-23T00:00:00"/>
    <x v="3"/>
    <s v="Q4"/>
    <x v="23"/>
    <d v="2017-11-26T00:00:00"/>
    <s v="Second Class"/>
    <x v="25"/>
    <x v="25"/>
    <s v="Corporate"/>
    <s v="United States"/>
    <s v="Canton"/>
    <x v="12"/>
    <n v="48187"/>
    <x v="2"/>
    <x v="379"/>
    <x v="1"/>
    <x v="8"/>
    <x v="380"/>
    <n v="287.92"/>
    <s v="High"/>
    <n v="8"/>
    <n v="0"/>
    <x v="0"/>
    <x v="0"/>
    <n v="138.20160000000001"/>
    <n v="0.48000000000000004"/>
    <n v="0"/>
  </r>
  <r>
    <n v="428"/>
    <s v="CA-2014-101476"/>
    <d v="2014-09-12T00:00:00"/>
    <x v="2"/>
    <s v="Q3"/>
    <x v="30"/>
    <d v="2014-09-13T00:00:00"/>
    <s v="First Class"/>
    <x v="174"/>
    <x v="174"/>
    <s v="Home Office"/>
    <s v="United States"/>
    <s v="New Rochelle"/>
    <x v="15"/>
    <n v="10801"/>
    <x v="3"/>
    <x v="380"/>
    <x v="2"/>
    <x v="15"/>
    <x v="381"/>
    <n v="69.989999999999995"/>
    <s v="Medium"/>
    <n v="1"/>
    <n v="0"/>
    <x v="0"/>
    <x v="0"/>
    <n v="30.095700000000001"/>
    <n v="0.43000000000000005"/>
    <n v="0"/>
  </r>
  <r>
    <n v="429"/>
    <s v="CA-2017-152275"/>
    <d v="2017-10-01T00:00:00"/>
    <x v="3"/>
    <s v="Q4"/>
    <x v="13"/>
    <d v="2017-10-08T00:00:00"/>
    <s v="Standard Class"/>
    <x v="175"/>
    <x v="175"/>
    <s v="Corporate"/>
    <s v="United States"/>
    <s v="San Antonio"/>
    <x v="5"/>
    <n v="78207"/>
    <x v="2"/>
    <x v="381"/>
    <x v="1"/>
    <x v="6"/>
    <x v="382"/>
    <n v="6.6719999999999997"/>
    <s v="Low"/>
    <n v="6"/>
    <n v="0.2"/>
    <x v="2"/>
    <x v="2"/>
    <n v="0.50039999999999996"/>
    <n v="7.4999999999999997E-2"/>
    <n v="0"/>
  </r>
  <r>
    <n v="430"/>
    <s v="US-2016-123750"/>
    <d v="2016-04-15T00:00:00"/>
    <x v="0"/>
    <s v="Q2"/>
    <x v="25"/>
    <d v="2016-04-21T00:00:00"/>
    <s v="Standard Class"/>
    <x v="176"/>
    <x v="176"/>
    <s v="Home Office"/>
    <s v="United States"/>
    <s v="Gastonia"/>
    <x v="3"/>
    <n v="28052"/>
    <x v="0"/>
    <x v="382"/>
    <x v="1"/>
    <x v="8"/>
    <x v="383"/>
    <n v="189.58799999999999"/>
    <s v="High"/>
    <n v="2"/>
    <n v="0.7"/>
    <x v="1"/>
    <x v="5"/>
    <n v="-145.35079999999999"/>
    <n v="-0.76666666666666661"/>
    <n v="1"/>
  </r>
  <r>
    <n v="431"/>
    <s v="US-2016-123750"/>
    <d v="2016-04-15T00:00:00"/>
    <x v="0"/>
    <s v="Q2"/>
    <x v="25"/>
    <d v="2016-04-21T00:00:00"/>
    <s v="Standard Class"/>
    <x v="176"/>
    <x v="176"/>
    <s v="Home Office"/>
    <s v="United States"/>
    <s v="Gastonia"/>
    <x v="3"/>
    <n v="28052"/>
    <x v="0"/>
    <x v="171"/>
    <x v="2"/>
    <x v="11"/>
    <x v="172"/>
    <n v="408.74400000000003"/>
    <s v="High"/>
    <n v="7"/>
    <n v="0.2"/>
    <x v="2"/>
    <x v="2"/>
    <n v="76.639499999999998"/>
    <n v="0.18749999999999997"/>
    <n v="0"/>
  </r>
  <r>
    <n v="432"/>
    <s v="US-2016-123750"/>
    <d v="2016-04-15T00:00:00"/>
    <x v="0"/>
    <s v="Q2"/>
    <x v="25"/>
    <d v="2016-04-21T00:00:00"/>
    <s v="Standard Class"/>
    <x v="176"/>
    <x v="176"/>
    <s v="Home Office"/>
    <s v="United States"/>
    <s v="Gastonia"/>
    <x v="3"/>
    <n v="28052"/>
    <x v="0"/>
    <x v="171"/>
    <x v="2"/>
    <x v="11"/>
    <x v="172"/>
    <n v="291.95999999999998"/>
    <s v="High"/>
    <n v="5"/>
    <n v="0.2"/>
    <x v="2"/>
    <x v="2"/>
    <n v="54.7425"/>
    <n v="0.1875"/>
    <n v="0"/>
  </r>
  <r>
    <n v="433"/>
    <s v="US-2016-123750"/>
    <d v="2016-04-15T00:00:00"/>
    <x v="0"/>
    <s v="Q2"/>
    <x v="25"/>
    <d v="2016-04-21T00:00:00"/>
    <s v="Standard Class"/>
    <x v="176"/>
    <x v="176"/>
    <s v="Home Office"/>
    <s v="United States"/>
    <s v="Gastonia"/>
    <x v="3"/>
    <n v="28052"/>
    <x v="0"/>
    <x v="383"/>
    <x v="1"/>
    <x v="4"/>
    <x v="384"/>
    <n v="4.7679999999999998"/>
    <s v="Low"/>
    <n v="2"/>
    <n v="0.2"/>
    <x v="2"/>
    <x v="2"/>
    <n v="-0.77480000000000004"/>
    <n v="-0.16250000000000001"/>
    <n v="1"/>
  </r>
  <r>
    <n v="434"/>
    <s v="CA-2016-127369"/>
    <d v="2016-06-06T00:00:00"/>
    <x v="0"/>
    <s v="Q2"/>
    <x v="1"/>
    <d v="2016-06-07T00:00:00"/>
    <s v="First Class"/>
    <x v="72"/>
    <x v="72"/>
    <s v="Consumer"/>
    <s v="United States"/>
    <s v="Lowell"/>
    <x v="31"/>
    <n v="1852"/>
    <x v="3"/>
    <x v="384"/>
    <x v="1"/>
    <x v="4"/>
    <x v="385"/>
    <n v="714.3"/>
    <s v="High"/>
    <n v="5"/>
    <n v="0"/>
    <x v="0"/>
    <x v="0"/>
    <n v="207.14699999999999"/>
    <n v="0.28999999999999998"/>
    <n v="0"/>
  </r>
  <r>
    <n v="435"/>
    <s v="US-2014-150574"/>
    <d v="2014-12-19T00:00:00"/>
    <x v="2"/>
    <s v="Q4"/>
    <x v="20"/>
    <d v="2014-12-25T00:00:00"/>
    <s v="Standard Class"/>
    <x v="177"/>
    <x v="177"/>
    <s v="Consumer"/>
    <s v="United States"/>
    <s v="Jacksonville"/>
    <x v="2"/>
    <n v="32216"/>
    <x v="0"/>
    <x v="385"/>
    <x v="1"/>
    <x v="8"/>
    <x v="386"/>
    <n v="4.8120000000000003"/>
    <s v="Low"/>
    <n v="2"/>
    <n v="0.7"/>
    <x v="1"/>
    <x v="5"/>
    <n v="-3.6892"/>
    <n v="-0.76666666666666661"/>
    <n v="1"/>
  </r>
  <r>
    <n v="436"/>
    <s v="US-2014-150574"/>
    <d v="2014-12-19T00:00:00"/>
    <x v="2"/>
    <s v="Q4"/>
    <x v="20"/>
    <d v="2014-12-25T00:00:00"/>
    <s v="Standard Class"/>
    <x v="177"/>
    <x v="177"/>
    <s v="Consumer"/>
    <s v="United States"/>
    <s v="Jacksonville"/>
    <x v="2"/>
    <n v="32216"/>
    <x v="0"/>
    <x v="386"/>
    <x v="2"/>
    <x v="11"/>
    <x v="387"/>
    <n v="247.8"/>
    <s v="High"/>
    <n v="5"/>
    <n v="0.2"/>
    <x v="2"/>
    <x v="2"/>
    <n v="-18.585000000000001"/>
    <n v="-7.4999999999999997E-2"/>
    <n v="1"/>
  </r>
  <r>
    <n v="437"/>
    <s v="CA-2016-147375"/>
    <d v="2016-06-12T00:00:00"/>
    <x v="0"/>
    <s v="Q2"/>
    <x v="1"/>
    <d v="2016-06-14T00:00:00"/>
    <s v="Second Class"/>
    <x v="178"/>
    <x v="178"/>
    <s v="Home Office"/>
    <s v="United States"/>
    <s v="Chicago"/>
    <x v="10"/>
    <n v="60623"/>
    <x v="2"/>
    <x v="387"/>
    <x v="2"/>
    <x v="15"/>
    <x v="388"/>
    <n v="1007.979"/>
    <s v="High"/>
    <n v="3"/>
    <n v="0.3"/>
    <x v="1"/>
    <x v="4"/>
    <n v="43.199100000000001"/>
    <n v="4.2857142857142858E-2"/>
    <n v="0"/>
  </r>
  <r>
    <n v="438"/>
    <s v="CA-2016-147375"/>
    <d v="2016-06-12T00:00:00"/>
    <x v="0"/>
    <s v="Q2"/>
    <x v="1"/>
    <d v="2016-06-14T00:00:00"/>
    <s v="Second Class"/>
    <x v="178"/>
    <x v="178"/>
    <s v="Home Office"/>
    <s v="United States"/>
    <s v="Chicago"/>
    <x v="10"/>
    <n v="60623"/>
    <x v="2"/>
    <x v="314"/>
    <x v="1"/>
    <x v="10"/>
    <x v="366"/>
    <n v="313.488"/>
    <s v="High"/>
    <n v="7"/>
    <n v="0.2"/>
    <x v="2"/>
    <x v="2"/>
    <n v="113.63939999999999"/>
    <n v="0.36249999999999999"/>
    <n v="0"/>
  </r>
  <r>
    <n v="439"/>
    <s v="CA-2017-130043"/>
    <d v="2017-09-15T00:00:00"/>
    <x v="3"/>
    <s v="Q3"/>
    <x v="15"/>
    <d v="2017-09-19T00:00:00"/>
    <s v="Standard Class"/>
    <x v="179"/>
    <x v="179"/>
    <s v="Corporate"/>
    <s v="United States"/>
    <s v="Houston"/>
    <x v="5"/>
    <n v="77070"/>
    <x v="2"/>
    <x v="388"/>
    <x v="1"/>
    <x v="10"/>
    <x v="389"/>
    <n v="31.872"/>
    <s v="Medium"/>
    <n v="8"/>
    <n v="0.2"/>
    <x v="2"/>
    <x v="2"/>
    <n v="11.553599999999999"/>
    <n v="0.36249999999999999"/>
    <n v="0"/>
  </r>
  <r>
    <n v="440"/>
    <s v="CA-2017-157252"/>
    <d v="2017-01-20T00:00:00"/>
    <x v="3"/>
    <s v="Q1"/>
    <x v="44"/>
    <d v="2017-01-23T00:00:00"/>
    <s v="Second Class"/>
    <x v="51"/>
    <x v="51"/>
    <s v="Corporate"/>
    <s v="United States"/>
    <s v="New York City"/>
    <x v="15"/>
    <n v="10024"/>
    <x v="3"/>
    <x v="389"/>
    <x v="0"/>
    <x v="1"/>
    <x v="390"/>
    <n v="207.846"/>
    <s v="High"/>
    <n v="3"/>
    <n v="0.1"/>
    <x v="3"/>
    <x v="8"/>
    <n v="2.3094000000000001"/>
    <n v="1.1111111111111112E-2"/>
    <n v="0"/>
  </r>
  <r>
    <n v="441"/>
    <s v="CA-2016-115756"/>
    <d v="2016-09-05T00:00:00"/>
    <x v="0"/>
    <s v="Q3"/>
    <x v="21"/>
    <d v="2016-09-07T00:00:00"/>
    <s v="Second Class"/>
    <x v="7"/>
    <x v="7"/>
    <s v="Consumer"/>
    <s v="United States"/>
    <s v="Detroit"/>
    <x v="12"/>
    <n v="48227"/>
    <x v="2"/>
    <x v="390"/>
    <x v="0"/>
    <x v="5"/>
    <x v="391"/>
    <n v="12.22"/>
    <s v="Low"/>
    <n v="1"/>
    <n v="0"/>
    <x v="0"/>
    <x v="0"/>
    <n v="3.6659999999999999"/>
    <n v="0.3"/>
    <n v="0"/>
  </r>
  <r>
    <n v="442"/>
    <s v="CA-2016-115756"/>
    <d v="2016-09-05T00:00:00"/>
    <x v="0"/>
    <s v="Q3"/>
    <x v="21"/>
    <d v="2016-09-07T00:00:00"/>
    <s v="Second Class"/>
    <x v="7"/>
    <x v="7"/>
    <s v="Consumer"/>
    <s v="United States"/>
    <s v="Detroit"/>
    <x v="12"/>
    <n v="48227"/>
    <x v="2"/>
    <x v="391"/>
    <x v="1"/>
    <x v="4"/>
    <x v="392"/>
    <n v="194.94"/>
    <s v="High"/>
    <n v="3"/>
    <n v="0"/>
    <x v="0"/>
    <x v="0"/>
    <n v="23.392800000000001"/>
    <n v="0.12000000000000001"/>
    <n v="0"/>
  </r>
  <r>
    <n v="443"/>
    <s v="CA-2016-115756"/>
    <d v="2016-09-05T00:00:00"/>
    <x v="0"/>
    <s v="Q3"/>
    <x v="21"/>
    <d v="2016-09-07T00:00:00"/>
    <s v="Second Class"/>
    <x v="7"/>
    <x v="7"/>
    <s v="Consumer"/>
    <s v="United States"/>
    <s v="Detroit"/>
    <x v="12"/>
    <n v="48227"/>
    <x v="2"/>
    <x v="392"/>
    <x v="1"/>
    <x v="4"/>
    <x v="393"/>
    <n v="70.95"/>
    <s v="Medium"/>
    <n v="3"/>
    <n v="0"/>
    <x v="0"/>
    <x v="0"/>
    <n v="20.575500000000002"/>
    <n v="0.29000000000000004"/>
    <n v="0"/>
  </r>
  <r>
    <n v="444"/>
    <s v="CA-2016-115756"/>
    <d v="2016-09-05T00:00:00"/>
    <x v="0"/>
    <s v="Q3"/>
    <x v="21"/>
    <d v="2016-09-07T00:00:00"/>
    <s v="Second Class"/>
    <x v="7"/>
    <x v="7"/>
    <s v="Consumer"/>
    <s v="United States"/>
    <s v="Detroit"/>
    <x v="12"/>
    <n v="48227"/>
    <x v="2"/>
    <x v="393"/>
    <x v="1"/>
    <x v="10"/>
    <x v="394"/>
    <n v="91.36"/>
    <s v="Medium"/>
    <n v="4"/>
    <n v="0"/>
    <x v="0"/>
    <x v="0"/>
    <n v="42.025599999999997"/>
    <n v="0.45999999999999996"/>
    <n v="0"/>
  </r>
  <r>
    <n v="445"/>
    <s v="CA-2016-115756"/>
    <d v="2016-09-05T00:00:00"/>
    <x v="0"/>
    <s v="Q3"/>
    <x v="21"/>
    <d v="2016-09-07T00:00:00"/>
    <s v="Second Class"/>
    <x v="7"/>
    <x v="7"/>
    <s v="Consumer"/>
    <s v="United States"/>
    <s v="Detroit"/>
    <x v="12"/>
    <n v="48227"/>
    <x v="2"/>
    <x v="394"/>
    <x v="0"/>
    <x v="1"/>
    <x v="395"/>
    <n v="242.94"/>
    <s v="High"/>
    <n v="3"/>
    <n v="0"/>
    <x v="0"/>
    <x v="0"/>
    <n v="29.152799999999999"/>
    <n v="0.12"/>
    <n v="0"/>
  </r>
  <r>
    <n v="446"/>
    <s v="CA-2016-115756"/>
    <d v="2016-09-05T00:00:00"/>
    <x v="0"/>
    <s v="Q3"/>
    <x v="21"/>
    <d v="2016-09-07T00:00:00"/>
    <s v="Second Class"/>
    <x v="7"/>
    <x v="7"/>
    <s v="Consumer"/>
    <s v="United States"/>
    <s v="Detroit"/>
    <x v="12"/>
    <n v="48227"/>
    <x v="2"/>
    <x v="395"/>
    <x v="1"/>
    <x v="2"/>
    <x v="396"/>
    <n v="22.05"/>
    <s v="Low"/>
    <n v="7"/>
    <n v="0"/>
    <x v="0"/>
    <x v="0"/>
    <n v="10.584"/>
    <n v="0.48"/>
    <n v="0"/>
  </r>
  <r>
    <n v="447"/>
    <s v="CA-2017-154214"/>
    <d v="2017-03-20T00:00:00"/>
    <x v="3"/>
    <s v="Q1"/>
    <x v="42"/>
    <d v="2017-03-25T00:00:00"/>
    <s v="Second Class"/>
    <x v="180"/>
    <x v="180"/>
    <s v="Consumer"/>
    <s v="United States"/>
    <s v="Columbus"/>
    <x v="14"/>
    <n v="47201"/>
    <x v="2"/>
    <x v="396"/>
    <x v="0"/>
    <x v="5"/>
    <x v="397"/>
    <n v="2.91"/>
    <s v="Low"/>
    <n v="1"/>
    <n v="0"/>
    <x v="0"/>
    <x v="0"/>
    <n v="1.3676999999999999"/>
    <n v="0.47"/>
    <n v="0"/>
  </r>
  <r>
    <n v="448"/>
    <s v="CA-2016-166674"/>
    <d v="2016-04-01T00:00:00"/>
    <x v="0"/>
    <s v="Q2"/>
    <x v="25"/>
    <d v="2016-04-03T00:00:00"/>
    <s v="Second Class"/>
    <x v="181"/>
    <x v="181"/>
    <s v="Consumer"/>
    <s v="United States"/>
    <s v="Auburn"/>
    <x v="15"/>
    <n v="13021"/>
    <x v="3"/>
    <x v="397"/>
    <x v="1"/>
    <x v="6"/>
    <x v="398"/>
    <n v="59.52"/>
    <s v="Medium"/>
    <n v="3"/>
    <n v="0"/>
    <x v="0"/>
    <x v="0"/>
    <n v="15.475199999999999"/>
    <n v="0.25999999999999995"/>
    <n v="0"/>
  </r>
  <r>
    <n v="449"/>
    <s v="CA-2016-166674"/>
    <d v="2016-04-01T00:00:00"/>
    <x v="0"/>
    <s v="Q2"/>
    <x v="25"/>
    <d v="2016-04-03T00:00:00"/>
    <s v="Second Class"/>
    <x v="181"/>
    <x v="181"/>
    <s v="Consumer"/>
    <s v="United States"/>
    <s v="Auburn"/>
    <x v="15"/>
    <n v="13021"/>
    <x v="3"/>
    <x v="398"/>
    <x v="1"/>
    <x v="4"/>
    <x v="399"/>
    <n v="161.94"/>
    <s v="High"/>
    <n v="3"/>
    <n v="0"/>
    <x v="0"/>
    <x v="0"/>
    <n v="9.7164000000000001"/>
    <n v="6.0000000000000005E-2"/>
    <n v="0"/>
  </r>
  <r>
    <n v="450"/>
    <s v="CA-2016-166674"/>
    <d v="2016-04-01T00:00:00"/>
    <x v="0"/>
    <s v="Q2"/>
    <x v="25"/>
    <d v="2016-04-03T00:00:00"/>
    <s v="Second Class"/>
    <x v="181"/>
    <x v="181"/>
    <s v="Consumer"/>
    <s v="United States"/>
    <s v="Auburn"/>
    <x v="15"/>
    <n v="13021"/>
    <x v="3"/>
    <x v="399"/>
    <x v="1"/>
    <x v="6"/>
    <x v="400"/>
    <n v="263.88"/>
    <s v="High"/>
    <n v="6"/>
    <n v="0"/>
    <x v="0"/>
    <x v="0"/>
    <n v="71.247600000000006"/>
    <n v="0.27"/>
    <n v="0"/>
  </r>
  <r>
    <n v="451"/>
    <s v="CA-2016-166674"/>
    <d v="2016-04-01T00:00:00"/>
    <x v="0"/>
    <s v="Q2"/>
    <x v="25"/>
    <d v="2016-04-03T00:00:00"/>
    <s v="Second Class"/>
    <x v="181"/>
    <x v="181"/>
    <s v="Consumer"/>
    <s v="United States"/>
    <s v="Auburn"/>
    <x v="15"/>
    <n v="13021"/>
    <x v="3"/>
    <x v="400"/>
    <x v="1"/>
    <x v="6"/>
    <x v="401"/>
    <n v="30.48"/>
    <s v="Medium"/>
    <n v="3"/>
    <n v="0"/>
    <x v="0"/>
    <x v="0"/>
    <n v="7.9248000000000003"/>
    <n v="0.26"/>
    <n v="0"/>
  </r>
  <r>
    <n v="452"/>
    <s v="CA-2016-166674"/>
    <d v="2016-04-01T00:00:00"/>
    <x v="0"/>
    <s v="Q2"/>
    <x v="25"/>
    <d v="2016-04-03T00:00:00"/>
    <s v="Second Class"/>
    <x v="181"/>
    <x v="181"/>
    <s v="Consumer"/>
    <s v="United States"/>
    <s v="Auburn"/>
    <x v="15"/>
    <n v="13021"/>
    <x v="3"/>
    <x v="401"/>
    <x v="1"/>
    <x v="6"/>
    <x v="402"/>
    <n v="9.84"/>
    <s v="Low"/>
    <n v="3"/>
    <n v="0"/>
    <x v="0"/>
    <x v="0"/>
    <n v="2.8536000000000001"/>
    <n v="0.29000000000000004"/>
    <n v="0"/>
  </r>
  <r>
    <n v="453"/>
    <s v="CA-2016-166674"/>
    <d v="2016-04-01T00:00:00"/>
    <x v="0"/>
    <s v="Q2"/>
    <x v="25"/>
    <d v="2016-04-03T00:00:00"/>
    <s v="Second Class"/>
    <x v="181"/>
    <x v="181"/>
    <s v="Consumer"/>
    <s v="United States"/>
    <s v="Auburn"/>
    <x v="15"/>
    <n v="13021"/>
    <x v="3"/>
    <x v="402"/>
    <x v="2"/>
    <x v="7"/>
    <x v="403"/>
    <n v="35.119999999999997"/>
    <s v="Medium"/>
    <n v="4"/>
    <n v="0"/>
    <x v="0"/>
    <x v="0"/>
    <n v="9.1311999999999998"/>
    <n v="0.26"/>
    <n v="0"/>
  </r>
  <r>
    <n v="454"/>
    <s v="CA-2017-147277"/>
    <d v="2017-10-20T00:00:00"/>
    <x v="3"/>
    <s v="Q4"/>
    <x v="13"/>
    <d v="2017-10-24T00:00:00"/>
    <s v="Standard Class"/>
    <x v="182"/>
    <x v="182"/>
    <s v="Corporate"/>
    <s v="United States"/>
    <s v="Akron"/>
    <x v="24"/>
    <n v="44312"/>
    <x v="3"/>
    <x v="10"/>
    <x v="0"/>
    <x v="3"/>
    <x v="10"/>
    <n v="284.36399999999998"/>
    <s v="High"/>
    <n v="2"/>
    <n v="0.4"/>
    <x v="1"/>
    <x v="7"/>
    <n v="-75.830399999999997"/>
    <n v="-0.26666666666666666"/>
    <n v="1"/>
  </r>
  <r>
    <n v="455"/>
    <s v="CA-2017-147277"/>
    <d v="2017-10-20T00:00:00"/>
    <x v="3"/>
    <s v="Q4"/>
    <x v="13"/>
    <d v="2017-10-24T00:00:00"/>
    <s v="Standard Class"/>
    <x v="182"/>
    <x v="182"/>
    <s v="Corporate"/>
    <s v="United States"/>
    <s v="Akron"/>
    <x v="24"/>
    <n v="44312"/>
    <x v="3"/>
    <x v="403"/>
    <x v="1"/>
    <x v="4"/>
    <x v="404"/>
    <n v="665.40800000000002"/>
    <s v="High"/>
    <n v="2"/>
    <n v="0.2"/>
    <x v="2"/>
    <x v="2"/>
    <n v="66.540800000000004"/>
    <n v="0.1"/>
    <n v="0"/>
  </r>
  <r>
    <n v="456"/>
    <s v="CA-2016-100153"/>
    <d v="2016-12-13T00:00:00"/>
    <x v="0"/>
    <s v="Q4"/>
    <x v="5"/>
    <d v="2016-12-17T00:00:00"/>
    <s v="Standard Class"/>
    <x v="175"/>
    <x v="175"/>
    <s v="Corporate"/>
    <s v="United States"/>
    <s v="Norman"/>
    <x v="26"/>
    <n v="73071"/>
    <x v="2"/>
    <x v="404"/>
    <x v="2"/>
    <x v="11"/>
    <x v="405"/>
    <n v="63.88"/>
    <s v="Medium"/>
    <n v="4"/>
    <n v="0"/>
    <x v="0"/>
    <x v="0"/>
    <n v="24.9132"/>
    <n v="0.38999999999999996"/>
    <n v="0"/>
  </r>
  <r>
    <n v="457"/>
    <s v="US-2014-110674"/>
    <d v="2014-02-12T00:00:00"/>
    <x v="2"/>
    <s v="Q1"/>
    <x v="45"/>
    <d v="2014-02-18T00:00:00"/>
    <s v="Standard Class"/>
    <x v="183"/>
    <x v="183"/>
    <s v="Consumer"/>
    <s v="United States"/>
    <s v="Concord"/>
    <x v="1"/>
    <n v="94521"/>
    <x v="1"/>
    <x v="405"/>
    <x v="0"/>
    <x v="1"/>
    <x v="406"/>
    <n v="129.56800000000001"/>
    <s v="High"/>
    <n v="2"/>
    <n v="0.2"/>
    <x v="2"/>
    <x v="2"/>
    <n v="-24.294"/>
    <n v="-0.1875"/>
    <n v="1"/>
  </r>
  <r>
    <n v="458"/>
    <s v="US-2016-157945"/>
    <d v="2016-09-26T00:00:00"/>
    <x v="0"/>
    <s v="Q3"/>
    <x v="21"/>
    <d v="2016-10-01T00:00:00"/>
    <s v="Standard Class"/>
    <x v="173"/>
    <x v="173"/>
    <s v="Consumer"/>
    <s v="United States"/>
    <s v="Decatur"/>
    <x v="10"/>
    <n v="62521"/>
    <x v="2"/>
    <x v="406"/>
    <x v="0"/>
    <x v="1"/>
    <x v="407"/>
    <n v="747.55799999999999"/>
    <s v="High"/>
    <n v="3"/>
    <n v="0.3"/>
    <x v="1"/>
    <x v="4"/>
    <n v="-96.114599999999996"/>
    <n v="-0.12857142857142856"/>
    <n v="1"/>
  </r>
  <r>
    <n v="459"/>
    <s v="US-2016-157945"/>
    <d v="2016-09-26T00:00:00"/>
    <x v="0"/>
    <s v="Q3"/>
    <x v="21"/>
    <d v="2016-10-01T00:00:00"/>
    <s v="Standard Class"/>
    <x v="173"/>
    <x v="173"/>
    <s v="Consumer"/>
    <s v="United States"/>
    <s v="Decatur"/>
    <x v="10"/>
    <n v="62521"/>
    <x v="2"/>
    <x v="407"/>
    <x v="1"/>
    <x v="12"/>
    <x v="153"/>
    <n v="8.9280000000000008"/>
    <s v="Low"/>
    <n v="2"/>
    <n v="0.2"/>
    <x v="2"/>
    <x v="2"/>
    <n v="3.3479999999999999"/>
    <n v="0.37499999999999994"/>
    <n v="0"/>
  </r>
  <r>
    <n v="460"/>
    <s v="CA-2015-109638"/>
    <d v="2015-12-15T00:00:00"/>
    <x v="1"/>
    <s v="Q4"/>
    <x v="14"/>
    <d v="2015-12-22T00:00:00"/>
    <s v="Standard Class"/>
    <x v="98"/>
    <x v="98"/>
    <s v="Consumer"/>
    <s v="United States"/>
    <s v="Seattle"/>
    <x v="4"/>
    <n v="98115"/>
    <x v="1"/>
    <x v="408"/>
    <x v="1"/>
    <x v="9"/>
    <x v="408"/>
    <n v="103.92"/>
    <s v="Medium"/>
    <n v="4"/>
    <n v="0"/>
    <x v="0"/>
    <x v="0"/>
    <n v="36.372"/>
    <n v="0.35"/>
    <n v="0"/>
  </r>
  <r>
    <n v="461"/>
    <s v="CA-2015-109638"/>
    <d v="2015-12-15T00:00:00"/>
    <x v="1"/>
    <s v="Q4"/>
    <x v="14"/>
    <d v="2015-12-22T00:00:00"/>
    <s v="Standard Class"/>
    <x v="98"/>
    <x v="98"/>
    <s v="Consumer"/>
    <s v="United States"/>
    <s v="Seattle"/>
    <x v="4"/>
    <n v="98115"/>
    <x v="1"/>
    <x v="409"/>
    <x v="2"/>
    <x v="11"/>
    <x v="409"/>
    <n v="899.91"/>
    <s v="High"/>
    <n v="9"/>
    <n v="0"/>
    <x v="0"/>
    <x v="0"/>
    <n v="377.9622"/>
    <n v="0.42"/>
    <n v="0"/>
  </r>
  <r>
    <n v="462"/>
    <s v="CA-2015-109638"/>
    <d v="2015-12-15T00:00:00"/>
    <x v="1"/>
    <s v="Q4"/>
    <x v="14"/>
    <d v="2015-12-22T00:00:00"/>
    <s v="Standard Class"/>
    <x v="98"/>
    <x v="98"/>
    <s v="Consumer"/>
    <s v="United States"/>
    <s v="Seattle"/>
    <x v="4"/>
    <n v="98115"/>
    <x v="1"/>
    <x v="410"/>
    <x v="1"/>
    <x v="8"/>
    <x v="410"/>
    <n v="51.311999999999998"/>
    <s v="Medium"/>
    <n v="3"/>
    <n v="0.2"/>
    <x v="2"/>
    <x v="2"/>
    <n v="18.6006"/>
    <n v="0.36250000000000004"/>
    <n v="0"/>
  </r>
  <r>
    <n v="463"/>
    <s v="CA-2016-109869"/>
    <d v="2016-04-22T00:00:00"/>
    <x v="0"/>
    <s v="Q2"/>
    <x v="25"/>
    <d v="2016-04-29T00:00:00"/>
    <s v="Standard Class"/>
    <x v="184"/>
    <x v="184"/>
    <s v="Home Office"/>
    <s v="United States"/>
    <s v="Phoenix"/>
    <x v="16"/>
    <n v="85023"/>
    <x v="1"/>
    <x v="325"/>
    <x v="0"/>
    <x v="5"/>
    <x v="325"/>
    <n v="23.56"/>
    <s v="Low"/>
    <n v="5"/>
    <n v="0.2"/>
    <x v="2"/>
    <x v="2"/>
    <n v="7.0679999999999996"/>
    <n v="0.3"/>
    <n v="0"/>
  </r>
  <r>
    <n v="464"/>
    <s v="CA-2016-109869"/>
    <d v="2016-04-22T00:00:00"/>
    <x v="0"/>
    <s v="Q2"/>
    <x v="25"/>
    <d v="2016-04-29T00:00:00"/>
    <s v="Standard Class"/>
    <x v="184"/>
    <x v="184"/>
    <s v="Home Office"/>
    <s v="United States"/>
    <s v="Phoenix"/>
    <x v="16"/>
    <n v="85023"/>
    <x v="1"/>
    <x v="411"/>
    <x v="0"/>
    <x v="3"/>
    <x v="411"/>
    <n v="1272.6300000000001"/>
    <s v="High"/>
    <n v="6"/>
    <n v="0.5"/>
    <x v="1"/>
    <x v="1"/>
    <n v="-814.48320000000001"/>
    <n v="-0.6399999999999999"/>
    <n v="1"/>
  </r>
  <r>
    <n v="465"/>
    <s v="CA-2016-109869"/>
    <d v="2016-04-22T00:00:00"/>
    <x v="0"/>
    <s v="Q2"/>
    <x v="25"/>
    <d v="2016-04-29T00:00:00"/>
    <s v="Standard Class"/>
    <x v="184"/>
    <x v="184"/>
    <s v="Home Office"/>
    <s v="United States"/>
    <s v="Phoenix"/>
    <x v="16"/>
    <n v="85023"/>
    <x v="1"/>
    <x v="412"/>
    <x v="1"/>
    <x v="8"/>
    <x v="412"/>
    <n v="28.484999999999999"/>
    <s v="Medium"/>
    <n v="5"/>
    <n v="0.7"/>
    <x v="1"/>
    <x v="5"/>
    <n v="-20.888999999999999"/>
    <n v="-0.73333333333333328"/>
    <n v="1"/>
  </r>
  <r>
    <n v="466"/>
    <s v="CA-2016-109869"/>
    <d v="2016-04-22T00:00:00"/>
    <x v="0"/>
    <s v="Q2"/>
    <x v="25"/>
    <d v="2016-04-29T00:00:00"/>
    <s v="Standard Class"/>
    <x v="184"/>
    <x v="184"/>
    <s v="Home Office"/>
    <s v="United States"/>
    <s v="Phoenix"/>
    <x v="16"/>
    <n v="85023"/>
    <x v="1"/>
    <x v="413"/>
    <x v="1"/>
    <x v="14"/>
    <x v="413"/>
    <n v="185.376"/>
    <s v="High"/>
    <n v="2"/>
    <n v="0.2"/>
    <x v="2"/>
    <x v="2"/>
    <n v="-34.758000000000003"/>
    <n v="-0.1875"/>
    <n v="1"/>
  </r>
  <r>
    <n v="467"/>
    <s v="CA-2016-109869"/>
    <d v="2016-04-22T00:00:00"/>
    <x v="0"/>
    <s v="Q2"/>
    <x v="25"/>
    <d v="2016-04-29T00:00:00"/>
    <s v="Standard Class"/>
    <x v="184"/>
    <x v="184"/>
    <s v="Home Office"/>
    <s v="United States"/>
    <s v="Phoenix"/>
    <x v="16"/>
    <n v="85023"/>
    <x v="1"/>
    <x v="414"/>
    <x v="1"/>
    <x v="9"/>
    <x v="414"/>
    <n v="78.272000000000006"/>
    <s v="Medium"/>
    <n v="2"/>
    <n v="0.2"/>
    <x v="2"/>
    <x v="2"/>
    <n v="5.8704000000000001"/>
    <n v="7.4999999999999997E-2"/>
    <n v="0"/>
  </r>
  <r>
    <n v="468"/>
    <s v="US-2015-101399"/>
    <d v="2015-01-17T00:00:00"/>
    <x v="1"/>
    <s v="Q1"/>
    <x v="26"/>
    <d v="2015-01-24T00:00:00"/>
    <s v="Standard Class"/>
    <x v="185"/>
    <x v="185"/>
    <s v="Home Office"/>
    <s v="United States"/>
    <s v="Park Ridge"/>
    <x v="10"/>
    <n v="60068"/>
    <x v="2"/>
    <x v="269"/>
    <x v="0"/>
    <x v="5"/>
    <x v="269"/>
    <n v="254.744"/>
    <s v="High"/>
    <n v="7"/>
    <n v="0.6"/>
    <x v="1"/>
    <x v="6"/>
    <n v="-312.06139999999999"/>
    <n v="-1.2249999999999999"/>
    <n v="1"/>
  </r>
  <r>
    <n v="469"/>
    <s v="CA-2017-154907"/>
    <d v="2017-03-31T00:00:00"/>
    <x v="3"/>
    <s v="Q1"/>
    <x v="42"/>
    <d v="2017-04-04T00:00:00"/>
    <s v="Standard Class"/>
    <x v="103"/>
    <x v="103"/>
    <s v="Corporate"/>
    <s v="United States"/>
    <s v="Amarillo"/>
    <x v="5"/>
    <n v="79109"/>
    <x v="2"/>
    <x v="415"/>
    <x v="0"/>
    <x v="0"/>
    <x v="415"/>
    <n v="205.33279999999999"/>
    <s v="High"/>
    <n v="2"/>
    <n v="0.32"/>
    <x v="1"/>
    <x v="7"/>
    <n v="-36.235199999999999"/>
    <n v="-0.17647058823529413"/>
    <n v="1"/>
  </r>
  <r>
    <n v="470"/>
    <s v="US-2016-100419"/>
    <d v="2016-12-16T00:00:00"/>
    <x v="0"/>
    <s v="Q4"/>
    <x v="5"/>
    <d v="2016-12-20T00:00:00"/>
    <s v="Second Class"/>
    <x v="113"/>
    <x v="113"/>
    <s v="Consumer"/>
    <s v="United States"/>
    <s v="Chicago"/>
    <x v="10"/>
    <n v="60610"/>
    <x v="2"/>
    <x v="416"/>
    <x v="1"/>
    <x v="8"/>
    <x v="416"/>
    <n v="4.7880000000000003"/>
    <s v="Low"/>
    <n v="3"/>
    <n v="0.8"/>
    <x v="1"/>
    <x v="3"/>
    <n v="-7.9001999999999999"/>
    <n v="-1.65"/>
    <n v="1"/>
  </r>
  <r>
    <n v="471"/>
    <s v="CA-2015-154144"/>
    <d v="2015-12-20T00:00:00"/>
    <x v="1"/>
    <s v="Q4"/>
    <x v="14"/>
    <d v="2015-12-24T00:00:00"/>
    <s v="Standard Class"/>
    <x v="186"/>
    <x v="186"/>
    <s v="Corporate"/>
    <s v="United States"/>
    <s v="Lindenhurst"/>
    <x v="15"/>
    <n v="11757"/>
    <x v="3"/>
    <x v="417"/>
    <x v="1"/>
    <x v="10"/>
    <x v="417"/>
    <n v="55.48"/>
    <s v="Medium"/>
    <n v="1"/>
    <n v="0"/>
    <x v="0"/>
    <x v="0"/>
    <n v="26.630400000000002"/>
    <n v="0.48000000000000004"/>
    <n v="0"/>
  </r>
  <r>
    <n v="472"/>
    <s v="CA-2014-144666"/>
    <d v="2014-11-09T00:00:00"/>
    <x v="2"/>
    <s v="Q4"/>
    <x v="7"/>
    <d v="2014-11-11T00:00:00"/>
    <s v="Second Class"/>
    <x v="187"/>
    <x v="187"/>
    <s v="Consumer"/>
    <s v="United States"/>
    <s v="San Francisco"/>
    <x v="1"/>
    <n v="94110"/>
    <x v="1"/>
    <x v="418"/>
    <x v="1"/>
    <x v="4"/>
    <x v="418"/>
    <n v="340.92"/>
    <s v="High"/>
    <n v="3"/>
    <n v="0"/>
    <x v="0"/>
    <x v="0"/>
    <n v="3.4091999999999998"/>
    <n v="9.9999999999999985E-3"/>
    <n v="0"/>
  </r>
  <r>
    <n v="473"/>
    <s v="CA-2014-144666"/>
    <d v="2014-11-09T00:00:00"/>
    <x v="2"/>
    <s v="Q4"/>
    <x v="7"/>
    <d v="2014-11-11T00:00:00"/>
    <s v="Second Class"/>
    <x v="187"/>
    <x v="187"/>
    <s v="Consumer"/>
    <s v="United States"/>
    <s v="San Francisco"/>
    <x v="1"/>
    <n v="94110"/>
    <x v="1"/>
    <x v="419"/>
    <x v="0"/>
    <x v="0"/>
    <x v="419"/>
    <n v="222.666"/>
    <s v="High"/>
    <n v="2"/>
    <n v="0.15"/>
    <x v="2"/>
    <x v="2"/>
    <n v="10.478400000000001"/>
    <n v="4.7058823529411771E-2"/>
    <n v="0"/>
  </r>
  <r>
    <n v="474"/>
    <s v="CA-2014-144666"/>
    <d v="2014-11-09T00:00:00"/>
    <x v="2"/>
    <s v="Q4"/>
    <x v="7"/>
    <d v="2014-11-11T00:00:00"/>
    <s v="Second Class"/>
    <x v="187"/>
    <x v="187"/>
    <s v="Consumer"/>
    <s v="United States"/>
    <s v="San Francisco"/>
    <x v="1"/>
    <n v="94110"/>
    <x v="1"/>
    <x v="420"/>
    <x v="2"/>
    <x v="7"/>
    <x v="420"/>
    <n v="703.96799999999996"/>
    <s v="High"/>
    <n v="4"/>
    <n v="0.2"/>
    <x v="2"/>
    <x v="2"/>
    <n v="87.995999999999995"/>
    <n v="0.125"/>
    <n v="0"/>
  </r>
  <r>
    <n v="475"/>
    <s v="CA-2014-144666"/>
    <d v="2014-11-09T00:00:00"/>
    <x v="2"/>
    <s v="Q4"/>
    <x v="7"/>
    <d v="2014-11-11T00:00:00"/>
    <s v="Second Class"/>
    <x v="187"/>
    <x v="187"/>
    <s v="Consumer"/>
    <s v="United States"/>
    <s v="San Francisco"/>
    <x v="1"/>
    <n v="94110"/>
    <x v="1"/>
    <x v="421"/>
    <x v="1"/>
    <x v="4"/>
    <x v="421"/>
    <n v="92.52"/>
    <s v="Medium"/>
    <n v="6"/>
    <n v="0"/>
    <x v="0"/>
    <x v="0"/>
    <n v="24.980399999999999"/>
    <n v="0.27"/>
    <n v="0"/>
  </r>
  <r>
    <n v="476"/>
    <s v="CA-2014-144666"/>
    <d v="2014-11-09T00:00:00"/>
    <x v="2"/>
    <s v="Q4"/>
    <x v="7"/>
    <d v="2014-11-11T00:00:00"/>
    <s v="Second Class"/>
    <x v="187"/>
    <x v="187"/>
    <s v="Consumer"/>
    <s v="United States"/>
    <s v="San Francisco"/>
    <x v="1"/>
    <n v="94110"/>
    <x v="1"/>
    <x v="422"/>
    <x v="1"/>
    <x v="10"/>
    <x v="422"/>
    <n v="62.65"/>
    <s v="Medium"/>
    <n v="7"/>
    <n v="0"/>
    <x v="0"/>
    <x v="0"/>
    <n v="28.818999999999999"/>
    <n v="0.46"/>
    <n v="0"/>
  </r>
  <r>
    <n v="477"/>
    <s v="CA-2014-144666"/>
    <d v="2014-11-09T00:00:00"/>
    <x v="2"/>
    <s v="Q4"/>
    <x v="7"/>
    <d v="2014-11-11T00:00:00"/>
    <s v="Second Class"/>
    <x v="187"/>
    <x v="187"/>
    <s v="Consumer"/>
    <s v="United States"/>
    <s v="San Francisco"/>
    <x v="1"/>
    <n v="94110"/>
    <x v="1"/>
    <x v="423"/>
    <x v="1"/>
    <x v="10"/>
    <x v="423"/>
    <n v="94.85"/>
    <s v="Medium"/>
    <n v="5"/>
    <n v="0"/>
    <x v="0"/>
    <x v="0"/>
    <n v="45.527999999999999"/>
    <n v="0.48000000000000004"/>
    <n v="0"/>
  </r>
  <r>
    <n v="478"/>
    <s v="CA-2016-103891"/>
    <d v="2016-07-12T00:00:00"/>
    <x v="0"/>
    <s v="Q3"/>
    <x v="16"/>
    <d v="2016-07-19T00:00:00"/>
    <s v="Standard Class"/>
    <x v="120"/>
    <x v="120"/>
    <s v="Corporate"/>
    <s v="United States"/>
    <s v="Los Angeles"/>
    <x v="1"/>
    <n v="90008"/>
    <x v="1"/>
    <x v="424"/>
    <x v="2"/>
    <x v="7"/>
    <x v="424"/>
    <n v="95.76"/>
    <s v="Medium"/>
    <n v="6"/>
    <n v="0.2"/>
    <x v="2"/>
    <x v="2"/>
    <n v="7.1820000000000004"/>
    <n v="7.4999999999999997E-2"/>
    <n v="0"/>
  </r>
  <r>
    <n v="479"/>
    <s v="CA-2016-152632"/>
    <d v="2016-10-27T00:00:00"/>
    <x v="0"/>
    <s v="Q4"/>
    <x v="32"/>
    <d v="2016-11-02T00:00:00"/>
    <s v="Standard Class"/>
    <x v="188"/>
    <x v="188"/>
    <s v="Consumer"/>
    <s v="United States"/>
    <s v="Troy"/>
    <x v="15"/>
    <n v="12180"/>
    <x v="3"/>
    <x v="278"/>
    <x v="0"/>
    <x v="5"/>
    <x v="278"/>
    <n v="40.200000000000003"/>
    <s v="Medium"/>
    <n v="3"/>
    <n v="0"/>
    <x v="0"/>
    <x v="0"/>
    <n v="19.295999999999999"/>
    <n v="0.47999999999999993"/>
    <n v="0"/>
  </r>
  <r>
    <n v="480"/>
    <s v="CA-2016-100790"/>
    <d v="2016-06-26T00:00:00"/>
    <x v="0"/>
    <s v="Q2"/>
    <x v="1"/>
    <d v="2016-07-02T00:00:00"/>
    <s v="Standard Class"/>
    <x v="189"/>
    <x v="189"/>
    <s v="Corporate"/>
    <s v="United States"/>
    <s v="New York City"/>
    <x v="15"/>
    <n v="10024"/>
    <x v="3"/>
    <x v="425"/>
    <x v="1"/>
    <x v="6"/>
    <x v="425"/>
    <n v="14.7"/>
    <s v="Low"/>
    <n v="5"/>
    <n v="0"/>
    <x v="0"/>
    <x v="0"/>
    <n v="6.6150000000000002"/>
    <n v="0.45"/>
    <n v="0"/>
  </r>
  <r>
    <n v="481"/>
    <s v="CA-2016-100790"/>
    <d v="2016-06-26T00:00:00"/>
    <x v="0"/>
    <s v="Q2"/>
    <x v="1"/>
    <d v="2016-07-02T00:00:00"/>
    <s v="Standard Class"/>
    <x v="189"/>
    <x v="189"/>
    <s v="Corporate"/>
    <s v="United States"/>
    <s v="New York City"/>
    <x v="15"/>
    <n v="10024"/>
    <x v="3"/>
    <x v="426"/>
    <x v="1"/>
    <x v="4"/>
    <x v="426"/>
    <n v="704.25"/>
    <s v="High"/>
    <n v="5"/>
    <n v="0"/>
    <x v="0"/>
    <x v="0"/>
    <n v="84.51"/>
    <n v="0.12000000000000001"/>
    <n v="0"/>
  </r>
  <r>
    <n v="482"/>
    <s v="CA-2014-134677"/>
    <d v="2014-10-06T00:00:00"/>
    <x v="2"/>
    <s v="Q4"/>
    <x v="18"/>
    <d v="2014-10-10T00:00:00"/>
    <s v="Standard Class"/>
    <x v="190"/>
    <x v="190"/>
    <s v="Consumer"/>
    <s v="United States"/>
    <s v="San Diego"/>
    <x v="1"/>
    <n v="92024"/>
    <x v="1"/>
    <x v="427"/>
    <x v="2"/>
    <x v="11"/>
    <x v="427"/>
    <n v="9.09"/>
    <s v="Low"/>
    <n v="3"/>
    <n v="0"/>
    <x v="0"/>
    <x v="0"/>
    <n v="1.9089"/>
    <n v="0.21000000000000002"/>
    <n v="0"/>
  </r>
  <r>
    <n v="483"/>
    <s v="CA-2014-127691"/>
    <d v="2014-07-22T00:00:00"/>
    <x v="2"/>
    <s v="Q3"/>
    <x v="39"/>
    <d v="2014-07-27T00:00:00"/>
    <s v="Standard Class"/>
    <x v="191"/>
    <x v="191"/>
    <s v="Consumer"/>
    <s v="United States"/>
    <s v="New York City"/>
    <x v="15"/>
    <n v="10024"/>
    <x v="3"/>
    <x v="79"/>
    <x v="1"/>
    <x v="6"/>
    <x v="79"/>
    <n v="5.96"/>
    <s v="Low"/>
    <n v="2"/>
    <n v="0"/>
    <x v="0"/>
    <x v="0"/>
    <n v="1.6688000000000001"/>
    <n v="0.28000000000000003"/>
    <n v="0"/>
  </r>
  <r>
    <n v="484"/>
    <s v="CA-2014-127691"/>
    <d v="2014-07-22T00:00:00"/>
    <x v="2"/>
    <s v="Q3"/>
    <x v="39"/>
    <d v="2014-07-27T00:00:00"/>
    <s v="Standard Class"/>
    <x v="191"/>
    <x v="191"/>
    <s v="Consumer"/>
    <s v="United States"/>
    <s v="New York City"/>
    <x v="15"/>
    <n v="10024"/>
    <x v="3"/>
    <x v="428"/>
    <x v="2"/>
    <x v="11"/>
    <x v="428"/>
    <n v="159.97999999999999"/>
    <s v="High"/>
    <n v="2"/>
    <n v="0"/>
    <x v="0"/>
    <x v="0"/>
    <n v="57.592799999999997"/>
    <n v="0.36"/>
    <n v="0"/>
  </r>
  <r>
    <n v="485"/>
    <s v="CA-2017-140963"/>
    <d v="2017-06-10T00:00:00"/>
    <x v="3"/>
    <s v="Q2"/>
    <x v="27"/>
    <d v="2017-06-13T00:00:00"/>
    <s v="First Class"/>
    <x v="192"/>
    <x v="192"/>
    <s v="Home Office"/>
    <s v="United States"/>
    <s v="Los Angeles"/>
    <x v="1"/>
    <n v="90045"/>
    <x v="1"/>
    <x v="429"/>
    <x v="1"/>
    <x v="2"/>
    <x v="429"/>
    <n v="29.6"/>
    <s v="Medium"/>
    <n v="2"/>
    <n v="0"/>
    <x v="0"/>
    <x v="0"/>
    <n v="14.8"/>
    <n v="0.5"/>
    <n v="0"/>
  </r>
  <r>
    <n v="486"/>
    <s v="CA-2017-140963"/>
    <d v="2017-06-10T00:00:00"/>
    <x v="3"/>
    <s v="Q2"/>
    <x v="27"/>
    <d v="2017-06-13T00:00:00"/>
    <s v="First Class"/>
    <x v="192"/>
    <x v="192"/>
    <s v="Home Office"/>
    <s v="United States"/>
    <s v="Los Angeles"/>
    <x v="1"/>
    <n v="90045"/>
    <x v="1"/>
    <x v="430"/>
    <x v="0"/>
    <x v="0"/>
    <x v="430"/>
    <n v="514.16499999999996"/>
    <s v="High"/>
    <n v="5"/>
    <n v="0.15"/>
    <x v="2"/>
    <x v="2"/>
    <n v="-30.245000000000001"/>
    <n v="-5.8823529411764712E-2"/>
    <n v="1"/>
  </r>
  <r>
    <n v="487"/>
    <s v="CA-2017-140963"/>
    <d v="2017-06-10T00:00:00"/>
    <x v="3"/>
    <s v="Q2"/>
    <x v="27"/>
    <d v="2017-06-13T00:00:00"/>
    <s v="First Class"/>
    <x v="192"/>
    <x v="192"/>
    <s v="Home Office"/>
    <s v="United States"/>
    <s v="Los Angeles"/>
    <x v="1"/>
    <n v="90045"/>
    <x v="1"/>
    <x v="431"/>
    <x v="2"/>
    <x v="7"/>
    <x v="431"/>
    <n v="279.95999999999998"/>
    <s v="High"/>
    <n v="5"/>
    <n v="0.2"/>
    <x v="2"/>
    <x v="2"/>
    <n v="17.497499999999999"/>
    <n v="6.25E-2"/>
    <n v="0"/>
  </r>
  <r>
    <n v="488"/>
    <s v="CA-2014-154627"/>
    <d v="2014-10-29T00:00:00"/>
    <x v="2"/>
    <s v="Q4"/>
    <x v="18"/>
    <d v="2014-10-31T00:00:00"/>
    <s v="First Class"/>
    <x v="193"/>
    <x v="193"/>
    <s v="Consumer"/>
    <s v="United States"/>
    <s v="Chicago"/>
    <x v="10"/>
    <n v="60610"/>
    <x v="2"/>
    <x v="432"/>
    <x v="2"/>
    <x v="7"/>
    <x v="432"/>
    <n v="2735.9520000000002"/>
    <s v="High"/>
    <n v="6"/>
    <n v="0.2"/>
    <x v="2"/>
    <x v="2"/>
    <n v="341.99400000000003"/>
    <n v="0.125"/>
    <n v="0"/>
  </r>
  <r>
    <n v="489"/>
    <s v="CA-2014-133753"/>
    <d v="2014-06-09T00:00:00"/>
    <x v="2"/>
    <s v="Q2"/>
    <x v="3"/>
    <d v="2014-06-13T00:00:00"/>
    <s v="Second Class"/>
    <x v="194"/>
    <x v="194"/>
    <s v="Home Office"/>
    <s v="United States"/>
    <s v="Huntsville"/>
    <x v="5"/>
    <n v="77340"/>
    <x v="2"/>
    <x v="433"/>
    <x v="2"/>
    <x v="7"/>
    <x v="433"/>
    <n v="7.992"/>
    <s v="Low"/>
    <n v="1"/>
    <n v="0.2"/>
    <x v="2"/>
    <x v="2"/>
    <n v="0.59940000000000004"/>
    <n v="7.5000000000000011E-2"/>
    <n v="0"/>
  </r>
  <r>
    <n v="490"/>
    <s v="CA-2014-133753"/>
    <d v="2014-06-09T00:00:00"/>
    <x v="2"/>
    <s v="Q2"/>
    <x v="3"/>
    <d v="2014-06-13T00:00:00"/>
    <s v="Second Class"/>
    <x v="194"/>
    <x v="194"/>
    <s v="Home Office"/>
    <s v="United States"/>
    <s v="Huntsville"/>
    <x v="5"/>
    <n v="77340"/>
    <x v="2"/>
    <x v="434"/>
    <x v="2"/>
    <x v="11"/>
    <x v="434"/>
    <n v="63.984000000000002"/>
    <s v="Medium"/>
    <n v="2"/>
    <n v="0.2"/>
    <x v="2"/>
    <x v="2"/>
    <n v="10.397399999999999"/>
    <n v="0.16249999999999998"/>
    <n v="0"/>
  </r>
  <r>
    <n v="491"/>
    <s v="CA-2014-133753"/>
    <d v="2014-06-09T00:00:00"/>
    <x v="2"/>
    <s v="Q2"/>
    <x v="3"/>
    <d v="2014-06-13T00:00:00"/>
    <s v="Second Class"/>
    <x v="194"/>
    <x v="194"/>
    <s v="Home Office"/>
    <s v="United States"/>
    <s v="Huntsville"/>
    <x v="5"/>
    <n v="77340"/>
    <x v="2"/>
    <x v="399"/>
    <x v="1"/>
    <x v="6"/>
    <x v="400"/>
    <n v="70.367999999999995"/>
    <s v="Medium"/>
    <n v="2"/>
    <n v="0.2"/>
    <x v="2"/>
    <x v="2"/>
    <n v="6.1571999999999996"/>
    <n v="8.7499999999999994E-2"/>
    <n v="0"/>
  </r>
  <r>
    <n v="492"/>
    <s v="CA-2014-113362"/>
    <d v="2014-09-14T00:00:00"/>
    <x v="2"/>
    <s v="Q3"/>
    <x v="30"/>
    <d v="2014-09-19T00:00:00"/>
    <s v="Standard Class"/>
    <x v="195"/>
    <x v="195"/>
    <s v="Consumer"/>
    <s v="United States"/>
    <s v="Rochester"/>
    <x v="15"/>
    <n v="14609"/>
    <x v="3"/>
    <x v="435"/>
    <x v="1"/>
    <x v="4"/>
    <x v="435"/>
    <n v="449.15"/>
    <s v="High"/>
    <n v="5"/>
    <n v="0"/>
    <x v="0"/>
    <x v="0"/>
    <n v="8.9830000000000005"/>
    <n v="2.0000000000000004E-2"/>
    <n v="0"/>
  </r>
  <r>
    <n v="493"/>
    <s v="CA-2014-113362"/>
    <d v="2014-09-14T00:00:00"/>
    <x v="2"/>
    <s v="Q3"/>
    <x v="30"/>
    <d v="2014-09-19T00:00:00"/>
    <s v="Standard Class"/>
    <x v="195"/>
    <x v="195"/>
    <s v="Consumer"/>
    <s v="United States"/>
    <s v="Rochester"/>
    <x v="15"/>
    <n v="14609"/>
    <x v="3"/>
    <x v="436"/>
    <x v="1"/>
    <x v="12"/>
    <x v="436"/>
    <n v="11.07"/>
    <s v="Low"/>
    <n v="3"/>
    <n v="0"/>
    <x v="0"/>
    <x v="0"/>
    <n v="5.0922000000000001"/>
    <n v="0.46"/>
    <n v="0"/>
  </r>
  <r>
    <n v="494"/>
    <s v="CA-2016-169166"/>
    <d v="2016-05-09T00:00:00"/>
    <x v="0"/>
    <s v="Q2"/>
    <x v="35"/>
    <d v="2016-05-14T00:00:00"/>
    <s v="Standard Class"/>
    <x v="196"/>
    <x v="196"/>
    <s v="Consumer"/>
    <s v="United States"/>
    <s v="Seattle"/>
    <x v="4"/>
    <n v="98115"/>
    <x v="1"/>
    <x v="437"/>
    <x v="2"/>
    <x v="11"/>
    <x v="437"/>
    <n v="93.98"/>
    <s v="Medium"/>
    <n v="2"/>
    <n v="0"/>
    <x v="0"/>
    <x v="0"/>
    <n v="13.1572"/>
    <n v="0.13999999999999999"/>
    <n v="0"/>
  </r>
  <r>
    <n v="495"/>
    <s v="US-2016-120929"/>
    <d v="2016-03-18T00:00:00"/>
    <x v="0"/>
    <s v="Q1"/>
    <x v="17"/>
    <d v="2016-03-21T00:00:00"/>
    <s v="Second Class"/>
    <x v="197"/>
    <x v="197"/>
    <s v="Consumer"/>
    <s v="United States"/>
    <s v="Memphis"/>
    <x v="18"/>
    <n v="38109"/>
    <x v="0"/>
    <x v="438"/>
    <x v="0"/>
    <x v="3"/>
    <x v="438"/>
    <n v="189.88200000000001"/>
    <s v="High"/>
    <n v="3"/>
    <n v="0.4"/>
    <x v="1"/>
    <x v="7"/>
    <n v="-94.941000000000003"/>
    <n v="-0.5"/>
    <n v="1"/>
  </r>
  <r>
    <n v="496"/>
    <s v="CA-2015-134782"/>
    <d v="2015-12-27T00:00:00"/>
    <x v="1"/>
    <s v="Q4"/>
    <x v="14"/>
    <d v="2015-12-31T00:00:00"/>
    <s v="Standard Class"/>
    <x v="198"/>
    <x v="198"/>
    <s v="Consumer"/>
    <s v="United States"/>
    <s v="Fayetteville"/>
    <x v="36"/>
    <n v="72701"/>
    <x v="0"/>
    <x v="439"/>
    <x v="1"/>
    <x v="12"/>
    <x v="439"/>
    <n v="105.42"/>
    <s v="Medium"/>
    <n v="2"/>
    <n v="0"/>
    <x v="0"/>
    <x v="0"/>
    <n v="51.655799999999999"/>
    <n v="0.49"/>
    <n v="0"/>
  </r>
  <r>
    <n v="497"/>
    <s v="CA-2016-126158"/>
    <d v="2016-07-25T00:00:00"/>
    <x v="0"/>
    <s v="Q3"/>
    <x v="16"/>
    <d v="2016-07-31T00:00:00"/>
    <s v="Standard Class"/>
    <x v="183"/>
    <x v="183"/>
    <s v="Consumer"/>
    <s v="United States"/>
    <s v="Costa Mesa"/>
    <x v="1"/>
    <n v="92627"/>
    <x v="1"/>
    <x v="440"/>
    <x v="1"/>
    <x v="8"/>
    <x v="440"/>
    <n v="119.616"/>
    <s v="Medium"/>
    <n v="8"/>
    <n v="0.2"/>
    <x v="2"/>
    <x v="2"/>
    <n v="40.370399999999997"/>
    <n v="0.33749999999999997"/>
    <n v="0"/>
  </r>
  <r>
    <n v="498"/>
    <s v="CA-2016-126158"/>
    <d v="2016-07-25T00:00:00"/>
    <x v="0"/>
    <s v="Q3"/>
    <x v="16"/>
    <d v="2016-07-31T00:00:00"/>
    <s v="Standard Class"/>
    <x v="183"/>
    <x v="183"/>
    <s v="Consumer"/>
    <s v="United States"/>
    <s v="Costa Mesa"/>
    <x v="1"/>
    <n v="92627"/>
    <x v="1"/>
    <x v="441"/>
    <x v="0"/>
    <x v="5"/>
    <x v="441"/>
    <n v="255.76"/>
    <s v="High"/>
    <n v="4"/>
    <n v="0"/>
    <x v="0"/>
    <x v="0"/>
    <n v="81.843199999999996"/>
    <n v="0.32"/>
    <n v="0"/>
  </r>
  <r>
    <n v="499"/>
    <s v="CA-2016-126158"/>
    <d v="2016-07-25T00:00:00"/>
    <x v="0"/>
    <s v="Q3"/>
    <x v="16"/>
    <d v="2016-07-31T00:00:00"/>
    <s v="Standard Class"/>
    <x v="183"/>
    <x v="183"/>
    <s v="Consumer"/>
    <s v="United States"/>
    <s v="Costa Mesa"/>
    <x v="1"/>
    <n v="92627"/>
    <x v="1"/>
    <x v="291"/>
    <x v="0"/>
    <x v="1"/>
    <x v="291"/>
    <n v="241.56800000000001"/>
    <s v="High"/>
    <n v="2"/>
    <n v="0.2"/>
    <x v="2"/>
    <x v="2"/>
    <n v="18.117599999999999"/>
    <n v="7.4999999999999997E-2"/>
    <n v="0"/>
  </r>
  <r>
    <n v="500"/>
    <s v="CA-2016-126158"/>
    <d v="2016-07-25T00:00:00"/>
    <x v="0"/>
    <s v="Q3"/>
    <x v="16"/>
    <d v="2016-07-31T00:00:00"/>
    <s v="Standard Class"/>
    <x v="183"/>
    <x v="183"/>
    <s v="Consumer"/>
    <s v="United States"/>
    <s v="Costa Mesa"/>
    <x v="1"/>
    <n v="92627"/>
    <x v="1"/>
    <x v="442"/>
    <x v="0"/>
    <x v="5"/>
    <x v="442"/>
    <n v="69.3"/>
    <s v="Medium"/>
    <n v="9"/>
    <n v="0"/>
    <x v="0"/>
    <x v="0"/>
    <n v="22.869"/>
    <n v="0.33"/>
    <n v="0"/>
  </r>
  <r>
    <n v="501"/>
    <s v="US-2016-105578"/>
    <d v="2016-05-30T00:00:00"/>
    <x v="0"/>
    <s v="Q2"/>
    <x v="35"/>
    <d v="2016-06-04T00:00:00"/>
    <s v="Standard Class"/>
    <x v="199"/>
    <x v="199"/>
    <s v="Corporate"/>
    <s v="United States"/>
    <s v="Parker"/>
    <x v="22"/>
    <n v="80134"/>
    <x v="1"/>
    <x v="443"/>
    <x v="1"/>
    <x v="8"/>
    <x v="443"/>
    <n v="22.62"/>
    <s v="Low"/>
    <n v="2"/>
    <n v="0.7"/>
    <x v="1"/>
    <x v="5"/>
    <n v="-15.08"/>
    <n v="-0.66666666666666663"/>
    <n v="1"/>
  </r>
  <r>
    <n v="502"/>
    <s v="US-2016-105578"/>
    <d v="2016-05-30T00:00:00"/>
    <x v="0"/>
    <s v="Q2"/>
    <x v="35"/>
    <d v="2016-06-04T00:00:00"/>
    <s v="Standard Class"/>
    <x v="199"/>
    <x v="199"/>
    <s v="Corporate"/>
    <s v="United States"/>
    <s v="Parker"/>
    <x v="22"/>
    <n v="80134"/>
    <x v="1"/>
    <x v="444"/>
    <x v="1"/>
    <x v="8"/>
    <x v="444"/>
    <n v="14.952"/>
    <s v="Low"/>
    <n v="2"/>
    <n v="0.7"/>
    <x v="1"/>
    <x v="5"/>
    <n v="-11.961600000000001"/>
    <n v="-0.8"/>
    <n v="1"/>
  </r>
  <r>
    <n v="503"/>
    <s v="US-2016-105578"/>
    <d v="2016-05-30T00:00:00"/>
    <x v="0"/>
    <s v="Q2"/>
    <x v="35"/>
    <d v="2016-06-04T00:00:00"/>
    <s v="Standard Class"/>
    <x v="199"/>
    <x v="199"/>
    <s v="Corporate"/>
    <s v="United States"/>
    <s v="Parker"/>
    <x v="22"/>
    <n v="80134"/>
    <x v="1"/>
    <x v="445"/>
    <x v="0"/>
    <x v="1"/>
    <x v="445"/>
    <n v="801.56799999999998"/>
    <s v="High"/>
    <n v="2"/>
    <n v="0.2"/>
    <x v="2"/>
    <x v="2"/>
    <n v="50.097999999999999"/>
    <n v="6.25E-2"/>
    <n v="0"/>
  </r>
  <r>
    <n v="504"/>
    <s v="US-2016-105578"/>
    <d v="2016-05-30T00:00:00"/>
    <x v="0"/>
    <s v="Q2"/>
    <x v="35"/>
    <d v="2016-06-04T00:00:00"/>
    <s v="Standard Class"/>
    <x v="199"/>
    <x v="199"/>
    <s v="Corporate"/>
    <s v="United States"/>
    <s v="Parker"/>
    <x v="22"/>
    <n v="80134"/>
    <x v="1"/>
    <x v="446"/>
    <x v="1"/>
    <x v="8"/>
    <x v="446"/>
    <n v="2.3759999999999999"/>
    <s v="Low"/>
    <n v="3"/>
    <n v="0.7"/>
    <x v="1"/>
    <x v="5"/>
    <n v="-1.9008"/>
    <n v="-0.8"/>
    <n v="1"/>
  </r>
  <r>
    <n v="505"/>
    <s v="US-2016-105578"/>
    <d v="2016-05-30T00:00:00"/>
    <x v="0"/>
    <s v="Q2"/>
    <x v="35"/>
    <d v="2016-06-04T00:00:00"/>
    <s v="Standard Class"/>
    <x v="199"/>
    <x v="199"/>
    <s v="Corporate"/>
    <s v="United States"/>
    <s v="Parker"/>
    <x v="22"/>
    <n v="80134"/>
    <x v="1"/>
    <x v="447"/>
    <x v="1"/>
    <x v="10"/>
    <x v="447"/>
    <n v="32.792000000000002"/>
    <s v="Medium"/>
    <n v="1"/>
    <n v="0.2"/>
    <x v="2"/>
    <x v="2"/>
    <n v="11.8871"/>
    <n v="0.36249999999999999"/>
    <n v="0"/>
  </r>
  <r>
    <n v="506"/>
    <s v="CA-2017-134978"/>
    <d v="2017-11-12T00:00:00"/>
    <x v="3"/>
    <s v="Q4"/>
    <x v="23"/>
    <d v="2017-11-15T00:00:00"/>
    <s v="Second Class"/>
    <x v="182"/>
    <x v="182"/>
    <s v="Corporate"/>
    <s v="United States"/>
    <s v="New York City"/>
    <x v="15"/>
    <n v="10024"/>
    <x v="3"/>
    <x v="122"/>
    <x v="1"/>
    <x v="8"/>
    <x v="122"/>
    <n v="15.92"/>
    <s v="Low"/>
    <n v="5"/>
    <n v="0.2"/>
    <x v="2"/>
    <x v="2"/>
    <n v="5.3730000000000002"/>
    <n v="0.33750000000000002"/>
    <n v="0"/>
  </r>
  <r>
    <n v="507"/>
    <s v="CA-2015-145352"/>
    <d v="2015-03-16T00:00:00"/>
    <x v="1"/>
    <s v="Q1"/>
    <x v="29"/>
    <d v="2015-03-22T00:00:00"/>
    <s v="Standard Class"/>
    <x v="200"/>
    <x v="200"/>
    <s v="Consumer"/>
    <s v="United States"/>
    <s v="Atlanta"/>
    <x v="32"/>
    <n v="30318"/>
    <x v="0"/>
    <x v="448"/>
    <x v="1"/>
    <x v="6"/>
    <x v="448"/>
    <n v="2.74"/>
    <s v="Low"/>
    <n v="1"/>
    <n v="0"/>
    <x v="0"/>
    <x v="0"/>
    <n v="0.73980000000000001"/>
    <n v="0.26999999999999996"/>
    <n v="0"/>
  </r>
  <r>
    <n v="508"/>
    <s v="CA-2015-145352"/>
    <d v="2015-03-16T00:00:00"/>
    <x v="1"/>
    <s v="Q1"/>
    <x v="29"/>
    <d v="2015-03-22T00:00:00"/>
    <s v="Standard Class"/>
    <x v="200"/>
    <x v="200"/>
    <s v="Consumer"/>
    <s v="United States"/>
    <s v="Atlanta"/>
    <x v="32"/>
    <n v="30318"/>
    <x v="0"/>
    <x v="449"/>
    <x v="1"/>
    <x v="6"/>
    <x v="449"/>
    <n v="8.34"/>
    <s v="Low"/>
    <n v="3"/>
    <n v="0"/>
    <x v="0"/>
    <x v="0"/>
    <n v="2.1684000000000001"/>
    <n v="0.26"/>
    <n v="0"/>
  </r>
  <r>
    <n v="509"/>
    <s v="CA-2015-145352"/>
    <d v="2015-03-16T00:00:00"/>
    <x v="1"/>
    <s v="Q1"/>
    <x v="29"/>
    <d v="2015-03-22T00:00:00"/>
    <s v="Standard Class"/>
    <x v="200"/>
    <x v="200"/>
    <s v="Consumer"/>
    <s v="United States"/>
    <s v="Atlanta"/>
    <x v="32"/>
    <n v="30318"/>
    <x v="0"/>
    <x v="230"/>
    <x v="1"/>
    <x v="4"/>
    <x v="450"/>
    <n v="46.74"/>
    <s v="Medium"/>
    <n v="3"/>
    <n v="0"/>
    <x v="0"/>
    <x v="0"/>
    <n v="11.685"/>
    <n v="0.25"/>
    <n v="0"/>
  </r>
  <r>
    <n v="510"/>
    <s v="CA-2015-145352"/>
    <d v="2015-03-16T00:00:00"/>
    <x v="1"/>
    <s v="Q1"/>
    <x v="29"/>
    <d v="2015-03-22T00:00:00"/>
    <s v="Standard Class"/>
    <x v="200"/>
    <x v="200"/>
    <s v="Consumer"/>
    <s v="United States"/>
    <s v="Atlanta"/>
    <x v="32"/>
    <n v="30318"/>
    <x v="0"/>
    <x v="450"/>
    <x v="1"/>
    <x v="8"/>
    <x v="451"/>
    <n v="6354.95"/>
    <s v="High"/>
    <n v="5"/>
    <n v="0"/>
    <x v="0"/>
    <x v="0"/>
    <n v="3177.4749999999999"/>
    <n v="0.5"/>
    <n v="0"/>
  </r>
  <r>
    <n v="511"/>
    <s v="CA-2017-135307"/>
    <d v="2017-11-26T00:00:00"/>
    <x v="3"/>
    <s v="Q4"/>
    <x v="23"/>
    <d v="2017-11-27T00:00:00"/>
    <s v="First Class"/>
    <x v="201"/>
    <x v="201"/>
    <s v="Consumer"/>
    <s v="United States"/>
    <s v="Gladstone"/>
    <x v="25"/>
    <n v="64118"/>
    <x v="2"/>
    <x v="451"/>
    <x v="0"/>
    <x v="5"/>
    <x v="452"/>
    <n v="126.3"/>
    <s v="High"/>
    <n v="3"/>
    <n v="0"/>
    <x v="0"/>
    <x v="0"/>
    <n v="40.415999999999997"/>
    <n v="0.32"/>
    <n v="0"/>
  </r>
  <r>
    <n v="512"/>
    <s v="CA-2017-135307"/>
    <d v="2017-11-26T00:00:00"/>
    <x v="3"/>
    <s v="Q4"/>
    <x v="23"/>
    <d v="2017-11-27T00:00:00"/>
    <s v="First Class"/>
    <x v="201"/>
    <x v="201"/>
    <s v="Consumer"/>
    <s v="United States"/>
    <s v="Gladstone"/>
    <x v="25"/>
    <n v="64118"/>
    <x v="2"/>
    <x v="452"/>
    <x v="2"/>
    <x v="11"/>
    <x v="453"/>
    <n v="38.04"/>
    <s v="Medium"/>
    <n v="2"/>
    <n v="0"/>
    <x v="0"/>
    <x v="0"/>
    <n v="12.172800000000001"/>
    <n v="0.32"/>
    <n v="0"/>
  </r>
  <r>
    <n v="513"/>
    <s v="CA-2016-106341"/>
    <d v="2016-10-20T00:00:00"/>
    <x v="0"/>
    <s v="Q4"/>
    <x v="32"/>
    <d v="2016-10-23T00:00:00"/>
    <s v="First Class"/>
    <x v="166"/>
    <x v="166"/>
    <s v="Consumer"/>
    <s v="United States"/>
    <s v="Newark"/>
    <x v="24"/>
    <n v="43055"/>
    <x v="3"/>
    <x v="79"/>
    <x v="1"/>
    <x v="6"/>
    <x v="79"/>
    <n v="7.1520000000000001"/>
    <s v="Low"/>
    <n v="3"/>
    <n v="0.2"/>
    <x v="2"/>
    <x v="2"/>
    <n v="0.71519999999999995"/>
    <n v="9.9999999999999992E-2"/>
    <n v="0"/>
  </r>
  <r>
    <n v="514"/>
    <s v="CA-2017-163405"/>
    <d v="2017-12-21T00:00:00"/>
    <x v="3"/>
    <s v="Q4"/>
    <x v="22"/>
    <d v="2017-12-25T00:00:00"/>
    <s v="Standard Class"/>
    <x v="202"/>
    <x v="202"/>
    <s v="Consumer"/>
    <s v="United States"/>
    <s v="Los Angeles"/>
    <x v="1"/>
    <n v="90049"/>
    <x v="1"/>
    <x v="453"/>
    <x v="1"/>
    <x v="6"/>
    <x v="454"/>
    <n v="6.63"/>
    <s v="Low"/>
    <n v="3"/>
    <n v="0"/>
    <x v="0"/>
    <x v="0"/>
    <n v="1.7901"/>
    <n v="0.27"/>
    <n v="0"/>
  </r>
  <r>
    <n v="515"/>
    <s v="CA-2017-163405"/>
    <d v="2017-12-21T00:00:00"/>
    <x v="3"/>
    <s v="Q4"/>
    <x v="22"/>
    <d v="2017-12-25T00:00:00"/>
    <s v="Standard Class"/>
    <x v="202"/>
    <x v="202"/>
    <s v="Consumer"/>
    <s v="United States"/>
    <s v="Los Angeles"/>
    <x v="1"/>
    <n v="90049"/>
    <x v="1"/>
    <x v="454"/>
    <x v="1"/>
    <x v="6"/>
    <x v="455"/>
    <n v="5.88"/>
    <s v="Low"/>
    <n v="2"/>
    <n v="0"/>
    <x v="0"/>
    <x v="0"/>
    <n v="1.7052"/>
    <n v="0.29000000000000004"/>
    <n v="0"/>
  </r>
  <r>
    <n v="516"/>
    <s v="CA-2017-127432"/>
    <d v="2017-01-22T00:00:00"/>
    <x v="3"/>
    <s v="Q1"/>
    <x v="44"/>
    <d v="2017-01-27T00:00:00"/>
    <s v="Standard Class"/>
    <x v="57"/>
    <x v="57"/>
    <s v="Home Office"/>
    <s v="United States"/>
    <s v="Great Falls"/>
    <x v="37"/>
    <n v="59405"/>
    <x v="1"/>
    <x v="455"/>
    <x v="2"/>
    <x v="16"/>
    <x v="456"/>
    <n v="2999.95"/>
    <s v="High"/>
    <n v="5"/>
    <n v="0"/>
    <x v="0"/>
    <x v="0"/>
    <n v="1379.9770000000001"/>
    <n v="0.46000000000000008"/>
    <n v="0"/>
  </r>
  <r>
    <n v="517"/>
    <s v="CA-2017-127432"/>
    <d v="2017-01-22T00:00:00"/>
    <x v="3"/>
    <s v="Q1"/>
    <x v="44"/>
    <d v="2017-01-27T00:00:00"/>
    <s v="Standard Class"/>
    <x v="57"/>
    <x v="57"/>
    <s v="Home Office"/>
    <s v="United States"/>
    <s v="Great Falls"/>
    <x v="37"/>
    <n v="59405"/>
    <x v="1"/>
    <x v="456"/>
    <x v="1"/>
    <x v="4"/>
    <x v="457"/>
    <n v="51.45"/>
    <s v="Medium"/>
    <n v="3"/>
    <n v="0"/>
    <x v="0"/>
    <x v="0"/>
    <n v="13.891500000000001"/>
    <n v="0.27"/>
    <n v="0"/>
  </r>
  <r>
    <n v="518"/>
    <s v="CA-2017-127432"/>
    <d v="2017-01-22T00:00:00"/>
    <x v="3"/>
    <s v="Q1"/>
    <x v="44"/>
    <d v="2017-01-27T00:00:00"/>
    <s v="Standard Class"/>
    <x v="57"/>
    <x v="57"/>
    <s v="Home Office"/>
    <s v="United States"/>
    <s v="Great Falls"/>
    <x v="37"/>
    <n v="59405"/>
    <x v="1"/>
    <x v="457"/>
    <x v="1"/>
    <x v="10"/>
    <x v="458"/>
    <n v="11.96"/>
    <s v="Low"/>
    <n v="2"/>
    <n v="0"/>
    <x v="0"/>
    <x v="0"/>
    <n v="5.3819999999999997"/>
    <n v="0.44999999999999996"/>
    <n v="0"/>
  </r>
  <r>
    <n v="519"/>
    <s v="CA-2017-127432"/>
    <d v="2017-01-22T00:00:00"/>
    <x v="3"/>
    <s v="Q1"/>
    <x v="44"/>
    <d v="2017-01-27T00:00:00"/>
    <s v="Standard Class"/>
    <x v="57"/>
    <x v="57"/>
    <s v="Home Office"/>
    <s v="United States"/>
    <s v="Great Falls"/>
    <x v="37"/>
    <n v="59405"/>
    <x v="1"/>
    <x v="458"/>
    <x v="1"/>
    <x v="4"/>
    <x v="459"/>
    <n v="1126.02"/>
    <s v="High"/>
    <n v="3"/>
    <n v="0"/>
    <x v="0"/>
    <x v="0"/>
    <n v="56.301000000000002"/>
    <n v="0.05"/>
    <n v="0"/>
  </r>
  <r>
    <n v="520"/>
    <s v="CA-2015-157812"/>
    <d v="2015-03-22T00:00:00"/>
    <x v="1"/>
    <s v="Q1"/>
    <x v="29"/>
    <d v="2015-03-26T00:00:00"/>
    <s v="Standard Class"/>
    <x v="203"/>
    <x v="203"/>
    <s v="Consumer"/>
    <s v="United States"/>
    <s v="Houston"/>
    <x v="5"/>
    <n v="77041"/>
    <x v="2"/>
    <x v="43"/>
    <x v="2"/>
    <x v="11"/>
    <x v="43"/>
    <n v="18.391999999999999"/>
    <s v="Low"/>
    <n v="1"/>
    <n v="0.2"/>
    <x v="2"/>
    <x v="2"/>
    <n v="5.2877000000000001"/>
    <n v="0.28750000000000003"/>
    <n v="0"/>
  </r>
  <r>
    <n v="521"/>
    <s v="CA-2015-157812"/>
    <d v="2015-03-22T00:00:00"/>
    <x v="1"/>
    <s v="Q1"/>
    <x v="29"/>
    <d v="2015-03-26T00:00:00"/>
    <s v="Standard Class"/>
    <x v="203"/>
    <x v="203"/>
    <s v="Consumer"/>
    <s v="United States"/>
    <s v="Houston"/>
    <x v="5"/>
    <n v="77041"/>
    <x v="2"/>
    <x v="459"/>
    <x v="1"/>
    <x v="4"/>
    <x v="460"/>
    <n v="129.56800000000001"/>
    <s v="High"/>
    <n v="2"/>
    <n v="0.2"/>
    <x v="2"/>
    <x v="2"/>
    <n v="-25.913599999999999"/>
    <n v="-0.19999999999999998"/>
    <n v="1"/>
  </r>
  <r>
    <n v="522"/>
    <s v="CA-2015-157812"/>
    <d v="2015-03-22T00:00:00"/>
    <x v="1"/>
    <s v="Q1"/>
    <x v="29"/>
    <d v="2015-03-26T00:00:00"/>
    <s v="Standard Class"/>
    <x v="203"/>
    <x v="203"/>
    <s v="Consumer"/>
    <s v="United States"/>
    <s v="Houston"/>
    <x v="5"/>
    <n v="77041"/>
    <x v="2"/>
    <x v="460"/>
    <x v="1"/>
    <x v="8"/>
    <x v="461"/>
    <n v="14.112"/>
    <s v="Low"/>
    <n v="9"/>
    <n v="0.8"/>
    <x v="1"/>
    <x v="3"/>
    <n v="-21.167999999999999"/>
    <n v="-1.5"/>
    <n v="1"/>
  </r>
  <r>
    <n v="523"/>
    <s v="CA-2017-145142"/>
    <d v="2017-01-23T00:00:00"/>
    <x v="3"/>
    <s v="Q1"/>
    <x v="44"/>
    <d v="2017-01-25T00:00:00"/>
    <s v="First Class"/>
    <x v="204"/>
    <x v="204"/>
    <s v="Corporate"/>
    <s v="United States"/>
    <s v="Detroit"/>
    <x v="12"/>
    <n v="48234"/>
    <x v="2"/>
    <x v="438"/>
    <x v="0"/>
    <x v="3"/>
    <x v="438"/>
    <n v="210.98"/>
    <s v="High"/>
    <n v="2"/>
    <n v="0"/>
    <x v="0"/>
    <x v="0"/>
    <n v="21.097999999999999"/>
    <n v="0.1"/>
    <n v="0"/>
  </r>
  <r>
    <n v="524"/>
    <s v="US-2016-139486"/>
    <d v="2016-05-21T00:00:00"/>
    <x v="0"/>
    <s v="Q2"/>
    <x v="35"/>
    <d v="2016-05-23T00:00:00"/>
    <s v="First Class"/>
    <x v="109"/>
    <x v="109"/>
    <s v="Consumer"/>
    <s v="United States"/>
    <s v="Los Angeles"/>
    <x v="1"/>
    <n v="90032"/>
    <x v="1"/>
    <x v="461"/>
    <x v="2"/>
    <x v="7"/>
    <x v="462"/>
    <n v="55.176000000000002"/>
    <s v="Medium"/>
    <n v="3"/>
    <n v="0.2"/>
    <x v="2"/>
    <x v="2"/>
    <n v="-12.4146"/>
    <n v="-0.22500000000000001"/>
    <n v="1"/>
  </r>
  <r>
    <n v="525"/>
    <s v="US-2016-139486"/>
    <d v="2016-05-21T00:00:00"/>
    <x v="0"/>
    <s v="Q2"/>
    <x v="35"/>
    <d v="2016-05-23T00:00:00"/>
    <s v="First Class"/>
    <x v="109"/>
    <x v="109"/>
    <s v="Consumer"/>
    <s v="United States"/>
    <s v="Los Angeles"/>
    <x v="1"/>
    <n v="90032"/>
    <x v="1"/>
    <x v="217"/>
    <x v="2"/>
    <x v="11"/>
    <x v="463"/>
    <n v="66.260000000000005"/>
    <s v="Medium"/>
    <n v="2"/>
    <n v="0"/>
    <x v="0"/>
    <x v="0"/>
    <n v="27.166599999999999"/>
    <n v="0.41"/>
    <n v="0"/>
  </r>
  <r>
    <n v="526"/>
    <s v="CA-2015-158792"/>
    <d v="2015-12-26T00:00:00"/>
    <x v="1"/>
    <s v="Q4"/>
    <x v="14"/>
    <d v="2016-01-02T00:00:00"/>
    <s v="Standard Class"/>
    <x v="205"/>
    <x v="205"/>
    <s v="Consumer"/>
    <s v="United States"/>
    <s v="Lawrence"/>
    <x v="31"/>
    <n v="1841"/>
    <x v="3"/>
    <x v="462"/>
    <x v="1"/>
    <x v="13"/>
    <x v="128"/>
    <n v="22.2"/>
    <s v="Low"/>
    <n v="5"/>
    <n v="0"/>
    <x v="0"/>
    <x v="0"/>
    <n v="10.433999999999999"/>
    <n v="0.47"/>
    <n v="0"/>
  </r>
  <r>
    <n v="527"/>
    <s v="CA-2017-113558"/>
    <d v="2017-10-21T00:00:00"/>
    <x v="3"/>
    <s v="Q4"/>
    <x v="13"/>
    <d v="2017-10-26T00:00:00"/>
    <s v="Standard Class"/>
    <x v="206"/>
    <x v="206"/>
    <s v="Home Office"/>
    <s v="United States"/>
    <s v="Lakeland"/>
    <x v="2"/>
    <n v="33801"/>
    <x v="0"/>
    <x v="463"/>
    <x v="0"/>
    <x v="1"/>
    <x v="464"/>
    <n v="683.952"/>
    <s v="High"/>
    <n v="3"/>
    <n v="0.2"/>
    <x v="2"/>
    <x v="2"/>
    <n v="42.747"/>
    <n v="6.25E-2"/>
    <n v="0"/>
  </r>
  <r>
    <n v="528"/>
    <s v="CA-2017-113558"/>
    <d v="2017-10-21T00:00:00"/>
    <x v="3"/>
    <s v="Q4"/>
    <x v="13"/>
    <d v="2017-10-26T00:00:00"/>
    <s v="Standard Class"/>
    <x v="206"/>
    <x v="206"/>
    <s v="Home Office"/>
    <s v="United States"/>
    <s v="Lakeland"/>
    <x v="2"/>
    <n v="33801"/>
    <x v="0"/>
    <x v="285"/>
    <x v="0"/>
    <x v="5"/>
    <x v="285"/>
    <n v="45.695999999999998"/>
    <s v="Medium"/>
    <n v="3"/>
    <n v="0.2"/>
    <x v="2"/>
    <x v="2"/>
    <n v="5.1407999999999996"/>
    <n v="0.1125"/>
    <n v="0"/>
  </r>
  <r>
    <n v="529"/>
    <s v="US-2015-138303"/>
    <d v="2015-09-03T00:00:00"/>
    <x v="1"/>
    <s v="Q3"/>
    <x v="11"/>
    <d v="2015-09-07T00:00:00"/>
    <s v="Standard Class"/>
    <x v="207"/>
    <x v="207"/>
    <s v="Consumer"/>
    <s v="United States"/>
    <s v="Philadelphia"/>
    <x v="9"/>
    <n v="19134"/>
    <x v="3"/>
    <x v="464"/>
    <x v="1"/>
    <x v="4"/>
    <x v="465"/>
    <n v="36.335999999999999"/>
    <s v="Medium"/>
    <n v="3"/>
    <n v="0.2"/>
    <x v="2"/>
    <x v="2"/>
    <n v="-7.2671999999999999"/>
    <n v="-0.2"/>
    <n v="1"/>
  </r>
  <r>
    <n v="530"/>
    <s v="US-2015-138303"/>
    <d v="2015-09-03T00:00:00"/>
    <x v="1"/>
    <s v="Q3"/>
    <x v="11"/>
    <d v="2015-09-07T00:00:00"/>
    <s v="Standard Class"/>
    <x v="207"/>
    <x v="207"/>
    <s v="Consumer"/>
    <s v="United States"/>
    <s v="Philadelphia"/>
    <x v="9"/>
    <n v="19134"/>
    <x v="3"/>
    <x v="465"/>
    <x v="1"/>
    <x v="14"/>
    <x v="466"/>
    <n v="666.24800000000005"/>
    <s v="High"/>
    <n v="1"/>
    <n v="0.2"/>
    <x v="2"/>
    <x v="2"/>
    <n v="-149.9058"/>
    <n v="-0.22499999999999998"/>
    <n v="1"/>
  </r>
  <r>
    <n v="531"/>
    <s v="US-2015-138303"/>
    <d v="2015-09-03T00:00:00"/>
    <x v="1"/>
    <s v="Q3"/>
    <x v="11"/>
    <d v="2015-09-07T00:00:00"/>
    <s v="Standard Class"/>
    <x v="207"/>
    <x v="207"/>
    <s v="Consumer"/>
    <s v="United States"/>
    <s v="Philadelphia"/>
    <x v="9"/>
    <n v="19134"/>
    <x v="3"/>
    <x v="466"/>
    <x v="1"/>
    <x v="12"/>
    <x v="467"/>
    <n v="52.512"/>
    <s v="Medium"/>
    <n v="6"/>
    <n v="0.2"/>
    <x v="2"/>
    <x v="2"/>
    <n v="19.692"/>
    <n v="0.375"/>
    <n v="0"/>
  </r>
  <r>
    <n v="532"/>
    <s v="CA-2015-102848"/>
    <d v="2015-11-07T00:00:00"/>
    <x v="1"/>
    <s v="Q4"/>
    <x v="6"/>
    <d v="2015-11-09T00:00:00"/>
    <s v="Second Class"/>
    <x v="208"/>
    <x v="208"/>
    <s v="Corporate"/>
    <s v="United States"/>
    <s v="Los Angeles"/>
    <x v="1"/>
    <n v="90036"/>
    <x v="1"/>
    <x v="467"/>
    <x v="0"/>
    <x v="1"/>
    <x v="468"/>
    <n v="190.72"/>
    <s v="High"/>
    <n v="1"/>
    <n v="0.2"/>
    <x v="2"/>
    <x v="2"/>
    <n v="11.92"/>
    <n v="6.25E-2"/>
    <n v="0"/>
  </r>
  <r>
    <n v="533"/>
    <s v="US-2017-129441"/>
    <d v="2017-09-07T00:00:00"/>
    <x v="3"/>
    <s v="Q3"/>
    <x v="15"/>
    <d v="2017-09-11T00:00:00"/>
    <s v="Standard Class"/>
    <x v="209"/>
    <x v="209"/>
    <s v="Consumer"/>
    <s v="United States"/>
    <s v="Los Angeles"/>
    <x v="1"/>
    <n v="90032"/>
    <x v="1"/>
    <x v="468"/>
    <x v="0"/>
    <x v="5"/>
    <x v="469"/>
    <n v="47.94"/>
    <s v="Medium"/>
    <n v="3"/>
    <n v="0"/>
    <x v="0"/>
    <x v="0"/>
    <n v="2.3969999999999998"/>
    <n v="4.9999999999999996E-2"/>
    <n v="0"/>
  </r>
  <r>
    <n v="534"/>
    <s v="CA-2016-168753"/>
    <d v="2016-05-29T00:00:00"/>
    <x v="0"/>
    <s v="Q2"/>
    <x v="35"/>
    <d v="2016-06-01T00:00:00"/>
    <s v="Second Class"/>
    <x v="210"/>
    <x v="210"/>
    <s v="Consumer"/>
    <s v="United States"/>
    <s v="Montgomery"/>
    <x v="19"/>
    <n v="36116"/>
    <x v="0"/>
    <x v="469"/>
    <x v="2"/>
    <x v="7"/>
    <x v="470"/>
    <n v="979.95"/>
    <s v="High"/>
    <n v="5"/>
    <n v="0"/>
    <x v="0"/>
    <x v="0"/>
    <n v="274.38600000000002"/>
    <n v="0.28000000000000003"/>
    <n v="0"/>
  </r>
  <r>
    <n v="535"/>
    <s v="CA-2016-168753"/>
    <d v="2016-05-29T00:00:00"/>
    <x v="0"/>
    <s v="Q2"/>
    <x v="35"/>
    <d v="2016-06-01T00:00:00"/>
    <s v="Second Class"/>
    <x v="210"/>
    <x v="210"/>
    <s v="Consumer"/>
    <s v="United States"/>
    <s v="Montgomery"/>
    <x v="19"/>
    <n v="36116"/>
    <x v="0"/>
    <x v="248"/>
    <x v="1"/>
    <x v="8"/>
    <x v="249"/>
    <n v="22.75"/>
    <s v="Low"/>
    <n v="5"/>
    <n v="0"/>
    <x v="0"/>
    <x v="0"/>
    <n v="11.375"/>
    <n v="0.5"/>
    <n v="0"/>
  </r>
  <r>
    <n v="536"/>
    <s v="CA-2016-126613"/>
    <d v="2016-07-10T00:00:00"/>
    <x v="0"/>
    <s v="Q3"/>
    <x v="16"/>
    <d v="2016-07-16T00:00:00"/>
    <s v="Standard Class"/>
    <x v="211"/>
    <x v="211"/>
    <s v="Consumer"/>
    <s v="United States"/>
    <s v="Mesa"/>
    <x v="16"/>
    <n v="85204"/>
    <x v="1"/>
    <x v="470"/>
    <x v="1"/>
    <x v="4"/>
    <x v="471"/>
    <n v="16.768000000000001"/>
    <s v="Low"/>
    <n v="2"/>
    <n v="0.2"/>
    <x v="2"/>
    <x v="2"/>
    <n v="1.4672000000000001"/>
    <n v="8.7499999999999994E-2"/>
    <n v="0"/>
  </r>
  <r>
    <n v="537"/>
    <s v="US-2017-122637"/>
    <d v="2017-09-03T00:00:00"/>
    <x v="3"/>
    <s v="Q3"/>
    <x v="15"/>
    <d v="2017-09-08T00:00:00"/>
    <s v="Second Class"/>
    <x v="212"/>
    <x v="212"/>
    <s v="Consumer"/>
    <s v="United States"/>
    <s v="Chicago"/>
    <x v="10"/>
    <n v="60653"/>
    <x v="2"/>
    <x v="471"/>
    <x v="1"/>
    <x v="8"/>
    <x v="472"/>
    <n v="42.616"/>
    <s v="Medium"/>
    <n v="7"/>
    <n v="0.8"/>
    <x v="1"/>
    <x v="3"/>
    <n v="-68.185599999999994"/>
    <n v="-1.5999999999999999"/>
    <n v="1"/>
  </r>
  <r>
    <n v="538"/>
    <s v="CA-2015-147851"/>
    <d v="2015-12-03T00:00:00"/>
    <x v="1"/>
    <s v="Q4"/>
    <x v="14"/>
    <d v="2015-12-08T00:00:00"/>
    <s v="Standard Class"/>
    <x v="88"/>
    <x v="88"/>
    <s v="Home Office"/>
    <s v="United States"/>
    <s v="New York City"/>
    <x v="15"/>
    <n v="10009"/>
    <x v="3"/>
    <x v="472"/>
    <x v="1"/>
    <x v="8"/>
    <x v="473"/>
    <n v="10.752000000000001"/>
    <s v="Low"/>
    <n v="4"/>
    <n v="0.2"/>
    <x v="2"/>
    <x v="2"/>
    <n v="3.36"/>
    <n v="0.31249999999999994"/>
    <n v="0"/>
  </r>
  <r>
    <n v="539"/>
    <s v="CA-2015-134894"/>
    <d v="2015-12-07T00:00:00"/>
    <x v="1"/>
    <s v="Q4"/>
    <x v="14"/>
    <d v="2015-12-11T00:00:00"/>
    <s v="Standard Class"/>
    <x v="213"/>
    <x v="213"/>
    <s v="Consumer"/>
    <s v="United States"/>
    <s v="Henderson"/>
    <x v="0"/>
    <n v="42420"/>
    <x v="0"/>
    <x v="473"/>
    <x v="1"/>
    <x v="9"/>
    <x v="474"/>
    <n v="152.94"/>
    <s v="High"/>
    <n v="3"/>
    <n v="0"/>
    <x v="0"/>
    <x v="0"/>
    <n v="41.293799999999997"/>
    <n v="0.26999999999999996"/>
    <n v="0"/>
  </r>
  <r>
    <n v="540"/>
    <s v="CA-2015-134894"/>
    <d v="2015-12-07T00:00:00"/>
    <x v="1"/>
    <s v="Q4"/>
    <x v="14"/>
    <d v="2015-12-11T00:00:00"/>
    <s v="Standard Class"/>
    <x v="213"/>
    <x v="213"/>
    <s v="Consumer"/>
    <s v="United States"/>
    <s v="Henderson"/>
    <x v="0"/>
    <n v="42420"/>
    <x v="0"/>
    <x v="474"/>
    <x v="0"/>
    <x v="1"/>
    <x v="475"/>
    <n v="283.92"/>
    <s v="High"/>
    <n v="4"/>
    <n v="0"/>
    <x v="0"/>
    <x v="0"/>
    <n v="70.98"/>
    <n v="0.25"/>
    <n v="0"/>
  </r>
  <r>
    <n v="541"/>
    <s v="CA-2014-140795"/>
    <d v="2014-02-01T00:00:00"/>
    <x v="2"/>
    <s v="Q1"/>
    <x v="45"/>
    <d v="2014-02-03T00:00:00"/>
    <s v="First Class"/>
    <x v="214"/>
    <x v="214"/>
    <s v="Consumer"/>
    <s v="United States"/>
    <s v="Green Bay"/>
    <x v="6"/>
    <n v="54302"/>
    <x v="2"/>
    <x v="475"/>
    <x v="2"/>
    <x v="11"/>
    <x v="476"/>
    <n v="468.9"/>
    <s v="High"/>
    <n v="6"/>
    <n v="0"/>
    <x v="0"/>
    <x v="0"/>
    <n v="206.316"/>
    <n v="0.44"/>
    <n v="0"/>
  </r>
  <r>
    <n v="542"/>
    <s v="CA-2016-136924"/>
    <d v="2016-07-14T00:00:00"/>
    <x v="0"/>
    <s v="Q3"/>
    <x v="16"/>
    <d v="2016-07-17T00:00:00"/>
    <s v="First Class"/>
    <x v="20"/>
    <x v="20"/>
    <s v="Corporate"/>
    <s v="United States"/>
    <s v="Tucson"/>
    <x v="16"/>
    <n v="85705"/>
    <x v="1"/>
    <x v="476"/>
    <x v="2"/>
    <x v="7"/>
    <x v="477"/>
    <n v="380.86399999999998"/>
    <s v="High"/>
    <n v="8"/>
    <n v="0.2"/>
    <x v="2"/>
    <x v="2"/>
    <n v="38.086399999999998"/>
    <n v="0.1"/>
    <n v="0"/>
  </r>
  <r>
    <n v="543"/>
    <s v="US-2015-120161"/>
    <d v="2015-12-18T00:00:00"/>
    <x v="1"/>
    <s v="Q4"/>
    <x v="14"/>
    <d v="2015-12-23T00:00:00"/>
    <s v="Standard Class"/>
    <x v="215"/>
    <x v="215"/>
    <s v="Consumer"/>
    <s v="United States"/>
    <s v="Springfield"/>
    <x v="24"/>
    <n v="45503"/>
    <x v="3"/>
    <x v="435"/>
    <x v="1"/>
    <x v="4"/>
    <x v="435"/>
    <n v="646.77599999999995"/>
    <s v="High"/>
    <n v="9"/>
    <n v="0.2"/>
    <x v="2"/>
    <x v="2"/>
    <n v="-145.52459999999999"/>
    <n v="-0.22500000000000001"/>
    <n v="1"/>
  </r>
  <r>
    <n v="544"/>
    <s v="CA-2014-103849"/>
    <d v="2014-05-11T00:00:00"/>
    <x v="2"/>
    <s v="Q2"/>
    <x v="8"/>
    <d v="2014-05-16T00:00:00"/>
    <s v="Standard Class"/>
    <x v="38"/>
    <x v="38"/>
    <s v="Consumer"/>
    <s v="United States"/>
    <s v="Fort Worth"/>
    <x v="5"/>
    <n v="76106"/>
    <x v="2"/>
    <x v="477"/>
    <x v="2"/>
    <x v="11"/>
    <x v="478"/>
    <n v="58.112000000000002"/>
    <s v="Medium"/>
    <n v="2"/>
    <n v="0.2"/>
    <x v="2"/>
    <x v="2"/>
    <n v="7.2640000000000002"/>
    <n v="0.125"/>
    <n v="0"/>
  </r>
  <r>
    <n v="545"/>
    <s v="CA-2014-103849"/>
    <d v="2014-05-11T00:00:00"/>
    <x v="2"/>
    <s v="Q2"/>
    <x v="8"/>
    <d v="2014-05-16T00:00:00"/>
    <s v="Standard Class"/>
    <x v="38"/>
    <x v="38"/>
    <s v="Consumer"/>
    <s v="United States"/>
    <s v="Fort Worth"/>
    <x v="5"/>
    <n v="76106"/>
    <x v="2"/>
    <x v="478"/>
    <x v="2"/>
    <x v="7"/>
    <x v="479"/>
    <n v="100.792"/>
    <s v="Medium"/>
    <n v="1"/>
    <n v="0.2"/>
    <x v="2"/>
    <x v="2"/>
    <n v="6.2995000000000001"/>
    <n v="6.25E-2"/>
    <n v="0"/>
  </r>
  <r>
    <n v="546"/>
    <s v="CA-2014-103849"/>
    <d v="2014-05-11T00:00:00"/>
    <x v="2"/>
    <s v="Q2"/>
    <x v="8"/>
    <d v="2014-05-16T00:00:00"/>
    <s v="Standard Class"/>
    <x v="38"/>
    <x v="38"/>
    <s v="Consumer"/>
    <s v="United States"/>
    <s v="Fort Worth"/>
    <x v="5"/>
    <n v="76106"/>
    <x v="2"/>
    <x v="479"/>
    <x v="0"/>
    <x v="5"/>
    <x v="480"/>
    <n v="66.111999999999995"/>
    <s v="Medium"/>
    <n v="4"/>
    <n v="0.6"/>
    <x v="1"/>
    <x v="6"/>
    <n v="-84.2928"/>
    <n v="-1.2750000000000001"/>
    <n v="1"/>
  </r>
  <r>
    <n v="547"/>
    <s v="CA-2017-162929"/>
    <d v="2017-11-19T00:00:00"/>
    <x v="3"/>
    <s v="Q4"/>
    <x v="23"/>
    <d v="2017-11-22T00:00:00"/>
    <s v="First Class"/>
    <x v="216"/>
    <x v="216"/>
    <s v="Home Office"/>
    <s v="United States"/>
    <s v="New York City"/>
    <x v="15"/>
    <n v="10035"/>
    <x v="3"/>
    <x v="480"/>
    <x v="1"/>
    <x v="8"/>
    <x v="481"/>
    <n v="41.28"/>
    <s v="Medium"/>
    <n v="6"/>
    <n v="0.2"/>
    <x v="2"/>
    <x v="2"/>
    <n v="13.932"/>
    <n v="0.33750000000000002"/>
    <n v="0"/>
  </r>
  <r>
    <n v="548"/>
    <s v="CA-2017-162929"/>
    <d v="2017-11-19T00:00:00"/>
    <x v="3"/>
    <s v="Q4"/>
    <x v="23"/>
    <d v="2017-11-22T00:00:00"/>
    <s v="First Class"/>
    <x v="216"/>
    <x v="216"/>
    <s v="Home Office"/>
    <s v="United States"/>
    <s v="New York City"/>
    <x v="15"/>
    <n v="10035"/>
    <x v="3"/>
    <x v="481"/>
    <x v="1"/>
    <x v="10"/>
    <x v="482"/>
    <n v="13.36"/>
    <s v="Low"/>
    <n v="2"/>
    <n v="0"/>
    <x v="0"/>
    <x v="0"/>
    <n v="6.4127999999999998"/>
    <n v="0.48"/>
    <n v="0"/>
  </r>
  <r>
    <n v="549"/>
    <s v="CA-2015-113173"/>
    <d v="2015-11-15T00:00:00"/>
    <x v="1"/>
    <s v="Q4"/>
    <x v="6"/>
    <d v="2015-11-17T00:00:00"/>
    <s v="Second Class"/>
    <x v="158"/>
    <x v="158"/>
    <s v="Corporate"/>
    <s v="United States"/>
    <s v="Chicago"/>
    <x v="10"/>
    <n v="60653"/>
    <x v="2"/>
    <x v="54"/>
    <x v="1"/>
    <x v="4"/>
    <x v="54"/>
    <n v="250.27199999999999"/>
    <s v="High"/>
    <n v="9"/>
    <n v="0.2"/>
    <x v="2"/>
    <x v="2"/>
    <n v="15.641999999999999"/>
    <n v="6.25E-2"/>
    <n v="0"/>
  </r>
  <r>
    <n v="550"/>
    <s v="CA-2015-113173"/>
    <d v="2015-11-15T00:00:00"/>
    <x v="1"/>
    <s v="Q4"/>
    <x v="6"/>
    <d v="2015-11-17T00:00:00"/>
    <s v="Second Class"/>
    <x v="158"/>
    <x v="158"/>
    <s v="Corporate"/>
    <s v="United States"/>
    <s v="Chicago"/>
    <x v="10"/>
    <n v="60653"/>
    <x v="2"/>
    <x v="92"/>
    <x v="1"/>
    <x v="8"/>
    <x v="92"/>
    <n v="11.364000000000001"/>
    <s v="Low"/>
    <n v="3"/>
    <n v="0.8"/>
    <x v="1"/>
    <x v="3"/>
    <n v="-17.045999999999999"/>
    <n v="-1.4999999999999998"/>
    <n v="1"/>
  </r>
  <r>
    <n v="551"/>
    <s v="CA-2015-113173"/>
    <d v="2015-11-15T00:00:00"/>
    <x v="1"/>
    <s v="Q4"/>
    <x v="6"/>
    <d v="2015-11-17T00:00:00"/>
    <s v="Second Class"/>
    <x v="158"/>
    <x v="158"/>
    <s v="Corporate"/>
    <s v="United States"/>
    <s v="Chicago"/>
    <x v="10"/>
    <n v="60653"/>
    <x v="2"/>
    <x v="482"/>
    <x v="1"/>
    <x v="14"/>
    <x v="327"/>
    <n v="8.7200000000000006"/>
    <s v="Low"/>
    <n v="5"/>
    <n v="0.2"/>
    <x v="2"/>
    <x v="2"/>
    <n v="-1.744"/>
    <n v="-0.19999999999999998"/>
    <n v="1"/>
  </r>
  <r>
    <n v="552"/>
    <s v="CA-2016-136406"/>
    <d v="2016-04-15T00:00:00"/>
    <x v="0"/>
    <s v="Q2"/>
    <x v="25"/>
    <d v="2016-04-17T00:00:00"/>
    <s v="Second Class"/>
    <x v="217"/>
    <x v="217"/>
    <s v="Consumer"/>
    <s v="United States"/>
    <s v="San Francisco"/>
    <x v="1"/>
    <n v="94110"/>
    <x v="1"/>
    <x v="483"/>
    <x v="0"/>
    <x v="1"/>
    <x v="483"/>
    <n v="1121.568"/>
    <s v="High"/>
    <n v="2"/>
    <n v="0.2"/>
    <x v="2"/>
    <x v="2"/>
    <n v="0"/>
    <n v="0"/>
    <n v="0"/>
  </r>
  <r>
    <n v="553"/>
    <s v="CA-2017-112774"/>
    <d v="2017-09-11T00:00:00"/>
    <x v="3"/>
    <s v="Q3"/>
    <x v="15"/>
    <d v="2017-09-12T00:00:00"/>
    <s v="First Class"/>
    <x v="53"/>
    <x v="53"/>
    <s v="Consumer"/>
    <s v="United States"/>
    <s v="Jacksonville"/>
    <x v="2"/>
    <n v="32216"/>
    <x v="0"/>
    <x v="484"/>
    <x v="0"/>
    <x v="5"/>
    <x v="484"/>
    <n v="34.503999999999998"/>
    <s v="Medium"/>
    <n v="1"/>
    <n v="0.2"/>
    <x v="2"/>
    <x v="2"/>
    <n v="6.0381999999999998"/>
    <n v="0.17500000000000002"/>
    <n v="0"/>
  </r>
  <r>
    <n v="554"/>
    <s v="CA-2017-101945"/>
    <d v="2017-11-24T00:00:00"/>
    <x v="3"/>
    <s v="Q4"/>
    <x v="23"/>
    <d v="2017-11-28T00:00:00"/>
    <s v="Standard Class"/>
    <x v="218"/>
    <x v="218"/>
    <s v="Consumer"/>
    <s v="United States"/>
    <s v="Houston"/>
    <x v="5"/>
    <n v="77070"/>
    <x v="2"/>
    <x v="485"/>
    <x v="1"/>
    <x v="13"/>
    <x v="485"/>
    <n v="10.824"/>
    <s v="Low"/>
    <n v="3"/>
    <n v="0.2"/>
    <x v="2"/>
    <x v="2"/>
    <n v="2.5707"/>
    <n v="0.23749999999999999"/>
    <n v="0"/>
  </r>
  <r>
    <n v="555"/>
    <s v="CA-2017-100650"/>
    <d v="2017-06-29T00:00:00"/>
    <x v="3"/>
    <s v="Q2"/>
    <x v="27"/>
    <d v="2017-07-03T00:00:00"/>
    <s v="Second Class"/>
    <x v="158"/>
    <x v="158"/>
    <s v="Corporate"/>
    <s v="United States"/>
    <s v="Anaheim"/>
    <x v="1"/>
    <n v="92804"/>
    <x v="1"/>
    <x v="486"/>
    <x v="1"/>
    <x v="4"/>
    <x v="486"/>
    <n v="1295.78"/>
    <s v="High"/>
    <n v="2"/>
    <n v="0"/>
    <x v="0"/>
    <x v="0"/>
    <n v="310.98719999999997"/>
    <n v="0.24"/>
    <n v="0"/>
  </r>
  <r>
    <n v="556"/>
    <s v="CA-2014-155852"/>
    <d v="2014-03-03T00:00:00"/>
    <x v="2"/>
    <s v="Q1"/>
    <x v="34"/>
    <d v="2014-03-07T00:00:00"/>
    <s v="Second Class"/>
    <x v="219"/>
    <x v="219"/>
    <s v="Consumer"/>
    <s v="United States"/>
    <s v="Wilmington"/>
    <x v="3"/>
    <n v="28403"/>
    <x v="0"/>
    <x v="487"/>
    <x v="1"/>
    <x v="6"/>
    <x v="487"/>
    <n v="19.456"/>
    <s v="Low"/>
    <n v="4"/>
    <n v="0.2"/>
    <x v="2"/>
    <x v="2"/>
    <n v="3.4047999999999998"/>
    <n v="0.17499999999999999"/>
    <n v="0"/>
  </r>
  <r>
    <n v="557"/>
    <s v="CA-2016-113243"/>
    <d v="2016-06-10T00:00:00"/>
    <x v="0"/>
    <s v="Q2"/>
    <x v="1"/>
    <d v="2016-06-15T00:00:00"/>
    <s v="Standard Class"/>
    <x v="220"/>
    <x v="220"/>
    <s v="Consumer"/>
    <s v="United States"/>
    <s v="Los Angeles"/>
    <x v="1"/>
    <n v="90045"/>
    <x v="1"/>
    <x v="488"/>
    <x v="1"/>
    <x v="2"/>
    <x v="488"/>
    <n v="20.7"/>
    <s v="Low"/>
    <n v="2"/>
    <n v="0"/>
    <x v="0"/>
    <x v="0"/>
    <n v="9.9359999999999999"/>
    <n v="0.48000000000000004"/>
    <n v="0"/>
  </r>
  <r>
    <n v="558"/>
    <s v="CA-2016-113243"/>
    <d v="2016-06-10T00:00:00"/>
    <x v="0"/>
    <s v="Q2"/>
    <x v="1"/>
    <d v="2016-06-15T00:00:00"/>
    <s v="Standard Class"/>
    <x v="220"/>
    <x v="220"/>
    <s v="Consumer"/>
    <s v="United States"/>
    <s v="Los Angeles"/>
    <x v="1"/>
    <n v="90045"/>
    <x v="1"/>
    <x v="489"/>
    <x v="0"/>
    <x v="3"/>
    <x v="489"/>
    <n v="1335.68"/>
    <s v="High"/>
    <n v="4"/>
    <n v="0.2"/>
    <x v="2"/>
    <x v="2"/>
    <n v="-217.048"/>
    <n v="-0.16250000000000001"/>
    <n v="1"/>
  </r>
  <r>
    <n v="559"/>
    <s v="CA-2016-113243"/>
    <d v="2016-06-10T00:00:00"/>
    <x v="0"/>
    <s v="Q2"/>
    <x v="1"/>
    <d v="2016-06-15T00:00:00"/>
    <s v="Standard Class"/>
    <x v="220"/>
    <x v="220"/>
    <s v="Consumer"/>
    <s v="United States"/>
    <s v="Los Angeles"/>
    <x v="1"/>
    <n v="90045"/>
    <x v="1"/>
    <x v="490"/>
    <x v="1"/>
    <x v="10"/>
    <x v="490"/>
    <n v="32.4"/>
    <s v="Medium"/>
    <n v="5"/>
    <n v="0"/>
    <x v="0"/>
    <x v="0"/>
    <n v="15.552"/>
    <n v="0.48"/>
    <n v="0"/>
  </r>
  <r>
    <n v="560"/>
    <s v="CA-2017-118731"/>
    <d v="2017-11-20T00:00:00"/>
    <x v="3"/>
    <s v="Q4"/>
    <x v="23"/>
    <d v="2017-11-22T00:00:00"/>
    <s v="Second Class"/>
    <x v="221"/>
    <x v="221"/>
    <s v="Consumer"/>
    <s v="United States"/>
    <s v="San Francisco"/>
    <x v="1"/>
    <n v="94110"/>
    <x v="1"/>
    <x v="378"/>
    <x v="0"/>
    <x v="5"/>
    <x v="379"/>
    <n v="42.6"/>
    <s v="Medium"/>
    <n v="3"/>
    <n v="0"/>
    <x v="0"/>
    <x v="0"/>
    <n v="16.614000000000001"/>
    <n v="0.39"/>
    <n v="0"/>
  </r>
  <r>
    <n v="561"/>
    <s v="CA-2017-118731"/>
    <d v="2017-11-20T00:00:00"/>
    <x v="3"/>
    <s v="Q4"/>
    <x v="23"/>
    <d v="2017-11-22T00:00:00"/>
    <s v="Second Class"/>
    <x v="221"/>
    <x v="221"/>
    <s v="Consumer"/>
    <s v="United States"/>
    <s v="San Francisco"/>
    <x v="1"/>
    <n v="94110"/>
    <x v="1"/>
    <x v="491"/>
    <x v="1"/>
    <x v="8"/>
    <x v="491"/>
    <n v="84.055999999999997"/>
    <s v="Medium"/>
    <n v="7"/>
    <n v="0.2"/>
    <x v="2"/>
    <x v="2"/>
    <n v="27.318200000000001"/>
    <n v="0.32500000000000001"/>
    <n v="0"/>
  </r>
  <r>
    <n v="562"/>
    <s v="CA-2014-145576"/>
    <d v="2014-09-14T00:00:00"/>
    <x v="2"/>
    <s v="Q3"/>
    <x v="30"/>
    <d v="2014-09-18T00:00:00"/>
    <s v="Second Class"/>
    <x v="222"/>
    <x v="222"/>
    <s v="Consumer"/>
    <s v="United States"/>
    <s v="Tampa"/>
    <x v="2"/>
    <n v="33614"/>
    <x v="0"/>
    <x v="492"/>
    <x v="1"/>
    <x v="9"/>
    <x v="492"/>
    <n v="13"/>
    <s v="Low"/>
    <n v="5"/>
    <n v="0.2"/>
    <x v="2"/>
    <x v="2"/>
    <n v="1.3"/>
    <n v="0.1"/>
    <n v="0"/>
  </r>
  <r>
    <n v="563"/>
    <s v="CA-2014-145576"/>
    <d v="2014-09-14T00:00:00"/>
    <x v="2"/>
    <s v="Q3"/>
    <x v="30"/>
    <d v="2014-09-18T00:00:00"/>
    <s v="Second Class"/>
    <x v="222"/>
    <x v="222"/>
    <s v="Consumer"/>
    <s v="United States"/>
    <s v="Tampa"/>
    <x v="2"/>
    <n v="33614"/>
    <x v="0"/>
    <x v="493"/>
    <x v="0"/>
    <x v="5"/>
    <x v="493"/>
    <n v="13.128"/>
    <s v="Low"/>
    <n v="3"/>
    <n v="0.2"/>
    <x v="2"/>
    <x v="2"/>
    <n v="3.7743000000000002"/>
    <n v="0.28750000000000003"/>
    <n v="0"/>
  </r>
  <r>
    <n v="564"/>
    <s v="CA-2015-130736"/>
    <d v="2015-12-07T00:00:00"/>
    <x v="1"/>
    <s v="Q4"/>
    <x v="14"/>
    <d v="2015-12-09T00:00:00"/>
    <s v="First Class"/>
    <x v="223"/>
    <x v="223"/>
    <s v="Consumer"/>
    <s v="United States"/>
    <s v="Seattle"/>
    <x v="4"/>
    <n v="98105"/>
    <x v="1"/>
    <x v="494"/>
    <x v="1"/>
    <x v="13"/>
    <x v="494"/>
    <n v="3.96"/>
    <s v="Low"/>
    <n v="2"/>
    <n v="0"/>
    <x v="0"/>
    <x v="0"/>
    <n v="0"/>
    <n v="0"/>
    <n v="0"/>
  </r>
  <r>
    <n v="565"/>
    <s v="CA-2015-130736"/>
    <d v="2015-12-07T00:00:00"/>
    <x v="1"/>
    <s v="Q4"/>
    <x v="14"/>
    <d v="2015-12-09T00:00:00"/>
    <s v="First Class"/>
    <x v="223"/>
    <x v="223"/>
    <s v="Consumer"/>
    <s v="United States"/>
    <s v="Seattle"/>
    <x v="4"/>
    <n v="98105"/>
    <x v="1"/>
    <x v="286"/>
    <x v="1"/>
    <x v="2"/>
    <x v="286"/>
    <n v="2.61"/>
    <s v="Low"/>
    <n v="1"/>
    <n v="0"/>
    <x v="0"/>
    <x v="0"/>
    <n v="1.2005999999999999"/>
    <n v="0.45999999999999996"/>
    <n v="0"/>
  </r>
  <r>
    <n v="566"/>
    <s v="CA-2017-137099"/>
    <d v="2017-12-07T00:00:00"/>
    <x v="3"/>
    <s v="Q4"/>
    <x v="22"/>
    <d v="2017-12-10T00:00:00"/>
    <s v="First Class"/>
    <x v="224"/>
    <x v="224"/>
    <s v="Consumer"/>
    <s v="United States"/>
    <s v="Los Angeles"/>
    <x v="1"/>
    <n v="90008"/>
    <x v="1"/>
    <x v="495"/>
    <x v="2"/>
    <x v="7"/>
    <x v="495"/>
    <n v="374.37599999999998"/>
    <s v="High"/>
    <n v="3"/>
    <n v="0.2"/>
    <x v="2"/>
    <x v="2"/>
    <n v="46.796999999999997"/>
    <n v="0.125"/>
    <n v="0"/>
  </r>
  <r>
    <n v="567"/>
    <s v="CA-2017-156951"/>
    <d v="2017-10-01T00:00:00"/>
    <x v="3"/>
    <s v="Q4"/>
    <x v="13"/>
    <d v="2017-10-08T00:00:00"/>
    <s v="Standard Class"/>
    <x v="225"/>
    <x v="225"/>
    <s v="Corporate"/>
    <s v="United States"/>
    <s v="Seattle"/>
    <x v="4"/>
    <n v="98105"/>
    <x v="1"/>
    <x v="496"/>
    <x v="1"/>
    <x v="10"/>
    <x v="496"/>
    <n v="91.84"/>
    <s v="Medium"/>
    <n v="8"/>
    <n v="0"/>
    <x v="0"/>
    <x v="0"/>
    <n v="45.001600000000003"/>
    <n v="0.49"/>
    <n v="0"/>
  </r>
  <r>
    <n v="568"/>
    <s v="CA-2017-156951"/>
    <d v="2017-10-01T00:00:00"/>
    <x v="3"/>
    <s v="Q4"/>
    <x v="13"/>
    <d v="2017-10-08T00:00:00"/>
    <s v="Standard Class"/>
    <x v="225"/>
    <x v="225"/>
    <s v="Corporate"/>
    <s v="United States"/>
    <s v="Seattle"/>
    <x v="4"/>
    <n v="98105"/>
    <x v="1"/>
    <x v="497"/>
    <x v="1"/>
    <x v="8"/>
    <x v="497"/>
    <n v="81.087999999999994"/>
    <s v="Medium"/>
    <n v="7"/>
    <n v="0.2"/>
    <x v="2"/>
    <x v="2"/>
    <n v="27.3672"/>
    <n v="0.33750000000000002"/>
    <n v="0"/>
  </r>
  <r>
    <n v="569"/>
    <s v="CA-2017-156951"/>
    <d v="2017-10-01T00:00:00"/>
    <x v="3"/>
    <s v="Q4"/>
    <x v="13"/>
    <d v="2017-10-08T00:00:00"/>
    <s v="Standard Class"/>
    <x v="225"/>
    <x v="225"/>
    <s v="Corporate"/>
    <s v="United States"/>
    <s v="Seattle"/>
    <x v="4"/>
    <n v="98105"/>
    <x v="1"/>
    <x v="498"/>
    <x v="1"/>
    <x v="10"/>
    <x v="498"/>
    <n v="19.440000000000001"/>
    <s v="Low"/>
    <n v="3"/>
    <n v="0"/>
    <x v="0"/>
    <x v="0"/>
    <n v="9.3312000000000008"/>
    <n v="0.48000000000000004"/>
    <n v="0"/>
  </r>
  <r>
    <n v="570"/>
    <s v="CA-2017-156951"/>
    <d v="2017-10-01T00:00:00"/>
    <x v="3"/>
    <s v="Q4"/>
    <x v="13"/>
    <d v="2017-10-08T00:00:00"/>
    <s v="Standard Class"/>
    <x v="225"/>
    <x v="225"/>
    <s v="Corporate"/>
    <s v="United States"/>
    <s v="Seattle"/>
    <x v="4"/>
    <n v="98105"/>
    <x v="1"/>
    <x v="499"/>
    <x v="0"/>
    <x v="1"/>
    <x v="499"/>
    <n v="451.15199999999999"/>
    <s v="High"/>
    <n v="3"/>
    <n v="0.2"/>
    <x v="2"/>
    <x v="2"/>
    <n v="0"/>
    <n v="0"/>
    <n v="0"/>
  </r>
  <r>
    <n v="571"/>
    <s v="CA-2017-164826"/>
    <d v="2017-12-28T00:00:00"/>
    <x v="3"/>
    <s v="Q4"/>
    <x v="22"/>
    <d v="2018-01-04T00:00:00"/>
    <s v="Standard Class"/>
    <x v="226"/>
    <x v="226"/>
    <s v="Consumer"/>
    <s v="United States"/>
    <s v="New York City"/>
    <x v="15"/>
    <n v="10024"/>
    <x v="3"/>
    <x v="488"/>
    <x v="1"/>
    <x v="2"/>
    <x v="488"/>
    <n v="72.45"/>
    <s v="Medium"/>
    <n v="7"/>
    <n v="0"/>
    <x v="0"/>
    <x v="0"/>
    <n v="34.776000000000003"/>
    <n v="0.48000000000000004"/>
    <n v="0"/>
  </r>
  <r>
    <n v="572"/>
    <s v="CA-2017-164826"/>
    <d v="2017-12-28T00:00:00"/>
    <x v="3"/>
    <s v="Q4"/>
    <x v="22"/>
    <d v="2018-01-04T00:00:00"/>
    <s v="Standard Class"/>
    <x v="226"/>
    <x v="226"/>
    <s v="Consumer"/>
    <s v="United States"/>
    <s v="New York City"/>
    <x v="15"/>
    <n v="10024"/>
    <x v="3"/>
    <x v="203"/>
    <x v="1"/>
    <x v="13"/>
    <x v="204"/>
    <n v="13.96"/>
    <s v="Low"/>
    <n v="4"/>
    <n v="0"/>
    <x v="0"/>
    <x v="0"/>
    <n v="6.4215999999999998"/>
    <n v="0.45999999999999996"/>
    <n v="0"/>
  </r>
  <r>
    <n v="573"/>
    <s v="CA-2017-164826"/>
    <d v="2017-12-28T00:00:00"/>
    <x v="3"/>
    <s v="Q4"/>
    <x v="22"/>
    <d v="2018-01-04T00:00:00"/>
    <s v="Standard Class"/>
    <x v="226"/>
    <x v="226"/>
    <s v="Consumer"/>
    <s v="United States"/>
    <s v="New York City"/>
    <x v="15"/>
    <n v="10024"/>
    <x v="3"/>
    <x v="305"/>
    <x v="1"/>
    <x v="8"/>
    <x v="305"/>
    <n v="33.264000000000003"/>
    <s v="Medium"/>
    <n v="7"/>
    <n v="0.2"/>
    <x v="2"/>
    <x v="2"/>
    <n v="11.226599999999999"/>
    <n v="0.33749999999999997"/>
    <n v="0"/>
  </r>
  <r>
    <n v="574"/>
    <s v="CA-2017-164826"/>
    <d v="2017-12-28T00:00:00"/>
    <x v="3"/>
    <s v="Q4"/>
    <x v="22"/>
    <d v="2018-01-04T00:00:00"/>
    <s v="Standard Class"/>
    <x v="226"/>
    <x v="226"/>
    <s v="Consumer"/>
    <s v="United States"/>
    <s v="New York City"/>
    <x v="15"/>
    <n v="10024"/>
    <x v="3"/>
    <x v="500"/>
    <x v="2"/>
    <x v="7"/>
    <x v="500"/>
    <n v="14.85"/>
    <s v="Low"/>
    <n v="3"/>
    <n v="0"/>
    <x v="0"/>
    <x v="0"/>
    <n v="4.0095000000000001"/>
    <n v="0.27"/>
    <n v="0"/>
  </r>
  <r>
    <n v="575"/>
    <s v="CA-2016-127250"/>
    <d v="2016-11-03T00:00:00"/>
    <x v="0"/>
    <s v="Q4"/>
    <x v="0"/>
    <d v="2016-11-07T00:00:00"/>
    <s v="Standard Class"/>
    <x v="227"/>
    <x v="227"/>
    <s v="Consumer"/>
    <s v="United States"/>
    <s v="Marysville"/>
    <x v="4"/>
    <n v="98270"/>
    <x v="1"/>
    <x v="501"/>
    <x v="1"/>
    <x v="6"/>
    <x v="501"/>
    <n v="8.82"/>
    <s v="Low"/>
    <n v="3"/>
    <n v="0"/>
    <x v="0"/>
    <x v="0"/>
    <n v="2.3814000000000002"/>
    <n v="0.27"/>
    <n v="0"/>
  </r>
  <r>
    <n v="576"/>
    <s v="CA-2015-149713"/>
    <d v="2015-09-18T00:00:00"/>
    <x v="1"/>
    <s v="Q3"/>
    <x v="11"/>
    <d v="2015-09-22T00:00:00"/>
    <s v="Second Class"/>
    <x v="228"/>
    <x v="228"/>
    <s v="Consumer"/>
    <s v="United States"/>
    <s v="Long Beach"/>
    <x v="1"/>
    <n v="90805"/>
    <x v="1"/>
    <x v="496"/>
    <x v="1"/>
    <x v="10"/>
    <x v="496"/>
    <n v="160.72"/>
    <s v="High"/>
    <n v="14"/>
    <n v="0"/>
    <x v="0"/>
    <x v="0"/>
    <n v="78.752799999999993"/>
    <n v="0.48999999999999994"/>
    <n v="0"/>
  </r>
  <r>
    <n v="577"/>
    <s v="CA-2015-149713"/>
    <d v="2015-09-18T00:00:00"/>
    <x v="1"/>
    <s v="Q3"/>
    <x v="11"/>
    <d v="2015-09-22T00:00:00"/>
    <s v="Second Class"/>
    <x v="228"/>
    <x v="228"/>
    <s v="Consumer"/>
    <s v="United States"/>
    <s v="Long Beach"/>
    <x v="1"/>
    <n v="90805"/>
    <x v="1"/>
    <x v="502"/>
    <x v="1"/>
    <x v="10"/>
    <x v="502"/>
    <n v="19.920000000000002"/>
    <s v="Low"/>
    <n v="4"/>
    <n v="0"/>
    <x v="0"/>
    <x v="0"/>
    <n v="9.7607999999999997"/>
    <n v="0.48999999999999994"/>
    <n v="0"/>
  </r>
  <r>
    <n v="578"/>
    <s v="CA-2015-149713"/>
    <d v="2015-09-18T00:00:00"/>
    <x v="1"/>
    <s v="Q3"/>
    <x v="11"/>
    <d v="2015-09-22T00:00:00"/>
    <s v="Second Class"/>
    <x v="228"/>
    <x v="228"/>
    <s v="Consumer"/>
    <s v="United States"/>
    <s v="Long Beach"/>
    <x v="1"/>
    <n v="90805"/>
    <x v="1"/>
    <x v="503"/>
    <x v="1"/>
    <x v="14"/>
    <x v="503"/>
    <n v="7.3"/>
    <s v="Low"/>
    <n v="2"/>
    <n v="0"/>
    <x v="0"/>
    <x v="0"/>
    <n v="2.19"/>
    <n v="0.3"/>
    <n v="0"/>
  </r>
  <r>
    <n v="579"/>
    <s v="CA-2017-118640"/>
    <d v="2017-07-20T00:00:00"/>
    <x v="3"/>
    <s v="Q3"/>
    <x v="10"/>
    <d v="2017-07-26T00:00:00"/>
    <s v="Standard Class"/>
    <x v="229"/>
    <x v="229"/>
    <s v="Consumer"/>
    <s v="United States"/>
    <s v="Chicago"/>
    <x v="10"/>
    <n v="60610"/>
    <x v="2"/>
    <x v="123"/>
    <x v="1"/>
    <x v="4"/>
    <x v="123"/>
    <n v="69.712000000000003"/>
    <s v="Medium"/>
    <n v="2"/>
    <n v="0.2"/>
    <x v="2"/>
    <x v="2"/>
    <n v="8.7140000000000004"/>
    <n v="0.125"/>
    <n v="0"/>
  </r>
  <r>
    <n v="580"/>
    <s v="CA-2017-118640"/>
    <d v="2017-07-20T00:00:00"/>
    <x v="3"/>
    <s v="Q3"/>
    <x v="10"/>
    <d v="2017-07-26T00:00:00"/>
    <s v="Standard Class"/>
    <x v="229"/>
    <x v="229"/>
    <s v="Consumer"/>
    <s v="United States"/>
    <s v="Chicago"/>
    <x v="10"/>
    <n v="60610"/>
    <x v="2"/>
    <x v="504"/>
    <x v="0"/>
    <x v="5"/>
    <x v="504"/>
    <n v="8.7919999999999998"/>
    <s v="Low"/>
    <n v="1"/>
    <n v="0.6"/>
    <x v="1"/>
    <x v="6"/>
    <n v="-5.7148000000000003"/>
    <n v="-0.65"/>
    <n v="1"/>
  </r>
  <r>
    <n v="581"/>
    <s v="CA-2015-132906"/>
    <d v="2015-09-10T00:00:00"/>
    <x v="1"/>
    <s v="Q3"/>
    <x v="11"/>
    <d v="2015-09-14T00:00:00"/>
    <s v="Standard Class"/>
    <x v="230"/>
    <x v="230"/>
    <s v="Consumer"/>
    <s v="United States"/>
    <s v="Los Angeles"/>
    <x v="1"/>
    <n v="90004"/>
    <x v="1"/>
    <x v="505"/>
    <x v="1"/>
    <x v="14"/>
    <x v="505"/>
    <n v="51.52"/>
    <s v="Medium"/>
    <n v="4"/>
    <n v="0"/>
    <x v="0"/>
    <x v="0"/>
    <n v="1.5456000000000001"/>
    <n v="0.03"/>
    <n v="0"/>
  </r>
  <r>
    <n v="582"/>
    <s v="CA-2017-145233"/>
    <d v="2017-12-01T00:00:00"/>
    <x v="3"/>
    <s v="Q4"/>
    <x v="22"/>
    <d v="2017-12-05T00:00:00"/>
    <s v="Standard Class"/>
    <x v="231"/>
    <x v="231"/>
    <s v="Consumer"/>
    <s v="United States"/>
    <s v="Denver"/>
    <x v="22"/>
    <n v="80219"/>
    <x v="1"/>
    <x v="34"/>
    <x v="2"/>
    <x v="7"/>
    <x v="34"/>
    <n v="470.37599999999998"/>
    <s v="High"/>
    <n v="3"/>
    <n v="0.2"/>
    <x v="2"/>
    <x v="2"/>
    <n v="52.917299999999997"/>
    <n v="0.1125"/>
    <n v="0"/>
  </r>
  <r>
    <n v="583"/>
    <s v="CA-2017-145233"/>
    <d v="2017-12-01T00:00:00"/>
    <x v="3"/>
    <s v="Q4"/>
    <x v="22"/>
    <d v="2017-12-05T00:00:00"/>
    <s v="Standard Class"/>
    <x v="231"/>
    <x v="231"/>
    <s v="Consumer"/>
    <s v="United States"/>
    <s v="Denver"/>
    <x v="22"/>
    <n v="80219"/>
    <x v="1"/>
    <x v="506"/>
    <x v="2"/>
    <x v="7"/>
    <x v="506"/>
    <n v="105.584"/>
    <s v="Medium"/>
    <n v="2"/>
    <n v="0.2"/>
    <x v="2"/>
    <x v="2"/>
    <n v="9.2385999999999999"/>
    <n v="8.7499999999999994E-2"/>
    <n v="0"/>
  </r>
  <r>
    <n v="584"/>
    <s v="CA-2017-145233"/>
    <d v="2017-12-01T00:00:00"/>
    <x v="3"/>
    <s v="Q4"/>
    <x v="22"/>
    <d v="2017-12-05T00:00:00"/>
    <s v="Standard Class"/>
    <x v="231"/>
    <x v="231"/>
    <s v="Consumer"/>
    <s v="United States"/>
    <s v="Denver"/>
    <x v="22"/>
    <n v="80219"/>
    <x v="1"/>
    <x v="95"/>
    <x v="1"/>
    <x v="9"/>
    <x v="95"/>
    <n v="31.152000000000001"/>
    <s v="Medium"/>
    <n v="3"/>
    <n v="0.2"/>
    <x v="2"/>
    <x v="2"/>
    <n v="3.5045999999999999"/>
    <n v="0.11249999999999999"/>
    <n v="0"/>
  </r>
  <r>
    <n v="585"/>
    <s v="CA-2017-145233"/>
    <d v="2017-12-01T00:00:00"/>
    <x v="3"/>
    <s v="Q4"/>
    <x v="22"/>
    <d v="2017-12-05T00:00:00"/>
    <s v="Standard Class"/>
    <x v="231"/>
    <x v="231"/>
    <s v="Consumer"/>
    <s v="United States"/>
    <s v="Denver"/>
    <x v="22"/>
    <n v="80219"/>
    <x v="1"/>
    <x v="507"/>
    <x v="1"/>
    <x v="8"/>
    <x v="507"/>
    <n v="6.7830000000000004"/>
    <s v="Low"/>
    <n v="7"/>
    <n v="0.7"/>
    <x v="1"/>
    <x v="5"/>
    <n v="-4.7481"/>
    <n v="-0.7"/>
    <n v="1"/>
  </r>
  <r>
    <n v="586"/>
    <s v="CA-2017-145233"/>
    <d v="2017-12-01T00:00:00"/>
    <x v="3"/>
    <s v="Q4"/>
    <x v="22"/>
    <d v="2017-12-05T00:00:00"/>
    <s v="Standard Class"/>
    <x v="231"/>
    <x v="231"/>
    <s v="Consumer"/>
    <s v="United States"/>
    <s v="Denver"/>
    <x v="22"/>
    <n v="80219"/>
    <x v="1"/>
    <x v="143"/>
    <x v="2"/>
    <x v="7"/>
    <x v="144"/>
    <n v="406.36799999999999"/>
    <s v="High"/>
    <n v="4"/>
    <n v="0.2"/>
    <x v="2"/>
    <x v="2"/>
    <n v="30.477599999999999"/>
    <n v="7.4999999999999997E-2"/>
    <n v="0"/>
  </r>
  <r>
    <n v="587"/>
    <s v="CA-2015-128139"/>
    <d v="2015-07-03T00:00:00"/>
    <x v="1"/>
    <s v="Q3"/>
    <x v="38"/>
    <d v="2015-07-09T00:00:00"/>
    <s v="Standard Class"/>
    <x v="232"/>
    <x v="232"/>
    <s v="Consumer"/>
    <s v="United States"/>
    <s v="Richmond"/>
    <x v="0"/>
    <n v="40475"/>
    <x v="0"/>
    <x v="367"/>
    <x v="0"/>
    <x v="1"/>
    <x v="368"/>
    <n v="70.98"/>
    <s v="Medium"/>
    <n v="1"/>
    <n v="0"/>
    <x v="0"/>
    <x v="0"/>
    <n v="4.9686000000000003"/>
    <n v="7.0000000000000007E-2"/>
    <n v="0"/>
  </r>
  <r>
    <n v="588"/>
    <s v="CA-2015-128139"/>
    <d v="2015-07-03T00:00:00"/>
    <x v="1"/>
    <s v="Q3"/>
    <x v="38"/>
    <d v="2015-07-09T00:00:00"/>
    <s v="Standard Class"/>
    <x v="232"/>
    <x v="232"/>
    <s v="Consumer"/>
    <s v="United States"/>
    <s v="Richmond"/>
    <x v="0"/>
    <n v="40475"/>
    <x v="0"/>
    <x v="508"/>
    <x v="1"/>
    <x v="2"/>
    <x v="508"/>
    <n v="294.93"/>
    <s v="High"/>
    <n v="3"/>
    <n v="0"/>
    <x v="0"/>
    <x v="0"/>
    <n v="144.51570000000001"/>
    <n v="0.49000000000000005"/>
    <n v="0"/>
  </r>
  <r>
    <n v="589"/>
    <s v="US-2016-156986"/>
    <d v="2016-03-20T00:00:00"/>
    <x v="0"/>
    <s v="Q1"/>
    <x v="17"/>
    <d v="2016-03-24T00:00:00"/>
    <s v="Standard Class"/>
    <x v="233"/>
    <x v="233"/>
    <s v="Consumer"/>
    <s v="United States"/>
    <s v="Salem"/>
    <x v="21"/>
    <n v="97301"/>
    <x v="1"/>
    <x v="509"/>
    <x v="2"/>
    <x v="7"/>
    <x v="509"/>
    <n v="84.784000000000006"/>
    <s v="Medium"/>
    <n v="2"/>
    <n v="0.2"/>
    <x v="2"/>
    <x v="2"/>
    <n v="-20.136199999999999"/>
    <n v="-0.23749999999999996"/>
    <n v="1"/>
  </r>
  <r>
    <n v="590"/>
    <s v="US-2016-156986"/>
    <d v="2016-03-20T00:00:00"/>
    <x v="0"/>
    <s v="Q1"/>
    <x v="17"/>
    <d v="2016-03-24T00:00:00"/>
    <s v="Standard Class"/>
    <x v="233"/>
    <x v="233"/>
    <s v="Consumer"/>
    <s v="United States"/>
    <s v="Salem"/>
    <x v="21"/>
    <n v="97301"/>
    <x v="1"/>
    <x v="510"/>
    <x v="1"/>
    <x v="10"/>
    <x v="510"/>
    <n v="20.736000000000001"/>
    <s v="Low"/>
    <n v="4"/>
    <n v="0.2"/>
    <x v="2"/>
    <x v="2"/>
    <n v="7.2576000000000001"/>
    <n v="0.35"/>
    <n v="0"/>
  </r>
  <r>
    <n v="591"/>
    <s v="US-2016-156986"/>
    <d v="2016-03-20T00:00:00"/>
    <x v="0"/>
    <s v="Q1"/>
    <x v="17"/>
    <d v="2016-03-24T00:00:00"/>
    <s v="Standard Class"/>
    <x v="233"/>
    <x v="233"/>
    <s v="Consumer"/>
    <s v="United States"/>
    <s v="Salem"/>
    <x v="21"/>
    <n v="97301"/>
    <x v="1"/>
    <x v="440"/>
    <x v="1"/>
    <x v="8"/>
    <x v="440"/>
    <n v="16.821000000000002"/>
    <s v="Low"/>
    <n v="3"/>
    <n v="0.7"/>
    <x v="1"/>
    <x v="5"/>
    <n v="-12.896100000000001"/>
    <n v="-0.76666666666666661"/>
    <n v="1"/>
  </r>
  <r>
    <n v="592"/>
    <s v="US-2016-156986"/>
    <d v="2016-03-20T00:00:00"/>
    <x v="0"/>
    <s v="Q1"/>
    <x v="17"/>
    <d v="2016-03-24T00:00:00"/>
    <s v="Standard Class"/>
    <x v="233"/>
    <x v="233"/>
    <s v="Consumer"/>
    <s v="United States"/>
    <s v="Salem"/>
    <x v="21"/>
    <n v="97301"/>
    <x v="1"/>
    <x v="511"/>
    <x v="1"/>
    <x v="10"/>
    <x v="511"/>
    <n v="10.368"/>
    <s v="Low"/>
    <n v="2"/>
    <n v="0.2"/>
    <x v="2"/>
    <x v="2"/>
    <n v="3.6288"/>
    <n v="0.35"/>
    <n v="0"/>
  </r>
  <r>
    <n v="593"/>
    <s v="CA-2014-135405"/>
    <d v="2014-01-09T00:00:00"/>
    <x v="2"/>
    <s v="Q1"/>
    <x v="46"/>
    <d v="2014-01-13T00:00:00"/>
    <s v="Standard Class"/>
    <x v="234"/>
    <x v="234"/>
    <s v="Consumer"/>
    <s v="United States"/>
    <s v="Laredo"/>
    <x v="5"/>
    <n v="78041"/>
    <x v="2"/>
    <x v="512"/>
    <x v="1"/>
    <x v="6"/>
    <x v="512"/>
    <n v="9.3439999999999994"/>
    <s v="Low"/>
    <n v="2"/>
    <n v="0.2"/>
    <x v="2"/>
    <x v="2"/>
    <n v="1.1679999999999999"/>
    <n v="0.125"/>
    <n v="0"/>
  </r>
  <r>
    <n v="594"/>
    <s v="CA-2014-135405"/>
    <d v="2014-01-09T00:00:00"/>
    <x v="2"/>
    <s v="Q1"/>
    <x v="46"/>
    <d v="2014-01-13T00:00:00"/>
    <s v="Standard Class"/>
    <x v="234"/>
    <x v="234"/>
    <s v="Consumer"/>
    <s v="United States"/>
    <s v="Laredo"/>
    <x v="5"/>
    <n v="78041"/>
    <x v="2"/>
    <x v="197"/>
    <x v="2"/>
    <x v="11"/>
    <x v="198"/>
    <n v="31.2"/>
    <s v="Medium"/>
    <n v="3"/>
    <n v="0.2"/>
    <x v="2"/>
    <x v="2"/>
    <n v="9.75"/>
    <n v="0.3125"/>
    <n v="0"/>
  </r>
  <r>
    <n v="595"/>
    <s v="CA-2014-131450"/>
    <d v="2014-08-08T00:00:00"/>
    <x v="2"/>
    <s v="Q3"/>
    <x v="9"/>
    <d v="2014-08-15T00:00:00"/>
    <s v="Standard Class"/>
    <x v="235"/>
    <x v="235"/>
    <s v="Consumer"/>
    <s v="United States"/>
    <s v="San Diego"/>
    <x v="1"/>
    <n v="92024"/>
    <x v="1"/>
    <x v="513"/>
    <x v="1"/>
    <x v="9"/>
    <x v="513"/>
    <n v="76.12"/>
    <s v="Medium"/>
    <n v="2"/>
    <n v="0"/>
    <x v="0"/>
    <x v="0"/>
    <n v="22.0748"/>
    <n v="0.28999999999999998"/>
    <n v="0"/>
  </r>
  <r>
    <n v="596"/>
    <s v="CA-2014-131450"/>
    <d v="2014-08-08T00:00:00"/>
    <x v="2"/>
    <s v="Q3"/>
    <x v="9"/>
    <d v="2014-08-15T00:00:00"/>
    <s v="Standard Class"/>
    <x v="235"/>
    <x v="235"/>
    <s v="Consumer"/>
    <s v="United States"/>
    <s v="San Diego"/>
    <x v="1"/>
    <n v="92024"/>
    <x v="1"/>
    <x v="361"/>
    <x v="2"/>
    <x v="16"/>
    <x v="361"/>
    <n v="1199.9760000000001"/>
    <s v="High"/>
    <n v="3"/>
    <n v="0.2"/>
    <x v="2"/>
    <x v="2"/>
    <n v="434.99130000000002"/>
    <n v="0.36249999999999999"/>
    <n v="0"/>
  </r>
  <r>
    <n v="597"/>
    <s v="CA-2014-131450"/>
    <d v="2014-08-08T00:00:00"/>
    <x v="2"/>
    <s v="Q3"/>
    <x v="9"/>
    <d v="2014-08-15T00:00:00"/>
    <s v="Standard Class"/>
    <x v="235"/>
    <x v="235"/>
    <s v="Consumer"/>
    <s v="United States"/>
    <s v="San Diego"/>
    <x v="1"/>
    <n v="92024"/>
    <x v="1"/>
    <x v="288"/>
    <x v="2"/>
    <x v="7"/>
    <x v="288"/>
    <n v="445.96"/>
    <s v="High"/>
    <n v="5"/>
    <n v="0.2"/>
    <x v="2"/>
    <x v="2"/>
    <n v="55.744999999999997"/>
    <n v="0.125"/>
    <n v="0"/>
  </r>
  <r>
    <n v="598"/>
    <s v="CA-2014-131450"/>
    <d v="2014-08-08T00:00:00"/>
    <x v="2"/>
    <s v="Q3"/>
    <x v="9"/>
    <d v="2014-08-15T00:00:00"/>
    <s v="Standard Class"/>
    <x v="235"/>
    <x v="235"/>
    <s v="Consumer"/>
    <s v="United States"/>
    <s v="San Diego"/>
    <x v="1"/>
    <n v="92024"/>
    <x v="1"/>
    <x v="514"/>
    <x v="0"/>
    <x v="5"/>
    <x v="514"/>
    <n v="327.76"/>
    <s v="High"/>
    <n v="8"/>
    <n v="0"/>
    <x v="0"/>
    <x v="0"/>
    <n v="91.772800000000004"/>
    <n v="0.28000000000000003"/>
    <n v="0"/>
  </r>
  <r>
    <n v="599"/>
    <s v="CA-2016-120180"/>
    <d v="2016-07-14T00:00:00"/>
    <x v="0"/>
    <s v="Q3"/>
    <x v="16"/>
    <d v="2016-07-16T00:00:00"/>
    <s v="First Class"/>
    <x v="236"/>
    <x v="236"/>
    <s v="Consumer"/>
    <s v="United States"/>
    <s v="Philadelphia"/>
    <x v="9"/>
    <n v="19134"/>
    <x v="3"/>
    <x v="515"/>
    <x v="1"/>
    <x v="14"/>
    <x v="515"/>
    <n v="11.632"/>
    <s v="Low"/>
    <n v="2"/>
    <n v="0.2"/>
    <x v="2"/>
    <x v="2"/>
    <n v="1.0178"/>
    <n v="8.7500000000000008E-2"/>
    <n v="0"/>
  </r>
  <r>
    <n v="600"/>
    <s v="US-2016-100720"/>
    <d v="2016-07-16T00:00:00"/>
    <x v="0"/>
    <s v="Q3"/>
    <x v="16"/>
    <d v="2016-07-21T00:00:00"/>
    <s v="Standard Class"/>
    <x v="237"/>
    <x v="237"/>
    <s v="Consumer"/>
    <s v="United States"/>
    <s v="Philadelphia"/>
    <x v="9"/>
    <n v="19120"/>
    <x v="3"/>
    <x v="516"/>
    <x v="2"/>
    <x v="7"/>
    <x v="516"/>
    <n v="143.982"/>
    <s v="High"/>
    <n v="3"/>
    <n v="0.4"/>
    <x v="1"/>
    <x v="7"/>
    <n v="-28.796399999999998"/>
    <n v="-0.19999999999999998"/>
    <n v="1"/>
  </r>
  <r>
    <n v="601"/>
    <s v="US-2016-100720"/>
    <d v="2016-07-16T00:00:00"/>
    <x v="0"/>
    <s v="Q3"/>
    <x v="16"/>
    <d v="2016-07-21T00:00:00"/>
    <s v="Standard Class"/>
    <x v="237"/>
    <x v="237"/>
    <s v="Consumer"/>
    <s v="United States"/>
    <s v="Philadelphia"/>
    <x v="9"/>
    <n v="19120"/>
    <x v="3"/>
    <x v="517"/>
    <x v="2"/>
    <x v="7"/>
    <x v="517"/>
    <n v="494.37599999999998"/>
    <s v="High"/>
    <n v="4"/>
    <n v="0.4"/>
    <x v="1"/>
    <x v="7"/>
    <n v="-115.3544"/>
    <n v="-0.23333333333333334"/>
    <n v="1"/>
  </r>
  <r>
    <n v="602"/>
    <s v="US-2016-100720"/>
    <d v="2016-07-16T00:00:00"/>
    <x v="0"/>
    <s v="Q3"/>
    <x v="16"/>
    <d v="2016-07-21T00:00:00"/>
    <s v="Standard Class"/>
    <x v="237"/>
    <x v="237"/>
    <s v="Consumer"/>
    <s v="United States"/>
    <s v="Philadelphia"/>
    <x v="9"/>
    <n v="19120"/>
    <x v="3"/>
    <x v="503"/>
    <x v="1"/>
    <x v="14"/>
    <x v="503"/>
    <n v="5.84"/>
    <s v="Low"/>
    <n v="2"/>
    <n v="0.2"/>
    <x v="2"/>
    <x v="2"/>
    <n v="0.73"/>
    <n v="0.125"/>
    <n v="0"/>
  </r>
  <r>
    <n v="603"/>
    <s v="CA-2014-149958"/>
    <d v="2014-03-15T00:00:00"/>
    <x v="2"/>
    <s v="Q1"/>
    <x v="34"/>
    <d v="2014-03-19T00:00:00"/>
    <s v="Standard Class"/>
    <x v="238"/>
    <x v="238"/>
    <s v="Consumer"/>
    <s v="United States"/>
    <s v="Tampa"/>
    <x v="2"/>
    <n v="33614"/>
    <x v="0"/>
    <x v="518"/>
    <x v="1"/>
    <x v="4"/>
    <x v="518"/>
    <n v="142.77600000000001"/>
    <s v="High"/>
    <n v="1"/>
    <n v="0.2"/>
    <x v="2"/>
    <x v="2"/>
    <n v="17.847000000000001"/>
    <n v="0.125"/>
    <n v="0"/>
  </r>
  <r>
    <n v="604"/>
    <s v="CA-2014-149958"/>
    <d v="2014-03-15T00:00:00"/>
    <x v="2"/>
    <s v="Q1"/>
    <x v="34"/>
    <d v="2014-03-19T00:00:00"/>
    <s v="Standard Class"/>
    <x v="238"/>
    <x v="238"/>
    <s v="Consumer"/>
    <s v="United States"/>
    <s v="Tampa"/>
    <x v="2"/>
    <n v="33614"/>
    <x v="0"/>
    <x v="285"/>
    <x v="0"/>
    <x v="5"/>
    <x v="285"/>
    <n v="45.695999999999998"/>
    <s v="Medium"/>
    <n v="3"/>
    <n v="0.2"/>
    <x v="2"/>
    <x v="2"/>
    <n v="5.1407999999999996"/>
    <n v="0.1125"/>
    <n v="0"/>
  </r>
  <r>
    <n v="605"/>
    <s v="CA-2014-149958"/>
    <d v="2014-03-15T00:00:00"/>
    <x v="2"/>
    <s v="Q1"/>
    <x v="34"/>
    <d v="2014-03-19T00:00:00"/>
    <s v="Standard Class"/>
    <x v="238"/>
    <x v="238"/>
    <s v="Consumer"/>
    <s v="United States"/>
    <s v="Tampa"/>
    <x v="2"/>
    <n v="33614"/>
    <x v="0"/>
    <x v="385"/>
    <x v="1"/>
    <x v="8"/>
    <x v="386"/>
    <n v="7.218"/>
    <s v="Low"/>
    <n v="3"/>
    <n v="0.7"/>
    <x v="1"/>
    <x v="5"/>
    <n v="-5.5338000000000003"/>
    <n v="-0.76666666666666672"/>
    <n v="1"/>
  </r>
  <r>
    <n v="606"/>
    <s v="CA-2014-149958"/>
    <d v="2014-03-15T00:00:00"/>
    <x v="2"/>
    <s v="Q1"/>
    <x v="34"/>
    <d v="2014-03-19T00:00:00"/>
    <s v="Standard Class"/>
    <x v="238"/>
    <x v="238"/>
    <s v="Consumer"/>
    <s v="United States"/>
    <s v="Tampa"/>
    <x v="2"/>
    <n v="33614"/>
    <x v="0"/>
    <x v="379"/>
    <x v="1"/>
    <x v="8"/>
    <x v="380"/>
    <n v="43.188000000000002"/>
    <s v="Medium"/>
    <n v="4"/>
    <n v="0.7"/>
    <x v="1"/>
    <x v="5"/>
    <n v="-31.671199999999999"/>
    <n v="-0.73333333333333328"/>
    <n v="1"/>
  </r>
  <r>
    <n v="607"/>
    <s v="CA-2014-149958"/>
    <d v="2014-03-15T00:00:00"/>
    <x v="2"/>
    <s v="Q1"/>
    <x v="34"/>
    <d v="2014-03-19T00:00:00"/>
    <s v="Standard Class"/>
    <x v="238"/>
    <x v="238"/>
    <s v="Consumer"/>
    <s v="United States"/>
    <s v="Tampa"/>
    <x v="2"/>
    <n v="33614"/>
    <x v="0"/>
    <x v="519"/>
    <x v="1"/>
    <x v="10"/>
    <x v="519"/>
    <n v="131.904"/>
    <s v="High"/>
    <n v="3"/>
    <n v="0.2"/>
    <x v="2"/>
    <x v="2"/>
    <n v="47.815199999999997"/>
    <n v="0.36249999999999999"/>
    <n v="0"/>
  </r>
  <r>
    <n v="608"/>
    <s v="US-2014-105767"/>
    <d v="2014-05-23T00:00:00"/>
    <x v="2"/>
    <s v="Q2"/>
    <x v="8"/>
    <d v="2014-05-27T00:00:00"/>
    <s v="Standard Class"/>
    <x v="239"/>
    <x v="239"/>
    <s v="Consumer"/>
    <s v="United States"/>
    <s v="Philadelphia"/>
    <x v="9"/>
    <n v="19134"/>
    <x v="3"/>
    <x v="520"/>
    <x v="1"/>
    <x v="8"/>
    <x v="520"/>
    <n v="3.282"/>
    <s v="Low"/>
    <n v="2"/>
    <n v="0.7"/>
    <x v="1"/>
    <x v="5"/>
    <n v="-2.6255999999999999"/>
    <n v="-0.79999999999999993"/>
    <n v="1"/>
  </r>
  <r>
    <n v="609"/>
    <s v="US-2014-105767"/>
    <d v="2014-05-23T00:00:00"/>
    <x v="2"/>
    <s v="Q2"/>
    <x v="8"/>
    <d v="2014-05-27T00:00:00"/>
    <s v="Standard Class"/>
    <x v="239"/>
    <x v="239"/>
    <s v="Consumer"/>
    <s v="United States"/>
    <s v="Philadelphia"/>
    <x v="9"/>
    <n v="19134"/>
    <x v="3"/>
    <x v="454"/>
    <x v="1"/>
    <x v="6"/>
    <x v="455"/>
    <n v="21.167999999999999"/>
    <s v="Low"/>
    <n v="9"/>
    <n v="0.2"/>
    <x v="2"/>
    <x v="2"/>
    <n v="2.3814000000000002"/>
    <n v="0.11250000000000002"/>
    <n v="0"/>
  </r>
  <r>
    <n v="610"/>
    <s v="US-2014-105767"/>
    <d v="2014-05-23T00:00:00"/>
    <x v="2"/>
    <s v="Q2"/>
    <x v="8"/>
    <d v="2014-05-27T00:00:00"/>
    <s v="Standard Class"/>
    <x v="239"/>
    <x v="239"/>
    <s v="Consumer"/>
    <s v="United States"/>
    <s v="Philadelphia"/>
    <x v="9"/>
    <n v="19134"/>
    <x v="3"/>
    <x v="521"/>
    <x v="2"/>
    <x v="7"/>
    <x v="521"/>
    <n v="55.188000000000002"/>
    <s v="Medium"/>
    <n v="2"/>
    <n v="0.4"/>
    <x v="1"/>
    <x v="7"/>
    <n v="-10.117800000000001"/>
    <n v="-0.18333333333333335"/>
    <n v="1"/>
  </r>
  <r>
    <n v="611"/>
    <s v="CA-2016-161816"/>
    <d v="2016-04-28T00:00:00"/>
    <x v="0"/>
    <s v="Q2"/>
    <x v="25"/>
    <d v="2016-05-01T00:00:00"/>
    <s v="First Class"/>
    <x v="240"/>
    <x v="240"/>
    <s v="Corporate"/>
    <s v="United States"/>
    <s v="Dallas"/>
    <x v="5"/>
    <n v="75217"/>
    <x v="2"/>
    <x v="348"/>
    <x v="2"/>
    <x v="7"/>
    <x v="348"/>
    <n v="369.57600000000002"/>
    <s v="High"/>
    <n v="3"/>
    <n v="0.2"/>
    <x v="2"/>
    <x v="2"/>
    <n v="41.577300000000001"/>
    <n v="0.1125"/>
    <n v="0"/>
  </r>
  <r>
    <n v="612"/>
    <s v="CA-2016-161816"/>
    <d v="2016-04-28T00:00:00"/>
    <x v="0"/>
    <s v="Q2"/>
    <x v="25"/>
    <d v="2016-05-01T00:00:00"/>
    <s v="First Class"/>
    <x v="240"/>
    <x v="240"/>
    <s v="Corporate"/>
    <s v="United States"/>
    <s v="Dallas"/>
    <x v="5"/>
    <n v="75217"/>
    <x v="2"/>
    <x v="522"/>
    <x v="1"/>
    <x v="2"/>
    <x v="522"/>
    <n v="15.712"/>
    <s v="Low"/>
    <n v="4"/>
    <n v="0.2"/>
    <x v="2"/>
    <x v="2"/>
    <n v="5.6955999999999998"/>
    <n v="0.36249999999999999"/>
    <n v="0"/>
  </r>
  <r>
    <n v="613"/>
    <s v="CA-2016-121223"/>
    <d v="2016-09-11T00:00:00"/>
    <x v="0"/>
    <s v="Q3"/>
    <x v="21"/>
    <d v="2016-09-13T00:00:00"/>
    <s v="Second Class"/>
    <x v="241"/>
    <x v="241"/>
    <s v="Corporate"/>
    <s v="United States"/>
    <s v="Philadelphia"/>
    <x v="9"/>
    <n v="19143"/>
    <x v="3"/>
    <x v="523"/>
    <x v="1"/>
    <x v="10"/>
    <x v="523"/>
    <n v="8.4480000000000004"/>
    <s v="Low"/>
    <n v="2"/>
    <n v="0.2"/>
    <x v="2"/>
    <x v="2"/>
    <n v="2.64"/>
    <n v="0.3125"/>
    <n v="0"/>
  </r>
  <r>
    <n v="614"/>
    <s v="CA-2016-121223"/>
    <d v="2016-09-11T00:00:00"/>
    <x v="0"/>
    <s v="Q3"/>
    <x v="21"/>
    <d v="2016-09-13T00:00:00"/>
    <s v="Second Class"/>
    <x v="241"/>
    <x v="241"/>
    <s v="Corporate"/>
    <s v="United States"/>
    <s v="Philadelphia"/>
    <x v="9"/>
    <n v="19143"/>
    <x v="3"/>
    <x v="524"/>
    <x v="2"/>
    <x v="7"/>
    <x v="524"/>
    <n v="728.94600000000003"/>
    <s v="High"/>
    <n v="9"/>
    <n v="0.4"/>
    <x v="1"/>
    <x v="7"/>
    <n v="-157.9383"/>
    <n v="-0.21666666666666665"/>
    <n v="1"/>
  </r>
  <r>
    <n v="615"/>
    <s v="CA-2017-138611"/>
    <d v="2017-11-14T00:00:00"/>
    <x v="3"/>
    <s v="Q4"/>
    <x v="23"/>
    <d v="2017-11-17T00:00:00"/>
    <s v="Second Class"/>
    <x v="242"/>
    <x v="242"/>
    <s v="Consumer"/>
    <s v="United States"/>
    <s v="Grove City"/>
    <x v="24"/>
    <n v="43123"/>
    <x v="3"/>
    <x v="222"/>
    <x v="2"/>
    <x v="7"/>
    <x v="223"/>
    <n v="119.94"/>
    <s v="Medium"/>
    <n v="10"/>
    <n v="0.4"/>
    <x v="1"/>
    <x v="7"/>
    <n v="15.992000000000001"/>
    <n v="0.13333333333333333"/>
    <n v="0"/>
  </r>
  <r>
    <n v="616"/>
    <s v="CA-2017-138611"/>
    <d v="2017-11-14T00:00:00"/>
    <x v="3"/>
    <s v="Q4"/>
    <x v="23"/>
    <d v="2017-11-17T00:00:00"/>
    <s v="Second Class"/>
    <x v="242"/>
    <x v="242"/>
    <s v="Consumer"/>
    <s v="United States"/>
    <s v="Grove City"/>
    <x v="24"/>
    <n v="43123"/>
    <x v="3"/>
    <x v="525"/>
    <x v="1"/>
    <x v="8"/>
    <x v="525"/>
    <n v="3.6480000000000001"/>
    <s v="Low"/>
    <n v="2"/>
    <n v="0.7"/>
    <x v="1"/>
    <x v="5"/>
    <n v="-2.7968000000000002"/>
    <n v="-0.76666666666666672"/>
    <n v="1"/>
  </r>
  <r>
    <n v="617"/>
    <s v="CA-2017-117947"/>
    <d v="2017-08-18T00:00:00"/>
    <x v="3"/>
    <s v="Q3"/>
    <x v="43"/>
    <d v="2017-08-23T00:00:00"/>
    <s v="Second Class"/>
    <x v="243"/>
    <x v="243"/>
    <s v="Corporate"/>
    <s v="United States"/>
    <s v="New York City"/>
    <x v="15"/>
    <n v="10011"/>
    <x v="3"/>
    <x v="526"/>
    <x v="0"/>
    <x v="5"/>
    <x v="526"/>
    <n v="40.479999999999997"/>
    <s v="Medium"/>
    <n v="2"/>
    <n v="0"/>
    <x v="0"/>
    <x v="0"/>
    <n v="15.7872"/>
    <n v="0.39"/>
    <n v="0"/>
  </r>
  <r>
    <n v="618"/>
    <s v="CA-2017-117947"/>
    <d v="2017-08-18T00:00:00"/>
    <x v="3"/>
    <s v="Q3"/>
    <x v="43"/>
    <d v="2017-08-23T00:00:00"/>
    <s v="Second Class"/>
    <x v="243"/>
    <x v="243"/>
    <s v="Corporate"/>
    <s v="United States"/>
    <s v="New York City"/>
    <x v="15"/>
    <n v="10011"/>
    <x v="3"/>
    <x v="527"/>
    <x v="0"/>
    <x v="5"/>
    <x v="527"/>
    <n v="9.94"/>
    <s v="Low"/>
    <n v="2"/>
    <n v="0"/>
    <x v="0"/>
    <x v="0"/>
    <n v="3.0813999999999999"/>
    <n v="0.31"/>
    <n v="0"/>
  </r>
  <r>
    <n v="619"/>
    <s v="CA-2017-117947"/>
    <d v="2017-08-18T00:00:00"/>
    <x v="3"/>
    <s v="Q3"/>
    <x v="43"/>
    <d v="2017-08-23T00:00:00"/>
    <s v="Second Class"/>
    <x v="243"/>
    <x v="243"/>
    <s v="Corporate"/>
    <s v="United States"/>
    <s v="New York City"/>
    <x v="15"/>
    <n v="10011"/>
    <x v="3"/>
    <x v="528"/>
    <x v="1"/>
    <x v="8"/>
    <x v="528"/>
    <n v="107.42400000000001"/>
    <s v="Medium"/>
    <n v="9"/>
    <n v="0.2"/>
    <x v="2"/>
    <x v="2"/>
    <n v="33.57"/>
    <n v="0.3125"/>
    <n v="0"/>
  </r>
  <r>
    <n v="620"/>
    <s v="CA-2017-117947"/>
    <d v="2017-08-18T00:00:00"/>
    <x v="3"/>
    <s v="Q3"/>
    <x v="43"/>
    <d v="2017-08-23T00:00:00"/>
    <s v="Second Class"/>
    <x v="243"/>
    <x v="243"/>
    <s v="Corporate"/>
    <s v="United States"/>
    <s v="New York City"/>
    <x v="15"/>
    <n v="10011"/>
    <x v="3"/>
    <x v="529"/>
    <x v="2"/>
    <x v="7"/>
    <x v="529"/>
    <n v="37.909999999999997"/>
    <s v="Medium"/>
    <n v="1"/>
    <n v="0"/>
    <x v="0"/>
    <x v="0"/>
    <n v="10.9939"/>
    <n v="0.29000000000000004"/>
    <n v="0"/>
  </r>
  <r>
    <n v="621"/>
    <s v="CA-2017-117947"/>
    <d v="2017-08-18T00:00:00"/>
    <x v="3"/>
    <s v="Q3"/>
    <x v="43"/>
    <d v="2017-08-23T00:00:00"/>
    <s v="Second Class"/>
    <x v="243"/>
    <x v="243"/>
    <s v="Corporate"/>
    <s v="United States"/>
    <s v="New York City"/>
    <x v="15"/>
    <n v="10011"/>
    <x v="3"/>
    <x v="138"/>
    <x v="0"/>
    <x v="5"/>
    <x v="139"/>
    <n v="88.02"/>
    <s v="Medium"/>
    <n v="3"/>
    <n v="0"/>
    <x v="0"/>
    <x v="0"/>
    <n v="27.286200000000001"/>
    <n v="0.31"/>
    <n v="0"/>
  </r>
  <r>
    <n v="622"/>
    <s v="US-2014-111171"/>
    <d v="2014-12-26T00:00:00"/>
    <x v="2"/>
    <s v="Q4"/>
    <x v="20"/>
    <d v="2014-12-31T00:00:00"/>
    <s v="Standard Class"/>
    <x v="244"/>
    <x v="244"/>
    <s v="Consumer"/>
    <s v="United States"/>
    <s v="Chicago"/>
    <x v="10"/>
    <n v="60610"/>
    <x v="2"/>
    <x v="530"/>
    <x v="1"/>
    <x v="8"/>
    <x v="530"/>
    <n v="8.69"/>
    <s v="Low"/>
    <n v="5"/>
    <n v="0.8"/>
    <x v="1"/>
    <x v="3"/>
    <n v="-14.773"/>
    <n v="-1.7"/>
    <n v="1"/>
  </r>
  <r>
    <n v="623"/>
    <s v="CA-2015-138009"/>
    <d v="2015-11-29T00:00:00"/>
    <x v="1"/>
    <s v="Q4"/>
    <x v="6"/>
    <d v="2015-12-03T00:00:00"/>
    <s v="Standard Class"/>
    <x v="245"/>
    <x v="245"/>
    <s v="Corporate"/>
    <s v="United States"/>
    <s v="Dearborn"/>
    <x v="12"/>
    <n v="48126"/>
    <x v="2"/>
    <x v="531"/>
    <x v="0"/>
    <x v="1"/>
    <x v="531"/>
    <n v="301.95999999999998"/>
    <s v="High"/>
    <n v="2"/>
    <n v="0"/>
    <x v="0"/>
    <x v="0"/>
    <n v="87.568399999999997"/>
    <n v="0.29000000000000004"/>
    <n v="0"/>
  </r>
  <r>
    <n v="624"/>
    <s v="CA-2015-138009"/>
    <d v="2015-11-29T00:00:00"/>
    <x v="1"/>
    <s v="Q4"/>
    <x v="6"/>
    <d v="2015-12-03T00:00:00"/>
    <s v="Standard Class"/>
    <x v="245"/>
    <x v="245"/>
    <s v="Corporate"/>
    <s v="United States"/>
    <s v="Dearborn"/>
    <x v="12"/>
    <n v="48126"/>
    <x v="2"/>
    <x v="532"/>
    <x v="1"/>
    <x v="9"/>
    <x v="532"/>
    <n v="555.21"/>
    <s v="High"/>
    <n v="5"/>
    <n v="0.1"/>
    <x v="3"/>
    <x v="8"/>
    <n v="178.90100000000001"/>
    <n v="0.32222222222222224"/>
    <n v="0"/>
  </r>
  <r>
    <n v="625"/>
    <s v="CA-2015-138009"/>
    <d v="2015-11-29T00:00:00"/>
    <x v="1"/>
    <s v="Q4"/>
    <x v="6"/>
    <d v="2015-12-03T00:00:00"/>
    <s v="Standard Class"/>
    <x v="245"/>
    <x v="245"/>
    <s v="Corporate"/>
    <s v="United States"/>
    <s v="Dearborn"/>
    <x v="12"/>
    <n v="48126"/>
    <x v="2"/>
    <x v="533"/>
    <x v="1"/>
    <x v="4"/>
    <x v="533"/>
    <n v="523.48"/>
    <s v="High"/>
    <n v="4"/>
    <n v="0"/>
    <x v="0"/>
    <x v="0"/>
    <n v="130.87"/>
    <n v="0.25"/>
    <n v="0"/>
  </r>
  <r>
    <n v="626"/>
    <s v="CA-2015-138009"/>
    <d v="2015-11-29T00:00:00"/>
    <x v="1"/>
    <s v="Q4"/>
    <x v="6"/>
    <d v="2015-12-03T00:00:00"/>
    <s v="Standard Class"/>
    <x v="245"/>
    <x v="245"/>
    <s v="Corporate"/>
    <s v="United States"/>
    <s v="Dearborn"/>
    <x v="12"/>
    <n v="48126"/>
    <x v="2"/>
    <x v="30"/>
    <x v="1"/>
    <x v="6"/>
    <x v="30"/>
    <n v="161.82"/>
    <s v="High"/>
    <n v="9"/>
    <n v="0"/>
    <x v="0"/>
    <x v="0"/>
    <n v="46.927799999999998"/>
    <n v="0.28999999999999998"/>
    <n v="0"/>
  </r>
  <r>
    <n v="627"/>
    <s v="CA-2017-163020"/>
    <d v="2017-09-15T00:00:00"/>
    <x v="3"/>
    <s v="Q3"/>
    <x v="15"/>
    <d v="2017-09-19T00:00:00"/>
    <s v="Standard Class"/>
    <x v="246"/>
    <x v="246"/>
    <s v="Home Office"/>
    <s v="United States"/>
    <s v="New York City"/>
    <x v="15"/>
    <n v="10009"/>
    <x v="3"/>
    <x v="534"/>
    <x v="0"/>
    <x v="5"/>
    <x v="534"/>
    <n v="35.56"/>
    <s v="Medium"/>
    <n v="7"/>
    <n v="0"/>
    <x v="0"/>
    <x v="0"/>
    <n v="12.090400000000001"/>
    <n v="0.34"/>
    <n v="0"/>
  </r>
  <r>
    <n v="628"/>
    <s v="CA-2017-153787"/>
    <d v="2017-05-19T00:00:00"/>
    <x v="3"/>
    <s v="Q2"/>
    <x v="24"/>
    <d v="2017-05-23T00:00:00"/>
    <s v="Standard Class"/>
    <x v="247"/>
    <x v="247"/>
    <s v="Consumer"/>
    <s v="United States"/>
    <s v="Seattle"/>
    <x v="4"/>
    <n v="98115"/>
    <x v="1"/>
    <x v="535"/>
    <x v="1"/>
    <x v="9"/>
    <x v="535"/>
    <n v="97.16"/>
    <s v="Medium"/>
    <n v="2"/>
    <n v="0"/>
    <x v="0"/>
    <x v="0"/>
    <n v="28.176400000000001"/>
    <n v="0.29000000000000004"/>
    <n v="0"/>
  </r>
  <r>
    <n v="629"/>
    <s v="CA-2017-133431"/>
    <d v="2017-12-17T00:00:00"/>
    <x v="3"/>
    <s v="Q4"/>
    <x v="22"/>
    <d v="2017-12-21T00:00:00"/>
    <s v="Standard Class"/>
    <x v="95"/>
    <x v="95"/>
    <s v="Consumer"/>
    <s v="United States"/>
    <s v="San Francisco"/>
    <x v="1"/>
    <n v="94122"/>
    <x v="1"/>
    <x v="536"/>
    <x v="1"/>
    <x v="8"/>
    <x v="536"/>
    <n v="15.24"/>
    <s v="Low"/>
    <n v="5"/>
    <n v="0.2"/>
    <x v="2"/>
    <x v="2"/>
    <n v="5.1435000000000004"/>
    <n v="0.33750000000000002"/>
    <n v="0"/>
  </r>
  <r>
    <n v="630"/>
    <s v="CA-2017-133431"/>
    <d v="2017-12-17T00:00:00"/>
    <x v="3"/>
    <s v="Q4"/>
    <x v="22"/>
    <d v="2017-12-21T00:00:00"/>
    <s v="Standard Class"/>
    <x v="95"/>
    <x v="95"/>
    <s v="Consumer"/>
    <s v="United States"/>
    <s v="San Francisco"/>
    <x v="1"/>
    <n v="94122"/>
    <x v="1"/>
    <x v="249"/>
    <x v="1"/>
    <x v="10"/>
    <x v="250"/>
    <n v="13.23"/>
    <s v="Low"/>
    <n v="3"/>
    <n v="0"/>
    <x v="0"/>
    <x v="0"/>
    <n v="6.0857999999999999"/>
    <n v="0.45999999999999996"/>
    <n v="0"/>
  </r>
  <r>
    <n v="631"/>
    <s v="US-2016-135720"/>
    <d v="2016-12-11T00:00:00"/>
    <x v="0"/>
    <s v="Q4"/>
    <x v="5"/>
    <d v="2016-12-13T00:00:00"/>
    <s v="Second Class"/>
    <x v="248"/>
    <x v="248"/>
    <s v="Consumer"/>
    <s v="United States"/>
    <s v="Aurora"/>
    <x v="22"/>
    <n v="80013"/>
    <x v="1"/>
    <x v="537"/>
    <x v="1"/>
    <x v="4"/>
    <x v="537"/>
    <n v="243.38399999999999"/>
    <s v="High"/>
    <n v="3"/>
    <n v="0.2"/>
    <x v="2"/>
    <x v="2"/>
    <n v="-51.719099999999997"/>
    <n v="-0.21249999999999999"/>
    <n v="1"/>
  </r>
  <r>
    <n v="632"/>
    <s v="US-2016-135720"/>
    <d v="2016-12-11T00:00:00"/>
    <x v="0"/>
    <s v="Q4"/>
    <x v="5"/>
    <d v="2016-12-13T00:00:00"/>
    <s v="Second Class"/>
    <x v="248"/>
    <x v="248"/>
    <s v="Consumer"/>
    <s v="United States"/>
    <s v="Aurora"/>
    <x v="22"/>
    <n v="80013"/>
    <x v="1"/>
    <x v="538"/>
    <x v="2"/>
    <x v="11"/>
    <x v="538"/>
    <n v="119.8"/>
    <s v="Medium"/>
    <n v="5"/>
    <n v="0.2"/>
    <x v="2"/>
    <x v="2"/>
    <n v="29.95"/>
    <n v="0.25"/>
    <n v="0"/>
  </r>
  <r>
    <n v="633"/>
    <s v="US-2016-135720"/>
    <d v="2016-12-11T00:00:00"/>
    <x v="0"/>
    <s v="Q4"/>
    <x v="5"/>
    <d v="2016-12-13T00:00:00"/>
    <s v="Second Class"/>
    <x v="248"/>
    <x v="248"/>
    <s v="Consumer"/>
    <s v="United States"/>
    <s v="Aurora"/>
    <x v="22"/>
    <n v="80013"/>
    <x v="1"/>
    <x v="539"/>
    <x v="2"/>
    <x v="7"/>
    <x v="539"/>
    <n v="300.76799999999997"/>
    <s v="High"/>
    <n v="4"/>
    <n v="0.2"/>
    <x v="2"/>
    <x v="2"/>
    <n v="30.076799999999999"/>
    <n v="0.1"/>
    <n v="0"/>
  </r>
  <r>
    <n v="634"/>
    <s v="CA-2017-144694"/>
    <d v="2017-09-24T00:00:00"/>
    <x v="3"/>
    <s v="Q3"/>
    <x v="15"/>
    <d v="2017-09-26T00:00:00"/>
    <s v="Second Class"/>
    <x v="205"/>
    <x v="205"/>
    <s v="Consumer"/>
    <s v="United States"/>
    <s v="Miami"/>
    <x v="2"/>
    <n v="33180"/>
    <x v="0"/>
    <x v="540"/>
    <x v="2"/>
    <x v="11"/>
    <x v="540"/>
    <n v="17.88"/>
    <s v="Low"/>
    <n v="3"/>
    <n v="0.2"/>
    <x v="2"/>
    <x v="2"/>
    <n v="2.4584999999999999"/>
    <n v="0.13750000000000001"/>
    <n v="0"/>
  </r>
  <r>
    <n v="635"/>
    <s v="CA-2017-144694"/>
    <d v="2017-09-24T00:00:00"/>
    <x v="3"/>
    <s v="Q3"/>
    <x v="15"/>
    <d v="2017-09-26T00:00:00"/>
    <s v="Second Class"/>
    <x v="205"/>
    <x v="205"/>
    <s v="Consumer"/>
    <s v="United States"/>
    <s v="Miami"/>
    <x v="2"/>
    <n v="33180"/>
    <x v="0"/>
    <x v="508"/>
    <x v="1"/>
    <x v="2"/>
    <x v="508"/>
    <n v="235.94399999999999"/>
    <s v="High"/>
    <n v="3"/>
    <n v="0.2"/>
    <x v="2"/>
    <x v="2"/>
    <n v="85.529700000000005"/>
    <n v="0.36250000000000004"/>
    <n v="0"/>
  </r>
  <r>
    <n v="636"/>
    <s v="CA-2015-168004"/>
    <d v="2015-10-04T00:00:00"/>
    <x v="1"/>
    <s v="Q4"/>
    <x v="2"/>
    <d v="2015-10-09T00:00:00"/>
    <s v="Second Class"/>
    <x v="249"/>
    <x v="249"/>
    <s v="Corporate"/>
    <s v="United States"/>
    <s v="Warner Robins"/>
    <x v="32"/>
    <n v="31088"/>
    <x v="0"/>
    <x v="541"/>
    <x v="0"/>
    <x v="1"/>
    <x v="541"/>
    <n v="392.94"/>
    <s v="High"/>
    <n v="3"/>
    <n v="0"/>
    <x v="0"/>
    <x v="0"/>
    <n v="43.223399999999998"/>
    <n v="0.11"/>
    <n v="0"/>
  </r>
  <r>
    <n v="637"/>
    <s v="US-2016-123470"/>
    <d v="2016-08-15T00:00:00"/>
    <x v="0"/>
    <s v="Q3"/>
    <x v="28"/>
    <d v="2016-08-21T00:00:00"/>
    <s v="Standard Class"/>
    <x v="250"/>
    <x v="250"/>
    <s v="Consumer"/>
    <s v="United States"/>
    <s v="Aurora"/>
    <x v="22"/>
    <n v="80013"/>
    <x v="1"/>
    <x v="542"/>
    <x v="1"/>
    <x v="8"/>
    <x v="542"/>
    <n v="18.882000000000001"/>
    <s v="Low"/>
    <n v="3"/>
    <n v="0.7"/>
    <x v="1"/>
    <x v="5"/>
    <n v="-13.8468"/>
    <n v="-0.73333333333333328"/>
    <n v="1"/>
  </r>
  <r>
    <n v="638"/>
    <s v="US-2016-123470"/>
    <d v="2016-08-15T00:00:00"/>
    <x v="0"/>
    <s v="Q3"/>
    <x v="28"/>
    <d v="2016-08-21T00:00:00"/>
    <s v="Standard Class"/>
    <x v="250"/>
    <x v="250"/>
    <s v="Consumer"/>
    <s v="United States"/>
    <s v="Aurora"/>
    <x v="22"/>
    <n v="80013"/>
    <x v="1"/>
    <x v="543"/>
    <x v="1"/>
    <x v="9"/>
    <x v="543"/>
    <n v="122.328"/>
    <s v="Medium"/>
    <n v="3"/>
    <n v="0.2"/>
    <x v="2"/>
    <x v="2"/>
    <n v="12.232799999999999"/>
    <n v="9.9999999999999992E-2"/>
    <n v="0"/>
  </r>
  <r>
    <n v="639"/>
    <s v="CA-2016-115917"/>
    <d v="2016-05-20T00:00:00"/>
    <x v="0"/>
    <s v="Q2"/>
    <x v="35"/>
    <d v="2016-05-25T00:00:00"/>
    <s v="Standard Class"/>
    <x v="46"/>
    <x v="46"/>
    <s v="Home Office"/>
    <s v="United States"/>
    <s v="Vallejo"/>
    <x v="1"/>
    <n v="94591"/>
    <x v="1"/>
    <x v="220"/>
    <x v="0"/>
    <x v="5"/>
    <x v="221"/>
    <n v="1049.2"/>
    <s v="High"/>
    <n v="5"/>
    <n v="0"/>
    <x v="0"/>
    <x v="0"/>
    <n v="272.79199999999997"/>
    <n v="0.25999999999999995"/>
    <n v="0"/>
  </r>
  <r>
    <n v="640"/>
    <s v="CA-2016-115917"/>
    <d v="2016-05-20T00:00:00"/>
    <x v="0"/>
    <s v="Q2"/>
    <x v="35"/>
    <d v="2016-05-25T00:00:00"/>
    <s v="Standard Class"/>
    <x v="46"/>
    <x v="46"/>
    <s v="Home Office"/>
    <s v="United States"/>
    <s v="Vallejo"/>
    <x v="1"/>
    <n v="94591"/>
    <x v="1"/>
    <x v="544"/>
    <x v="1"/>
    <x v="8"/>
    <x v="544"/>
    <n v="15.423999999999999"/>
    <s v="Low"/>
    <n v="4"/>
    <n v="0.2"/>
    <x v="2"/>
    <x v="2"/>
    <n v="5.0128000000000004"/>
    <n v="0.32500000000000001"/>
    <n v="0"/>
  </r>
  <r>
    <n v="641"/>
    <s v="CA-2016-147067"/>
    <d v="2016-12-18T00:00:00"/>
    <x v="0"/>
    <s v="Q4"/>
    <x v="5"/>
    <d v="2016-12-22T00:00:00"/>
    <s v="Standard Class"/>
    <x v="251"/>
    <x v="251"/>
    <s v="Corporate"/>
    <s v="United States"/>
    <s v="Minneapolis"/>
    <x v="11"/>
    <n v="55407"/>
    <x v="2"/>
    <x v="545"/>
    <x v="0"/>
    <x v="5"/>
    <x v="545"/>
    <n v="18.84"/>
    <s v="Low"/>
    <n v="3"/>
    <n v="0"/>
    <x v="0"/>
    <x v="0"/>
    <n v="6.0288000000000004"/>
    <n v="0.32"/>
    <n v="0"/>
  </r>
  <r>
    <n v="642"/>
    <s v="CA-2017-167913"/>
    <d v="2017-07-30T00:00:00"/>
    <x v="3"/>
    <s v="Q3"/>
    <x v="10"/>
    <d v="2017-08-03T00:00:00"/>
    <s v="Second Class"/>
    <x v="252"/>
    <x v="252"/>
    <s v="Consumer"/>
    <s v="United States"/>
    <s v="Mission Viejo"/>
    <x v="1"/>
    <n v="92691"/>
    <x v="1"/>
    <x v="546"/>
    <x v="1"/>
    <x v="4"/>
    <x v="546"/>
    <n v="330.4"/>
    <s v="High"/>
    <n v="2"/>
    <n v="0"/>
    <x v="0"/>
    <x v="0"/>
    <n v="85.903999999999996"/>
    <n v="0.26"/>
    <n v="0"/>
  </r>
  <r>
    <n v="643"/>
    <s v="CA-2017-167913"/>
    <d v="2017-07-30T00:00:00"/>
    <x v="3"/>
    <s v="Q3"/>
    <x v="10"/>
    <d v="2017-08-03T00:00:00"/>
    <s v="Second Class"/>
    <x v="252"/>
    <x v="252"/>
    <s v="Consumer"/>
    <s v="United States"/>
    <s v="Mission Viejo"/>
    <x v="1"/>
    <n v="92691"/>
    <x v="1"/>
    <x v="547"/>
    <x v="1"/>
    <x v="2"/>
    <x v="547"/>
    <n v="26.25"/>
    <s v="Medium"/>
    <n v="7"/>
    <n v="0"/>
    <x v="0"/>
    <x v="0"/>
    <n v="12.6"/>
    <n v="0.48"/>
    <n v="0"/>
  </r>
  <r>
    <n v="644"/>
    <s v="CA-2017-106103"/>
    <d v="2017-06-10T00:00:00"/>
    <x v="3"/>
    <s v="Q2"/>
    <x v="27"/>
    <d v="2017-06-15T00:00:00"/>
    <s v="Standard Class"/>
    <x v="253"/>
    <x v="253"/>
    <s v="Consumer"/>
    <s v="United States"/>
    <s v="Rochester Hills"/>
    <x v="12"/>
    <n v="48307"/>
    <x v="2"/>
    <x v="217"/>
    <x v="2"/>
    <x v="11"/>
    <x v="463"/>
    <n v="132.52000000000001"/>
    <s v="High"/>
    <n v="4"/>
    <n v="0"/>
    <x v="0"/>
    <x v="0"/>
    <n v="54.333199999999998"/>
    <n v="0.41"/>
    <n v="0"/>
  </r>
  <r>
    <n v="645"/>
    <s v="US-2017-127719"/>
    <d v="2017-07-21T00:00:00"/>
    <x v="3"/>
    <s v="Q3"/>
    <x v="10"/>
    <d v="2017-07-25T00:00:00"/>
    <s v="Standard Class"/>
    <x v="69"/>
    <x v="69"/>
    <s v="Home Office"/>
    <s v="United States"/>
    <s v="Plainfield"/>
    <x v="30"/>
    <n v="7060"/>
    <x v="3"/>
    <x v="548"/>
    <x v="1"/>
    <x v="10"/>
    <x v="548"/>
    <n v="6.48"/>
    <s v="Low"/>
    <n v="1"/>
    <n v="0"/>
    <x v="0"/>
    <x v="0"/>
    <n v="3.1751999999999998"/>
    <n v="0.48999999999999994"/>
    <n v="0"/>
  </r>
  <r>
    <n v="646"/>
    <s v="CA-2017-126221"/>
    <d v="2017-12-30T00:00:00"/>
    <x v="3"/>
    <s v="Q4"/>
    <x v="22"/>
    <d v="2018-01-05T00:00:00"/>
    <s v="Standard Class"/>
    <x v="254"/>
    <x v="254"/>
    <s v="Home Office"/>
    <s v="United States"/>
    <s v="Columbus"/>
    <x v="14"/>
    <n v="47201"/>
    <x v="2"/>
    <x v="549"/>
    <x v="1"/>
    <x v="9"/>
    <x v="549"/>
    <n v="209.3"/>
    <s v="High"/>
    <n v="2"/>
    <n v="0"/>
    <x v="0"/>
    <x v="0"/>
    <n v="56.511000000000003"/>
    <n v="0.27"/>
    <n v="0"/>
  </r>
  <r>
    <n v="647"/>
    <s v="CA-2016-103947"/>
    <d v="2016-04-01T00:00:00"/>
    <x v="0"/>
    <s v="Q2"/>
    <x v="25"/>
    <d v="2016-04-08T00:00:00"/>
    <s v="Standard Class"/>
    <x v="121"/>
    <x v="121"/>
    <s v="Corporate"/>
    <s v="United States"/>
    <s v="Sierra Vista"/>
    <x v="16"/>
    <n v="85635"/>
    <x v="1"/>
    <x v="550"/>
    <x v="1"/>
    <x v="13"/>
    <x v="128"/>
    <n v="31.56"/>
    <s v="Medium"/>
    <n v="5"/>
    <n v="0.2"/>
    <x v="2"/>
    <x v="2"/>
    <n v="9.8625000000000007"/>
    <n v="0.31250000000000006"/>
    <n v="0"/>
  </r>
  <r>
    <n v="648"/>
    <s v="CA-2016-103947"/>
    <d v="2016-04-01T00:00:00"/>
    <x v="0"/>
    <s v="Q2"/>
    <x v="25"/>
    <d v="2016-04-08T00:00:00"/>
    <s v="Standard Class"/>
    <x v="121"/>
    <x v="121"/>
    <s v="Corporate"/>
    <s v="United States"/>
    <s v="Sierra Vista"/>
    <x v="16"/>
    <n v="85635"/>
    <x v="1"/>
    <x v="551"/>
    <x v="1"/>
    <x v="9"/>
    <x v="550"/>
    <n v="30.143999999999998"/>
    <s v="Medium"/>
    <n v="2"/>
    <n v="0.2"/>
    <x v="2"/>
    <x v="2"/>
    <n v="3.0144000000000002"/>
    <n v="0.1"/>
    <n v="0"/>
  </r>
  <r>
    <n v="649"/>
    <s v="CA-2016-160745"/>
    <d v="2016-12-11T00:00:00"/>
    <x v="0"/>
    <s v="Q4"/>
    <x v="5"/>
    <d v="2016-12-16T00:00:00"/>
    <s v="Second Class"/>
    <x v="255"/>
    <x v="255"/>
    <s v="Corporate"/>
    <s v="United States"/>
    <s v="Vancouver"/>
    <x v="4"/>
    <n v="98661"/>
    <x v="1"/>
    <x v="345"/>
    <x v="0"/>
    <x v="5"/>
    <x v="345"/>
    <n v="14.8"/>
    <s v="Low"/>
    <n v="4"/>
    <n v="0"/>
    <x v="0"/>
    <x v="0"/>
    <n v="6.0679999999999996"/>
    <n v="0.41"/>
    <n v="0"/>
  </r>
  <r>
    <n v="650"/>
    <s v="CA-2016-160745"/>
    <d v="2016-12-11T00:00:00"/>
    <x v="0"/>
    <s v="Q4"/>
    <x v="5"/>
    <d v="2016-12-16T00:00:00"/>
    <s v="Second Class"/>
    <x v="255"/>
    <x v="255"/>
    <s v="Corporate"/>
    <s v="United States"/>
    <s v="Vancouver"/>
    <x v="4"/>
    <n v="98661"/>
    <x v="1"/>
    <x v="172"/>
    <x v="2"/>
    <x v="7"/>
    <x v="173"/>
    <n v="302.37599999999998"/>
    <s v="High"/>
    <n v="3"/>
    <n v="0.2"/>
    <x v="2"/>
    <x v="2"/>
    <n v="22.6782"/>
    <n v="7.5000000000000011E-2"/>
    <n v="0"/>
  </r>
  <r>
    <n v="651"/>
    <s v="CA-2016-160745"/>
    <d v="2016-12-11T00:00:00"/>
    <x v="0"/>
    <s v="Q4"/>
    <x v="5"/>
    <d v="2016-12-16T00:00:00"/>
    <s v="Second Class"/>
    <x v="255"/>
    <x v="255"/>
    <s v="Corporate"/>
    <s v="United States"/>
    <s v="Vancouver"/>
    <x v="4"/>
    <n v="98661"/>
    <x v="1"/>
    <x v="552"/>
    <x v="2"/>
    <x v="11"/>
    <x v="551"/>
    <n v="316"/>
    <s v="High"/>
    <n v="4"/>
    <n v="0"/>
    <x v="0"/>
    <x v="0"/>
    <n v="31.6"/>
    <n v="0.1"/>
    <n v="0"/>
  </r>
  <r>
    <n v="652"/>
    <s v="CA-2016-132661"/>
    <d v="2016-10-23T00:00:00"/>
    <x v="0"/>
    <s v="Q4"/>
    <x v="32"/>
    <d v="2016-10-29T00:00:00"/>
    <s v="Standard Class"/>
    <x v="256"/>
    <x v="256"/>
    <s v="Home Office"/>
    <s v="United States"/>
    <s v="New York City"/>
    <x v="15"/>
    <n v="10024"/>
    <x v="3"/>
    <x v="67"/>
    <x v="1"/>
    <x v="10"/>
    <x v="67"/>
    <n v="379.4"/>
    <s v="High"/>
    <n v="10"/>
    <n v="0"/>
    <x v="0"/>
    <x v="0"/>
    <n v="178.31800000000001"/>
    <n v="0.47000000000000008"/>
    <n v="0"/>
  </r>
  <r>
    <n v="653"/>
    <s v="CA-2017-140844"/>
    <d v="2017-06-19T00:00:00"/>
    <x v="3"/>
    <s v="Q2"/>
    <x v="27"/>
    <d v="2017-06-23T00:00:00"/>
    <s v="Standard Class"/>
    <x v="153"/>
    <x v="153"/>
    <s v="Corporate"/>
    <s v="United States"/>
    <s v="New York City"/>
    <x v="15"/>
    <n v="10035"/>
    <x v="3"/>
    <x v="62"/>
    <x v="1"/>
    <x v="10"/>
    <x v="62"/>
    <n v="97.82"/>
    <s v="Medium"/>
    <n v="2"/>
    <n v="0"/>
    <x v="0"/>
    <x v="0"/>
    <n v="45.9754"/>
    <n v="0.47000000000000003"/>
    <n v="0"/>
  </r>
  <r>
    <n v="654"/>
    <s v="CA-2017-140844"/>
    <d v="2017-06-19T00:00:00"/>
    <x v="3"/>
    <s v="Q2"/>
    <x v="27"/>
    <d v="2017-06-23T00:00:00"/>
    <s v="Standard Class"/>
    <x v="153"/>
    <x v="153"/>
    <s v="Corporate"/>
    <s v="United States"/>
    <s v="New York City"/>
    <x v="15"/>
    <n v="10035"/>
    <x v="3"/>
    <x v="553"/>
    <x v="2"/>
    <x v="11"/>
    <x v="552"/>
    <n v="103.12"/>
    <s v="Medium"/>
    <n v="8"/>
    <n v="0"/>
    <x v="0"/>
    <x v="0"/>
    <n v="10.311999999999999"/>
    <n v="9.9999999999999992E-2"/>
    <n v="0"/>
  </r>
  <r>
    <n v="655"/>
    <s v="CA-2016-137239"/>
    <d v="2016-08-22T00:00:00"/>
    <x v="0"/>
    <s v="Q3"/>
    <x v="28"/>
    <d v="2016-08-28T00:00:00"/>
    <s v="Standard Class"/>
    <x v="257"/>
    <x v="257"/>
    <s v="Consumer"/>
    <s v="United States"/>
    <s v="Columbus"/>
    <x v="24"/>
    <n v="43229"/>
    <x v="3"/>
    <x v="554"/>
    <x v="1"/>
    <x v="9"/>
    <x v="553"/>
    <n v="113.55200000000001"/>
    <s v="Medium"/>
    <n v="2"/>
    <n v="0.2"/>
    <x v="2"/>
    <x v="2"/>
    <n v="8.5164000000000009"/>
    <n v="7.4999999999999997E-2"/>
    <n v="0"/>
  </r>
  <r>
    <n v="656"/>
    <s v="CA-2016-137239"/>
    <d v="2016-08-22T00:00:00"/>
    <x v="0"/>
    <s v="Q3"/>
    <x v="28"/>
    <d v="2016-08-28T00:00:00"/>
    <s v="Standard Class"/>
    <x v="257"/>
    <x v="257"/>
    <s v="Consumer"/>
    <s v="United States"/>
    <s v="Columbus"/>
    <x v="24"/>
    <n v="43229"/>
    <x v="3"/>
    <x v="555"/>
    <x v="1"/>
    <x v="8"/>
    <x v="554"/>
    <n v="3.3180000000000001"/>
    <s v="Low"/>
    <n v="2"/>
    <n v="0.7"/>
    <x v="1"/>
    <x v="5"/>
    <n v="-2.6543999999999999"/>
    <n v="-0.79999999999999993"/>
    <n v="1"/>
  </r>
  <r>
    <n v="657"/>
    <s v="CA-2016-137239"/>
    <d v="2016-08-22T00:00:00"/>
    <x v="0"/>
    <s v="Q3"/>
    <x v="28"/>
    <d v="2016-08-28T00:00:00"/>
    <s v="Standard Class"/>
    <x v="257"/>
    <x v="257"/>
    <s v="Consumer"/>
    <s v="United States"/>
    <s v="Columbus"/>
    <x v="24"/>
    <n v="43229"/>
    <x v="3"/>
    <x v="556"/>
    <x v="1"/>
    <x v="12"/>
    <x v="555"/>
    <n v="134.28800000000001"/>
    <s v="High"/>
    <n v="2"/>
    <n v="0.2"/>
    <x v="2"/>
    <x v="2"/>
    <n v="45.322200000000002"/>
    <n v="0.33749999999999997"/>
    <n v="0"/>
  </r>
  <r>
    <n v="658"/>
    <s v="US-2016-156097"/>
    <d v="2016-09-19T00:00:00"/>
    <x v="0"/>
    <s v="Q3"/>
    <x v="21"/>
    <d v="2016-09-19T00:00:00"/>
    <s v="Same Day"/>
    <x v="258"/>
    <x v="258"/>
    <s v="Home Office"/>
    <s v="United States"/>
    <s v="Aurora"/>
    <x v="10"/>
    <n v="60505"/>
    <x v="2"/>
    <x v="445"/>
    <x v="0"/>
    <x v="1"/>
    <x v="445"/>
    <n v="701.37199999999996"/>
    <s v="High"/>
    <n v="2"/>
    <n v="0.3"/>
    <x v="1"/>
    <x v="4"/>
    <n v="-50.097999999999999"/>
    <n v="-7.1428571428571425E-2"/>
    <n v="1"/>
  </r>
  <r>
    <n v="659"/>
    <s v="US-2016-156097"/>
    <d v="2016-09-19T00:00:00"/>
    <x v="0"/>
    <s v="Q3"/>
    <x v="21"/>
    <d v="2016-09-19T00:00:00"/>
    <s v="Same Day"/>
    <x v="258"/>
    <x v="258"/>
    <s v="Home Office"/>
    <s v="United States"/>
    <s v="Aurora"/>
    <x v="10"/>
    <n v="60505"/>
    <x v="2"/>
    <x v="68"/>
    <x v="1"/>
    <x v="8"/>
    <x v="68"/>
    <n v="2.3079999999999998"/>
    <s v="Low"/>
    <n v="2"/>
    <n v="0.8"/>
    <x v="1"/>
    <x v="3"/>
    <n v="-3.4620000000000002"/>
    <n v="-1.5000000000000002"/>
    <n v="1"/>
  </r>
  <r>
    <n v="660"/>
    <s v="CA-2015-146563"/>
    <d v="2015-08-24T00:00:00"/>
    <x v="1"/>
    <s v="Q3"/>
    <x v="37"/>
    <d v="2015-08-28T00:00:00"/>
    <s v="Standard Class"/>
    <x v="90"/>
    <x v="90"/>
    <s v="Consumer"/>
    <s v="United States"/>
    <s v="Arlington"/>
    <x v="5"/>
    <n v="76017"/>
    <x v="2"/>
    <x v="518"/>
    <x v="1"/>
    <x v="4"/>
    <x v="518"/>
    <n v="999.43200000000002"/>
    <s v="High"/>
    <n v="7"/>
    <n v="0.2"/>
    <x v="2"/>
    <x v="2"/>
    <n v="124.929"/>
    <n v="0.125"/>
    <n v="0"/>
  </r>
  <r>
    <n v="661"/>
    <s v="CA-2015-146563"/>
    <d v="2015-08-24T00:00:00"/>
    <x v="1"/>
    <s v="Q3"/>
    <x v="37"/>
    <d v="2015-08-28T00:00:00"/>
    <s v="Standard Class"/>
    <x v="90"/>
    <x v="90"/>
    <s v="Consumer"/>
    <s v="United States"/>
    <s v="Arlington"/>
    <x v="5"/>
    <n v="76017"/>
    <x v="2"/>
    <x v="557"/>
    <x v="1"/>
    <x v="4"/>
    <x v="556"/>
    <n v="724.08"/>
    <s v="High"/>
    <n v="14"/>
    <n v="0.2"/>
    <x v="2"/>
    <x v="2"/>
    <n v="-135.76499999999999"/>
    <n v="-0.18749999999999997"/>
    <n v="1"/>
  </r>
  <r>
    <n v="662"/>
    <s v="CA-2015-146563"/>
    <d v="2015-08-24T00:00:00"/>
    <x v="1"/>
    <s v="Q3"/>
    <x v="37"/>
    <d v="2015-08-28T00:00:00"/>
    <s v="Standard Class"/>
    <x v="90"/>
    <x v="90"/>
    <s v="Consumer"/>
    <s v="United States"/>
    <s v="Arlington"/>
    <x v="5"/>
    <n v="76017"/>
    <x v="2"/>
    <x v="114"/>
    <x v="0"/>
    <x v="3"/>
    <x v="114"/>
    <n v="918.78499999999997"/>
    <s v="High"/>
    <n v="5"/>
    <n v="0.3"/>
    <x v="1"/>
    <x v="4"/>
    <n v="-118.12949999999999"/>
    <n v="-0.12857142857142856"/>
    <n v="1"/>
  </r>
  <r>
    <n v="663"/>
    <s v="CA-2015-146563"/>
    <d v="2015-08-24T00:00:00"/>
    <x v="1"/>
    <s v="Q3"/>
    <x v="37"/>
    <d v="2015-08-28T00:00:00"/>
    <s v="Standard Class"/>
    <x v="90"/>
    <x v="90"/>
    <s v="Consumer"/>
    <s v="United States"/>
    <s v="Arlington"/>
    <x v="5"/>
    <n v="76017"/>
    <x v="2"/>
    <x v="109"/>
    <x v="1"/>
    <x v="8"/>
    <x v="109"/>
    <n v="2.7240000000000002"/>
    <s v="Low"/>
    <n v="3"/>
    <n v="0.8"/>
    <x v="1"/>
    <x v="3"/>
    <n v="-4.2222"/>
    <n v="-1.5499999999999998"/>
    <n v="1"/>
  </r>
  <r>
    <n v="664"/>
    <s v="CA-2016-123666"/>
    <d v="2016-03-26T00:00:00"/>
    <x v="0"/>
    <s v="Q1"/>
    <x v="17"/>
    <d v="2016-03-30T00:00:00"/>
    <s v="Standard Class"/>
    <x v="259"/>
    <x v="259"/>
    <s v="Corporate"/>
    <s v="United States"/>
    <s v="New York City"/>
    <x v="15"/>
    <n v="10011"/>
    <x v="3"/>
    <x v="196"/>
    <x v="1"/>
    <x v="4"/>
    <x v="197"/>
    <n v="459.95"/>
    <s v="High"/>
    <n v="5"/>
    <n v="0"/>
    <x v="0"/>
    <x v="0"/>
    <n v="18.398"/>
    <n v="0.04"/>
    <n v="0"/>
  </r>
  <r>
    <n v="665"/>
    <s v="CA-2016-143308"/>
    <d v="2016-11-04T00:00:00"/>
    <x v="0"/>
    <s v="Q4"/>
    <x v="0"/>
    <d v="2016-11-04T00:00:00"/>
    <s v="Same Day"/>
    <x v="116"/>
    <x v="116"/>
    <s v="Consumer"/>
    <s v="United States"/>
    <s v="Louisville"/>
    <x v="0"/>
    <n v="40214"/>
    <x v="0"/>
    <x v="110"/>
    <x v="1"/>
    <x v="13"/>
    <x v="110"/>
    <n v="10.74"/>
    <s v="Low"/>
    <n v="3"/>
    <n v="0"/>
    <x v="0"/>
    <x v="0"/>
    <n v="5.2625999999999999"/>
    <n v="0.49"/>
    <n v="0"/>
  </r>
  <r>
    <n v="666"/>
    <s v="CA-2017-132682"/>
    <d v="2017-06-08T00:00:00"/>
    <x v="3"/>
    <s v="Q2"/>
    <x v="27"/>
    <d v="2017-06-10T00:00:00"/>
    <s v="Second Class"/>
    <x v="260"/>
    <x v="260"/>
    <s v="Corporate"/>
    <s v="United States"/>
    <s v="Dallas"/>
    <x v="5"/>
    <n v="75081"/>
    <x v="2"/>
    <x v="558"/>
    <x v="1"/>
    <x v="14"/>
    <x v="557"/>
    <n v="23.76"/>
    <s v="Low"/>
    <n v="3"/>
    <n v="0.2"/>
    <x v="2"/>
    <x v="2"/>
    <n v="2.0790000000000002"/>
    <n v="8.7500000000000008E-2"/>
    <n v="0"/>
  </r>
  <r>
    <n v="667"/>
    <s v="CA-2017-132682"/>
    <d v="2017-06-08T00:00:00"/>
    <x v="3"/>
    <s v="Q2"/>
    <x v="27"/>
    <d v="2017-06-10T00:00:00"/>
    <s v="Second Class"/>
    <x v="260"/>
    <x v="260"/>
    <s v="Corporate"/>
    <s v="United States"/>
    <s v="Dallas"/>
    <x v="5"/>
    <n v="75081"/>
    <x v="2"/>
    <x v="258"/>
    <x v="1"/>
    <x v="10"/>
    <x v="33"/>
    <n v="85.055999999999997"/>
    <s v="Medium"/>
    <n v="3"/>
    <n v="0.2"/>
    <x v="2"/>
    <x v="2"/>
    <n v="28.706399999999999"/>
    <n v="0.33749999999999997"/>
    <n v="0"/>
  </r>
  <r>
    <n v="668"/>
    <s v="CA-2017-132682"/>
    <d v="2017-06-08T00:00:00"/>
    <x v="3"/>
    <s v="Q2"/>
    <x v="27"/>
    <d v="2017-06-10T00:00:00"/>
    <s v="Second Class"/>
    <x v="260"/>
    <x v="260"/>
    <s v="Corporate"/>
    <s v="United States"/>
    <s v="Dallas"/>
    <x v="5"/>
    <n v="75081"/>
    <x v="2"/>
    <x v="559"/>
    <x v="2"/>
    <x v="7"/>
    <x v="558"/>
    <n v="381.57600000000002"/>
    <s v="High"/>
    <n v="3"/>
    <n v="0.2"/>
    <x v="2"/>
    <x v="2"/>
    <n v="28.618200000000002"/>
    <n v="7.4999999999999997E-2"/>
    <n v="0"/>
  </r>
  <r>
    <n v="669"/>
    <s v="CA-2014-156314"/>
    <d v="2014-12-24T00:00:00"/>
    <x v="2"/>
    <s v="Q4"/>
    <x v="20"/>
    <d v="2014-12-26T00:00:00"/>
    <s v="First Class"/>
    <x v="261"/>
    <x v="261"/>
    <s v="Consumer"/>
    <s v="United States"/>
    <s v="Cleveland"/>
    <x v="24"/>
    <n v="44105"/>
    <x v="3"/>
    <x v="560"/>
    <x v="0"/>
    <x v="5"/>
    <x v="559"/>
    <n v="30.36"/>
    <s v="Medium"/>
    <n v="5"/>
    <n v="0.2"/>
    <x v="2"/>
    <x v="2"/>
    <n v="8.7285000000000004"/>
    <n v="0.28750000000000003"/>
    <n v="0"/>
  </r>
  <r>
    <n v="670"/>
    <s v="US-2017-106663"/>
    <d v="2017-06-09T00:00:00"/>
    <x v="3"/>
    <s v="Q2"/>
    <x v="27"/>
    <d v="2017-06-13T00:00:00"/>
    <s v="Standard Class"/>
    <x v="246"/>
    <x v="246"/>
    <s v="Home Office"/>
    <s v="United States"/>
    <s v="Chicago"/>
    <x v="10"/>
    <n v="60653"/>
    <x v="2"/>
    <x v="561"/>
    <x v="0"/>
    <x v="5"/>
    <x v="560"/>
    <n v="23.975999999999999"/>
    <s v="Low"/>
    <n v="3"/>
    <n v="0.6"/>
    <x v="1"/>
    <x v="6"/>
    <n v="-14.3856"/>
    <n v="-0.6"/>
    <n v="1"/>
  </r>
  <r>
    <n v="671"/>
    <s v="US-2017-106663"/>
    <d v="2017-06-09T00:00:00"/>
    <x v="3"/>
    <s v="Q2"/>
    <x v="27"/>
    <d v="2017-06-13T00:00:00"/>
    <s v="Standard Class"/>
    <x v="246"/>
    <x v="246"/>
    <s v="Home Office"/>
    <s v="United States"/>
    <s v="Chicago"/>
    <x v="10"/>
    <n v="60653"/>
    <x v="2"/>
    <x v="562"/>
    <x v="0"/>
    <x v="3"/>
    <x v="561"/>
    <n v="108.925"/>
    <s v="Medium"/>
    <n v="1"/>
    <n v="0.5"/>
    <x v="1"/>
    <x v="1"/>
    <n v="-71.890500000000003"/>
    <n v="-0.66"/>
    <n v="1"/>
  </r>
  <r>
    <n v="672"/>
    <s v="US-2017-106663"/>
    <d v="2017-06-09T00:00:00"/>
    <x v="3"/>
    <s v="Q2"/>
    <x v="27"/>
    <d v="2017-06-13T00:00:00"/>
    <s v="Standard Class"/>
    <x v="246"/>
    <x v="246"/>
    <s v="Home Office"/>
    <s v="United States"/>
    <s v="Chicago"/>
    <x v="10"/>
    <n v="60653"/>
    <x v="2"/>
    <x v="126"/>
    <x v="1"/>
    <x v="10"/>
    <x v="562"/>
    <n v="36.351999999999997"/>
    <s v="Medium"/>
    <n v="8"/>
    <n v="0.2"/>
    <x v="2"/>
    <x v="2"/>
    <n v="11.36"/>
    <n v="0.3125"/>
    <n v="0"/>
  </r>
  <r>
    <n v="673"/>
    <s v="CA-2017-111178"/>
    <d v="2017-06-15T00:00:00"/>
    <x v="3"/>
    <s v="Q2"/>
    <x v="27"/>
    <d v="2017-06-22T00:00:00"/>
    <s v="Standard Class"/>
    <x v="143"/>
    <x v="143"/>
    <s v="Consumer"/>
    <s v="United States"/>
    <s v="Quincy"/>
    <x v="10"/>
    <n v="62301"/>
    <x v="2"/>
    <x v="563"/>
    <x v="1"/>
    <x v="6"/>
    <x v="563"/>
    <n v="19.559999999999999"/>
    <s v="Low"/>
    <n v="5"/>
    <n v="0.2"/>
    <x v="2"/>
    <x v="2"/>
    <n v="1.7115"/>
    <n v="8.7500000000000008E-2"/>
    <n v="0"/>
  </r>
  <r>
    <n v="674"/>
    <s v="CA-2017-130351"/>
    <d v="2017-12-05T00:00:00"/>
    <x v="3"/>
    <s v="Q4"/>
    <x v="22"/>
    <d v="2017-12-08T00:00:00"/>
    <s v="First Class"/>
    <x v="262"/>
    <x v="262"/>
    <s v="Consumer"/>
    <s v="United States"/>
    <s v="Columbus"/>
    <x v="14"/>
    <n v="47201"/>
    <x v="2"/>
    <x v="564"/>
    <x v="1"/>
    <x v="9"/>
    <x v="564"/>
    <n v="61.44"/>
    <s v="Medium"/>
    <n v="3"/>
    <n v="0"/>
    <x v="0"/>
    <x v="0"/>
    <n v="16.588799999999999"/>
    <n v="0.27"/>
    <n v="0"/>
  </r>
  <r>
    <n v="675"/>
    <s v="CA-2017-130351"/>
    <d v="2017-12-05T00:00:00"/>
    <x v="3"/>
    <s v="Q4"/>
    <x v="22"/>
    <d v="2017-12-08T00:00:00"/>
    <s v="First Class"/>
    <x v="262"/>
    <x v="262"/>
    <s v="Consumer"/>
    <s v="United States"/>
    <s v="Columbus"/>
    <x v="14"/>
    <n v="47201"/>
    <x v="2"/>
    <x v="565"/>
    <x v="1"/>
    <x v="10"/>
    <x v="565"/>
    <n v="38.9"/>
    <s v="Medium"/>
    <n v="5"/>
    <n v="0"/>
    <x v="0"/>
    <x v="0"/>
    <n v="17.504999999999999"/>
    <n v="0.45"/>
    <n v="0"/>
  </r>
  <r>
    <n v="676"/>
    <s v="CA-2017-130351"/>
    <d v="2017-12-05T00:00:00"/>
    <x v="3"/>
    <s v="Q4"/>
    <x v="22"/>
    <d v="2017-12-08T00:00:00"/>
    <s v="First Class"/>
    <x v="262"/>
    <x v="262"/>
    <s v="Consumer"/>
    <s v="United States"/>
    <s v="Columbus"/>
    <x v="14"/>
    <n v="47201"/>
    <x v="2"/>
    <x v="217"/>
    <x v="2"/>
    <x v="11"/>
    <x v="463"/>
    <n v="99.39"/>
    <s v="Medium"/>
    <n v="3"/>
    <n v="0"/>
    <x v="0"/>
    <x v="0"/>
    <n v="40.749899999999997"/>
    <n v="0.41"/>
    <n v="0"/>
  </r>
  <r>
    <n v="677"/>
    <s v="US-2017-119438"/>
    <d v="2017-03-18T00:00:00"/>
    <x v="3"/>
    <s v="Q1"/>
    <x v="42"/>
    <d v="2017-03-23T00:00:00"/>
    <s v="Standard Class"/>
    <x v="263"/>
    <x v="263"/>
    <s v="Consumer"/>
    <s v="United States"/>
    <s v="Tyler"/>
    <x v="5"/>
    <n v="75701"/>
    <x v="2"/>
    <x v="566"/>
    <x v="1"/>
    <x v="9"/>
    <x v="566"/>
    <n v="2.6880000000000002"/>
    <s v="Low"/>
    <n v="3"/>
    <n v="0.8"/>
    <x v="1"/>
    <x v="3"/>
    <n v="-7.3920000000000003"/>
    <n v="-2.75"/>
    <n v="1"/>
  </r>
  <r>
    <n v="678"/>
    <s v="US-2017-119438"/>
    <d v="2017-03-18T00:00:00"/>
    <x v="3"/>
    <s v="Q1"/>
    <x v="42"/>
    <d v="2017-03-23T00:00:00"/>
    <s v="Standard Class"/>
    <x v="263"/>
    <x v="263"/>
    <s v="Consumer"/>
    <s v="United States"/>
    <s v="Tyler"/>
    <x v="5"/>
    <n v="75701"/>
    <x v="2"/>
    <x v="567"/>
    <x v="2"/>
    <x v="11"/>
    <x v="567"/>
    <n v="27.815999999999999"/>
    <s v="Medium"/>
    <n v="3"/>
    <n v="0.2"/>
    <x v="2"/>
    <x v="2"/>
    <n v="4.5201000000000002"/>
    <n v="0.16250000000000001"/>
    <n v="0"/>
  </r>
  <r>
    <n v="679"/>
    <s v="US-2017-119438"/>
    <d v="2017-03-18T00:00:00"/>
    <x v="3"/>
    <s v="Q1"/>
    <x v="42"/>
    <d v="2017-03-23T00:00:00"/>
    <s v="Standard Class"/>
    <x v="263"/>
    <x v="263"/>
    <s v="Consumer"/>
    <s v="United States"/>
    <s v="Tyler"/>
    <x v="5"/>
    <n v="75701"/>
    <x v="2"/>
    <x v="568"/>
    <x v="0"/>
    <x v="5"/>
    <x v="568"/>
    <n v="82.524000000000001"/>
    <s v="Medium"/>
    <n v="3"/>
    <n v="0.6"/>
    <x v="1"/>
    <x v="6"/>
    <n v="-41.262"/>
    <n v="-0.5"/>
    <n v="1"/>
  </r>
  <r>
    <n v="680"/>
    <s v="US-2017-119438"/>
    <d v="2017-03-18T00:00:00"/>
    <x v="3"/>
    <s v="Q1"/>
    <x v="42"/>
    <d v="2017-03-23T00:00:00"/>
    <s v="Standard Class"/>
    <x v="263"/>
    <x v="263"/>
    <s v="Consumer"/>
    <s v="United States"/>
    <s v="Tyler"/>
    <x v="5"/>
    <n v="75701"/>
    <x v="2"/>
    <x v="569"/>
    <x v="1"/>
    <x v="8"/>
    <x v="569"/>
    <n v="182.994"/>
    <s v="High"/>
    <n v="3"/>
    <n v="0.8"/>
    <x v="1"/>
    <x v="3"/>
    <n v="-320.23950000000002"/>
    <n v="-1.7500000000000002"/>
    <n v="1"/>
  </r>
  <r>
    <n v="681"/>
    <s v="CA-2016-164511"/>
    <d v="2016-11-19T00:00:00"/>
    <x v="0"/>
    <s v="Q4"/>
    <x v="0"/>
    <d v="2016-11-24T00:00:00"/>
    <s v="Standard Class"/>
    <x v="264"/>
    <x v="264"/>
    <s v="Consumer"/>
    <s v="United States"/>
    <s v="New York City"/>
    <x v="15"/>
    <n v="10024"/>
    <x v="3"/>
    <x v="570"/>
    <x v="1"/>
    <x v="8"/>
    <x v="570"/>
    <n v="14.352"/>
    <s v="Low"/>
    <n v="3"/>
    <n v="0.2"/>
    <x v="2"/>
    <x v="2"/>
    <n v="4.6643999999999997"/>
    <n v="0.32499999999999996"/>
    <n v="0"/>
  </r>
  <r>
    <n v="682"/>
    <s v="CA-2016-164511"/>
    <d v="2016-11-19T00:00:00"/>
    <x v="0"/>
    <s v="Q4"/>
    <x v="0"/>
    <d v="2016-11-24T00:00:00"/>
    <s v="Standard Class"/>
    <x v="264"/>
    <x v="264"/>
    <s v="Consumer"/>
    <s v="United States"/>
    <s v="New York City"/>
    <x v="15"/>
    <n v="10024"/>
    <x v="3"/>
    <x v="571"/>
    <x v="1"/>
    <x v="4"/>
    <x v="571"/>
    <n v="64.959999999999994"/>
    <s v="Medium"/>
    <n v="2"/>
    <n v="0"/>
    <x v="0"/>
    <x v="0"/>
    <n v="2.5983999999999998"/>
    <n v="0.04"/>
    <n v="0"/>
  </r>
  <r>
    <n v="683"/>
    <s v="CA-2016-164511"/>
    <d v="2016-11-19T00:00:00"/>
    <x v="0"/>
    <s v="Q4"/>
    <x v="0"/>
    <d v="2016-11-24T00:00:00"/>
    <s v="Standard Class"/>
    <x v="264"/>
    <x v="264"/>
    <s v="Consumer"/>
    <s v="United States"/>
    <s v="New York City"/>
    <x v="15"/>
    <n v="10024"/>
    <x v="3"/>
    <x v="456"/>
    <x v="1"/>
    <x v="4"/>
    <x v="457"/>
    <n v="68.599999999999994"/>
    <s v="Medium"/>
    <n v="4"/>
    <n v="0"/>
    <x v="0"/>
    <x v="0"/>
    <n v="18.521999999999998"/>
    <n v="0.27"/>
    <n v="0"/>
  </r>
  <r>
    <n v="684"/>
    <s v="US-2017-168116"/>
    <d v="2017-11-04T00:00:00"/>
    <x v="3"/>
    <s v="Q4"/>
    <x v="23"/>
    <d v="2017-11-04T00:00:00"/>
    <s v="Same Day"/>
    <x v="265"/>
    <x v="265"/>
    <s v="Corporate"/>
    <s v="United States"/>
    <s v="Burlington"/>
    <x v="3"/>
    <n v="27217"/>
    <x v="0"/>
    <x v="572"/>
    <x v="2"/>
    <x v="15"/>
    <x v="572"/>
    <n v="7999.98"/>
    <s v="High"/>
    <n v="4"/>
    <n v="0.5"/>
    <x v="1"/>
    <x v="1"/>
    <n v="-3839.9904000000001"/>
    <n v="-0.48000000000000004"/>
    <n v="1"/>
  </r>
  <r>
    <n v="685"/>
    <s v="US-2017-168116"/>
    <d v="2017-11-04T00:00:00"/>
    <x v="3"/>
    <s v="Q4"/>
    <x v="23"/>
    <d v="2017-11-04T00:00:00"/>
    <s v="Same Day"/>
    <x v="265"/>
    <x v="265"/>
    <s v="Corporate"/>
    <s v="United States"/>
    <s v="Burlington"/>
    <x v="3"/>
    <n v="27217"/>
    <x v="0"/>
    <x v="549"/>
    <x v="1"/>
    <x v="9"/>
    <x v="549"/>
    <n v="167.44"/>
    <s v="High"/>
    <n v="2"/>
    <n v="0.2"/>
    <x v="2"/>
    <x v="2"/>
    <n v="14.651"/>
    <n v="8.7499999999999994E-2"/>
    <n v="0"/>
  </r>
  <r>
    <n v="686"/>
    <s v="CA-2014-157784"/>
    <d v="2014-07-05T00:00:00"/>
    <x v="2"/>
    <s v="Q3"/>
    <x v="39"/>
    <d v="2014-07-08T00:00:00"/>
    <s v="First Class"/>
    <x v="266"/>
    <x v="266"/>
    <s v="Consumer"/>
    <s v="United States"/>
    <s v="Jackson"/>
    <x v="35"/>
    <n v="39212"/>
    <x v="0"/>
    <x v="331"/>
    <x v="2"/>
    <x v="11"/>
    <x v="331"/>
    <n v="479.97"/>
    <s v="High"/>
    <n v="3"/>
    <n v="0"/>
    <x v="0"/>
    <x v="0"/>
    <n v="163.18979999999999"/>
    <n v="0.33999999999999997"/>
    <n v="0"/>
  </r>
  <r>
    <n v="687"/>
    <s v="CA-2014-157784"/>
    <d v="2014-07-05T00:00:00"/>
    <x v="2"/>
    <s v="Q3"/>
    <x v="39"/>
    <d v="2014-07-08T00:00:00"/>
    <s v="First Class"/>
    <x v="266"/>
    <x v="266"/>
    <s v="Consumer"/>
    <s v="United States"/>
    <s v="Jackson"/>
    <x v="35"/>
    <n v="39212"/>
    <x v="0"/>
    <x v="573"/>
    <x v="1"/>
    <x v="2"/>
    <x v="573"/>
    <n v="14.62"/>
    <s v="Low"/>
    <n v="2"/>
    <n v="0"/>
    <x v="0"/>
    <x v="0"/>
    <n v="6.8714000000000004"/>
    <n v="0.47000000000000003"/>
    <n v="0"/>
  </r>
  <r>
    <n v="688"/>
    <s v="CA-2014-157784"/>
    <d v="2014-07-05T00:00:00"/>
    <x v="2"/>
    <s v="Q3"/>
    <x v="39"/>
    <d v="2014-07-08T00:00:00"/>
    <s v="First Class"/>
    <x v="266"/>
    <x v="266"/>
    <s v="Consumer"/>
    <s v="United States"/>
    <s v="Jackson"/>
    <x v="35"/>
    <n v="39212"/>
    <x v="0"/>
    <x v="88"/>
    <x v="1"/>
    <x v="10"/>
    <x v="88"/>
    <n v="19.440000000000001"/>
    <s v="Low"/>
    <n v="3"/>
    <n v="0"/>
    <x v="0"/>
    <x v="0"/>
    <n v="9.3312000000000008"/>
    <n v="0.48000000000000004"/>
    <n v="0"/>
  </r>
  <r>
    <n v="689"/>
    <s v="CA-2017-161480"/>
    <d v="2017-12-25T00:00:00"/>
    <x v="3"/>
    <s v="Q4"/>
    <x v="22"/>
    <d v="2017-12-29T00:00:00"/>
    <s v="Standard Class"/>
    <x v="267"/>
    <x v="267"/>
    <s v="Consumer"/>
    <s v="United States"/>
    <s v="New York City"/>
    <x v="15"/>
    <n v="10035"/>
    <x v="3"/>
    <x v="574"/>
    <x v="0"/>
    <x v="0"/>
    <x v="574"/>
    <n v="191.98400000000001"/>
    <s v="High"/>
    <n v="2"/>
    <n v="0.2"/>
    <x v="2"/>
    <x v="2"/>
    <n v="4.7995999999999999"/>
    <n v="2.4999999999999998E-2"/>
    <n v="0"/>
  </r>
  <r>
    <n v="690"/>
    <s v="US-2014-117135"/>
    <d v="2014-06-21T00:00:00"/>
    <x v="2"/>
    <s v="Q2"/>
    <x v="3"/>
    <d v="2014-06-23T00:00:00"/>
    <s v="Second Class"/>
    <x v="268"/>
    <x v="268"/>
    <s v="Consumer"/>
    <s v="United States"/>
    <s v="Waynesboro"/>
    <x v="17"/>
    <n v="22980"/>
    <x v="0"/>
    <x v="575"/>
    <x v="0"/>
    <x v="5"/>
    <x v="575"/>
    <n v="104.01"/>
    <s v="Medium"/>
    <n v="1"/>
    <n v="0"/>
    <x v="0"/>
    <x v="0"/>
    <n v="14.561400000000001"/>
    <n v="0.14000000000000001"/>
    <n v="0"/>
  </r>
  <r>
    <n v="691"/>
    <s v="US-2014-117135"/>
    <d v="2014-06-21T00:00:00"/>
    <x v="2"/>
    <s v="Q2"/>
    <x v="3"/>
    <d v="2014-06-23T00:00:00"/>
    <s v="Second Class"/>
    <x v="268"/>
    <x v="268"/>
    <s v="Consumer"/>
    <s v="United States"/>
    <s v="Waynesboro"/>
    <x v="17"/>
    <n v="22980"/>
    <x v="0"/>
    <x v="11"/>
    <x v="2"/>
    <x v="7"/>
    <x v="11"/>
    <n v="284.82"/>
    <s v="High"/>
    <n v="1"/>
    <n v="0"/>
    <x v="0"/>
    <x v="0"/>
    <n v="74.053200000000004"/>
    <n v="0.26"/>
    <n v="0"/>
  </r>
  <r>
    <n v="692"/>
    <s v="US-2014-117135"/>
    <d v="2014-06-21T00:00:00"/>
    <x v="2"/>
    <s v="Q2"/>
    <x v="3"/>
    <d v="2014-06-23T00:00:00"/>
    <s v="Second Class"/>
    <x v="268"/>
    <x v="268"/>
    <s v="Consumer"/>
    <s v="United States"/>
    <s v="Waynesboro"/>
    <x v="17"/>
    <n v="22980"/>
    <x v="0"/>
    <x v="576"/>
    <x v="1"/>
    <x v="4"/>
    <x v="576"/>
    <n v="36.840000000000003"/>
    <s v="Medium"/>
    <n v="3"/>
    <n v="0"/>
    <x v="0"/>
    <x v="0"/>
    <n v="10.315200000000001"/>
    <n v="0.27999999999999997"/>
    <n v="0"/>
  </r>
  <r>
    <n v="693"/>
    <s v="CA-2015-131534"/>
    <d v="2015-03-28T00:00:00"/>
    <x v="1"/>
    <s v="Q1"/>
    <x v="29"/>
    <d v="2015-04-02T00:00:00"/>
    <s v="Standard Class"/>
    <x v="269"/>
    <x v="269"/>
    <s v="Consumer"/>
    <s v="United States"/>
    <s v="Los Angeles"/>
    <x v="1"/>
    <n v="90036"/>
    <x v="1"/>
    <x v="577"/>
    <x v="2"/>
    <x v="11"/>
    <x v="577"/>
    <n v="166.24"/>
    <s v="High"/>
    <n v="1"/>
    <n v="0"/>
    <x v="0"/>
    <x v="0"/>
    <n v="24.936"/>
    <n v="0.15"/>
    <n v="0"/>
  </r>
  <r>
    <n v="694"/>
    <s v="CA-2015-131534"/>
    <d v="2015-03-28T00:00:00"/>
    <x v="1"/>
    <s v="Q1"/>
    <x v="29"/>
    <d v="2015-04-02T00:00:00"/>
    <s v="Standard Class"/>
    <x v="269"/>
    <x v="269"/>
    <s v="Consumer"/>
    <s v="United States"/>
    <s v="Los Angeles"/>
    <x v="1"/>
    <n v="90036"/>
    <x v="1"/>
    <x v="578"/>
    <x v="1"/>
    <x v="10"/>
    <x v="578"/>
    <n v="33.4"/>
    <s v="Medium"/>
    <n v="5"/>
    <n v="0"/>
    <x v="0"/>
    <x v="0"/>
    <n v="16.032"/>
    <n v="0.48000000000000004"/>
    <n v="0"/>
  </r>
  <r>
    <n v="695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290"/>
    <x v="1"/>
    <x v="6"/>
    <x v="290"/>
    <n v="198.27199999999999"/>
    <s v="High"/>
    <n v="8"/>
    <n v="0.2"/>
    <x v="2"/>
    <x v="2"/>
    <n v="17.348800000000001"/>
    <n v="8.7500000000000008E-2"/>
    <n v="0"/>
  </r>
  <r>
    <n v="696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579"/>
    <x v="1"/>
    <x v="2"/>
    <x v="579"/>
    <n v="47.36"/>
    <s v="Medium"/>
    <n v="4"/>
    <n v="0.2"/>
    <x v="2"/>
    <x v="2"/>
    <n v="17.760000000000002"/>
    <n v="0.37500000000000006"/>
    <n v="0"/>
  </r>
  <r>
    <n v="697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81"/>
    <x v="1"/>
    <x v="12"/>
    <x v="81"/>
    <n v="200.98400000000001"/>
    <s v="High"/>
    <n v="7"/>
    <n v="0.2"/>
    <x v="2"/>
    <x v="2"/>
    <n v="62.807499999999997"/>
    <n v="0.3125"/>
    <n v="0"/>
  </r>
  <r>
    <n v="698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580"/>
    <x v="1"/>
    <x v="2"/>
    <x v="580"/>
    <n v="97.695999999999998"/>
    <s v="Medium"/>
    <n v="4"/>
    <n v="0.2"/>
    <x v="2"/>
    <x v="2"/>
    <n v="31.751200000000001"/>
    <n v="0.32500000000000001"/>
    <n v="0"/>
  </r>
  <r>
    <n v="699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581"/>
    <x v="1"/>
    <x v="6"/>
    <x v="581"/>
    <n v="2.6960000000000002"/>
    <s v="Low"/>
    <n v="1"/>
    <n v="0.2"/>
    <x v="2"/>
    <x v="2"/>
    <n v="0.80879999999999996"/>
    <n v="0.3"/>
    <n v="0"/>
  </r>
  <r>
    <n v="700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582"/>
    <x v="1"/>
    <x v="8"/>
    <x v="582"/>
    <n v="18.588000000000001"/>
    <s v="Low"/>
    <n v="2"/>
    <n v="0.7"/>
    <x v="1"/>
    <x v="5"/>
    <n v="-13.6312"/>
    <n v="-0.73333333333333328"/>
    <n v="1"/>
  </r>
  <r>
    <n v="701"/>
    <s v="CA-2015-119291"/>
    <d v="2015-05-14T00:00:00"/>
    <x v="1"/>
    <s v="Q2"/>
    <x v="33"/>
    <d v="2015-05-17T00:00:00"/>
    <s v="First Class"/>
    <x v="270"/>
    <x v="270"/>
    <s v="Home Office"/>
    <s v="United States"/>
    <s v="Chester"/>
    <x v="9"/>
    <n v="19013"/>
    <x v="3"/>
    <x v="304"/>
    <x v="1"/>
    <x v="8"/>
    <x v="304"/>
    <n v="4.8959999999999999"/>
    <s v="Low"/>
    <n v="3"/>
    <n v="0.7"/>
    <x v="1"/>
    <x v="5"/>
    <n v="-3.4272"/>
    <n v="-0.70000000000000007"/>
    <n v="1"/>
  </r>
  <r>
    <n v="702"/>
    <s v="CA-2017-114552"/>
    <d v="2017-09-02T00:00:00"/>
    <x v="3"/>
    <s v="Q3"/>
    <x v="15"/>
    <d v="2017-09-08T00:00:00"/>
    <s v="Standard Class"/>
    <x v="114"/>
    <x v="114"/>
    <s v="Corporate"/>
    <s v="United States"/>
    <s v="Cleveland"/>
    <x v="24"/>
    <n v="44105"/>
    <x v="3"/>
    <x v="191"/>
    <x v="0"/>
    <x v="5"/>
    <x v="192"/>
    <n v="15.071999999999999"/>
    <s v="Low"/>
    <n v="3"/>
    <n v="0.2"/>
    <x v="2"/>
    <x v="2"/>
    <n v="4.1448"/>
    <n v="0.27500000000000002"/>
    <n v="0"/>
  </r>
  <r>
    <n v="703"/>
    <s v="CA-2016-163755"/>
    <d v="2016-11-04T00:00:00"/>
    <x v="0"/>
    <s v="Q4"/>
    <x v="0"/>
    <d v="2016-11-08T00:00:00"/>
    <s v="Second Class"/>
    <x v="155"/>
    <x v="155"/>
    <s v="Corporate"/>
    <s v="United States"/>
    <s v="Seattle"/>
    <x v="4"/>
    <n v="98103"/>
    <x v="1"/>
    <x v="583"/>
    <x v="0"/>
    <x v="5"/>
    <x v="583"/>
    <n v="209.88"/>
    <s v="High"/>
    <n v="3"/>
    <n v="0"/>
    <x v="0"/>
    <x v="0"/>
    <n v="35.679600000000001"/>
    <n v="0.17"/>
    <n v="0"/>
  </r>
  <r>
    <n v="704"/>
    <s v="CA-2015-142027"/>
    <d v="2015-04-09T00:00:00"/>
    <x v="1"/>
    <s v="Q2"/>
    <x v="19"/>
    <d v="2015-04-14T00:00:00"/>
    <s v="Standard Class"/>
    <x v="271"/>
    <x v="271"/>
    <s v="Consumer"/>
    <s v="United States"/>
    <s v="Long Beach"/>
    <x v="1"/>
    <n v="90805"/>
    <x v="1"/>
    <x v="584"/>
    <x v="0"/>
    <x v="3"/>
    <x v="584"/>
    <n v="369.91199999999998"/>
    <s v="High"/>
    <n v="3"/>
    <n v="0.2"/>
    <x v="2"/>
    <x v="2"/>
    <n v="-13.871700000000001"/>
    <n v="-3.7500000000000006E-2"/>
    <n v="1"/>
  </r>
  <r>
    <n v="705"/>
    <s v="CA-2014-138527"/>
    <d v="2014-09-12T00:00:00"/>
    <x v="2"/>
    <s v="Q3"/>
    <x v="30"/>
    <d v="2014-09-17T00:00:00"/>
    <s v="Standard Class"/>
    <x v="272"/>
    <x v="272"/>
    <s v="Corporate"/>
    <s v="United States"/>
    <s v="Cary"/>
    <x v="3"/>
    <n v="27511"/>
    <x v="0"/>
    <x v="585"/>
    <x v="1"/>
    <x v="10"/>
    <x v="585"/>
    <n v="10.368"/>
    <s v="Low"/>
    <n v="2"/>
    <n v="0.2"/>
    <x v="2"/>
    <x v="2"/>
    <n v="3.6288"/>
    <n v="0.35"/>
    <n v="0"/>
  </r>
  <r>
    <n v="706"/>
    <s v="CA-2014-138527"/>
    <d v="2014-09-12T00:00:00"/>
    <x v="2"/>
    <s v="Q3"/>
    <x v="30"/>
    <d v="2014-09-17T00:00:00"/>
    <s v="Standard Class"/>
    <x v="272"/>
    <x v="272"/>
    <s v="Corporate"/>
    <s v="United States"/>
    <s v="Cary"/>
    <x v="3"/>
    <n v="27511"/>
    <x v="0"/>
    <x v="586"/>
    <x v="1"/>
    <x v="9"/>
    <x v="586"/>
    <n v="166.84"/>
    <s v="High"/>
    <n v="5"/>
    <n v="0.2"/>
    <x v="2"/>
    <x v="2"/>
    <n v="18.769500000000001"/>
    <n v="0.1125"/>
    <n v="0"/>
  </r>
  <r>
    <n v="707"/>
    <s v="CA-2014-138527"/>
    <d v="2014-09-12T00:00:00"/>
    <x v="2"/>
    <s v="Q3"/>
    <x v="30"/>
    <d v="2014-09-17T00:00:00"/>
    <s v="Standard Class"/>
    <x v="272"/>
    <x v="272"/>
    <s v="Corporate"/>
    <s v="United States"/>
    <s v="Cary"/>
    <x v="3"/>
    <n v="27511"/>
    <x v="0"/>
    <x v="452"/>
    <x v="2"/>
    <x v="11"/>
    <x v="453"/>
    <n v="15.215999999999999"/>
    <s v="Low"/>
    <n v="1"/>
    <n v="0.2"/>
    <x v="2"/>
    <x v="2"/>
    <n v="2.2824"/>
    <n v="0.15"/>
    <n v="0"/>
  </r>
  <r>
    <n v="708"/>
    <s v="CA-2014-112158"/>
    <d v="2014-12-02T00:00:00"/>
    <x v="2"/>
    <s v="Q4"/>
    <x v="20"/>
    <d v="2014-12-04T00:00:00"/>
    <s v="First Class"/>
    <x v="273"/>
    <x v="273"/>
    <s v="Consumer"/>
    <s v="United States"/>
    <s v="New York City"/>
    <x v="15"/>
    <n v="10035"/>
    <x v="3"/>
    <x v="246"/>
    <x v="2"/>
    <x v="11"/>
    <x v="247"/>
    <n v="119.96"/>
    <s v="Medium"/>
    <n v="4"/>
    <n v="0"/>
    <x v="0"/>
    <x v="0"/>
    <n v="52.782400000000003"/>
    <n v="0.44000000000000006"/>
    <n v="0"/>
  </r>
  <r>
    <n v="709"/>
    <s v="CA-2014-112158"/>
    <d v="2014-12-02T00:00:00"/>
    <x v="2"/>
    <s v="Q4"/>
    <x v="20"/>
    <d v="2014-12-04T00:00:00"/>
    <s v="First Class"/>
    <x v="273"/>
    <x v="273"/>
    <s v="Consumer"/>
    <s v="United States"/>
    <s v="New York City"/>
    <x v="15"/>
    <n v="10035"/>
    <x v="3"/>
    <x v="587"/>
    <x v="0"/>
    <x v="0"/>
    <x v="587"/>
    <n v="883.92"/>
    <s v="High"/>
    <n v="5"/>
    <n v="0.2"/>
    <x v="2"/>
    <x v="2"/>
    <n v="-110.49"/>
    <n v="-0.125"/>
    <n v="1"/>
  </r>
  <r>
    <n v="710"/>
    <s v="CA-2014-112158"/>
    <d v="2014-12-02T00:00:00"/>
    <x v="2"/>
    <s v="Q4"/>
    <x v="20"/>
    <d v="2014-12-04T00:00:00"/>
    <s v="First Class"/>
    <x v="273"/>
    <x v="273"/>
    <s v="Consumer"/>
    <s v="United States"/>
    <s v="New York City"/>
    <x v="15"/>
    <n v="10035"/>
    <x v="3"/>
    <x v="347"/>
    <x v="1"/>
    <x v="8"/>
    <x v="347"/>
    <n v="46.72"/>
    <s v="Medium"/>
    <n v="8"/>
    <n v="0.2"/>
    <x v="2"/>
    <x v="2"/>
    <n v="15.768000000000001"/>
    <n v="0.33750000000000002"/>
    <n v="0"/>
  </r>
  <r>
    <n v="711"/>
    <s v="CA-2014-113887"/>
    <d v="2014-04-05T00:00:00"/>
    <x v="2"/>
    <s v="Q2"/>
    <x v="41"/>
    <d v="2014-04-07T00:00:00"/>
    <s v="First Class"/>
    <x v="274"/>
    <x v="274"/>
    <s v="Home Office"/>
    <s v="United States"/>
    <s v="New York City"/>
    <x v="15"/>
    <n v="10035"/>
    <x v="3"/>
    <x v="417"/>
    <x v="1"/>
    <x v="10"/>
    <x v="417"/>
    <n v="55.48"/>
    <s v="Medium"/>
    <n v="1"/>
    <n v="0"/>
    <x v="0"/>
    <x v="0"/>
    <n v="26.630400000000002"/>
    <n v="0.48000000000000004"/>
    <n v="0"/>
  </r>
  <r>
    <n v="712"/>
    <s v="CA-2017-146136"/>
    <d v="2017-09-03T00:00:00"/>
    <x v="3"/>
    <s v="Q3"/>
    <x v="15"/>
    <d v="2017-09-07T00:00:00"/>
    <s v="Standard Class"/>
    <x v="275"/>
    <x v="275"/>
    <s v="Consumer"/>
    <s v="United States"/>
    <s v="Palm Coast"/>
    <x v="2"/>
    <n v="32137"/>
    <x v="0"/>
    <x v="588"/>
    <x v="1"/>
    <x v="12"/>
    <x v="588"/>
    <n v="24.448"/>
    <s v="Low"/>
    <n v="4"/>
    <n v="0.2"/>
    <x v="2"/>
    <x v="2"/>
    <n v="8.8623999999999992"/>
    <n v="0.36249999999999993"/>
    <n v="0"/>
  </r>
  <r>
    <n v="713"/>
    <s v="US-2017-100048"/>
    <d v="2017-05-19T00:00:00"/>
    <x v="3"/>
    <s v="Q2"/>
    <x v="24"/>
    <d v="2017-05-24T00:00:00"/>
    <s v="Standard Class"/>
    <x v="276"/>
    <x v="276"/>
    <s v="Corporate"/>
    <s v="United States"/>
    <s v="Mount Vernon"/>
    <x v="15"/>
    <n v="10550"/>
    <x v="3"/>
    <x v="589"/>
    <x v="1"/>
    <x v="9"/>
    <x v="589"/>
    <n v="281.33999999999997"/>
    <s v="High"/>
    <n v="6"/>
    <n v="0"/>
    <x v="0"/>
    <x v="0"/>
    <n v="109.7226"/>
    <n v="0.39"/>
    <n v="0"/>
  </r>
  <r>
    <n v="714"/>
    <s v="US-2017-100048"/>
    <d v="2017-05-19T00:00:00"/>
    <x v="3"/>
    <s v="Q2"/>
    <x v="24"/>
    <d v="2017-05-24T00:00:00"/>
    <s v="Standard Class"/>
    <x v="276"/>
    <x v="276"/>
    <s v="Corporate"/>
    <s v="United States"/>
    <s v="Mount Vernon"/>
    <x v="15"/>
    <n v="10550"/>
    <x v="3"/>
    <x v="348"/>
    <x v="2"/>
    <x v="7"/>
    <x v="348"/>
    <n v="307.98"/>
    <s v="High"/>
    <n v="2"/>
    <n v="0"/>
    <x v="0"/>
    <x v="0"/>
    <n v="89.3142"/>
    <n v="0.28999999999999998"/>
    <n v="0"/>
  </r>
  <r>
    <n v="715"/>
    <s v="US-2017-100048"/>
    <d v="2017-05-19T00:00:00"/>
    <x v="3"/>
    <s v="Q2"/>
    <x v="24"/>
    <d v="2017-05-24T00:00:00"/>
    <s v="Standard Class"/>
    <x v="276"/>
    <x v="276"/>
    <s v="Corporate"/>
    <s v="United States"/>
    <s v="Mount Vernon"/>
    <x v="15"/>
    <n v="10550"/>
    <x v="3"/>
    <x v="590"/>
    <x v="2"/>
    <x v="11"/>
    <x v="590"/>
    <n v="299.97000000000003"/>
    <s v="High"/>
    <n v="3"/>
    <n v="0"/>
    <x v="0"/>
    <x v="0"/>
    <n v="113.98860000000001"/>
    <n v="0.38"/>
    <n v="0"/>
  </r>
  <r>
    <n v="716"/>
    <s v="CA-2014-153150"/>
    <d v="2014-07-01T00:00:00"/>
    <x v="2"/>
    <s v="Q3"/>
    <x v="39"/>
    <d v="2014-07-06T00:00:00"/>
    <s v="Second Class"/>
    <x v="114"/>
    <x v="114"/>
    <s v="Corporate"/>
    <s v="United States"/>
    <s v="Seattle"/>
    <x v="4"/>
    <n v="98105"/>
    <x v="1"/>
    <x v="591"/>
    <x v="1"/>
    <x v="8"/>
    <x v="591"/>
    <n v="19.920000000000002"/>
    <s v="Low"/>
    <n v="5"/>
    <n v="0.2"/>
    <x v="2"/>
    <x v="2"/>
    <n v="6.9720000000000004"/>
    <n v="0.35"/>
    <n v="0"/>
  </r>
  <r>
    <n v="717"/>
    <s v="CA-2014-130092"/>
    <d v="2014-01-11T00:00:00"/>
    <x v="2"/>
    <s v="Q1"/>
    <x v="46"/>
    <d v="2014-01-14T00:00:00"/>
    <s v="First Class"/>
    <x v="277"/>
    <x v="277"/>
    <s v="Consumer"/>
    <s v="United States"/>
    <s v="Dover"/>
    <x v="13"/>
    <n v="19901"/>
    <x v="3"/>
    <x v="527"/>
    <x v="0"/>
    <x v="5"/>
    <x v="527"/>
    <n v="9.94"/>
    <s v="Low"/>
    <n v="2"/>
    <n v="0"/>
    <x v="0"/>
    <x v="0"/>
    <n v="3.0813999999999999"/>
    <n v="0.31"/>
    <n v="0"/>
  </r>
  <r>
    <n v="718"/>
    <s v="CA-2017-108910"/>
    <d v="2017-09-24T00:00:00"/>
    <x v="3"/>
    <s v="Q3"/>
    <x v="15"/>
    <d v="2017-09-29T00:00:00"/>
    <s v="Standard Class"/>
    <x v="110"/>
    <x v="110"/>
    <s v="Consumer"/>
    <s v="United States"/>
    <s v="Newark"/>
    <x v="24"/>
    <n v="43055"/>
    <x v="3"/>
    <x v="592"/>
    <x v="0"/>
    <x v="5"/>
    <x v="592"/>
    <n v="103.056"/>
    <s v="Medium"/>
    <n v="3"/>
    <n v="0.2"/>
    <x v="2"/>
    <x v="2"/>
    <n v="24.4758"/>
    <n v="0.23749999999999999"/>
    <n v="0"/>
  </r>
  <r>
    <n v="719"/>
    <s v="CA-2014-104472"/>
    <d v="2014-06-02T00:00:00"/>
    <x v="2"/>
    <s v="Q2"/>
    <x v="3"/>
    <d v="2014-06-07T00:00:00"/>
    <s v="Standard Class"/>
    <x v="278"/>
    <x v="278"/>
    <s v="Home Office"/>
    <s v="United States"/>
    <s v="Orem"/>
    <x v="7"/>
    <n v="84057"/>
    <x v="1"/>
    <x v="444"/>
    <x v="1"/>
    <x v="8"/>
    <x v="444"/>
    <n v="59.808"/>
    <s v="Medium"/>
    <n v="3"/>
    <n v="0.2"/>
    <x v="2"/>
    <x v="2"/>
    <n v="19.4376"/>
    <n v="0.32500000000000001"/>
    <n v="0"/>
  </r>
  <r>
    <n v="720"/>
    <s v="CA-2014-104472"/>
    <d v="2014-06-02T00:00:00"/>
    <x v="2"/>
    <s v="Q2"/>
    <x v="3"/>
    <d v="2014-06-07T00:00:00"/>
    <s v="Standard Class"/>
    <x v="278"/>
    <x v="278"/>
    <s v="Home Office"/>
    <s v="United States"/>
    <s v="Orem"/>
    <x v="7"/>
    <n v="84057"/>
    <x v="1"/>
    <x v="390"/>
    <x v="0"/>
    <x v="5"/>
    <x v="391"/>
    <n v="73.319999999999993"/>
    <s v="Medium"/>
    <n v="6"/>
    <n v="0"/>
    <x v="0"/>
    <x v="0"/>
    <n v="21.995999999999999"/>
    <n v="0.3"/>
    <n v="0"/>
  </r>
  <r>
    <n v="721"/>
    <s v="CA-2016-112942"/>
    <d v="2016-02-13T00:00:00"/>
    <x v="0"/>
    <s v="Q1"/>
    <x v="47"/>
    <d v="2016-02-18T00:00:00"/>
    <s v="Standard Class"/>
    <x v="279"/>
    <x v="279"/>
    <s v="Home Office"/>
    <s v="United States"/>
    <s v="Los Angeles"/>
    <x v="1"/>
    <n v="90045"/>
    <x v="1"/>
    <x v="593"/>
    <x v="1"/>
    <x v="10"/>
    <x v="593"/>
    <n v="146.82"/>
    <s v="High"/>
    <n v="3"/>
    <n v="0"/>
    <x v="0"/>
    <x v="0"/>
    <n v="73.41"/>
    <n v="0.5"/>
    <n v="0"/>
  </r>
  <r>
    <n v="722"/>
    <s v="CA-2016-142335"/>
    <d v="2016-12-15T00:00:00"/>
    <x v="0"/>
    <s v="Q4"/>
    <x v="5"/>
    <d v="2016-12-19T00:00:00"/>
    <s v="Standard Class"/>
    <x v="172"/>
    <x v="172"/>
    <s v="Corporate"/>
    <s v="United States"/>
    <s v="Detroit"/>
    <x v="12"/>
    <n v="48205"/>
    <x v="2"/>
    <x v="594"/>
    <x v="0"/>
    <x v="3"/>
    <x v="594"/>
    <n v="1652.94"/>
    <s v="High"/>
    <n v="3"/>
    <n v="0"/>
    <x v="0"/>
    <x v="0"/>
    <n v="231.41159999999999"/>
    <n v="0.13999999999999999"/>
    <n v="0"/>
  </r>
  <r>
    <n v="723"/>
    <s v="CA-2016-142335"/>
    <d v="2016-12-15T00:00:00"/>
    <x v="0"/>
    <s v="Q4"/>
    <x v="5"/>
    <d v="2016-12-19T00:00:00"/>
    <s v="Standard Class"/>
    <x v="172"/>
    <x v="172"/>
    <s v="Corporate"/>
    <s v="United States"/>
    <s v="Detroit"/>
    <x v="12"/>
    <n v="48205"/>
    <x v="2"/>
    <x v="595"/>
    <x v="1"/>
    <x v="4"/>
    <x v="595"/>
    <n v="296.37"/>
    <s v="High"/>
    <n v="3"/>
    <n v="0"/>
    <x v="0"/>
    <x v="0"/>
    <n v="80.019900000000007"/>
    <n v="0.27"/>
    <n v="0"/>
  </r>
  <r>
    <n v="724"/>
    <s v="CA-2014-117429"/>
    <d v="2014-10-07T00:00:00"/>
    <x v="2"/>
    <s v="Q4"/>
    <x v="18"/>
    <d v="2014-10-13T00:00:00"/>
    <s v="Standard Class"/>
    <x v="280"/>
    <x v="280"/>
    <s v="Home Office"/>
    <s v="United States"/>
    <s v="Philadelphia"/>
    <x v="9"/>
    <n v="19140"/>
    <x v="3"/>
    <x v="596"/>
    <x v="0"/>
    <x v="5"/>
    <x v="596"/>
    <n v="129.91999999999999"/>
    <s v="High"/>
    <n v="5"/>
    <n v="0.2"/>
    <x v="2"/>
    <x v="2"/>
    <n v="21.111999999999998"/>
    <n v="0.16250000000000001"/>
    <n v="0"/>
  </r>
  <r>
    <n v="725"/>
    <s v="CA-2016-114713"/>
    <d v="2016-07-07T00:00:00"/>
    <x v="0"/>
    <s v="Q3"/>
    <x v="16"/>
    <d v="2016-07-12T00:00:00"/>
    <s v="Standard Class"/>
    <x v="281"/>
    <x v="281"/>
    <s v="Corporate"/>
    <s v="United States"/>
    <s v="Hialeah"/>
    <x v="2"/>
    <n v="33012"/>
    <x v="0"/>
    <x v="597"/>
    <x v="1"/>
    <x v="14"/>
    <x v="597"/>
    <n v="45.584000000000003"/>
    <s v="Medium"/>
    <n v="7"/>
    <n v="0.2"/>
    <x v="2"/>
    <x v="2"/>
    <n v="5.1281999999999996"/>
    <n v="0.11249999999999999"/>
    <n v="0"/>
  </r>
  <r>
    <n v="726"/>
    <s v="CA-2017-144113"/>
    <d v="2017-09-16T00:00:00"/>
    <x v="3"/>
    <s v="Q3"/>
    <x v="15"/>
    <d v="2017-09-20T00:00:00"/>
    <s v="Standard Class"/>
    <x v="282"/>
    <x v="282"/>
    <s v="Consumer"/>
    <s v="United States"/>
    <s v="Austin"/>
    <x v="5"/>
    <n v="78745"/>
    <x v="2"/>
    <x v="598"/>
    <x v="1"/>
    <x v="12"/>
    <x v="598"/>
    <n v="17.568000000000001"/>
    <s v="Low"/>
    <n v="2"/>
    <n v="0.2"/>
    <x v="2"/>
    <x v="2"/>
    <n v="6.3684000000000003"/>
    <n v="0.36249999999999999"/>
    <n v="0"/>
  </r>
  <r>
    <n v="727"/>
    <s v="CA-2017-144113"/>
    <d v="2017-09-16T00:00:00"/>
    <x v="3"/>
    <s v="Q3"/>
    <x v="15"/>
    <d v="2017-09-20T00:00:00"/>
    <s v="Standard Class"/>
    <x v="282"/>
    <x v="282"/>
    <s v="Consumer"/>
    <s v="United States"/>
    <s v="Austin"/>
    <x v="5"/>
    <n v="78745"/>
    <x v="2"/>
    <x v="599"/>
    <x v="2"/>
    <x v="7"/>
    <x v="599"/>
    <n v="55.991999999999997"/>
    <s v="Medium"/>
    <n v="1"/>
    <n v="0.2"/>
    <x v="2"/>
    <x v="2"/>
    <n v="5.5991999999999997"/>
    <n v="0.1"/>
    <n v="0"/>
  </r>
  <r>
    <n v="728"/>
    <s v="US-2016-150861"/>
    <d v="2016-12-03T00:00:00"/>
    <x v="0"/>
    <s v="Q4"/>
    <x v="5"/>
    <d v="2016-12-06T00:00:00"/>
    <s v="First Class"/>
    <x v="283"/>
    <x v="283"/>
    <s v="Consumer"/>
    <s v="United States"/>
    <s v="Oceanside"/>
    <x v="15"/>
    <n v="11572"/>
    <x v="3"/>
    <x v="600"/>
    <x v="1"/>
    <x v="10"/>
    <x v="600"/>
    <n v="182.72"/>
    <s v="High"/>
    <n v="8"/>
    <n v="0"/>
    <x v="0"/>
    <x v="0"/>
    <n v="84.051199999999994"/>
    <n v="0.45999999999999996"/>
    <n v="0"/>
  </r>
  <r>
    <n v="729"/>
    <s v="US-2016-150861"/>
    <d v="2016-12-03T00:00:00"/>
    <x v="0"/>
    <s v="Q4"/>
    <x v="5"/>
    <d v="2016-12-06T00:00:00"/>
    <s v="First Class"/>
    <x v="283"/>
    <x v="283"/>
    <s v="Consumer"/>
    <s v="United States"/>
    <s v="Oceanside"/>
    <x v="15"/>
    <n v="11572"/>
    <x v="3"/>
    <x v="601"/>
    <x v="0"/>
    <x v="3"/>
    <x v="601"/>
    <n v="400.03199999999998"/>
    <s v="High"/>
    <n v="2"/>
    <n v="0.4"/>
    <x v="1"/>
    <x v="7"/>
    <n v="-153.34559999999999"/>
    <n v="-0.3833333333333333"/>
    <n v="1"/>
  </r>
  <r>
    <n v="730"/>
    <s v="US-2016-150861"/>
    <d v="2016-12-03T00:00:00"/>
    <x v="0"/>
    <s v="Q4"/>
    <x v="5"/>
    <d v="2016-12-06T00:00:00"/>
    <s v="First Class"/>
    <x v="283"/>
    <x v="283"/>
    <s v="Consumer"/>
    <s v="United States"/>
    <s v="Oceanside"/>
    <x v="15"/>
    <n v="11572"/>
    <x v="3"/>
    <x v="602"/>
    <x v="1"/>
    <x v="4"/>
    <x v="602"/>
    <n v="33.630000000000003"/>
    <s v="Medium"/>
    <n v="3"/>
    <n v="0"/>
    <x v="0"/>
    <x v="0"/>
    <n v="10.089"/>
    <n v="0.3"/>
    <n v="0"/>
  </r>
  <r>
    <n v="731"/>
    <s v="US-2016-150861"/>
    <d v="2016-12-03T00:00:00"/>
    <x v="0"/>
    <s v="Q4"/>
    <x v="5"/>
    <d v="2016-12-06T00:00:00"/>
    <s v="First Class"/>
    <x v="283"/>
    <x v="283"/>
    <s v="Consumer"/>
    <s v="United States"/>
    <s v="Oceanside"/>
    <x v="15"/>
    <n v="11572"/>
    <x v="3"/>
    <x v="228"/>
    <x v="0"/>
    <x v="1"/>
    <x v="229"/>
    <n v="542.64599999999996"/>
    <s v="High"/>
    <n v="3"/>
    <n v="0.1"/>
    <x v="3"/>
    <x v="8"/>
    <n v="102.49979999999999"/>
    <n v="0.18888888888888888"/>
    <n v="0"/>
  </r>
  <r>
    <n v="732"/>
    <s v="US-2016-150861"/>
    <d v="2016-12-03T00:00:00"/>
    <x v="0"/>
    <s v="Q4"/>
    <x v="5"/>
    <d v="2016-12-06T00:00:00"/>
    <s v="First Class"/>
    <x v="283"/>
    <x v="283"/>
    <s v="Consumer"/>
    <s v="United States"/>
    <s v="Oceanside"/>
    <x v="15"/>
    <n v="11572"/>
    <x v="3"/>
    <x v="395"/>
    <x v="1"/>
    <x v="2"/>
    <x v="396"/>
    <n v="6.3"/>
    <s v="Low"/>
    <n v="2"/>
    <n v="0"/>
    <x v="0"/>
    <x v="0"/>
    <n v="3.024"/>
    <n v="0.48000000000000004"/>
    <n v="0"/>
  </r>
  <r>
    <n v="733"/>
    <s v="CA-2017-131954"/>
    <d v="2017-01-21T00:00:00"/>
    <x v="3"/>
    <s v="Q1"/>
    <x v="44"/>
    <d v="2017-01-25T00:00:00"/>
    <s v="Standard Class"/>
    <x v="284"/>
    <x v="284"/>
    <s v="Home Office"/>
    <s v="United States"/>
    <s v="Seattle"/>
    <x v="4"/>
    <n v="98115"/>
    <x v="1"/>
    <x v="459"/>
    <x v="1"/>
    <x v="4"/>
    <x v="460"/>
    <n v="242.94"/>
    <s v="High"/>
    <n v="3"/>
    <n v="0"/>
    <x v="0"/>
    <x v="0"/>
    <n v="9.7175999999999991"/>
    <n v="3.9999999999999994E-2"/>
    <n v="0"/>
  </r>
  <r>
    <n v="734"/>
    <s v="CA-2017-131954"/>
    <d v="2017-01-21T00:00:00"/>
    <x v="3"/>
    <s v="Q1"/>
    <x v="44"/>
    <d v="2017-01-25T00:00:00"/>
    <s v="Standard Class"/>
    <x v="284"/>
    <x v="284"/>
    <s v="Home Office"/>
    <s v="United States"/>
    <s v="Seattle"/>
    <x v="4"/>
    <n v="98115"/>
    <x v="1"/>
    <x v="603"/>
    <x v="2"/>
    <x v="11"/>
    <x v="603"/>
    <n v="179.97"/>
    <s v="High"/>
    <n v="3"/>
    <n v="0"/>
    <x v="0"/>
    <x v="0"/>
    <n v="86.385599999999997"/>
    <n v="0.48"/>
    <n v="0"/>
  </r>
  <r>
    <n v="735"/>
    <s v="CA-2017-131954"/>
    <d v="2017-01-21T00:00:00"/>
    <x v="3"/>
    <s v="Q1"/>
    <x v="44"/>
    <d v="2017-01-25T00:00:00"/>
    <s v="Standard Class"/>
    <x v="284"/>
    <x v="284"/>
    <s v="Home Office"/>
    <s v="United States"/>
    <s v="Seattle"/>
    <x v="4"/>
    <n v="98115"/>
    <x v="1"/>
    <x v="350"/>
    <x v="1"/>
    <x v="8"/>
    <x v="350"/>
    <n v="99.695999999999998"/>
    <s v="Medium"/>
    <n v="6"/>
    <n v="0.2"/>
    <x v="2"/>
    <x v="2"/>
    <n v="33.647399999999998"/>
    <n v="0.33749999999999997"/>
    <n v="0"/>
  </r>
  <r>
    <n v="736"/>
    <s v="CA-2017-131954"/>
    <d v="2017-01-21T00:00:00"/>
    <x v="3"/>
    <s v="Q1"/>
    <x v="44"/>
    <d v="2017-01-25T00:00:00"/>
    <s v="Standard Class"/>
    <x v="284"/>
    <x v="284"/>
    <s v="Home Office"/>
    <s v="United States"/>
    <s v="Seattle"/>
    <x v="4"/>
    <n v="98115"/>
    <x v="1"/>
    <x v="44"/>
    <x v="1"/>
    <x v="8"/>
    <x v="44"/>
    <n v="27.936"/>
    <s v="Medium"/>
    <n v="4"/>
    <n v="0.2"/>
    <x v="2"/>
    <x v="2"/>
    <n v="9.4283999999999999"/>
    <n v="0.33750000000000002"/>
    <n v="0"/>
  </r>
  <r>
    <n v="737"/>
    <s v="CA-2017-131954"/>
    <d v="2017-01-21T00:00:00"/>
    <x v="3"/>
    <s v="Q1"/>
    <x v="44"/>
    <d v="2017-01-25T00:00:00"/>
    <s v="Standard Class"/>
    <x v="284"/>
    <x v="284"/>
    <s v="Home Office"/>
    <s v="United States"/>
    <s v="Seattle"/>
    <x v="4"/>
    <n v="98115"/>
    <x v="1"/>
    <x v="604"/>
    <x v="0"/>
    <x v="0"/>
    <x v="604"/>
    <n v="84.98"/>
    <s v="Medium"/>
    <n v="1"/>
    <n v="0"/>
    <x v="0"/>
    <x v="0"/>
    <n v="18.695599999999999"/>
    <n v="0.21999999999999997"/>
    <n v="0"/>
  </r>
  <r>
    <n v="738"/>
    <s v="CA-2017-131954"/>
    <d v="2017-01-21T00:00:00"/>
    <x v="3"/>
    <s v="Q1"/>
    <x v="44"/>
    <d v="2017-01-25T00:00:00"/>
    <s v="Standard Class"/>
    <x v="284"/>
    <x v="284"/>
    <s v="Home Office"/>
    <s v="United States"/>
    <s v="Seattle"/>
    <x v="4"/>
    <n v="98115"/>
    <x v="1"/>
    <x v="605"/>
    <x v="1"/>
    <x v="8"/>
    <x v="605"/>
    <n v="18.72"/>
    <s v="Low"/>
    <n v="5"/>
    <n v="0.2"/>
    <x v="2"/>
    <x v="2"/>
    <n v="6.5519999999999996"/>
    <n v="0.35"/>
    <n v="0"/>
  </r>
  <r>
    <n v="739"/>
    <s v="CA-2014-132500"/>
    <d v="2014-09-08T00:00:00"/>
    <x v="2"/>
    <s v="Q3"/>
    <x v="30"/>
    <d v="2014-09-12T00:00:00"/>
    <s v="Standard Class"/>
    <x v="47"/>
    <x v="47"/>
    <s v="Consumer"/>
    <s v="United States"/>
    <s v="San Francisco"/>
    <x v="1"/>
    <n v="94110"/>
    <x v="1"/>
    <x v="606"/>
    <x v="2"/>
    <x v="11"/>
    <x v="606"/>
    <n v="49.98"/>
    <s v="Medium"/>
    <n v="2"/>
    <n v="0"/>
    <x v="0"/>
    <x v="0"/>
    <n v="8.4966000000000008"/>
    <n v="0.17000000000000004"/>
    <n v="0"/>
  </r>
  <r>
    <n v="740"/>
    <s v="CA-2014-112326"/>
    <d v="2014-01-04T00:00:00"/>
    <x v="2"/>
    <s v="Q1"/>
    <x v="46"/>
    <d v="2014-01-08T00:00:00"/>
    <s v="Standard Class"/>
    <x v="285"/>
    <x v="285"/>
    <s v="Home Office"/>
    <s v="United States"/>
    <s v="Naperville"/>
    <x v="10"/>
    <n v="60540"/>
    <x v="2"/>
    <x v="607"/>
    <x v="1"/>
    <x v="2"/>
    <x v="607"/>
    <n v="11.784000000000001"/>
    <s v="Low"/>
    <n v="3"/>
    <n v="0.2"/>
    <x v="2"/>
    <x v="2"/>
    <n v="4.2717000000000001"/>
    <n v="0.36249999999999999"/>
    <n v="0"/>
  </r>
  <r>
    <n v="741"/>
    <s v="CA-2014-112326"/>
    <d v="2014-01-04T00:00:00"/>
    <x v="2"/>
    <s v="Q1"/>
    <x v="46"/>
    <d v="2014-01-08T00:00:00"/>
    <s v="Standard Class"/>
    <x v="285"/>
    <x v="285"/>
    <s v="Home Office"/>
    <s v="United States"/>
    <s v="Naperville"/>
    <x v="10"/>
    <n v="60540"/>
    <x v="2"/>
    <x v="418"/>
    <x v="1"/>
    <x v="4"/>
    <x v="418"/>
    <n v="272.73599999999999"/>
    <s v="High"/>
    <n v="3"/>
    <n v="0.2"/>
    <x v="2"/>
    <x v="2"/>
    <n v="-64.774799999999999"/>
    <n v="-0.23750000000000002"/>
    <n v="1"/>
  </r>
  <r>
    <n v="742"/>
    <s v="CA-2014-112326"/>
    <d v="2014-01-04T00:00:00"/>
    <x v="2"/>
    <s v="Q1"/>
    <x v="46"/>
    <d v="2014-01-08T00:00:00"/>
    <s v="Standard Class"/>
    <x v="285"/>
    <x v="285"/>
    <s v="Home Office"/>
    <s v="United States"/>
    <s v="Naperville"/>
    <x v="10"/>
    <n v="60540"/>
    <x v="2"/>
    <x v="608"/>
    <x v="1"/>
    <x v="8"/>
    <x v="608"/>
    <n v="3.54"/>
    <s v="Low"/>
    <n v="2"/>
    <n v="0.8"/>
    <x v="1"/>
    <x v="3"/>
    <n v="-5.4870000000000001"/>
    <n v="-1.55"/>
    <n v="1"/>
  </r>
  <r>
    <n v="743"/>
    <s v="US-2016-146710"/>
    <d v="2016-08-27T00:00:00"/>
    <x v="0"/>
    <s v="Q3"/>
    <x v="28"/>
    <d v="2016-09-01T00:00:00"/>
    <s v="Standard Class"/>
    <x v="286"/>
    <x v="286"/>
    <s v="Consumer"/>
    <s v="United States"/>
    <s v="Dallas"/>
    <x v="5"/>
    <n v="75220"/>
    <x v="2"/>
    <x v="505"/>
    <x v="1"/>
    <x v="14"/>
    <x v="505"/>
    <n v="51.52"/>
    <s v="Medium"/>
    <n v="5"/>
    <n v="0.2"/>
    <x v="2"/>
    <x v="2"/>
    <n v="-10.948"/>
    <n v="-0.21249999999999999"/>
    <n v="1"/>
  </r>
  <r>
    <n v="744"/>
    <s v="US-2016-146710"/>
    <d v="2016-08-27T00:00:00"/>
    <x v="0"/>
    <s v="Q3"/>
    <x v="28"/>
    <d v="2016-09-01T00:00:00"/>
    <s v="Standard Class"/>
    <x v="286"/>
    <x v="286"/>
    <s v="Consumer"/>
    <s v="United States"/>
    <s v="Dallas"/>
    <x v="5"/>
    <n v="75220"/>
    <x v="2"/>
    <x v="249"/>
    <x v="1"/>
    <x v="10"/>
    <x v="250"/>
    <n v="3.528"/>
    <s v="Low"/>
    <n v="1"/>
    <n v="0.2"/>
    <x v="2"/>
    <x v="2"/>
    <n v="1.1466000000000001"/>
    <n v="0.32500000000000001"/>
    <n v="0"/>
  </r>
  <r>
    <n v="745"/>
    <s v="US-2016-146710"/>
    <d v="2016-08-27T00:00:00"/>
    <x v="0"/>
    <s v="Q3"/>
    <x v="28"/>
    <d v="2016-09-01T00:00:00"/>
    <s v="Standard Class"/>
    <x v="286"/>
    <x v="286"/>
    <s v="Consumer"/>
    <s v="United States"/>
    <s v="Dallas"/>
    <x v="5"/>
    <n v="75220"/>
    <x v="2"/>
    <x v="609"/>
    <x v="1"/>
    <x v="10"/>
    <x v="609"/>
    <n v="4.6239999999999997"/>
    <s v="Low"/>
    <n v="1"/>
    <n v="0.2"/>
    <x v="2"/>
    <x v="2"/>
    <n v="1.6761999999999999"/>
    <n v="0.36249999999999999"/>
    <n v="0"/>
  </r>
  <r>
    <n v="746"/>
    <s v="US-2016-146710"/>
    <d v="2016-08-27T00:00:00"/>
    <x v="0"/>
    <s v="Q3"/>
    <x v="28"/>
    <d v="2016-09-01T00:00:00"/>
    <s v="Standard Class"/>
    <x v="286"/>
    <x v="286"/>
    <s v="Consumer"/>
    <s v="United States"/>
    <s v="Dallas"/>
    <x v="5"/>
    <n v="75220"/>
    <x v="2"/>
    <x v="610"/>
    <x v="1"/>
    <x v="14"/>
    <x v="610"/>
    <n v="55.167999999999999"/>
    <s v="Medium"/>
    <n v="4"/>
    <n v="0.2"/>
    <x v="2"/>
    <x v="2"/>
    <n v="6.2064000000000004"/>
    <n v="0.1125"/>
    <n v="0"/>
  </r>
  <r>
    <n v="747"/>
    <s v="CA-2014-124429"/>
    <d v="2014-05-27T00:00:00"/>
    <x v="2"/>
    <s v="Q2"/>
    <x v="8"/>
    <d v="2014-05-27T00:00:00"/>
    <s v="Same Day"/>
    <x v="186"/>
    <x v="186"/>
    <s v="Corporate"/>
    <s v="United States"/>
    <s v="San Diego"/>
    <x v="1"/>
    <n v="92105"/>
    <x v="1"/>
    <x v="223"/>
    <x v="0"/>
    <x v="3"/>
    <x v="224"/>
    <n v="567.12"/>
    <s v="High"/>
    <n v="10"/>
    <n v="0.2"/>
    <x v="2"/>
    <x v="2"/>
    <n v="-28.356000000000002"/>
    <n v="-0.05"/>
    <n v="1"/>
  </r>
  <r>
    <n v="748"/>
    <s v="CA-2014-124429"/>
    <d v="2014-05-27T00:00:00"/>
    <x v="2"/>
    <s v="Q2"/>
    <x v="8"/>
    <d v="2014-05-27T00:00:00"/>
    <s v="Same Day"/>
    <x v="186"/>
    <x v="186"/>
    <s v="Corporate"/>
    <s v="United States"/>
    <s v="San Diego"/>
    <x v="1"/>
    <n v="92105"/>
    <x v="1"/>
    <x v="435"/>
    <x v="1"/>
    <x v="4"/>
    <x v="435"/>
    <n v="359.32"/>
    <s v="High"/>
    <n v="4"/>
    <n v="0"/>
    <x v="0"/>
    <x v="0"/>
    <n v="7.1863999999999999"/>
    <n v="0.02"/>
    <n v="0"/>
  </r>
  <r>
    <n v="749"/>
    <s v="CA-2016-150889"/>
    <d v="2016-03-20T00:00:00"/>
    <x v="0"/>
    <s v="Q1"/>
    <x v="17"/>
    <d v="2016-03-22T00:00:00"/>
    <s v="Second Class"/>
    <x v="287"/>
    <x v="287"/>
    <s v="Consumer"/>
    <s v="United States"/>
    <s v="Evanston"/>
    <x v="10"/>
    <n v="60201"/>
    <x v="2"/>
    <x v="611"/>
    <x v="2"/>
    <x v="7"/>
    <x v="611"/>
    <n v="11.992000000000001"/>
    <s v="Low"/>
    <n v="1"/>
    <n v="0.2"/>
    <x v="2"/>
    <x v="2"/>
    <n v="0.89939999999999998"/>
    <n v="7.4999999999999997E-2"/>
    <n v="0"/>
  </r>
  <r>
    <n v="750"/>
    <s v="CA-2017-126074"/>
    <d v="2017-10-02T00:00:00"/>
    <x v="3"/>
    <s v="Q4"/>
    <x v="13"/>
    <d v="2017-10-06T00:00:00"/>
    <s v="Standard Class"/>
    <x v="288"/>
    <x v="288"/>
    <s v="Consumer"/>
    <s v="United States"/>
    <s v="Trenton"/>
    <x v="12"/>
    <n v="48183"/>
    <x v="2"/>
    <x v="612"/>
    <x v="1"/>
    <x v="8"/>
    <x v="612"/>
    <n v="58.05"/>
    <s v="Medium"/>
    <n v="3"/>
    <n v="0"/>
    <x v="0"/>
    <x v="0"/>
    <n v="26.702999999999999"/>
    <n v="0.46"/>
    <n v="0"/>
  </r>
  <r>
    <n v="751"/>
    <s v="CA-2017-126074"/>
    <d v="2017-10-02T00:00:00"/>
    <x v="3"/>
    <s v="Q4"/>
    <x v="13"/>
    <d v="2017-10-06T00:00:00"/>
    <s v="Standard Class"/>
    <x v="288"/>
    <x v="288"/>
    <s v="Consumer"/>
    <s v="United States"/>
    <s v="Trenton"/>
    <x v="12"/>
    <n v="48183"/>
    <x v="2"/>
    <x v="613"/>
    <x v="0"/>
    <x v="5"/>
    <x v="613"/>
    <n v="157.74"/>
    <s v="High"/>
    <n v="11"/>
    <n v="0"/>
    <x v="0"/>
    <x v="0"/>
    <n v="56.7864"/>
    <n v="0.36"/>
    <n v="0"/>
  </r>
  <r>
    <n v="752"/>
    <s v="CA-2017-126074"/>
    <d v="2017-10-02T00:00:00"/>
    <x v="3"/>
    <s v="Q4"/>
    <x v="13"/>
    <d v="2017-10-06T00:00:00"/>
    <s v="Standard Class"/>
    <x v="288"/>
    <x v="288"/>
    <s v="Consumer"/>
    <s v="United States"/>
    <s v="Trenton"/>
    <x v="12"/>
    <n v="48183"/>
    <x v="2"/>
    <x v="359"/>
    <x v="1"/>
    <x v="6"/>
    <x v="359"/>
    <n v="56.98"/>
    <s v="Medium"/>
    <n v="7"/>
    <n v="0"/>
    <x v="0"/>
    <x v="0"/>
    <n v="22.792000000000002"/>
    <n v="0.4"/>
    <n v="0"/>
  </r>
  <r>
    <n v="753"/>
    <s v="CA-2017-126074"/>
    <d v="2017-10-02T00:00:00"/>
    <x v="3"/>
    <s v="Q4"/>
    <x v="13"/>
    <d v="2017-10-06T00:00:00"/>
    <s v="Standard Class"/>
    <x v="288"/>
    <x v="288"/>
    <s v="Consumer"/>
    <s v="United States"/>
    <s v="Trenton"/>
    <x v="12"/>
    <n v="48183"/>
    <x v="2"/>
    <x v="614"/>
    <x v="1"/>
    <x v="8"/>
    <x v="614"/>
    <n v="2.88"/>
    <s v="Low"/>
    <n v="1"/>
    <n v="0"/>
    <x v="0"/>
    <x v="0"/>
    <n v="1.4112"/>
    <n v="0.49000000000000005"/>
    <n v="0"/>
  </r>
  <r>
    <n v="754"/>
    <s v="CA-2016-110499"/>
    <d v="2016-04-07T00:00:00"/>
    <x v="0"/>
    <s v="Q2"/>
    <x v="25"/>
    <d v="2016-04-09T00:00:00"/>
    <s v="First Class"/>
    <x v="289"/>
    <x v="289"/>
    <s v="Corporate"/>
    <s v="United States"/>
    <s v="San Francisco"/>
    <x v="1"/>
    <n v="94110"/>
    <x v="1"/>
    <x v="615"/>
    <x v="2"/>
    <x v="16"/>
    <x v="615"/>
    <n v="1199.9760000000001"/>
    <s v="High"/>
    <n v="3"/>
    <n v="0.2"/>
    <x v="2"/>
    <x v="2"/>
    <n v="374.99250000000001"/>
    <n v="0.3125"/>
    <n v="0"/>
  </r>
  <r>
    <n v="755"/>
    <s v="CA-2015-135272"/>
    <d v="2015-12-07T00:00:00"/>
    <x v="1"/>
    <s v="Q4"/>
    <x v="14"/>
    <d v="2015-12-12T00:00:00"/>
    <s v="Standard Class"/>
    <x v="234"/>
    <x v="234"/>
    <s v="Consumer"/>
    <s v="United States"/>
    <s v="Los Angeles"/>
    <x v="1"/>
    <n v="90036"/>
    <x v="1"/>
    <x v="561"/>
    <x v="0"/>
    <x v="5"/>
    <x v="560"/>
    <n v="79.92"/>
    <s v="Medium"/>
    <n v="4"/>
    <n v="0"/>
    <x v="0"/>
    <x v="0"/>
    <n v="28.7712"/>
    <n v="0.36"/>
    <n v="0"/>
  </r>
  <r>
    <n v="756"/>
    <s v="CA-2016-140928"/>
    <d v="2016-09-18T00:00:00"/>
    <x v="0"/>
    <s v="Q3"/>
    <x v="21"/>
    <d v="2016-09-22T00:00:00"/>
    <s v="Standard Class"/>
    <x v="240"/>
    <x v="240"/>
    <s v="Corporate"/>
    <s v="United States"/>
    <s v="Jacksonville"/>
    <x v="2"/>
    <n v="32216"/>
    <x v="0"/>
    <x v="616"/>
    <x v="0"/>
    <x v="3"/>
    <x v="616"/>
    <n v="383.43799999999999"/>
    <s v="High"/>
    <n v="4"/>
    <n v="0.45"/>
    <x v="1"/>
    <x v="1"/>
    <n v="-167.3184"/>
    <n v="-0.43636363636363634"/>
    <n v="1"/>
  </r>
  <r>
    <n v="757"/>
    <s v="CA-2014-106803"/>
    <d v="2014-12-29T00:00:00"/>
    <x v="2"/>
    <s v="Q4"/>
    <x v="20"/>
    <d v="2015-01-02T00:00:00"/>
    <s v="Standard Class"/>
    <x v="290"/>
    <x v="290"/>
    <s v="Consumer"/>
    <s v="United States"/>
    <s v="Cottage Grove"/>
    <x v="11"/>
    <n v="55016"/>
    <x v="2"/>
    <x v="576"/>
    <x v="1"/>
    <x v="4"/>
    <x v="576"/>
    <n v="24.56"/>
    <s v="Low"/>
    <n v="2"/>
    <n v="0"/>
    <x v="0"/>
    <x v="0"/>
    <n v="6.8768000000000002"/>
    <n v="0.28000000000000003"/>
    <n v="0"/>
  </r>
  <r>
    <n v="758"/>
    <s v="CA-2014-106803"/>
    <d v="2014-12-29T00:00:00"/>
    <x v="2"/>
    <s v="Q4"/>
    <x v="20"/>
    <d v="2015-01-02T00:00:00"/>
    <s v="Standard Class"/>
    <x v="290"/>
    <x v="290"/>
    <s v="Consumer"/>
    <s v="United States"/>
    <s v="Cottage Grove"/>
    <x v="11"/>
    <n v="55016"/>
    <x v="2"/>
    <x v="538"/>
    <x v="2"/>
    <x v="11"/>
    <x v="538"/>
    <n v="119.8"/>
    <s v="Medium"/>
    <n v="4"/>
    <n v="0"/>
    <x v="0"/>
    <x v="0"/>
    <n v="47.92"/>
    <n v="0.4"/>
    <n v="0"/>
  </r>
  <r>
    <n v="759"/>
    <s v="CA-2017-117240"/>
    <d v="2017-07-23T00:00:00"/>
    <x v="3"/>
    <s v="Q3"/>
    <x v="10"/>
    <d v="2017-07-28T00:00:00"/>
    <s v="Standard Class"/>
    <x v="291"/>
    <x v="291"/>
    <s v="Corporate"/>
    <s v="United States"/>
    <s v="New York City"/>
    <x v="15"/>
    <n v="10009"/>
    <x v="3"/>
    <x v="520"/>
    <x v="1"/>
    <x v="8"/>
    <x v="520"/>
    <n v="13.128"/>
    <s v="Low"/>
    <n v="3"/>
    <n v="0.2"/>
    <x v="2"/>
    <x v="2"/>
    <n v="4.2666000000000004"/>
    <n v="0.32500000000000001"/>
    <n v="0"/>
  </r>
  <r>
    <n v="760"/>
    <s v="CA-2017-133333"/>
    <d v="2017-09-18T00:00:00"/>
    <x v="3"/>
    <s v="Q3"/>
    <x v="15"/>
    <d v="2017-09-22T00:00:00"/>
    <s v="Standard Class"/>
    <x v="292"/>
    <x v="292"/>
    <s v="Corporate"/>
    <s v="United States"/>
    <s v="Green Bay"/>
    <x v="6"/>
    <n v="54302"/>
    <x v="2"/>
    <x v="126"/>
    <x v="1"/>
    <x v="10"/>
    <x v="562"/>
    <n v="22.72"/>
    <s v="Low"/>
    <n v="4"/>
    <n v="0"/>
    <x v="0"/>
    <x v="0"/>
    <n v="10.224"/>
    <n v="0.45"/>
    <n v="0"/>
  </r>
  <r>
    <n v="761"/>
    <s v="CA-2015-112319"/>
    <d v="2015-08-31T00:00:00"/>
    <x v="1"/>
    <s v="Q3"/>
    <x v="37"/>
    <d v="2015-09-05T00:00:00"/>
    <s v="Standard Class"/>
    <x v="239"/>
    <x v="239"/>
    <s v="Consumer"/>
    <s v="United States"/>
    <s v="Los Angeles"/>
    <x v="1"/>
    <n v="90004"/>
    <x v="1"/>
    <x v="490"/>
    <x v="1"/>
    <x v="10"/>
    <x v="490"/>
    <n v="58.32"/>
    <s v="Medium"/>
    <n v="9"/>
    <n v="0"/>
    <x v="0"/>
    <x v="0"/>
    <n v="27.993600000000001"/>
    <n v="0.48"/>
    <n v="0"/>
  </r>
  <r>
    <n v="762"/>
    <s v="CA-2017-126046"/>
    <d v="2017-11-03T00:00:00"/>
    <x v="3"/>
    <s v="Q4"/>
    <x v="23"/>
    <d v="2017-11-07T00:00:00"/>
    <s v="Standard Class"/>
    <x v="36"/>
    <x v="36"/>
    <s v="Corporate"/>
    <s v="United States"/>
    <s v="Atlanta"/>
    <x v="32"/>
    <n v="30318"/>
    <x v="0"/>
    <x v="617"/>
    <x v="1"/>
    <x v="2"/>
    <x v="617"/>
    <n v="12.39"/>
    <s v="Low"/>
    <n v="3"/>
    <n v="0"/>
    <x v="0"/>
    <x v="0"/>
    <n v="5.6993999999999998"/>
    <n v="0.45999999999999996"/>
    <n v="0"/>
  </r>
  <r>
    <n v="763"/>
    <s v="CA-2015-114923"/>
    <d v="2015-02-08T00:00:00"/>
    <x v="1"/>
    <s v="Q1"/>
    <x v="36"/>
    <d v="2015-02-13T00:00:00"/>
    <s v="Standard Class"/>
    <x v="293"/>
    <x v="293"/>
    <s v="Consumer"/>
    <s v="United States"/>
    <s v="Columbus"/>
    <x v="24"/>
    <n v="43229"/>
    <x v="3"/>
    <x v="160"/>
    <x v="2"/>
    <x v="7"/>
    <x v="161"/>
    <n v="107.982"/>
    <s v="Medium"/>
    <n v="3"/>
    <n v="0.4"/>
    <x v="1"/>
    <x v="7"/>
    <n v="-26.9955"/>
    <n v="-0.25"/>
    <n v="1"/>
  </r>
  <r>
    <n v="764"/>
    <s v="CA-2014-162775"/>
    <d v="2014-01-13T00:00:00"/>
    <x v="2"/>
    <s v="Q1"/>
    <x v="46"/>
    <d v="2014-01-15T00:00:00"/>
    <s v="Second Class"/>
    <x v="294"/>
    <x v="294"/>
    <s v="Corporate"/>
    <s v="United States"/>
    <s v="Bossier City"/>
    <x v="28"/>
    <n v="71111"/>
    <x v="0"/>
    <x v="152"/>
    <x v="1"/>
    <x v="12"/>
    <x v="153"/>
    <n v="11.36"/>
    <s v="Low"/>
    <n v="2"/>
    <n v="0"/>
    <x v="0"/>
    <x v="0"/>
    <n v="5.3391999999999999"/>
    <n v="0.47000000000000003"/>
    <n v="0"/>
  </r>
  <r>
    <n v="765"/>
    <s v="CA-2014-162775"/>
    <d v="2014-01-13T00:00:00"/>
    <x v="2"/>
    <s v="Q1"/>
    <x v="46"/>
    <d v="2014-01-15T00:00:00"/>
    <s v="Second Class"/>
    <x v="294"/>
    <x v="294"/>
    <s v="Corporate"/>
    <s v="United States"/>
    <s v="Bossier City"/>
    <x v="28"/>
    <n v="71111"/>
    <x v="0"/>
    <x v="618"/>
    <x v="1"/>
    <x v="12"/>
    <x v="618"/>
    <n v="50.94"/>
    <s v="Medium"/>
    <n v="3"/>
    <n v="0"/>
    <x v="0"/>
    <x v="0"/>
    <n v="25.47"/>
    <n v="0.5"/>
    <n v="0"/>
  </r>
  <r>
    <n v="766"/>
    <s v="CA-2014-162775"/>
    <d v="2014-01-13T00:00:00"/>
    <x v="2"/>
    <s v="Q1"/>
    <x v="46"/>
    <d v="2014-01-15T00:00:00"/>
    <s v="Second Class"/>
    <x v="294"/>
    <x v="294"/>
    <s v="Corporate"/>
    <s v="United States"/>
    <s v="Bossier City"/>
    <x v="28"/>
    <n v="71111"/>
    <x v="0"/>
    <x v="619"/>
    <x v="2"/>
    <x v="11"/>
    <x v="619"/>
    <n v="646.74"/>
    <s v="High"/>
    <n v="6"/>
    <n v="0"/>
    <x v="0"/>
    <x v="0"/>
    <n v="258.69600000000003"/>
    <n v="0.4"/>
    <n v="0"/>
  </r>
  <r>
    <n v="767"/>
    <s v="CA-2014-162775"/>
    <d v="2014-01-13T00:00:00"/>
    <x v="2"/>
    <s v="Q1"/>
    <x v="46"/>
    <d v="2014-01-15T00:00:00"/>
    <s v="Second Class"/>
    <x v="294"/>
    <x v="294"/>
    <s v="Corporate"/>
    <s v="United States"/>
    <s v="Bossier City"/>
    <x v="28"/>
    <n v="71111"/>
    <x v="0"/>
    <x v="620"/>
    <x v="1"/>
    <x v="8"/>
    <x v="620"/>
    <n v="5.64"/>
    <s v="Low"/>
    <n v="3"/>
    <n v="0"/>
    <x v="0"/>
    <x v="0"/>
    <n v="2.7071999999999998"/>
    <n v="0.48"/>
    <n v="0"/>
  </r>
  <r>
    <n v="768"/>
    <s v="CA-2014-162775"/>
    <d v="2014-01-13T00:00:00"/>
    <x v="2"/>
    <s v="Q1"/>
    <x v="46"/>
    <d v="2014-01-15T00:00:00"/>
    <s v="Second Class"/>
    <x v="294"/>
    <x v="294"/>
    <s v="Corporate"/>
    <s v="United States"/>
    <s v="Bossier City"/>
    <x v="28"/>
    <n v="71111"/>
    <x v="0"/>
    <x v="621"/>
    <x v="1"/>
    <x v="4"/>
    <x v="621"/>
    <n v="572.58000000000004"/>
    <s v="High"/>
    <n v="6"/>
    <n v="0"/>
    <x v="0"/>
    <x v="0"/>
    <n v="34.354799999999997"/>
    <n v="5.9999999999999991E-2"/>
    <n v="0"/>
  </r>
  <r>
    <n v="769"/>
    <s v="CA-2014-106810"/>
    <d v="2014-05-14T00:00:00"/>
    <x v="2"/>
    <s v="Q2"/>
    <x v="8"/>
    <d v="2014-05-20T00:00:00"/>
    <s v="Standard Class"/>
    <x v="295"/>
    <x v="295"/>
    <s v="Corporate"/>
    <s v="United States"/>
    <s v="Saint Petersburg"/>
    <x v="2"/>
    <n v="33710"/>
    <x v="0"/>
    <x v="622"/>
    <x v="0"/>
    <x v="5"/>
    <x v="622"/>
    <n v="310.88"/>
    <s v="High"/>
    <n v="2"/>
    <n v="0.2"/>
    <x v="2"/>
    <x v="2"/>
    <n v="23.315999999999999"/>
    <n v="7.4999999999999997E-2"/>
    <n v="0"/>
  </r>
  <r>
    <n v="770"/>
    <s v="CA-2016-157245"/>
    <d v="2016-05-19T00:00:00"/>
    <x v="0"/>
    <s v="Q2"/>
    <x v="35"/>
    <d v="2016-05-24T00:00:00"/>
    <s v="Standard Class"/>
    <x v="97"/>
    <x v="97"/>
    <s v="Consumer"/>
    <s v="United States"/>
    <s v="Arlington"/>
    <x v="17"/>
    <n v="22204"/>
    <x v="0"/>
    <x v="623"/>
    <x v="0"/>
    <x v="1"/>
    <x v="623"/>
    <n v="641.96"/>
    <s v="High"/>
    <n v="2"/>
    <n v="0"/>
    <x v="0"/>
    <x v="0"/>
    <n v="179.74879999999999"/>
    <n v="0.27999999999999997"/>
    <n v="0"/>
  </r>
  <r>
    <n v="771"/>
    <s v="CA-2017-104220"/>
    <d v="2017-01-30T00:00:00"/>
    <x v="3"/>
    <s v="Q1"/>
    <x v="44"/>
    <d v="2017-02-05T00:00:00"/>
    <s v="Standard Class"/>
    <x v="296"/>
    <x v="296"/>
    <s v="Corporate"/>
    <s v="United States"/>
    <s v="Des Moines"/>
    <x v="23"/>
    <n v="50315"/>
    <x v="2"/>
    <x v="624"/>
    <x v="1"/>
    <x v="8"/>
    <x v="624"/>
    <n v="18.28"/>
    <s v="Low"/>
    <n v="2"/>
    <n v="0"/>
    <x v="0"/>
    <x v="0"/>
    <n v="9.14"/>
    <n v="0.5"/>
    <n v="0"/>
  </r>
  <r>
    <n v="772"/>
    <s v="CA-2017-104220"/>
    <d v="2017-01-30T00:00:00"/>
    <x v="3"/>
    <s v="Q1"/>
    <x v="44"/>
    <d v="2017-02-05T00:00:00"/>
    <s v="Standard Class"/>
    <x v="296"/>
    <x v="296"/>
    <s v="Corporate"/>
    <s v="United States"/>
    <s v="Des Moines"/>
    <x v="23"/>
    <n v="50315"/>
    <x v="2"/>
    <x v="302"/>
    <x v="2"/>
    <x v="7"/>
    <x v="302"/>
    <n v="207"/>
    <s v="High"/>
    <n v="3"/>
    <n v="0"/>
    <x v="0"/>
    <x v="0"/>
    <n v="51.75"/>
    <n v="0.25"/>
    <n v="0"/>
  </r>
  <r>
    <n v="773"/>
    <s v="CA-2017-104220"/>
    <d v="2017-01-30T00:00:00"/>
    <x v="3"/>
    <s v="Q1"/>
    <x v="44"/>
    <d v="2017-02-05T00:00:00"/>
    <s v="Standard Class"/>
    <x v="296"/>
    <x v="296"/>
    <s v="Corporate"/>
    <s v="United States"/>
    <s v="Des Moines"/>
    <x v="23"/>
    <n v="50315"/>
    <x v="2"/>
    <x v="625"/>
    <x v="1"/>
    <x v="8"/>
    <x v="625"/>
    <n v="32.35"/>
    <s v="Medium"/>
    <n v="5"/>
    <n v="0"/>
    <x v="0"/>
    <x v="0"/>
    <n v="16.175000000000001"/>
    <n v="0.5"/>
    <n v="0"/>
  </r>
  <r>
    <n v="774"/>
    <s v="CA-2017-104220"/>
    <d v="2017-01-30T00:00:00"/>
    <x v="3"/>
    <s v="Q1"/>
    <x v="44"/>
    <d v="2017-02-05T00:00:00"/>
    <s v="Standard Class"/>
    <x v="296"/>
    <x v="296"/>
    <s v="Corporate"/>
    <s v="United States"/>
    <s v="Des Moines"/>
    <x v="23"/>
    <n v="50315"/>
    <x v="2"/>
    <x v="8"/>
    <x v="1"/>
    <x v="8"/>
    <x v="8"/>
    <n v="7.71"/>
    <s v="Low"/>
    <n v="1"/>
    <n v="0"/>
    <x v="0"/>
    <x v="0"/>
    <n v="3.4695"/>
    <n v="0.45"/>
    <n v="0"/>
  </r>
  <r>
    <n v="775"/>
    <s v="CA-2017-104220"/>
    <d v="2017-01-30T00:00:00"/>
    <x v="3"/>
    <s v="Q1"/>
    <x v="44"/>
    <d v="2017-02-05T00:00:00"/>
    <s v="Standard Class"/>
    <x v="296"/>
    <x v="296"/>
    <s v="Corporate"/>
    <s v="United States"/>
    <s v="Des Moines"/>
    <x v="23"/>
    <n v="50315"/>
    <x v="2"/>
    <x v="626"/>
    <x v="1"/>
    <x v="6"/>
    <x v="626"/>
    <n v="40.299999999999997"/>
    <s v="Medium"/>
    <n v="2"/>
    <n v="0"/>
    <x v="0"/>
    <x v="0"/>
    <n v="10.881"/>
    <n v="0.27"/>
    <n v="0"/>
  </r>
  <r>
    <n v="776"/>
    <s v="CA-2017-104220"/>
    <d v="2017-01-30T00:00:00"/>
    <x v="3"/>
    <s v="Q1"/>
    <x v="44"/>
    <d v="2017-02-05T00:00:00"/>
    <s v="Standard Class"/>
    <x v="296"/>
    <x v="296"/>
    <s v="Corporate"/>
    <s v="United States"/>
    <s v="Des Moines"/>
    <x v="23"/>
    <n v="50315"/>
    <x v="2"/>
    <x v="627"/>
    <x v="0"/>
    <x v="5"/>
    <x v="627"/>
    <n v="34.58"/>
    <s v="Medium"/>
    <n v="7"/>
    <n v="0"/>
    <x v="0"/>
    <x v="0"/>
    <n v="14.5236"/>
    <n v="0.42000000000000004"/>
    <n v="0"/>
  </r>
  <r>
    <n v="777"/>
    <s v="CA-2014-165974"/>
    <d v="2014-06-29T00:00:00"/>
    <x v="2"/>
    <s v="Q2"/>
    <x v="3"/>
    <d v="2014-07-06T00:00:00"/>
    <s v="Standard Class"/>
    <x v="297"/>
    <x v="297"/>
    <s v="Consumer"/>
    <s v="United States"/>
    <s v="Cincinnati"/>
    <x v="24"/>
    <n v="45231"/>
    <x v="3"/>
    <x v="628"/>
    <x v="1"/>
    <x v="6"/>
    <x v="628"/>
    <n v="32.76"/>
    <s v="Medium"/>
    <n v="7"/>
    <n v="0.2"/>
    <x v="2"/>
    <x v="2"/>
    <n v="3.6855000000000002"/>
    <n v="0.11250000000000002"/>
    <n v="0"/>
  </r>
  <r>
    <n v="778"/>
    <s v="CA-2015-144267"/>
    <d v="2015-08-21T00:00:00"/>
    <x v="1"/>
    <s v="Q3"/>
    <x v="37"/>
    <d v="2015-08-23T00:00:00"/>
    <s v="First Class"/>
    <x v="125"/>
    <x v="125"/>
    <s v="Home Office"/>
    <s v="United States"/>
    <s v="San Francisco"/>
    <x v="1"/>
    <n v="94110"/>
    <x v="1"/>
    <x v="629"/>
    <x v="0"/>
    <x v="1"/>
    <x v="629"/>
    <n v="544.00800000000004"/>
    <s v="High"/>
    <n v="3"/>
    <n v="0.2"/>
    <x v="2"/>
    <x v="2"/>
    <n v="40.800600000000003"/>
    <n v="7.4999999999999997E-2"/>
    <n v="0"/>
  </r>
  <r>
    <n v="779"/>
    <s v="CA-2015-144267"/>
    <d v="2015-08-21T00:00:00"/>
    <x v="1"/>
    <s v="Q3"/>
    <x v="37"/>
    <d v="2015-08-23T00:00:00"/>
    <s v="First Class"/>
    <x v="125"/>
    <x v="125"/>
    <s v="Home Office"/>
    <s v="United States"/>
    <s v="San Francisco"/>
    <x v="1"/>
    <n v="94110"/>
    <x v="1"/>
    <x v="368"/>
    <x v="1"/>
    <x v="10"/>
    <x v="369"/>
    <n v="59.94"/>
    <s v="Medium"/>
    <n v="3"/>
    <n v="0"/>
    <x v="0"/>
    <x v="0"/>
    <n v="28.171800000000001"/>
    <n v="0.47000000000000003"/>
    <n v="0"/>
  </r>
  <r>
    <n v="780"/>
    <s v="CA-2015-144267"/>
    <d v="2015-08-21T00:00:00"/>
    <x v="1"/>
    <s v="Q3"/>
    <x v="37"/>
    <d v="2015-08-23T00:00:00"/>
    <s v="First Class"/>
    <x v="125"/>
    <x v="125"/>
    <s v="Home Office"/>
    <s v="United States"/>
    <s v="San Francisco"/>
    <x v="1"/>
    <n v="94110"/>
    <x v="1"/>
    <x v="358"/>
    <x v="1"/>
    <x v="10"/>
    <x v="358"/>
    <n v="23.92"/>
    <s v="Low"/>
    <n v="4"/>
    <n v="0"/>
    <x v="0"/>
    <x v="0"/>
    <n v="11.720800000000001"/>
    <n v="0.49"/>
    <n v="0"/>
  </r>
  <r>
    <n v="781"/>
    <s v="CA-2015-144267"/>
    <d v="2015-08-21T00:00:00"/>
    <x v="1"/>
    <s v="Q3"/>
    <x v="37"/>
    <d v="2015-08-23T00:00:00"/>
    <s v="First Class"/>
    <x v="125"/>
    <x v="125"/>
    <s v="Home Office"/>
    <s v="United States"/>
    <s v="San Francisco"/>
    <x v="1"/>
    <n v="94110"/>
    <x v="1"/>
    <x v="630"/>
    <x v="1"/>
    <x v="10"/>
    <x v="630"/>
    <n v="4.28"/>
    <s v="Low"/>
    <n v="1"/>
    <n v="0"/>
    <x v="0"/>
    <x v="0"/>
    <n v="1.9259999999999999"/>
    <n v="0.44999999999999996"/>
    <n v="0"/>
  </r>
  <r>
    <n v="782"/>
    <s v="US-2015-157014"/>
    <d v="2015-10-03T00:00:00"/>
    <x v="1"/>
    <s v="Q4"/>
    <x v="2"/>
    <d v="2015-10-06T00:00:00"/>
    <s v="Second Class"/>
    <x v="298"/>
    <x v="298"/>
    <s v="Consumer"/>
    <s v="United States"/>
    <s v="Columbus"/>
    <x v="24"/>
    <n v="43229"/>
    <x v="3"/>
    <x v="410"/>
    <x v="1"/>
    <x v="8"/>
    <x v="410"/>
    <n v="32.07"/>
    <s v="Medium"/>
    <n v="5"/>
    <n v="0.7"/>
    <x v="1"/>
    <x v="5"/>
    <n v="-22.449000000000002"/>
    <n v="-0.70000000000000007"/>
    <n v="1"/>
  </r>
  <r>
    <n v="783"/>
    <s v="US-2015-157014"/>
    <d v="2015-10-03T00:00:00"/>
    <x v="1"/>
    <s v="Q4"/>
    <x v="2"/>
    <d v="2015-10-06T00:00:00"/>
    <s v="Second Class"/>
    <x v="298"/>
    <x v="298"/>
    <s v="Consumer"/>
    <s v="United States"/>
    <s v="Columbus"/>
    <x v="24"/>
    <n v="43229"/>
    <x v="3"/>
    <x v="46"/>
    <x v="2"/>
    <x v="11"/>
    <x v="46"/>
    <n v="24"/>
    <s v="Low"/>
    <n v="2"/>
    <n v="0.2"/>
    <x v="2"/>
    <x v="2"/>
    <n v="-2.7"/>
    <n v="-0.1125"/>
    <n v="1"/>
  </r>
  <r>
    <n v="784"/>
    <s v="US-2015-157014"/>
    <d v="2015-10-03T00:00:00"/>
    <x v="1"/>
    <s v="Q4"/>
    <x v="2"/>
    <d v="2015-10-06T00:00:00"/>
    <s v="Second Class"/>
    <x v="298"/>
    <x v="298"/>
    <s v="Consumer"/>
    <s v="United States"/>
    <s v="Columbus"/>
    <x v="24"/>
    <n v="43229"/>
    <x v="3"/>
    <x v="631"/>
    <x v="0"/>
    <x v="0"/>
    <x v="631"/>
    <n v="35.49"/>
    <s v="Medium"/>
    <n v="1"/>
    <n v="0.5"/>
    <x v="1"/>
    <x v="1"/>
    <n v="-15.615600000000001"/>
    <n v="-0.44"/>
    <n v="1"/>
  </r>
  <r>
    <n v="785"/>
    <s v="US-2015-157014"/>
    <d v="2015-10-03T00:00:00"/>
    <x v="1"/>
    <s v="Q4"/>
    <x v="2"/>
    <d v="2015-10-06T00:00:00"/>
    <s v="Second Class"/>
    <x v="298"/>
    <x v="298"/>
    <s v="Consumer"/>
    <s v="United States"/>
    <s v="Columbus"/>
    <x v="24"/>
    <n v="43229"/>
    <x v="3"/>
    <x v="632"/>
    <x v="2"/>
    <x v="11"/>
    <x v="632"/>
    <n v="47.984000000000002"/>
    <s v="Medium"/>
    <n v="2"/>
    <n v="0.2"/>
    <x v="2"/>
    <x v="2"/>
    <n v="0.5998"/>
    <n v="1.2499999999999999E-2"/>
    <n v="0"/>
  </r>
  <r>
    <n v="786"/>
    <s v="CA-2015-154921"/>
    <d v="2015-05-23T00:00:00"/>
    <x v="1"/>
    <s v="Q2"/>
    <x v="33"/>
    <d v="2015-05-28T00:00:00"/>
    <s v="Standard Class"/>
    <x v="105"/>
    <x v="105"/>
    <s v="Corporate"/>
    <s v="United States"/>
    <s v="Columbia"/>
    <x v="20"/>
    <n v="29203"/>
    <x v="0"/>
    <x v="633"/>
    <x v="1"/>
    <x v="12"/>
    <x v="633"/>
    <n v="186.69"/>
    <s v="High"/>
    <n v="3"/>
    <n v="0"/>
    <x v="0"/>
    <x v="0"/>
    <n v="87.744299999999996"/>
    <n v="0.47"/>
    <n v="0"/>
  </r>
  <r>
    <n v="787"/>
    <s v="CA-2017-129567"/>
    <d v="2017-03-17T00:00:00"/>
    <x v="3"/>
    <s v="Q1"/>
    <x v="42"/>
    <d v="2017-03-21T00:00:00"/>
    <s v="Second Class"/>
    <x v="52"/>
    <x v="52"/>
    <s v="Consumer"/>
    <s v="United States"/>
    <s v="Lancaster"/>
    <x v="1"/>
    <n v="93534"/>
    <x v="1"/>
    <x v="634"/>
    <x v="1"/>
    <x v="8"/>
    <x v="634"/>
    <n v="17.456"/>
    <s v="Low"/>
    <n v="2"/>
    <n v="0.2"/>
    <x v="2"/>
    <x v="2"/>
    <n v="5.8914"/>
    <n v="0.33750000000000002"/>
    <n v="0"/>
  </r>
  <r>
    <n v="788"/>
    <s v="CA-2015-154620"/>
    <d v="2015-12-12T00:00:00"/>
    <x v="1"/>
    <s v="Q4"/>
    <x v="14"/>
    <d v="2015-12-16T00:00:00"/>
    <s v="Standard Class"/>
    <x v="299"/>
    <x v="299"/>
    <s v="Consumer"/>
    <s v="United States"/>
    <s v="Lancaster"/>
    <x v="1"/>
    <n v="93534"/>
    <x v="1"/>
    <x v="635"/>
    <x v="0"/>
    <x v="1"/>
    <x v="635"/>
    <n v="348.928"/>
    <s v="High"/>
    <n v="2"/>
    <n v="0.2"/>
    <x v="2"/>
    <x v="2"/>
    <n v="34.892800000000001"/>
    <n v="0.1"/>
    <n v="0"/>
  </r>
  <r>
    <n v="789"/>
    <s v="CA-2015-115938"/>
    <d v="2015-06-26T00:00:00"/>
    <x v="1"/>
    <s v="Q2"/>
    <x v="40"/>
    <d v="2015-06-30T00:00:00"/>
    <s v="Standard Class"/>
    <x v="193"/>
    <x v="193"/>
    <s v="Consumer"/>
    <s v="United States"/>
    <s v="Richmond"/>
    <x v="17"/>
    <n v="23223"/>
    <x v="0"/>
    <x v="379"/>
    <x v="1"/>
    <x v="8"/>
    <x v="380"/>
    <n v="143.96"/>
    <s v="High"/>
    <n v="4"/>
    <n v="0"/>
    <x v="0"/>
    <x v="0"/>
    <n v="69.100800000000007"/>
    <n v="0.48000000000000004"/>
    <n v="0"/>
  </r>
  <r>
    <n v="790"/>
    <s v="CA-2015-115938"/>
    <d v="2015-06-26T00:00:00"/>
    <x v="1"/>
    <s v="Q2"/>
    <x v="40"/>
    <d v="2015-06-30T00:00:00"/>
    <s v="Standard Class"/>
    <x v="193"/>
    <x v="193"/>
    <s v="Consumer"/>
    <s v="United States"/>
    <s v="Richmond"/>
    <x v="17"/>
    <n v="23223"/>
    <x v="0"/>
    <x v="421"/>
    <x v="1"/>
    <x v="4"/>
    <x v="421"/>
    <n v="15.42"/>
    <s v="Low"/>
    <n v="1"/>
    <n v="0"/>
    <x v="0"/>
    <x v="0"/>
    <n v="4.1634000000000002"/>
    <n v="0.27"/>
    <n v="0"/>
  </r>
  <r>
    <n v="791"/>
    <s v="CA-2015-115938"/>
    <d v="2015-06-26T00:00:00"/>
    <x v="1"/>
    <s v="Q2"/>
    <x v="40"/>
    <d v="2015-06-30T00:00:00"/>
    <s v="Standard Class"/>
    <x v="193"/>
    <x v="193"/>
    <s v="Consumer"/>
    <s v="United States"/>
    <s v="Richmond"/>
    <x v="17"/>
    <n v="23223"/>
    <x v="0"/>
    <x v="636"/>
    <x v="1"/>
    <x v="8"/>
    <x v="636"/>
    <n v="43.04"/>
    <s v="Medium"/>
    <n v="8"/>
    <n v="0"/>
    <x v="0"/>
    <x v="0"/>
    <n v="21.089600000000001"/>
    <n v="0.49000000000000005"/>
    <n v="0"/>
  </r>
  <r>
    <n v="792"/>
    <s v="CA-2015-115938"/>
    <d v="2015-06-26T00:00:00"/>
    <x v="1"/>
    <s v="Q2"/>
    <x v="40"/>
    <d v="2015-06-30T00:00:00"/>
    <s v="Standard Class"/>
    <x v="193"/>
    <x v="193"/>
    <s v="Consumer"/>
    <s v="United States"/>
    <s v="Richmond"/>
    <x v="17"/>
    <n v="23223"/>
    <x v="0"/>
    <x v="637"/>
    <x v="0"/>
    <x v="1"/>
    <x v="637"/>
    <n v="332.94"/>
    <s v="High"/>
    <n v="3"/>
    <n v="0"/>
    <x v="0"/>
    <x v="0"/>
    <n v="79.905600000000007"/>
    <n v="0.24000000000000002"/>
    <n v="0"/>
  </r>
  <r>
    <n v="793"/>
    <s v="CA-2016-105256"/>
    <d v="2016-05-20T00:00:00"/>
    <x v="0"/>
    <s v="Q2"/>
    <x v="35"/>
    <d v="2016-05-20T00:00:00"/>
    <s v="Same Day"/>
    <x v="300"/>
    <x v="300"/>
    <s v="Consumer"/>
    <s v="United States"/>
    <s v="Asheville"/>
    <x v="3"/>
    <n v="28806"/>
    <x v="0"/>
    <x v="638"/>
    <x v="2"/>
    <x v="7"/>
    <x v="638"/>
    <n v="1363.96"/>
    <s v="High"/>
    <n v="5"/>
    <n v="0.2"/>
    <x v="2"/>
    <x v="2"/>
    <n v="85.247500000000002"/>
    <n v="6.25E-2"/>
    <n v="0"/>
  </r>
  <r>
    <n v="794"/>
    <s v="CA-2014-156433"/>
    <d v="2014-09-20T00:00:00"/>
    <x v="2"/>
    <s v="Q3"/>
    <x v="30"/>
    <d v="2014-09-26T00:00:00"/>
    <s v="Standard Class"/>
    <x v="301"/>
    <x v="301"/>
    <s v="Consumer"/>
    <s v="United States"/>
    <s v="San Francisco"/>
    <x v="1"/>
    <n v="94110"/>
    <x v="1"/>
    <x v="639"/>
    <x v="1"/>
    <x v="2"/>
    <x v="639"/>
    <n v="9.9600000000000009"/>
    <s v="Low"/>
    <n v="2"/>
    <n v="0"/>
    <x v="0"/>
    <x v="0"/>
    <n v="4.5815999999999999"/>
    <n v="0.45999999999999996"/>
    <n v="0"/>
  </r>
  <r>
    <n v="795"/>
    <s v="CA-2014-156433"/>
    <d v="2014-09-20T00:00:00"/>
    <x v="2"/>
    <s v="Q3"/>
    <x v="30"/>
    <d v="2014-09-26T00:00:00"/>
    <s v="Standard Class"/>
    <x v="301"/>
    <x v="301"/>
    <s v="Consumer"/>
    <s v="United States"/>
    <s v="San Francisco"/>
    <x v="1"/>
    <n v="94110"/>
    <x v="1"/>
    <x v="362"/>
    <x v="1"/>
    <x v="10"/>
    <x v="362"/>
    <n v="21.72"/>
    <s v="Low"/>
    <n v="4"/>
    <n v="0"/>
    <x v="0"/>
    <x v="0"/>
    <n v="10.642799999999999"/>
    <n v="0.49"/>
    <n v="0"/>
  </r>
  <r>
    <n v="796"/>
    <s v="CA-2017-151428"/>
    <d v="2017-09-21T00:00:00"/>
    <x v="3"/>
    <s v="Q3"/>
    <x v="15"/>
    <d v="2017-09-26T00:00:00"/>
    <s v="Standard Class"/>
    <x v="302"/>
    <x v="302"/>
    <s v="Consumer"/>
    <s v="United States"/>
    <s v="Rochester"/>
    <x v="11"/>
    <n v="55901"/>
    <x v="2"/>
    <x v="614"/>
    <x v="1"/>
    <x v="8"/>
    <x v="614"/>
    <n v="20.16"/>
    <s v="Low"/>
    <n v="7"/>
    <n v="0"/>
    <x v="0"/>
    <x v="0"/>
    <n v="9.8783999999999992"/>
    <n v="0.48999999999999994"/>
    <n v="0"/>
  </r>
  <r>
    <n v="797"/>
    <s v="CA-2015-124653"/>
    <d v="2015-12-24T00:00:00"/>
    <x v="1"/>
    <s v="Q4"/>
    <x v="14"/>
    <d v="2015-12-26T00:00:00"/>
    <s v="First Class"/>
    <x v="106"/>
    <x v="106"/>
    <s v="Corporate"/>
    <s v="United States"/>
    <s v="Rochester"/>
    <x v="15"/>
    <n v="14609"/>
    <x v="3"/>
    <x v="640"/>
    <x v="1"/>
    <x v="10"/>
    <x v="640"/>
    <n v="132.79"/>
    <s v="High"/>
    <n v="7"/>
    <n v="0"/>
    <x v="0"/>
    <x v="0"/>
    <n v="63.739199999999997"/>
    <n v="0.48"/>
    <n v="0"/>
  </r>
  <r>
    <n v="798"/>
    <s v="CA-2015-124653"/>
    <d v="2015-12-24T00:00:00"/>
    <x v="1"/>
    <s v="Q4"/>
    <x v="14"/>
    <d v="2015-12-26T00:00:00"/>
    <s v="First Class"/>
    <x v="106"/>
    <x v="106"/>
    <s v="Corporate"/>
    <s v="United States"/>
    <s v="Rochester"/>
    <x v="15"/>
    <n v="14609"/>
    <x v="3"/>
    <x v="12"/>
    <x v="1"/>
    <x v="10"/>
    <x v="12"/>
    <n v="12.96"/>
    <s v="Low"/>
    <n v="2"/>
    <n v="0"/>
    <x v="0"/>
    <x v="0"/>
    <n v="6.2207999999999997"/>
    <n v="0.47999999999999993"/>
    <n v="0"/>
  </r>
  <r>
    <n v="799"/>
    <s v="CA-2015-124653"/>
    <d v="2015-12-24T00:00:00"/>
    <x v="1"/>
    <s v="Q4"/>
    <x v="14"/>
    <d v="2015-12-26T00:00:00"/>
    <s v="First Class"/>
    <x v="106"/>
    <x v="106"/>
    <s v="Corporate"/>
    <s v="United States"/>
    <s v="Rochester"/>
    <x v="15"/>
    <n v="14609"/>
    <x v="3"/>
    <x v="641"/>
    <x v="1"/>
    <x v="2"/>
    <x v="641"/>
    <n v="21.56"/>
    <s v="Low"/>
    <n v="7"/>
    <n v="0"/>
    <x v="0"/>
    <x v="0"/>
    <n v="10.348800000000001"/>
    <n v="0.48000000000000004"/>
    <n v="0"/>
  </r>
  <r>
    <n v="800"/>
    <s v="CA-2015-101910"/>
    <d v="2015-11-27T00:00:00"/>
    <x v="1"/>
    <s v="Q4"/>
    <x v="6"/>
    <d v="2015-12-03T00:00:00"/>
    <s v="Standard Class"/>
    <x v="303"/>
    <x v="303"/>
    <s v="Consumer"/>
    <s v="United States"/>
    <s v="Lake Elsinore"/>
    <x v="1"/>
    <n v="92530"/>
    <x v="1"/>
    <x v="474"/>
    <x v="0"/>
    <x v="1"/>
    <x v="475"/>
    <n v="283.92"/>
    <s v="High"/>
    <n v="5"/>
    <n v="0.2"/>
    <x v="2"/>
    <x v="2"/>
    <n v="17.745000000000001"/>
    <n v="6.25E-2"/>
    <n v="0"/>
  </r>
  <r>
    <n v="801"/>
    <s v="CA-2017-105809"/>
    <d v="2017-02-20T00:00:00"/>
    <x v="3"/>
    <s v="Q1"/>
    <x v="31"/>
    <d v="2017-02-23T00:00:00"/>
    <s v="First Class"/>
    <x v="304"/>
    <x v="304"/>
    <s v="Corporate"/>
    <s v="United States"/>
    <s v="San Diego"/>
    <x v="1"/>
    <n v="92105"/>
    <x v="1"/>
    <x v="642"/>
    <x v="0"/>
    <x v="5"/>
    <x v="642"/>
    <n v="22.23"/>
    <s v="Low"/>
    <n v="1"/>
    <n v="0"/>
    <x v="0"/>
    <x v="0"/>
    <n v="7.3358999999999996"/>
    <n v="0.32999999999999996"/>
    <n v="0"/>
  </r>
  <r>
    <n v="802"/>
    <s v="CA-2017-105809"/>
    <d v="2017-02-20T00:00:00"/>
    <x v="3"/>
    <s v="Q1"/>
    <x v="31"/>
    <d v="2017-02-23T00:00:00"/>
    <s v="First Class"/>
    <x v="304"/>
    <x v="304"/>
    <s v="Corporate"/>
    <s v="United States"/>
    <s v="San Diego"/>
    <x v="1"/>
    <n v="92105"/>
    <x v="1"/>
    <x v="233"/>
    <x v="2"/>
    <x v="7"/>
    <x v="234"/>
    <n v="215.96799999999999"/>
    <s v="High"/>
    <n v="2"/>
    <n v="0.2"/>
    <x v="2"/>
    <x v="2"/>
    <n v="18.897200000000002"/>
    <n v="8.7500000000000008E-2"/>
    <n v="0"/>
  </r>
  <r>
    <n v="803"/>
    <s v="CA-2016-136133"/>
    <d v="2016-08-18T00:00:00"/>
    <x v="0"/>
    <s v="Q3"/>
    <x v="28"/>
    <d v="2016-08-23T00:00:00"/>
    <s v="Second Class"/>
    <x v="304"/>
    <x v="304"/>
    <s v="Corporate"/>
    <s v="United States"/>
    <s v="New York City"/>
    <x v="15"/>
    <n v="10024"/>
    <x v="3"/>
    <x v="643"/>
    <x v="1"/>
    <x v="9"/>
    <x v="643"/>
    <n v="355.32"/>
    <s v="High"/>
    <n v="9"/>
    <n v="0"/>
    <x v="0"/>
    <x v="0"/>
    <n v="99.489599999999996"/>
    <n v="0.27999999999999997"/>
    <n v="0"/>
  </r>
  <r>
    <n v="804"/>
    <s v="CA-2016-115504"/>
    <d v="2016-03-12T00:00:00"/>
    <x v="0"/>
    <s v="Q1"/>
    <x v="17"/>
    <d v="2016-03-17T00:00:00"/>
    <s v="Standard Class"/>
    <x v="305"/>
    <x v="305"/>
    <s v="Corporate"/>
    <s v="United States"/>
    <s v="Monroe"/>
    <x v="28"/>
    <n v="71203"/>
    <x v="0"/>
    <x v="644"/>
    <x v="1"/>
    <x v="10"/>
    <x v="644"/>
    <n v="12.96"/>
    <s v="Low"/>
    <n v="2"/>
    <n v="0"/>
    <x v="0"/>
    <x v="0"/>
    <n v="6.2207999999999997"/>
    <n v="0.47999999999999993"/>
    <n v="0"/>
  </r>
  <r>
    <n v="805"/>
    <s v="CA-2017-135783"/>
    <d v="2017-04-22T00:00:00"/>
    <x v="3"/>
    <s v="Q2"/>
    <x v="4"/>
    <d v="2017-04-24T00:00:00"/>
    <s v="First Class"/>
    <x v="306"/>
    <x v="306"/>
    <s v="Consumer"/>
    <s v="United States"/>
    <s v="San Francisco"/>
    <x v="1"/>
    <n v="94122"/>
    <x v="1"/>
    <x v="645"/>
    <x v="0"/>
    <x v="5"/>
    <x v="645"/>
    <n v="18.28"/>
    <s v="Low"/>
    <n v="2"/>
    <n v="0"/>
    <x v="0"/>
    <x v="0"/>
    <n v="6.2152000000000003"/>
    <n v="0.33999999999999997"/>
    <n v="0"/>
  </r>
  <r>
    <n v="806"/>
    <s v="CA-2014-134313"/>
    <d v="2014-11-01T00:00:00"/>
    <x v="2"/>
    <s v="Q4"/>
    <x v="7"/>
    <d v="2014-11-07T00:00:00"/>
    <s v="Standard Class"/>
    <x v="154"/>
    <x v="154"/>
    <s v="Consumer"/>
    <s v="United States"/>
    <s v="Denver"/>
    <x v="22"/>
    <n v="80219"/>
    <x v="1"/>
    <x v="646"/>
    <x v="1"/>
    <x v="6"/>
    <x v="646"/>
    <n v="43.176000000000002"/>
    <s v="Medium"/>
    <n v="3"/>
    <n v="0.2"/>
    <x v="2"/>
    <x v="2"/>
    <n v="4.3175999999999997"/>
    <n v="9.9999999999999992E-2"/>
    <n v="0"/>
  </r>
  <r>
    <n v="807"/>
    <s v="CA-2014-134313"/>
    <d v="2014-11-01T00:00:00"/>
    <x v="2"/>
    <s v="Q4"/>
    <x v="7"/>
    <d v="2014-11-07T00:00:00"/>
    <s v="Standard Class"/>
    <x v="154"/>
    <x v="154"/>
    <s v="Consumer"/>
    <s v="United States"/>
    <s v="Denver"/>
    <x v="22"/>
    <n v="80219"/>
    <x v="1"/>
    <x v="647"/>
    <x v="2"/>
    <x v="7"/>
    <x v="647"/>
    <n v="1983.9680000000001"/>
    <s v="High"/>
    <n v="4"/>
    <n v="0.2"/>
    <x v="2"/>
    <x v="2"/>
    <n v="247.99600000000001"/>
    <n v="0.125"/>
    <n v="0"/>
  </r>
  <r>
    <n v="808"/>
    <s v="CA-2015-140921"/>
    <d v="2015-02-03T00:00:00"/>
    <x v="1"/>
    <s v="Q1"/>
    <x v="36"/>
    <d v="2015-02-05T00:00:00"/>
    <s v="First Class"/>
    <x v="211"/>
    <x v="211"/>
    <s v="Consumer"/>
    <s v="United States"/>
    <s v="Omaha"/>
    <x v="8"/>
    <n v="68104"/>
    <x v="2"/>
    <x v="378"/>
    <x v="0"/>
    <x v="5"/>
    <x v="379"/>
    <n v="28.4"/>
    <s v="Medium"/>
    <n v="2"/>
    <n v="0"/>
    <x v="0"/>
    <x v="0"/>
    <n v="11.076000000000001"/>
    <n v="0.39"/>
    <n v="0"/>
  </r>
  <r>
    <n v="809"/>
    <s v="CA-2015-140921"/>
    <d v="2015-02-03T00:00:00"/>
    <x v="1"/>
    <s v="Q1"/>
    <x v="36"/>
    <d v="2015-02-05T00:00:00"/>
    <s v="First Class"/>
    <x v="211"/>
    <x v="211"/>
    <s v="Consumer"/>
    <s v="United States"/>
    <s v="Omaha"/>
    <x v="8"/>
    <n v="68104"/>
    <x v="2"/>
    <x v="648"/>
    <x v="2"/>
    <x v="11"/>
    <x v="648"/>
    <n v="149.97"/>
    <s v="High"/>
    <n v="3"/>
    <n v="0"/>
    <x v="0"/>
    <x v="0"/>
    <n v="50.989800000000002"/>
    <n v="0.34"/>
    <n v="0"/>
  </r>
  <r>
    <n v="810"/>
    <s v="CA-2014-151995"/>
    <d v="2014-10-13T00:00:00"/>
    <x v="2"/>
    <s v="Q4"/>
    <x v="18"/>
    <d v="2014-10-15T00:00:00"/>
    <s v="First Class"/>
    <x v="233"/>
    <x v="233"/>
    <s v="Consumer"/>
    <s v="United States"/>
    <s v="Edmonds"/>
    <x v="4"/>
    <n v="98026"/>
    <x v="1"/>
    <x v="649"/>
    <x v="1"/>
    <x v="6"/>
    <x v="649"/>
    <n v="11.52"/>
    <s v="Low"/>
    <n v="4"/>
    <n v="0"/>
    <x v="0"/>
    <x v="0"/>
    <n v="3.2256"/>
    <n v="0.28000000000000003"/>
    <n v="0"/>
  </r>
  <r>
    <n v="811"/>
    <s v="CA-2014-151995"/>
    <d v="2014-10-13T00:00:00"/>
    <x v="2"/>
    <s v="Q4"/>
    <x v="18"/>
    <d v="2014-10-15T00:00:00"/>
    <s v="First Class"/>
    <x v="233"/>
    <x v="233"/>
    <s v="Consumer"/>
    <s v="United States"/>
    <s v="Edmonds"/>
    <x v="4"/>
    <n v="98026"/>
    <x v="1"/>
    <x v="257"/>
    <x v="0"/>
    <x v="3"/>
    <x v="258"/>
    <n v="1298.55"/>
    <s v="High"/>
    <n v="5"/>
    <n v="0"/>
    <x v="0"/>
    <x v="0"/>
    <n v="311.65199999999999"/>
    <n v="0.24"/>
    <n v="0"/>
  </r>
  <r>
    <n v="812"/>
    <s v="CA-2014-151995"/>
    <d v="2014-10-13T00:00:00"/>
    <x v="2"/>
    <s v="Q4"/>
    <x v="18"/>
    <d v="2014-10-15T00:00:00"/>
    <s v="First Class"/>
    <x v="233"/>
    <x v="233"/>
    <s v="Consumer"/>
    <s v="United States"/>
    <s v="Edmonds"/>
    <x v="4"/>
    <n v="98026"/>
    <x v="1"/>
    <x v="650"/>
    <x v="1"/>
    <x v="9"/>
    <x v="650"/>
    <n v="213.92"/>
    <s v="High"/>
    <n v="4"/>
    <n v="0"/>
    <x v="0"/>
    <x v="0"/>
    <n v="62.036799999999999"/>
    <n v="0.29000000000000004"/>
    <n v="0"/>
  </r>
  <r>
    <n v="813"/>
    <s v="CA-2014-151995"/>
    <d v="2014-10-13T00:00:00"/>
    <x v="2"/>
    <s v="Q4"/>
    <x v="18"/>
    <d v="2014-10-15T00:00:00"/>
    <s v="First Class"/>
    <x v="233"/>
    <x v="233"/>
    <s v="Consumer"/>
    <s v="United States"/>
    <s v="Edmonds"/>
    <x v="4"/>
    <n v="98026"/>
    <x v="1"/>
    <x v="553"/>
    <x v="2"/>
    <x v="11"/>
    <x v="552"/>
    <n v="25.78"/>
    <s v="Medium"/>
    <n v="2"/>
    <n v="0"/>
    <x v="0"/>
    <x v="0"/>
    <n v="2.5779999999999998"/>
    <n v="9.9999999999999992E-2"/>
    <n v="0"/>
  </r>
  <r>
    <n v="814"/>
    <s v="CA-2017-143686"/>
    <d v="2017-05-14T00:00:00"/>
    <x v="3"/>
    <s v="Q2"/>
    <x v="24"/>
    <d v="2017-05-14T00:00:00"/>
    <s v="Same Day"/>
    <x v="307"/>
    <x v="307"/>
    <s v="Consumer"/>
    <s v="United States"/>
    <s v="Santa Ana"/>
    <x v="1"/>
    <n v="92704"/>
    <x v="1"/>
    <x v="645"/>
    <x v="0"/>
    <x v="5"/>
    <x v="645"/>
    <n v="18.28"/>
    <s v="Low"/>
    <n v="2"/>
    <n v="0"/>
    <x v="0"/>
    <x v="0"/>
    <n v="6.2152000000000003"/>
    <n v="0.33999999999999997"/>
    <n v="0"/>
  </r>
  <r>
    <n v="815"/>
    <s v="CA-2017-143686"/>
    <d v="2017-05-14T00:00:00"/>
    <x v="3"/>
    <s v="Q2"/>
    <x v="24"/>
    <d v="2017-05-14T00:00:00"/>
    <s v="Same Day"/>
    <x v="307"/>
    <x v="307"/>
    <s v="Consumer"/>
    <s v="United States"/>
    <s v="Santa Ana"/>
    <x v="1"/>
    <n v="92704"/>
    <x v="1"/>
    <x v="651"/>
    <x v="2"/>
    <x v="11"/>
    <x v="651"/>
    <n v="1399.93"/>
    <s v="High"/>
    <n v="7"/>
    <n v="0"/>
    <x v="0"/>
    <x v="0"/>
    <n v="601.96990000000005"/>
    <n v="0.43"/>
    <n v="0"/>
  </r>
  <r>
    <n v="816"/>
    <s v="CA-2015-106565"/>
    <d v="2015-03-20T00:00:00"/>
    <x v="1"/>
    <s v="Q1"/>
    <x v="29"/>
    <d v="2015-03-23T00:00:00"/>
    <s v="First Class"/>
    <x v="308"/>
    <x v="308"/>
    <s v="Corporate"/>
    <s v="United States"/>
    <s v="Milwaukee"/>
    <x v="6"/>
    <n v="53209"/>
    <x v="2"/>
    <x v="180"/>
    <x v="1"/>
    <x v="10"/>
    <x v="181"/>
    <n v="51.84"/>
    <s v="Medium"/>
    <n v="8"/>
    <n v="0"/>
    <x v="0"/>
    <x v="0"/>
    <n v="24.883199999999999"/>
    <n v="0.47999999999999993"/>
    <n v="0"/>
  </r>
  <r>
    <n v="817"/>
    <s v="CA-2016-149370"/>
    <d v="2016-09-15T00:00:00"/>
    <x v="0"/>
    <s v="Q3"/>
    <x v="21"/>
    <d v="2016-09-19T00:00:00"/>
    <s v="Standard Class"/>
    <x v="203"/>
    <x v="203"/>
    <s v="Consumer"/>
    <s v="United States"/>
    <s v="Philadelphia"/>
    <x v="9"/>
    <n v="19140"/>
    <x v="3"/>
    <x v="652"/>
    <x v="1"/>
    <x v="10"/>
    <x v="652"/>
    <n v="5.3440000000000003"/>
    <s v="Low"/>
    <n v="1"/>
    <n v="0.2"/>
    <x v="2"/>
    <x v="2"/>
    <n v="1.8704000000000001"/>
    <n v="0.35"/>
    <n v="0"/>
  </r>
  <r>
    <n v="818"/>
    <s v="CA-2014-140858"/>
    <d v="2014-06-28T00:00:00"/>
    <x v="2"/>
    <s v="Q2"/>
    <x v="3"/>
    <d v="2014-07-02T00:00:00"/>
    <s v="Standard Class"/>
    <x v="222"/>
    <x v="222"/>
    <s v="Consumer"/>
    <s v="United States"/>
    <s v="Philadelphia"/>
    <x v="9"/>
    <n v="19140"/>
    <x v="3"/>
    <x v="88"/>
    <x v="1"/>
    <x v="10"/>
    <x v="88"/>
    <n v="41.472000000000001"/>
    <s v="Medium"/>
    <n v="8"/>
    <n v="0.2"/>
    <x v="2"/>
    <x v="2"/>
    <n v="14.5152"/>
    <n v="0.35"/>
    <n v="0"/>
  </r>
  <r>
    <n v="819"/>
    <s v="CA-2014-140858"/>
    <d v="2014-06-28T00:00:00"/>
    <x v="2"/>
    <s v="Q2"/>
    <x v="3"/>
    <d v="2014-07-02T00:00:00"/>
    <s v="Standard Class"/>
    <x v="222"/>
    <x v="222"/>
    <s v="Consumer"/>
    <s v="United States"/>
    <s v="Philadelphia"/>
    <x v="9"/>
    <n v="19140"/>
    <x v="3"/>
    <x v="653"/>
    <x v="1"/>
    <x v="8"/>
    <x v="653"/>
    <n v="3.1680000000000001"/>
    <s v="Low"/>
    <n v="3"/>
    <n v="0.7"/>
    <x v="1"/>
    <x v="5"/>
    <n v="-2.4287999999999998"/>
    <n v="-0.76666666666666661"/>
    <n v="1"/>
  </r>
  <r>
    <n v="820"/>
    <s v="CA-2014-140858"/>
    <d v="2014-06-28T00:00:00"/>
    <x v="2"/>
    <s v="Q2"/>
    <x v="3"/>
    <d v="2014-07-02T00:00:00"/>
    <s v="Standard Class"/>
    <x v="222"/>
    <x v="222"/>
    <s v="Consumer"/>
    <s v="United States"/>
    <s v="Philadelphia"/>
    <x v="9"/>
    <n v="19140"/>
    <x v="3"/>
    <x v="654"/>
    <x v="0"/>
    <x v="1"/>
    <x v="654"/>
    <n v="1228.4649999999999"/>
    <s v="High"/>
    <n v="5"/>
    <n v="0.3"/>
    <x v="1"/>
    <x v="4"/>
    <n v="0"/>
    <n v="0"/>
    <n v="0"/>
  </r>
  <r>
    <n v="821"/>
    <s v="CA-2014-140858"/>
    <d v="2014-06-28T00:00:00"/>
    <x v="2"/>
    <s v="Q2"/>
    <x v="3"/>
    <d v="2014-07-02T00:00:00"/>
    <s v="Standard Class"/>
    <x v="222"/>
    <x v="222"/>
    <s v="Consumer"/>
    <s v="United States"/>
    <s v="Philadelphia"/>
    <x v="9"/>
    <n v="19140"/>
    <x v="3"/>
    <x v="655"/>
    <x v="1"/>
    <x v="8"/>
    <x v="655"/>
    <n v="31.085999999999999"/>
    <s v="Medium"/>
    <n v="3"/>
    <n v="0.7"/>
    <x v="1"/>
    <x v="5"/>
    <n v="-22.796399999999998"/>
    <n v="-0.73333333333333328"/>
    <n v="1"/>
  </r>
  <r>
    <n v="822"/>
    <s v="CA-2014-140858"/>
    <d v="2014-06-28T00:00:00"/>
    <x v="2"/>
    <s v="Q2"/>
    <x v="3"/>
    <d v="2014-07-02T00:00:00"/>
    <s v="Standard Class"/>
    <x v="222"/>
    <x v="222"/>
    <s v="Consumer"/>
    <s v="United States"/>
    <s v="Philadelphia"/>
    <x v="9"/>
    <n v="19140"/>
    <x v="3"/>
    <x v="656"/>
    <x v="1"/>
    <x v="10"/>
    <x v="656"/>
    <n v="335.52"/>
    <s v="High"/>
    <n v="4"/>
    <n v="0.2"/>
    <x v="2"/>
    <x v="2"/>
    <n v="117.432"/>
    <n v="0.35000000000000003"/>
    <n v="0"/>
  </r>
  <r>
    <n v="823"/>
    <s v="CA-2017-101434"/>
    <d v="2017-06-20T00:00:00"/>
    <x v="3"/>
    <s v="Q2"/>
    <x v="27"/>
    <d v="2017-06-27T00:00:00"/>
    <s v="Standard Class"/>
    <x v="309"/>
    <x v="309"/>
    <s v="Consumer"/>
    <s v="United States"/>
    <s v="Belleville"/>
    <x v="30"/>
    <n v="7109"/>
    <x v="3"/>
    <x v="657"/>
    <x v="2"/>
    <x v="11"/>
    <x v="657"/>
    <n v="239.97"/>
    <s v="High"/>
    <n v="3"/>
    <n v="0"/>
    <x v="0"/>
    <x v="0"/>
    <n v="71.991"/>
    <n v="0.3"/>
    <n v="0"/>
  </r>
  <r>
    <n v="824"/>
    <s v="CA-2017-101434"/>
    <d v="2017-06-20T00:00:00"/>
    <x v="3"/>
    <s v="Q2"/>
    <x v="27"/>
    <d v="2017-06-27T00:00:00"/>
    <s v="Standard Class"/>
    <x v="309"/>
    <x v="309"/>
    <s v="Consumer"/>
    <s v="United States"/>
    <s v="Belleville"/>
    <x v="30"/>
    <n v="7109"/>
    <x v="3"/>
    <x v="607"/>
    <x v="1"/>
    <x v="2"/>
    <x v="607"/>
    <n v="9.82"/>
    <s v="Low"/>
    <n v="2"/>
    <n v="0"/>
    <x v="0"/>
    <x v="0"/>
    <n v="4.8117999999999999"/>
    <n v="0.49"/>
    <n v="0"/>
  </r>
  <r>
    <n v="825"/>
    <s v="US-2014-102071"/>
    <d v="2014-05-09T00:00:00"/>
    <x v="2"/>
    <s v="Q2"/>
    <x v="8"/>
    <d v="2014-05-15T00:00:00"/>
    <s v="Standard Class"/>
    <x v="310"/>
    <x v="310"/>
    <s v="Consumer"/>
    <s v="United States"/>
    <s v="San Francisco"/>
    <x v="1"/>
    <n v="94110"/>
    <x v="1"/>
    <x v="658"/>
    <x v="2"/>
    <x v="11"/>
    <x v="658"/>
    <n v="67.8"/>
    <s v="Medium"/>
    <n v="4"/>
    <n v="0"/>
    <x v="0"/>
    <x v="0"/>
    <n v="4.0679999999999996"/>
    <n v="0.06"/>
    <n v="0"/>
  </r>
  <r>
    <n v="826"/>
    <s v="US-2014-102071"/>
    <d v="2014-05-09T00:00:00"/>
    <x v="2"/>
    <s v="Q2"/>
    <x v="8"/>
    <d v="2014-05-15T00:00:00"/>
    <s v="Standard Class"/>
    <x v="310"/>
    <x v="310"/>
    <s v="Consumer"/>
    <s v="United States"/>
    <s v="San Francisco"/>
    <x v="1"/>
    <n v="94110"/>
    <x v="1"/>
    <x v="201"/>
    <x v="2"/>
    <x v="11"/>
    <x v="202"/>
    <n v="167.97"/>
    <s v="High"/>
    <n v="3"/>
    <n v="0"/>
    <x v="0"/>
    <x v="0"/>
    <n v="40.312800000000003"/>
    <n v="0.24000000000000002"/>
    <n v="0"/>
  </r>
  <r>
    <n v="827"/>
    <s v="CA-2017-126956"/>
    <d v="2017-08-21T00:00:00"/>
    <x v="3"/>
    <s v="Q3"/>
    <x v="43"/>
    <d v="2017-08-28T00:00:00"/>
    <s v="Standard Class"/>
    <x v="218"/>
    <x v="218"/>
    <s v="Consumer"/>
    <s v="United States"/>
    <s v="Lakeville"/>
    <x v="11"/>
    <n v="55044"/>
    <x v="2"/>
    <x v="659"/>
    <x v="1"/>
    <x v="13"/>
    <x v="659"/>
    <n v="35"/>
    <s v="Medium"/>
    <n v="7"/>
    <n v="0"/>
    <x v="0"/>
    <x v="0"/>
    <n v="16.8"/>
    <n v="0.48000000000000004"/>
    <n v="0"/>
  </r>
  <r>
    <n v="828"/>
    <s v="CA-2017-126956"/>
    <d v="2017-08-21T00:00:00"/>
    <x v="3"/>
    <s v="Q3"/>
    <x v="43"/>
    <d v="2017-08-28T00:00:00"/>
    <s v="Standard Class"/>
    <x v="218"/>
    <x v="218"/>
    <s v="Consumer"/>
    <s v="United States"/>
    <s v="Lakeville"/>
    <x v="11"/>
    <n v="55044"/>
    <x v="2"/>
    <x v="660"/>
    <x v="1"/>
    <x v="14"/>
    <x v="660"/>
    <n v="37.24"/>
    <s v="Medium"/>
    <n v="4"/>
    <n v="0"/>
    <x v="0"/>
    <x v="0"/>
    <n v="10.7996"/>
    <n v="0.28999999999999998"/>
    <n v="0"/>
  </r>
  <r>
    <n v="829"/>
    <s v="CA-2017-126956"/>
    <d v="2017-08-21T00:00:00"/>
    <x v="3"/>
    <s v="Q3"/>
    <x v="43"/>
    <d v="2017-08-28T00:00:00"/>
    <s v="Standard Class"/>
    <x v="218"/>
    <x v="218"/>
    <s v="Consumer"/>
    <s v="United States"/>
    <s v="Lakeville"/>
    <x v="11"/>
    <n v="55044"/>
    <x v="2"/>
    <x v="661"/>
    <x v="1"/>
    <x v="12"/>
    <x v="661"/>
    <n v="15.28"/>
    <s v="Low"/>
    <n v="2"/>
    <n v="0"/>
    <x v="0"/>
    <x v="0"/>
    <n v="7.4871999999999996"/>
    <n v="0.49"/>
    <n v="0"/>
  </r>
  <r>
    <n v="830"/>
    <s v="CA-2017-129462"/>
    <d v="2017-06-16T00:00:00"/>
    <x v="3"/>
    <s v="Q2"/>
    <x v="27"/>
    <d v="2017-06-21T00:00:00"/>
    <s v="Second Class"/>
    <x v="32"/>
    <x v="32"/>
    <s v="Consumer"/>
    <s v="United States"/>
    <s v="Florence"/>
    <x v="0"/>
    <n v="41042"/>
    <x v="0"/>
    <x v="662"/>
    <x v="0"/>
    <x v="1"/>
    <x v="662"/>
    <n v="301.95999999999998"/>
    <s v="High"/>
    <n v="2"/>
    <n v="0"/>
    <x v="0"/>
    <x v="0"/>
    <n v="90.587999999999994"/>
    <n v="0.3"/>
    <n v="0"/>
  </r>
  <r>
    <n v="831"/>
    <s v="CA-2017-129462"/>
    <d v="2017-06-16T00:00:00"/>
    <x v="3"/>
    <s v="Q2"/>
    <x v="27"/>
    <d v="2017-06-21T00:00:00"/>
    <s v="Second Class"/>
    <x v="32"/>
    <x v="32"/>
    <s v="Consumer"/>
    <s v="United States"/>
    <s v="Florence"/>
    <x v="0"/>
    <n v="41042"/>
    <x v="0"/>
    <x v="663"/>
    <x v="1"/>
    <x v="9"/>
    <x v="663"/>
    <n v="180.66"/>
    <s v="High"/>
    <n v="3"/>
    <n v="0"/>
    <x v="0"/>
    <x v="0"/>
    <n v="50.584800000000001"/>
    <n v="0.28000000000000003"/>
    <n v="0"/>
  </r>
  <r>
    <n v="832"/>
    <s v="CA-2017-129462"/>
    <d v="2017-06-16T00:00:00"/>
    <x v="3"/>
    <s v="Q2"/>
    <x v="27"/>
    <d v="2017-06-21T00:00:00"/>
    <s v="Second Class"/>
    <x v="32"/>
    <x v="32"/>
    <s v="Consumer"/>
    <s v="United States"/>
    <s v="Florence"/>
    <x v="0"/>
    <n v="41042"/>
    <x v="0"/>
    <x v="664"/>
    <x v="2"/>
    <x v="7"/>
    <x v="664"/>
    <n v="191.98"/>
    <s v="High"/>
    <n v="2"/>
    <n v="0"/>
    <x v="0"/>
    <x v="0"/>
    <n v="51.834600000000002"/>
    <n v="0.27"/>
    <n v="0"/>
  </r>
  <r>
    <n v="833"/>
    <s v="CA-2017-129462"/>
    <d v="2017-06-16T00:00:00"/>
    <x v="3"/>
    <s v="Q2"/>
    <x v="27"/>
    <d v="2017-06-21T00:00:00"/>
    <s v="Second Class"/>
    <x v="32"/>
    <x v="32"/>
    <s v="Consumer"/>
    <s v="United States"/>
    <s v="Florence"/>
    <x v="0"/>
    <n v="41042"/>
    <x v="0"/>
    <x v="665"/>
    <x v="2"/>
    <x v="7"/>
    <x v="665"/>
    <n v="65.989999999999995"/>
    <s v="Medium"/>
    <n v="1"/>
    <n v="0"/>
    <x v="0"/>
    <x v="0"/>
    <n v="17.157399999999999"/>
    <n v="0.26"/>
    <n v="0"/>
  </r>
  <r>
    <n v="834"/>
    <s v="CA-2016-165316"/>
    <d v="2016-07-23T00:00:00"/>
    <x v="0"/>
    <s v="Q3"/>
    <x v="16"/>
    <d v="2016-07-27T00:00:00"/>
    <s v="Standard Class"/>
    <x v="80"/>
    <x v="80"/>
    <s v="Corporate"/>
    <s v="United States"/>
    <s v="Tampa"/>
    <x v="2"/>
    <n v="33614"/>
    <x v="0"/>
    <x v="666"/>
    <x v="1"/>
    <x v="6"/>
    <x v="666"/>
    <n v="35.216000000000001"/>
    <s v="Medium"/>
    <n v="2"/>
    <n v="0.2"/>
    <x v="2"/>
    <x v="2"/>
    <n v="2.6412"/>
    <n v="7.4999999999999997E-2"/>
    <n v="0"/>
  </r>
  <r>
    <n v="835"/>
    <s v="CA-2016-165316"/>
    <d v="2016-07-23T00:00:00"/>
    <x v="0"/>
    <s v="Q3"/>
    <x v="16"/>
    <d v="2016-07-27T00:00:00"/>
    <s v="Standard Class"/>
    <x v="80"/>
    <x v="80"/>
    <s v="Corporate"/>
    <s v="United States"/>
    <s v="Tampa"/>
    <x v="2"/>
    <n v="33614"/>
    <x v="0"/>
    <x v="667"/>
    <x v="1"/>
    <x v="9"/>
    <x v="667"/>
    <n v="23.696000000000002"/>
    <s v="Low"/>
    <n v="2"/>
    <n v="0.2"/>
    <x v="2"/>
    <x v="2"/>
    <n v="6.5164"/>
    <n v="0.27499999999999997"/>
    <n v="0"/>
  </r>
  <r>
    <n v="836"/>
    <s v="CA-2016-165316"/>
    <d v="2016-07-23T00:00:00"/>
    <x v="0"/>
    <s v="Q3"/>
    <x v="16"/>
    <d v="2016-07-27T00:00:00"/>
    <s v="Standard Class"/>
    <x v="80"/>
    <x v="80"/>
    <s v="Corporate"/>
    <s v="United States"/>
    <s v="Tampa"/>
    <x v="2"/>
    <n v="33614"/>
    <x v="0"/>
    <x v="668"/>
    <x v="2"/>
    <x v="15"/>
    <x v="668"/>
    <n v="265.47500000000002"/>
    <s v="High"/>
    <n v="1"/>
    <n v="0.5"/>
    <x v="1"/>
    <x v="1"/>
    <n v="-111.4995"/>
    <n v="-0.41999999999999993"/>
    <n v="1"/>
  </r>
  <r>
    <n v="837"/>
    <s v="US-2014-115987"/>
    <d v="2014-09-08T00:00:00"/>
    <x v="2"/>
    <s v="Q3"/>
    <x v="30"/>
    <d v="2014-09-13T00:00:00"/>
    <s v="Second Class"/>
    <x v="293"/>
    <x v="293"/>
    <s v="Consumer"/>
    <s v="United States"/>
    <s v="Tyler"/>
    <x v="5"/>
    <n v="75701"/>
    <x v="2"/>
    <x v="669"/>
    <x v="1"/>
    <x v="8"/>
    <x v="669"/>
    <n v="51.183999999999997"/>
    <s v="Medium"/>
    <n v="4"/>
    <n v="0.8"/>
    <x v="1"/>
    <x v="3"/>
    <n v="-79.3352"/>
    <n v="-1.55"/>
    <n v="1"/>
  </r>
  <r>
    <n v="838"/>
    <s v="US-2017-156083"/>
    <d v="2017-11-04T00:00:00"/>
    <x v="3"/>
    <s v="Q4"/>
    <x v="23"/>
    <d v="2017-11-11T00:00:00"/>
    <s v="Standard Class"/>
    <x v="311"/>
    <x v="311"/>
    <s v="Home Office"/>
    <s v="United States"/>
    <s v="Columbia"/>
    <x v="18"/>
    <n v="38401"/>
    <x v="0"/>
    <x v="670"/>
    <x v="1"/>
    <x v="10"/>
    <x v="670"/>
    <n v="9.6639999999999997"/>
    <s v="Low"/>
    <n v="2"/>
    <n v="0.2"/>
    <x v="2"/>
    <x v="2"/>
    <n v="3.2616000000000001"/>
    <n v="0.33750000000000002"/>
    <n v="0"/>
  </r>
  <r>
    <n v="839"/>
    <s v="US-2016-137547"/>
    <d v="2016-03-07T00:00:00"/>
    <x v="0"/>
    <s v="Q1"/>
    <x v="17"/>
    <d v="2016-03-12T00:00:00"/>
    <s v="Standard Class"/>
    <x v="182"/>
    <x v="182"/>
    <s v="Corporate"/>
    <s v="United States"/>
    <s v="Fort Worth"/>
    <x v="5"/>
    <n v="76106"/>
    <x v="2"/>
    <x v="402"/>
    <x v="2"/>
    <x v="7"/>
    <x v="403"/>
    <n v="21.071999999999999"/>
    <s v="Low"/>
    <n v="3"/>
    <n v="0.2"/>
    <x v="2"/>
    <x v="2"/>
    <n v="1.5804"/>
    <n v="7.5000000000000011E-2"/>
    <n v="0"/>
  </r>
  <r>
    <n v="840"/>
    <s v="CA-2015-100454"/>
    <d v="2015-11-20T00:00:00"/>
    <x v="1"/>
    <s v="Q4"/>
    <x v="6"/>
    <d v="2015-11-25T00:00:00"/>
    <s v="Standard Class"/>
    <x v="312"/>
    <x v="312"/>
    <s v="Corporate"/>
    <s v="United States"/>
    <s v="New York City"/>
    <x v="15"/>
    <n v="10035"/>
    <x v="3"/>
    <x v="626"/>
    <x v="1"/>
    <x v="6"/>
    <x v="626"/>
    <n v="60.45"/>
    <s v="Medium"/>
    <n v="3"/>
    <n v="0"/>
    <x v="0"/>
    <x v="0"/>
    <n v="16.3215"/>
    <n v="0.27"/>
    <n v="0"/>
  </r>
  <r>
    <n v="841"/>
    <s v="CA-2015-100454"/>
    <d v="2015-11-20T00:00:00"/>
    <x v="1"/>
    <s v="Q4"/>
    <x v="6"/>
    <d v="2015-11-25T00:00:00"/>
    <s v="Standard Class"/>
    <x v="312"/>
    <x v="312"/>
    <s v="Corporate"/>
    <s v="United States"/>
    <s v="New York City"/>
    <x v="15"/>
    <n v="10035"/>
    <x v="3"/>
    <x v="671"/>
    <x v="1"/>
    <x v="6"/>
    <x v="671"/>
    <n v="11.52"/>
    <s v="Low"/>
    <n v="4"/>
    <n v="0"/>
    <x v="0"/>
    <x v="0"/>
    <n v="3.3408000000000002"/>
    <n v="0.29000000000000004"/>
    <n v="0"/>
  </r>
  <r>
    <n v="842"/>
    <s v="CA-2015-100454"/>
    <d v="2015-11-20T00:00:00"/>
    <x v="1"/>
    <s v="Q4"/>
    <x v="6"/>
    <d v="2015-11-25T00:00:00"/>
    <s v="Standard Class"/>
    <x v="312"/>
    <x v="312"/>
    <s v="Corporate"/>
    <s v="United States"/>
    <s v="New York City"/>
    <x v="15"/>
    <n v="10035"/>
    <x v="3"/>
    <x v="672"/>
    <x v="0"/>
    <x v="0"/>
    <x v="672"/>
    <n v="186.048"/>
    <s v="High"/>
    <n v="4"/>
    <n v="0.2"/>
    <x v="2"/>
    <x v="2"/>
    <n v="9.3024000000000004"/>
    <n v="0.05"/>
    <n v="0"/>
  </r>
  <r>
    <n v="843"/>
    <s v="CA-2016-161669"/>
    <d v="2016-11-07T00:00:00"/>
    <x v="0"/>
    <s v="Q4"/>
    <x v="0"/>
    <d v="2016-11-09T00:00:00"/>
    <s v="First Class"/>
    <x v="313"/>
    <x v="313"/>
    <s v="Corporate"/>
    <s v="United States"/>
    <s v="Los Angeles"/>
    <x v="1"/>
    <n v="90036"/>
    <x v="1"/>
    <x v="673"/>
    <x v="1"/>
    <x v="8"/>
    <x v="673"/>
    <n v="37.44"/>
    <s v="Medium"/>
    <n v="4"/>
    <n v="0.2"/>
    <x v="2"/>
    <x v="2"/>
    <n v="11.7"/>
    <n v="0.3125"/>
    <n v="0"/>
  </r>
  <r>
    <n v="844"/>
    <s v="CA-2016-161669"/>
    <d v="2016-11-07T00:00:00"/>
    <x v="0"/>
    <s v="Q4"/>
    <x v="0"/>
    <d v="2016-11-09T00:00:00"/>
    <s v="First Class"/>
    <x v="313"/>
    <x v="313"/>
    <s v="Corporate"/>
    <s v="United States"/>
    <s v="Los Angeles"/>
    <x v="1"/>
    <n v="90036"/>
    <x v="1"/>
    <x v="674"/>
    <x v="1"/>
    <x v="8"/>
    <x v="674"/>
    <n v="26.975999999999999"/>
    <s v="Medium"/>
    <n v="4"/>
    <n v="0.2"/>
    <x v="2"/>
    <x v="2"/>
    <n v="8.7672000000000008"/>
    <n v="0.32500000000000007"/>
    <n v="0"/>
  </r>
  <r>
    <n v="845"/>
    <s v="CA-2016-161669"/>
    <d v="2016-11-07T00:00:00"/>
    <x v="0"/>
    <s v="Q4"/>
    <x v="0"/>
    <d v="2016-11-09T00:00:00"/>
    <s v="First Class"/>
    <x v="313"/>
    <x v="313"/>
    <s v="Corporate"/>
    <s v="United States"/>
    <s v="Los Angeles"/>
    <x v="1"/>
    <n v="90036"/>
    <x v="1"/>
    <x v="675"/>
    <x v="1"/>
    <x v="14"/>
    <x v="675"/>
    <n v="11.36"/>
    <s v="Low"/>
    <n v="2"/>
    <n v="0"/>
    <x v="0"/>
    <x v="0"/>
    <n v="3.2944"/>
    <n v="0.29000000000000004"/>
    <n v="0"/>
  </r>
  <r>
    <n v="846"/>
    <s v="CA-2016-161669"/>
    <d v="2016-11-07T00:00:00"/>
    <x v="0"/>
    <s v="Q4"/>
    <x v="0"/>
    <d v="2016-11-09T00:00:00"/>
    <s v="First Class"/>
    <x v="313"/>
    <x v="313"/>
    <s v="Corporate"/>
    <s v="United States"/>
    <s v="Los Angeles"/>
    <x v="1"/>
    <n v="90036"/>
    <x v="1"/>
    <x v="676"/>
    <x v="1"/>
    <x v="2"/>
    <x v="676"/>
    <n v="14.62"/>
    <s v="Low"/>
    <n v="2"/>
    <n v="0"/>
    <x v="0"/>
    <x v="0"/>
    <n v="6.8714000000000004"/>
    <n v="0.47000000000000003"/>
    <n v="0"/>
  </r>
  <r>
    <n v="847"/>
    <s v="CA-2015-114300"/>
    <d v="2015-10-13T00:00:00"/>
    <x v="1"/>
    <s v="Q4"/>
    <x v="2"/>
    <d v="2015-10-17T00:00:00"/>
    <s v="Standard Class"/>
    <x v="314"/>
    <x v="314"/>
    <s v="Consumer"/>
    <s v="United States"/>
    <s v="Louisville"/>
    <x v="0"/>
    <n v="40214"/>
    <x v="0"/>
    <x v="179"/>
    <x v="2"/>
    <x v="7"/>
    <x v="180"/>
    <n v="83.72"/>
    <s v="Medium"/>
    <n v="7"/>
    <n v="0"/>
    <x v="0"/>
    <x v="0"/>
    <n v="23.441600000000001"/>
    <n v="0.28000000000000003"/>
    <n v="0"/>
  </r>
  <r>
    <n v="848"/>
    <s v="CA-2015-114300"/>
    <d v="2015-10-13T00:00:00"/>
    <x v="1"/>
    <s v="Q4"/>
    <x v="2"/>
    <d v="2015-10-17T00:00:00"/>
    <s v="Standard Class"/>
    <x v="314"/>
    <x v="314"/>
    <s v="Consumer"/>
    <s v="United States"/>
    <s v="Louisville"/>
    <x v="0"/>
    <n v="40214"/>
    <x v="0"/>
    <x v="268"/>
    <x v="0"/>
    <x v="1"/>
    <x v="268"/>
    <n v="287.94"/>
    <s v="High"/>
    <n v="3"/>
    <n v="0"/>
    <x v="0"/>
    <x v="0"/>
    <n v="77.743799999999993"/>
    <n v="0.26999999999999996"/>
    <n v="0"/>
  </r>
  <r>
    <n v="849"/>
    <s v="CA-2017-107503"/>
    <d v="2017-01-01T00:00:00"/>
    <x v="3"/>
    <s v="Q1"/>
    <x v="44"/>
    <d v="2017-01-06T00:00:00"/>
    <s v="Standard Class"/>
    <x v="315"/>
    <x v="315"/>
    <s v="Consumer"/>
    <s v="United States"/>
    <s v="Lorain"/>
    <x v="24"/>
    <n v="44052"/>
    <x v="3"/>
    <x v="677"/>
    <x v="0"/>
    <x v="5"/>
    <x v="677"/>
    <n v="48.896000000000001"/>
    <s v="Medium"/>
    <n v="4"/>
    <n v="0.2"/>
    <x v="2"/>
    <x v="2"/>
    <n v="8.5568000000000008"/>
    <n v="0.17500000000000002"/>
    <n v="0"/>
  </r>
  <r>
    <n v="850"/>
    <s v="CA-2014-107755"/>
    <d v="2014-02-07T00:00:00"/>
    <x v="2"/>
    <s v="Q1"/>
    <x v="45"/>
    <d v="2014-02-12T00:00:00"/>
    <s v="Standard Class"/>
    <x v="316"/>
    <x v="316"/>
    <s v="Corporate"/>
    <s v="United States"/>
    <s v="Linden"/>
    <x v="30"/>
    <n v="7036"/>
    <x v="3"/>
    <x v="678"/>
    <x v="2"/>
    <x v="11"/>
    <x v="678"/>
    <n v="115.36"/>
    <s v="Medium"/>
    <n v="7"/>
    <n v="0"/>
    <x v="0"/>
    <x v="0"/>
    <n v="49.604799999999997"/>
    <n v="0.43"/>
    <n v="0"/>
  </r>
  <r>
    <n v="851"/>
    <s v="CA-2016-152534"/>
    <d v="2016-06-20T00:00:00"/>
    <x v="0"/>
    <s v="Q2"/>
    <x v="1"/>
    <d v="2016-06-25T00:00:00"/>
    <s v="Second Class"/>
    <x v="317"/>
    <x v="317"/>
    <s v="Corporate"/>
    <s v="United States"/>
    <s v="Salinas"/>
    <x v="1"/>
    <n v="93905"/>
    <x v="1"/>
    <x v="679"/>
    <x v="1"/>
    <x v="6"/>
    <x v="679"/>
    <n v="5.16"/>
    <s v="Low"/>
    <n v="2"/>
    <n v="0"/>
    <x v="0"/>
    <x v="0"/>
    <n v="1.3415999999999999"/>
    <n v="0.25999999999999995"/>
    <n v="0"/>
  </r>
  <r>
    <n v="852"/>
    <s v="CA-2016-152534"/>
    <d v="2016-06-20T00:00:00"/>
    <x v="0"/>
    <s v="Q2"/>
    <x v="1"/>
    <d v="2016-06-25T00:00:00"/>
    <s v="Second Class"/>
    <x v="317"/>
    <x v="317"/>
    <s v="Corporate"/>
    <s v="United States"/>
    <s v="Salinas"/>
    <x v="1"/>
    <n v="93905"/>
    <x v="1"/>
    <x v="680"/>
    <x v="1"/>
    <x v="10"/>
    <x v="680"/>
    <n v="38.880000000000003"/>
    <s v="Medium"/>
    <n v="6"/>
    <n v="0"/>
    <x v="0"/>
    <x v="0"/>
    <n v="18.662400000000002"/>
    <n v="0.48000000000000004"/>
    <n v="0"/>
  </r>
  <r>
    <n v="853"/>
    <s v="CA-2016-113747"/>
    <d v="2016-05-28T00:00:00"/>
    <x v="0"/>
    <s v="Q2"/>
    <x v="35"/>
    <d v="2016-06-04T00:00:00"/>
    <s v="Standard Class"/>
    <x v="104"/>
    <x v="104"/>
    <s v="Consumer"/>
    <s v="United States"/>
    <s v="Jackson"/>
    <x v="35"/>
    <n v="39212"/>
    <x v="0"/>
    <x v="290"/>
    <x v="1"/>
    <x v="6"/>
    <x v="290"/>
    <n v="185.88"/>
    <s v="High"/>
    <n v="6"/>
    <n v="0"/>
    <x v="0"/>
    <x v="0"/>
    <n v="50.187600000000003"/>
    <n v="0.27"/>
    <n v="0"/>
  </r>
  <r>
    <n v="854"/>
    <s v="CA-2016-123274"/>
    <d v="2016-02-19T00:00:00"/>
    <x v="0"/>
    <s v="Q1"/>
    <x v="47"/>
    <d v="2016-02-24T00:00:00"/>
    <s v="Standard Class"/>
    <x v="218"/>
    <x v="218"/>
    <s v="Consumer"/>
    <s v="United States"/>
    <s v="New York City"/>
    <x v="15"/>
    <n v="10035"/>
    <x v="3"/>
    <x v="642"/>
    <x v="0"/>
    <x v="5"/>
    <x v="642"/>
    <n v="44.46"/>
    <s v="Medium"/>
    <n v="2"/>
    <n v="0"/>
    <x v="0"/>
    <x v="0"/>
    <n v="14.671799999999999"/>
    <n v="0.32999999999999996"/>
    <n v="0"/>
  </r>
  <r>
    <n v="855"/>
    <s v="CA-2016-123274"/>
    <d v="2016-02-19T00:00:00"/>
    <x v="0"/>
    <s v="Q1"/>
    <x v="47"/>
    <d v="2016-02-24T00:00:00"/>
    <s v="Standard Class"/>
    <x v="218"/>
    <x v="218"/>
    <s v="Consumer"/>
    <s v="United States"/>
    <s v="New York City"/>
    <x v="15"/>
    <n v="10035"/>
    <x v="3"/>
    <x v="459"/>
    <x v="1"/>
    <x v="4"/>
    <x v="460"/>
    <n v="242.94"/>
    <s v="High"/>
    <n v="3"/>
    <n v="0"/>
    <x v="0"/>
    <x v="0"/>
    <n v="9.7175999999999991"/>
    <n v="3.9999999999999994E-2"/>
    <n v="0"/>
  </r>
  <r>
    <n v="856"/>
    <s v="CA-2014-125612"/>
    <d v="2014-08-03T00:00:00"/>
    <x v="2"/>
    <s v="Q3"/>
    <x v="9"/>
    <d v="2014-08-08T00:00:00"/>
    <s v="Standard Class"/>
    <x v="318"/>
    <x v="318"/>
    <s v="Consumer"/>
    <s v="United States"/>
    <s v="New York City"/>
    <x v="15"/>
    <n v="10035"/>
    <x v="3"/>
    <x v="681"/>
    <x v="1"/>
    <x v="10"/>
    <x v="681"/>
    <n v="39.96"/>
    <s v="Medium"/>
    <n v="2"/>
    <n v="0"/>
    <x v="0"/>
    <x v="0"/>
    <n v="18.781199999999998"/>
    <n v="0.47"/>
    <n v="0"/>
  </r>
  <r>
    <n v="857"/>
    <s v="CA-2014-125612"/>
    <d v="2014-08-03T00:00:00"/>
    <x v="2"/>
    <s v="Q3"/>
    <x v="9"/>
    <d v="2014-08-08T00:00:00"/>
    <s v="Standard Class"/>
    <x v="318"/>
    <x v="318"/>
    <s v="Consumer"/>
    <s v="United States"/>
    <s v="New York City"/>
    <x v="15"/>
    <n v="10035"/>
    <x v="3"/>
    <x v="682"/>
    <x v="1"/>
    <x v="14"/>
    <x v="682"/>
    <n v="102.3"/>
    <s v="Medium"/>
    <n v="10"/>
    <n v="0"/>
    <x v="0"/>
    <x v="0"/>
    <n v="26.597999999999999"/>
    <n v="0.26"/>
    <n v="0"/>
  </r>
  <r>
    <n v="858"/>
    <s v="CA-2014-125612"/>
    <d v="2014-08-03T00:00:00"/>
    <x v="2"/>
    <s v="Q3"/>
    <x v="9"/>
    <d v="2014-08-08T00:00:00"/>
    <s v="Standard Class"/>
    <x v="318"/>
    <x v="318"/>
    <s v="Consumer"/>
    <s v="United States"/>
    <s v="New York City"/>
    <x v="15"/>
    <n v="10035"/>
    <x v="3"/>
    <x v="683"/>
    <x v="1"/>
    <x v="4"/>
    <x v="683"/>
    <n v="21.36"/>
    <s v="Low"/>
    <n v="2"/>
    <n v="0"/>
    <x v="0"/>
    <x v="0"/>
    <n v="5.7671999999999999"/>
    <n v="0.27"/>
    <n v="0"/>
  </r>
  <r>
    <n v="859"/>
    <s v="CA-2017-161984"/>
    <d v="2017-04-10T00:00:00"/>
    <x v="3"/>
    <s v="Q2"/>
    <x v="4"/>
    <d v="2017-04-15T00:00:00"/>
    <s v="Standard Class"/>
    <x v="319"/>
    <x v="319"/>
    <s v="Home Office"/>
    <s v="United States"/>
    <s v="New Brunswick"/>
    <x v="30"/>
    <n v="8901"/>
    <x v="3"/>
    <x v="229"/>
    <x v="1"/>
    <x v="10"/>
    <x v="230"/>
    <n v="7.61"/>
    <s v="Low"/>
    <n v="1"/>
    <n v="0"/>
    <x v="0"/>
    <x v="0"/>
    <n v="3.5767000000000002"/>
    <n v="0.47000000000000003"/>
    <n v="0"/>
  </r>
  <r>
    <n v="860"/>
    <s v="CA-2017-161984"/>
    <d v="2017-04-10T00:00:00"/>
    <x v="3"/>
    <s v="Q2"/>
    <x v="4"/>
    <d v="2017-04-15T00:00:00"/>
    <s v="Standard Class"/>
    <x v="319"/>
    <x v="319"/>
    <s v="Home Office"/>
    <s v="United States"/>
    <s v="New Brunswick"/>
    <x v="30"/>
    <n v="8901"/>
    <x v="3"/>
    <x v="294"/>
    <x v="1"/>
    <x v="13"/>
    <x v="294"/>
    <n v="7.16"/>
    <s v="Low"/>
    <n v="2"/>
    <n v="0"/>
    <x v="0"/>
    <x v="0"/>
    <n v="3.58"/>
    <n v="0.5"/>
    <n v="0"/>
  </r>
  <r>
    <n v="861"/>
    <s v="CA-2014-133851"/>
    <d v="2014-06-09T00:00:00"/>
    <x v="2"/>
    <s v="Q2"/>
    <x v="3"/>
    <d v="2014-06-16T00:00:00"/>
    <s v="Standard Class"/>
    <x v="320"/>
    <x v="320"/>
    <s v="Consumer"/>
    <s v="United States"/>
    <s v="San Francisco"/>
    <x v="1"/>
    <n v="94122"/>
    <x v="1"/>
    <x v="327"/>
    <x v="1"/>
    <x v="14"/>
    <x v="327"/>
    <n v="7.36"/>
    <s v="Low"/>
    <n v="2"/>
    <n v="0"/>
    <x v="0"/>
    <x v="0"/>
    <n v="0.1472"/>
    <n v="0.02"/>
    <n v="0"/>
  </r>
  <r>
    <n v="862"/>
    <s v="CA-2014-133851"/>
    <d v="2014-06-09T00:00:00"/>
    <x v="2"/>
    <s v="Q2"/>
    <x v="3"/>
    <d v="2014-06-16T00:00:00"/>
    <s v="Standard Class"/>
    <x v="320"/>
    <x v="320"/>
    <s v="Consumer"/>
    <s v="United States"/>
    <s v="San Francisco"/>
    <x v="1"/>
    <n v="94122"/>
    <x v="1"/>
    <x v="684"/>
    <x v="1"/>
    <x v="6"/>
    <x v="684"/>
    <n v="23.1"/>
    <s v="Low"/>
    <n v="2"/>
    <n v="0"/>
    <x v="0"/>
    <x v="0"/>
    <n v="10.625999999999999"/>
    <n v="0.45999999999999996"/>
    <n v="0"/>
  </r>
  <r>
    <n v="863"/>
    <s v="CA-2016-134474"/>
    <d v="2016-01-05T00:00:00"/>
    <x v="0"/>
    <s v="Q1"/>
    <x v="12"/>
    <d v="2016-01-07T00:00:00"/>
    <s v="Second Class"/>
    <x v="295"/>
    <x v="295"/>
    <s v="Corporate"/>
    <s v="United States"/>
    <s v="Jacksonville"/>
    <x v="2"/>
    <n v="32216"/>
    <x v="0"/>
    <x v="685"/>
    <x v="2"/>
    <x v="11"/>
    <x v="685"/>
    <n v="191.47200000000001"/>
    <s v="High"/>
    <n v="6"/>
    <n v="0.2"/>
    <x v="2"/>
    <x v="2"/>
    <n v="40.687800000000003"/>
    <n v="0.21249999999999999"/>
    <n v="0"/>
  </r>
  <r>
    <n v="864"/>
    <s v="CA-2016-134474"/>
    <d v="2016-01-05T00:00:00"/>
    <x v="0"/>
    <s v="Q1"/>
    <x v="12"/>
    <d v="2016-01-07T00:00:00"/>
    <s v="Second Class"/>
    <x v="295"/>
    <x v="295"/>
    <s v="Corporate"/>
    <s v="United States"/>
    <s v="Jacksonville"/>
    <x v="2"/>
    <n v="32216"/>
    <x v="0"/>
    <x v="686"/>
    <x v="1"/>
    <x v="6"/>
    <x v="686"/>
    <n v="5.2480000000000002"/>
    <s v="Low"/>
    <n v="2"/>
    <n v="0.2"/>
    <x v="2"/>
    <x v="2"/>
    <n v="0.59040000000000004"/>
    <n v="0.1125"/>
    <n v="0"/>
  </r>
  <r>
    <n v="865"/>
    <s v="CA-2016-134474"/>
    <d v="2016-01-05T00:00:00"/>
    <x v="0"/>
    <s v="Q1"/>
    <x v="12"/>
    <d v="2016-01-07T00:00:00"/>
    <s v="Second Class"/>
    <x v="295"/>
    <x v="295"/>
    <s v="Corporate"/>
    <s v="United States"/>
    <s v="Jacksonville"/>
    <x v="2"/>
    <n v="32216"/>
    <x v="0"/>
    <x v="687"/>
    <x v="2"/>
    <x v="7"/>
    <x v="687"/>
    <n v="59.183999999999997"/>
    <s v="Medium"/>
    <n v="2"/>
    <n v="0.2"/>
    <x v="2"/>
    <x v="2"/>
    <n v="5.1786000000000003"/>
    <n v="8.7500000000000008E-2"/>
    <n v="0"/>
  </r>
  <r>
    <n v="866"/>
    <s v="CA-2014-149020"/>
    <d v="2014-01-10T00:00:00"/>
    <x v="2"/>
    <s v="Q1"/>
    <x v="46"/>
    <d v="2014-01-15T00:00:00"/>
    <s v="Standard Class"/>
    <x v="321"/>
    <x v="321"/>
    <s v="Corporate"/>
    <s v="United States"/>
    <s v="Springfield"/>
    <x v="17"/>
    <n v="22153"/>
    <x v="0"/>
    <x v="688"/>
    <x v="1"/>
    <x v="2"/>
    <x v="688"/>
    <n v="2.89"/>
    <s v="Low"/>
    <n v="1"/>
    <n v="0"/>
    <x v="0"/>
    <x v="0"/>
    <n v="1.3583000000000001"/>
    <n v="0.47000000000000003"/>
    <n v="0"/>
  </r>
  <r>
    <n v="867"/>
    <s v="CA-2014-149020"/>
    <d v="2014-01-10T00:00:00"/>
    <x v="2"/>
    <s v="Q1"/>
    <x v="46"/>
    <d v="2014-01-15T00:00:00"/>
    <s v="Standard Class"/>
    <x v="321"/>
    <x v="321"/>
    <s v="Corporate"/>
    <s v="United States"/>
    <s v="Springfield"/>
    <x v="17"/>
    <n v="22153"/>
    <x v="0"/>
    <x v="689"/>
    <x v="0"/>
    <x v="5"/>
    <x v="689"/>
    <n v="51.94"/>
    <s v="Medium"/>
    <n v="1"/>
    <n v="0"/>
    <x v="0"/>
    <x v="0"/>
    <n v="21.295400000000001"/>
    <n v="0.41000000000000003"/>
    <n v="0"/>
  </r>
  <r>
    <n v="868"/>
    <s v="CA-2016-134362"/>
    <d v="2016-09-29T00:00:00"/>
    <x v="0"/>
    <s v="Q3"/>
    <x v="21"/>
    <d v="2016-10-02T00:00:00"/>
    <s v="First Class"/>
    <x v="322"/>
    <x v="322"/>
    <s v="Corporate"/>
    <s v="United States"/>
    <s v="Philadelphia"/>
    <x v="9"/>
    <n v="19140"/>
    <x v="3"/>
    <x v="690"/>
    <x v="1"/>
    <x v="2"/>
    <x v="690"/>
    <n v="15.936"/>
    <s v="Low"/>
    <n v="4"/>
    <n v="0.2"/>
    <x v="2"/>
    <x v="2"/>
    <n v="5.1791999999999998"/>
    <n v="0.32500000000000001"/>
    <n v="0"/>
  </r>
  <r>
    <n v="869"/>
    <s v="CA-2014-136742"/>
    <d v="2014-04-06T00:00:00"/>
    <x v="2"/>
    <s v="Q2"/>
    <x v="41"/>
    <d v="2014-04-10T00:00:00"/>
    <s v="Standard Class"/>
    <x v="323"/>
    <x v="323"/>
    <s v="Corporate"/>
    <s v="United States"/>
    <s v="Lancaster"/>
    <x v="9"/>
    <n v="17602"/>
    <x v="3"/>
    <x v="691"/>
    <x v="1"/>
    <x v="8"/>
    <x v="691"/>
    <n v="44.91"/>
    <s v="Medium"/>
    <n v="6"/>
    <n v="0.7"/>
    <x v="1"/>
    <x v="5"/>
    <n v="-35.927999999999997"/>
    <n v="-0.8"/>
    <n v="1"/>
  </r>
  <r>
    <n v="870"/>
    <s v="CA-2016-158099"/>
    <d v="2016-09-03T00:00:00"/>
    <x v="0"/>
    <s v="Q3"/>
    <x v="21"/>
    <d v="2016-09-05T00:00:00"/>
    <s v="First Class"/>
    <x v="324"/>
    <x v="324"/>
    <s v="Home Office"/>
    <s v="United States"/>
    <s v="Philadelphia"/>
    <x v="9"/>
    <n v="19143"/>
    <x v="3"/>
    <x v="692"/>
    <x v="1"/>
    <x v="8"/>
    <x v="692"/>
    <n v="1141.47"/>
    <s v="High"/>
    <n v="5"/>
    <n v="0.7"/>
    <x v="1"/>
    <x v="5"/>
    <n v="-760.98"/>
    <n v="-0.66666666666666663"/>
    <n v="1"/>
  </r>
  <r>
    <n v="871"/>
    <s v="CA-2016-158099"/>
    <d v="2016-09-03T00:00:00"/>
    <x v="0"/>
    <s v="Q3"/>
    <x v="21"/>
    <d v="2016-09-05T00:00:00"/>
    <s v="First Class"/>
    <x v="324"/>
    <x v="324"/>
    <s v="Home Office"/>
    <s v="United States"/>
    <s v="Philadelphia"/>
    <x v="9"/>
    <n v="19143"/>
    <x v="3"/>
    <x v="495"/>
    <x v="2"/>
    <x v="7"/>
    <x v="495"/>
    <n v="280.78199999999998"/>
    <s v="High"/>
    <n v="3"/>
    <n v="0.4"/>
    <x v="1"/>
    <x v="7"/>
    <n v="-46.796999999999997"/>
    <n v="-0.16666666666666666"/>
    <n v="1"/>
  </r>
  <r>
    <n v="872"/>
    <s v="CA-2015-131128"/>
    <d v="2015-10-19T00:00:00"/>
    <x v="1"/>
    <s v="Q4"/>
    <x v="2"/>
    <d v="2015-10-20T00:00:00"/>
    <s v="First Class"/>
    <x v="14"/>
    <x v="14"/>
    <s v="Consumer"/>
    <s v="United States"/>
    <s v="Concord"/>
    <x v="38"/>
    <n v="3301"/>
    <x v="3"/>
    <x v="693"/>
    <x v="1"/>
    <x v="10"/>
    <x v="693"/>
    <n v="34.44"/>
    <s v="Medium"/>
    <n v="3"/>
    <n v="0"/>
    <x v="0"/>
    <x v="0"/>
    <n v="17.22"/>
    <n v="0.5"/>
    <n v="0"/>
  </r>
  <r>
    <n v="873"/>
    <s v="CA-2014-148488"/>
    <d v="2014-12-10T00:00:00"/>
    <x v="2"/>
    <s v="Q4"/>
    <x v="20"/>
    <d v="2014-12-15T00:00:00"/>
    <s v="Standard Class"/>
    <x v="325"/>
    <x v="325"/>
    <s v="Consumer"/>
    <s v="United States"/>
    <s v="New York City"/>
    <x v="15"/>
    <n v="10009"/>
    <x v="3"/>
    <x v="252"/>
    <x v="1"/>
    <x v="10"/>
    <x v="253"/>
    <n v="11.36"/>
    <s v="Low"/>
    <n v="2"/>
    <n v="0"/>
    <x v="0"/>
    <x v="0"/>
    <n v="5.2256"/>
    <n v="0.46"/>
    <n v="0"/>
  </r>
  <r>
    <n v="874"/>
    <s v="CA-2014-148488"/>
    <d v="2014-12-10T00:00:00"/>
    <x v="2"/>
    <s v="Q4"/>
    <x v="20"/>
    <d v="2014-12-15T00:00:00"/>
    <s v="Standard Class"/>
    <x v="325"/>
    <x v="325"/>
    <s v="Consumer"/>
    <s v="United States"/>
    <s v="New York City"/>
    <x v="15"/>
    <n v="10009"/>
    <x v="3"/>
    <x v="412"/>
    <x v="1"/>
    <x v="8"/>
    <x v="412"/>
    <n v="106.34399999999999"/>
    <s v="Medium"/>
    <n v="7"/>
    <n v="0.2"/>
    <x v="2"/>
    <x v="2"/>
    <n v="37.220399999999998"/>
    <n v="0.35"/>
    <n v="0"/>
  </r>
  <r>
    <n v="875"/>
    <s v="CA-2017-114636"/>
    <d v="2017-08-25T00:00:00"/>
    <x v="3"/>
    <s v="Q3"/>
    <x v="43"/>
    <d v="2017-08-29T00:00:00"/>
    <s v="Standard Class"/>
    <x v="315"/>
    <x v="315"/>
    <s v="Consumer"/>
    <s v="United States"/>
    <s v="Charlotte"/>
    <x v="3"/>
    <n v="28205"/>
    <x v="0"/>
    <x v="694"/>
    <x v="1"/>
    <x v="10"/>
    <x v="694"/>
    <n v="192.16"/>
    <s v="High"/>
    <n v="5"/>
    <n v="0.2"/>
    <x v="2"/>
    <x v="2"/>
    <n v="67.256"/>
    <n v="0.35000000000000003"/>
    <n v="0"/>
  </r>
  <r>
    <n v="876"/>
    <s v="CA-2016-116736"/>
    <d v="2016-01-17T00:00:00"/>
    <x v="0"/>
    <s v="Q1"/>
    <x v="12"/>
    <d v="2016-01-21T00:00:00"/>
    <s v="Standard Class"/>
    <x v="254"/>
    <x v="254"/>
    <s v="Home Office"/>
    <s v="United States"/>
    <s v="Concord"/>
    <x v="38"/>
    <n v="3301"/>
    <x v="3"/>
    <x v="216"/>
    <x v="0"/>
    <x v="5"/>
    <x v="217"/>
    <n v="322.58999999999997"/>
    <s v="High"/>
    <n v="3"/>
    <n v="0"/>
    <x v="0"/>
    <x v="0"/>
    <n v="64.518000000000001"/>
    <n v="0.2"/>
    <n v="0"/>
  </r>
  <r>
    <n v="877"/>
    <s v="CA-2016-116736"/>
    <d v="2016-01-17T00:00:00"/>
    <x v="0"/>
    <s v="Q1"/>
    <x v="12"/>
    <d v="2016-01-21T00:00:00"/>
    <s v="Standard Class"/>
    <x v="254"/>
    <x v="254"/>
    <s v="Home Office"/>
    <s v="United States"/>
    <s v="Concord"/>
    <x v="38"/>
    <n v="3301"/>
    <x v="3"/>
    <x v="246"/>
    <x v="2"/>
    <x v="11"/>
    <x v="247"/>
    <n v="29.99"/>
    <s v="Medium"/>
    <n v="1"/>
    <n v="0"/>
    <x v="0"/>
    <x v="0"/>
    <n v="13.195600000000001"/>
    <n v="0.44000000000000006"/>
    <n v="0"/>
  </r>
  <r>
    <n v="878"/>
    <s v="CA-2016-116736"/>
    <d v="2016-01-17T00:00:00"/>
    <x v="0"/>
    <s v="Q1"/>
    <x v="12"/>
    <d v="2016-01-21T00:00:00"/>
    <s v="Standard Class"/>
    <x v="254"/>
    <x v="254"/>
    <s v="Home Office"/>
    <s v="United States"/>
    <s v="Concord"/>
    <x v="38"/>
    <n v="3301"/>
    <x v="3"/>
    <x v="695"/>
    <x v="2"/>
    <x v="11"/>
    <x v="695"/>
    <n v="371.97"/>
    <s v="High"/>
    <n v="3"/>
    <n v="0"/>
    <x v="0"/>
    <x v="0"/>
    <n v="66.954599999999999"/>
    <n v="0.18"/>
    <n v="0"/>
  </r>
  <r>
    <n v="879"/>
    <s v="US-2014-158638"/>
    <d v="2014-09-17T00:00:00"/>
    <x v="2"/>
    <s v="Q3"/>
    <x v="30"/>
    <d v="2014-09-21T00:00:00"/>
    <s v="Standard Class"/>
    <x v="326"/>
    <x v="326"/>
    <s v="Home Office"/>
    <s v="United States"/>
    <s v="Philadelphia"/>
    <x v="9"/>
    <n v="19120"/>
    <x v="3"/>
    <x v="696"/>
    <x v="1"/>
    <x v="8"/>
    <x v="696"/>
    <n v="5.8920000000000003"/>
    <s v="Low"/>
    <n v="4"/>
    <n v="0.7"/>
    <x v="1"/>
    <x v="5"/>
    <n v="-4.1243999999999996"/>
    <n v="-0.69999999999999984"/>
    <n v="1"/>
  </r>
  <r>
    <n v="880"/>
    <s v="CA-2017-111689"/>
    <d v="2017-11-30T00:00:00"/>
    <x v="3"/>
    <s v="Q4"/>
    <x v="23"/>
    <d v="2017-12-02T00:00:00"/>
    <s v="Second Class"/>
    <x v="6"/>
    <x v="6"/>
    <s v="Home Office"/>
    <s v="United States"/>
    <s v="New York City"/>
    <x v="15"/>
    <n v="10024"/>
    <x v="3"/>
    <x v="697"/>
    <x v="1"/>
    <x v="8"/>
    <x v="697"/>
    <n v="68.471999999999994"/>
    <s v="Medium"/>
    <n v="3"/>
    <n v="0.2"/>
    <x v="2"/>
    <x v="2"/>
    <n v="23.109300000000001"/>
    <n v="0.33750000000000002"/>
    <n v="0"/>
  </r>
  <r>
    <n v="881"/>
    <s v="CA-2017-111689"/>
    <d v="2017-11-30T00:00:00"/>
    <x v="3"/>
    <s v="Q4"/>
    <x v="23"/>
    <d v="2017-12-02T00:00:00"/>
    <s v="Second Class"/>
    <x v="6"/>
    <x v="6"/>
    <s v="Home Office"/>
    <s v="United States"/>
    <s v="New York City"/>
    <x v="15"/>
    <n v="10024"/>
    <x v="3"/>
    <x v="157"/>
    <x v="0"/>
    <x v="1"/>
    <x v="158"/>
    <n v="1242.9000000000001"/>
    <s v="High"/>
    <n v="5"/>
    <n v="0.1"/>
    <x v="3"/>
    <x v="8"/>
    <n v="262.39"/>
    <n v="0.21111111111111108"/>
    <n v="0"/>
  </r>
  <r>
    <n v="882"/>
    <s v="CA-2015-129098"/>
    <d v="2015-10-09T00:00:00"/>
    <x v="1"/>
    <s v="Q4"/>
    <x v="2"/>
    <d v="2015-10-13T00:00:00"/>
    <s v="Standard Class"/>
    <x v="54"/>
    <x v="54"/>
    <s v="Consumer"/>
    <s v="United States"/>
    <s v="Springfield"/>
    <x v="17"/>
    <n v="22153"/>
    <x v="0"/>
    <x v="421"/>
    <x v="1"/>
    <x v="4"/>
    <x v="421"/>
    <n v="30.84"/>
    <s v="Medium"/>
    <n v="2"/>
    <n v="0"/>
    <x v="0"/>
    <x v="0"/>
    <n v="8.3268000000000004"/>
    <n v="0.27"/>
    <n v="0"/>
  </r>
  <r>
    <n v="883"/>
    <s v="US-2017-123463"/>
    <d v="2017-12-23T00:00:00"/>
    <x v="3"/>
    <s v="Q4"/>
    <x v="22"/>
    <d v="2017-12-23T00:00:00"/>
    <s v="Same Day"/>
    <x v="47"/>
    <x v="47"/>
    <s v="Consumer"/>
    <s v="United States"/>
    <s v="San Francisco"/>
    <x v="1"/>
    <n v="94109"/>
    <x v="1"/>
    <x v="581"/>
    <x v="1"/>
    <x v="6"/>
    <x v="581"/>
    <n v="13.48"/>
    <s v="Low"/>
    <n v="4"/>
    <n v="0"/>
    <x v="0"/>
    <x v="0"/>
    <n v="5.9311999999999996"/>
    <n v="0.43999999999999995"/>
    <n v="0"/>
  </r>
  <r>
    <n v="884"/>
    <s v="CA-2016-165148"/>
    <d v="2016-10-22T00:00:00"/>
    <x v="0"/>
    <s v="Q4"/>
    <x v="32"/>
    <d v="2016-10-24T00:00:00"/>
    <s v="First Class"/>
    <x v="327"/>
    <x v="327"/>
    <s v="Home Office"/>
    <s v="United States"/>
    <s v="Detroit"/>
    <x v="12"/>
    <n v="48227"/>
    <x v="2"/>
    <x v="545"/>
    <x v="0"/>
    <x v="5"/>
    <x v="545"/>
    <n v="31.4"/>
    <s v="Medium"/>
    <n v="5"/>
    <n v="0"/>
    <x v="0"/>
    <x v="0"/>
    <n v="10.048"/>
    <n v="0.32"/>
    <n v="0"/>
  </r>
  <r>
    <n v="885"/>
    <s v="CA-2014-134061"/>
    <d v="2014-04-29T00:00:00"/>
    <x v="2"/>
    <s v="Q2"/>
    <x v="41"/>
    <d v="2014-05-04T00:00:00"/>
    <s v="Standard Class"/>
    <x v="328"/>
    <x v="328"/>
    <s v="Consumer"/>
    <s v="United States"/>
    <s v="Rochester"/>
    <x v="15"/>
    <n v="14609"/>
    <x v="3"/>
    <x v="698"/>
    <x v="0"/>
    <x v="5"/>
    <x v="698"/>
    <n v="17.46"/>
    <s v="Low"/>
    <n v="2"/>
    <n v="0"/>
    <x v="0"/>
    <x v="0"/>
    <n v="5.9363999999999999"/>
    <n v="0.33999999999999997"/>
    <n v="0"/>
  </r>
  <r>
    <n v="886"/>
    <s v="CA-2015-143602"/>
    <d v="2015-04-25T00:00:00"/>
    <x v="1"/>
    <s v="Q2"/>
    <x v="19"/>
    <d v="2015-04-28T00:00:00"/>
    <s v="Second Class"/>
    <x v="329"/>
    <x v="329"/>
    <s v="Corporate"/>
    <s v="United States"/>
    <s v="Los Angeles"/>
    <x v="1"/>
    <n v="90045"/>
    <x v="1"/>
    <x v="699"/>
    <x v="1"/>
    <x v="8"/>
    <x v="699"/>
    <n v="13.944000000000001"/>
    <s v="Low"/>
    <n v="3"/>
    <n v="0.2"/>
    <x v="2"/>
    <x v="2"/>
    <n v="4.5317999999999996"/>
    <n v="0.32499999999999996"/>
    <n v="0"/>
  </r>
  <r>
    <n v="887"/>
    <s v="CA-2017-115364"/>
    <d v="2017-06-26T00:00:00"/>
    <x v="3"/>
    <s v="Q2"/>
    <x v="27"/>
    <d v="2017-07-02T00:00:00"/>
    <s v="Standard Class"/>
    <x v="220"/>
    <x v="220"/>
    <s v="Consumer"/>
    <s v="United States"/>
    <s v="San Diego"/>
    <x v="1"/>
    <n v="92105"/>
    <x v="1"/>
    <x v="700"/>
    <x v="1"/>
    <x v="4"/>
    <x v="700"/>
    <n v="83.76"/>
    <s v="Medium"/>
    <n v="12"/>
    <n v="0"/>
    <x v="0"/>
    <x v="0"/>
    <n v="1.6752"/>
    <n v="0.02"/>
    <n v="0"/>
  </r>
  <r>
    <n v="888"/>
    <s v="CA-2017-150707"/>
    <d v="2017-10-14T00:00:00"/>
    <x v="3"/>
    <s v="Q4"/>
    <x v="13"/>
    <d v="2017-10-19T00:00:00"/>
    <s v="Standard Class"/>
    <x v="330"/>
    <x v="330"/>
    <s v="Home Office"/>
    <s v="United States"/>
    <s v="Columbia"/>
    <x v="39"/>
    <n v="21044"/>
    <x v="3"/>
    <x v="61"/>
    <x v="1"/>
    <x v="8"/>
    <x v="61"/>
    <n v="37.659999999999997"/>
    <s v="Medium"/>
    <n v="7"/>
    <n v="0"/>
    <x v="0"/>
    <x v="0"/>
    <n v="18.453399999999998"/>
    <n v="0.49"/>
    <n v="0"/>
  </r>
  <r>
    <n v="889"/>
    <s v="CA-2014-104976"/>
    <d v="2014-12-09T00:00:00"/>
    <x v="2"/>
    <s v="Q4"/>
    <x v="20"/>
    <d v="2014-12-16T00:00:00"/>
    <s v="Standard Class"/>
    <x v="316"/>
    <x v="316"/>
    <s v="Corporate"/>
    <s v="United States"/>
    <s v="San Francisco"/>
    <x v="1"/>
    <n v="94122"/>
    <x v="1"/>
    <x v="371"/>
    <x v="1"/>
    <x v="10"/>
    <x v="372"/>
    <n v="34.68"/>
    <s v="Medium"/>
    <n v="6"/>
    <n v="0"/>
    <x v="0"/>
    <x v="0"/>
    <n v="16.993200000000002"/>
    <n v="0.49000000000000005"/>
    <n v="0"/>
  </r>
  <r>
    <n v="890"/>
    <s v="CA-2017-132934"/>
    <d v="2017-06-20T00:00:00"/>
    <x v="3"/>
    <s v="Q2"/>
    <x v="27"/>
    <d v="2017-06-26T00:00:00"/>
    <s v="Standard Class"/>
    <x v="188"/>
    <x v="188"/>
    <s v="Consumer"/>
    <s v="United States"/>
    <s v="New Rochelle"/>
    <x v="15"/>
    <n v="10801"/>
    <x v="3"/>
    <x v="701"/>
    <x v="2"/>
    <x v="11"/>
    <x v="701"/>
    <n v="149.94999999999999"/>
    <s v="High"/>
    <n v="5"/>
    <n v="0"/>
    <x v="0"/>
    <x v="0"/>
    <n v="14.994999999999999"/>
    <n v="0.1"/>
    <n v="0"/>
  </r>
  <r>
    <n v="891"/>
    <s v="CA-2017-132934"/>
    <d v="2017-06-20T00:00:00"/>
    <x v="3"/>
    <s v="Q2"/>
    <x v="27"/>
    <d v="2017-06-26T00:00:00"/>
    <s v="Standard Class"/>
    <x v="188"/>
    <x v="188"/>
    <s v="Consumer"/>
    <s v="United States"/>
    <s v="New Rochelle"/>
    <x v="15"/>
    <n v="10801"/>
    <x v="3"/>
    <x v="410"/>
    <x v="1"/>
    <x v="8"/>
    <x v="410"/>
    <n v="51.311999999999998"/>
    <s v="Medium"/>
    <n v="3"/>
    <n v="0.2"/>
    <x v="2"/>
    <x v="2"/>
    <n v="18.6006"/>
    <n v="0.36250000000000004"/>
    <n v="0"/>
  </r>
  <r>
    <n v="892"/>
    <s v="CA-2017-133256"/>
    <d v="2017-06-26T00:00:00"/>
    <x v="3"/>
    <s v="Q2"/>
    <x v="27"/>
    <d v="2017-06-27T00:00:00"/>
    <s v="First Class"/>
    <x v="274"/>
    <x v="274"/>
    <s v="Home Office"/>
    <s v="United States"/>
    <s v="Detroit"/>
    <x v="12"/>
    <n v="48227"/>
    <x v="2"/>
    <x v="702"/>
    <x v="1"/>
    <x v="10"/>
    <x v="702"/>
    <n v="4.54"/>
    <s v="Low"/>
    <n v="1"/>
    <n v="0"/>
    <x v="0"/>
    <x v="0"/>
    <n v="2.0430000000000001"/>
    <n v="0.45"/>
    <n v="0"/>
  </r>
  <r>
    <n v="893"/>
    <s v="CA-2017-133256"/>
    <d v="2017-06-26T00:00:00"/>
    <x v="3"/>
    <s v="Q2"/>
    <x v="27"/>
    <d v="2017-06-27T00:00:00"/>
    <s v="First Class"/>
    <x v="274"/>
    <x v="274"/>
    <s v="Home Office"/>
    <s v="United States"/>
    <s v="Detroit"/>
    <x v="12"/>
    <n v="48227"/>
    <x v="2"/>
    <x v="703"/>
    <x v="1"/>
    <x v="6"/>
    <x v="703"/>
    <n v="15.92"/>
    <s v="Low"/>
    <n v="4"/>
    <n v="0"/>
    <x v="0"/>
    <x v="0"/>
    <n v="5.4127999999999998"/>
    <n v="0.33999999999999997"/>
    <n v="0"/>
  </r>
  <r>
    <n v="894"/>
    <s v="CA-2017-133256"/>
    <d v="2017-06-26T00:00:00"/>
    <x v="3"/>
    <s v="Q2"/>
    <x v="27"/>
    <d v="2017-06-27T00:00:00"/>
    <s v="First Class"/>
    <x v="274"/>
    <x v="274"/>
    <s v="Home Office"/>
    <s v="United States"/>
    <s v="Detroit"/>
    <x v="12"/>
    <n v="48227"/>
    <x v="2"/>
    <x v="704"/>
    <x v="2"/>
    <x v="7"/>
    <x v="704"/>
    <n v="543.91999999999996"/>
    <s v="High"/>
    <n v="8"/>
    <n v="0"/>
    <x v="0"/>
    <x v="0"/>
    <n v="135.97999999999999"/>
    <n v="0.25"/>
    <n v="0"/>
  </r>
  <r>
    <n v="895"/>
    <s v="CA-2016-105494"/>
    <d v="2016-11-10T00:00:00"/>
    <x v="0"/>
    <s v="Q4"/>
    <x v="0"/>
    <d v="2016-11-12T00:00:00"/>
    <s v="First Class"/>
    <x v="331"/>
    <x v="331"/>
    <s v="Corporate"/>
    <s v="United States"/>
    <s v="San Francisco"/>
    <x v="1"/>
    <n v="94122"/>
    <x v="1"/>
    <x v="330"/>
    <x v="1"/>
    <x v="4"/>
    <x v="330"/>
    <n v="155.82"/>
    <s v="High"/>
    <n v="7"/>
    <n v="0"/>
    <x v="0"/>
    <x v="0"/>
    <n v="42.071399999999997"/>
    <n v="0.27"/>
    <n v="0"/>
  </r>
  <r>
    <n v="896"/>
    <s v="CA-2016-105494"/>
    <d v="2016-11-10T00:00:00"/>
    <x v="0"/>
    <s v="Q4"/>
    <x v="0"/>
    <d v="2016-11-12T00:00:00"/>
    <s v="First Class"/>
    <x v="331"/>
    <x v="331"/>
    <s v="Corporate"/>
    <s v="United States"/>
    <s v="San Francisco"/>
    <x v="1"/>
    <n v="94122"/>
    <x v="1"/>
    <x v="705"/>
    <x v="1"/>
    <x v="8"/>
    <x v="705"/>
    <n v="70.007999999999996"/>
    <s v="Medium"/>
    <n v="3"/>
    <n v="0.2"/>
    <x v="2"/>
    <x v="2"/>
    <n v="24.502800000000001"/>
    <n v="0.35000000000000003"/>
    <n v="0"/>
  </r>
  <r>
    <n v="897"/>
    <s v="CA-2016-140634"/>
    <d v="2016-10-03T00:00:00"/>
    <x v="0"/>
    <s v="Q4"/>
    <x v="32"/>
    <d v="2016-10-06T00:00:00"/>
    <s v="Second Class"/>
    <x v="332"/>
    <x v="332"/>
    <s v="Consumer"/>
    <s v="United States"/>
    <s v="Houston"/>
    <x v="5"/>
    <n v="77095"/>
    <x v="2"/>
    <x v="706"/>
    <x v="1"/>
    <x v="12"/>
    <x v="153"/>
    <n v="15.648"/>
    <s v="Low"/>
    <n v="2"/>
    <n v="0.2"/>
    <x v="2"/>
    <x v="2"/>
    <n v="5.0856000000000003"/>
    <n v="0.32500000000000001"/>
    <n v="0"/>
  </r>
  <r>
    <n v="898"/>
    <s v="CA-2014-144407"/>
    <d v="2014-09-09T00:00:00"/>
    <x v="2"/>
    <s v="Q3"/>
    <x v="30"/>
    <d v="2014-09-15T00:00:00"/>
    <s v="Standard Class"/>
    <x v="333"/>
    <x v="333"/>
    <s v="Consumer"/>
    <s v="United States"/>
    <s v="Detroit"/>
    <x v="12"/>
    <n v="48227"/>
    <x v="2"/>
    <x v="429"/>
    <x v="1"/>
    <x v="2"/>
    <x v="429"/>
    <n v="103.6"/>
    <s v="Medium"/>
    <n v="7"/>
    <n v="0"/>
    <x v="0"/>
    <x v="0"/>
    <n v="51.8"/>
    <n v="0.5"/>
    <n v="0"/>
  </r>
  <r>
    <n v="899"/>
    <s v="CA-2017-160983"/>
    <d v="2017-10-29T00:00:00"/>
    <x v="3"/>
    <s v="Q4"/>
    <x v="13"/>
    <d v="2017-10-31T00:00:00"/>
    <s v="Second Class"/>
    <x v="334"/>
    <x v="334"/>
    <s v="Corporate"/>
    <s v="United States"/>
    <s v="Auburn"/>
    <x v="15"/>
    <n v="13021"/>
    <x v="3"/>
    <x v="707"/>
    <x v="1"/>
    <x v="10"/>
    <x v="706"/>
    <n v="46.96"/>
    <s v="Medium"/>
    <n v="8"/>
    <n v="0"/>
    <x v="0"/>
    <x v="0"/>
    <n v="22.540800000000001"/>
    <n v="0.48"/>
    <n v="0"/>
  </r>
  <r>
    <n v="900"/>
    <s v="US-2016-114622"/>
    <d v="2016-04-10T00:00:00"/>
    <x v="0"/>
    <s v="Q2"/>
    <x v="25"/>
    <d v="2016-04-12T00:00:00"/>
    <s v="First Class"/>
    <x v="335"/>
    <x v="335"/>
    <s v="Corporate"/>
    <s v="United States"/>
    <s v="Springfield"/>
    <x v="24"/>
    <n v="45503"/>
    <x v="3"/>
    <x v="708"/>
    <x v="1"/>
    <x v="8"/>
    <x v="707"/>
    <n v="8.9039999999999999"/>
    <s v="Low"/>
    <n v="2"/>
    <n v="0.7"/>
    <x v="1"/>
    <x v="5"/>
    <n v="-6.5296000000000003"/>
    <n v="-0.73333333333333339"/>
    <n v="1"/>
  </r>
  <r>
    <n v="901"/>
    <s v="CA-2017-150959"/>
    <d v="2017-11-11T00:00:00"/>
    <x v="3"/>
    <s v="Q4"/>
    <x v="23"/>
    <d v="2017-11-13T00:00:00"/>
    <s v="First Class"/>
    <x v="143"/>
    <x v="143"/>
    <s v="Consumer"/>
    <s v="United States"/>
    <s v="Garland"/>
    <x v="5"/>
    <n v="75043"/>
    <x v="2"/>
    <x v="709"/>
    <x v="1"/>
    <x v="2"/>
    <x v="708"/>
    <n v="10.44"/>
    <s v="Low"/>
    <n v="5"/>
    <n v="0.2"/>
    <x v="2"/>
    <x v="2"/>
    <n v="3.3929999999999998"/>
    <n v="0.32500000000000001"/>
    <n v="0"/>
  </r>
  <r>
    <n v="902"/>
    <s v="CA-2017-150959"/>
    <d v="2017-11-11T00:00:00"/>
    <x v="3"/>
    <s v="Q4"/>
    <x v="23"/>
    <d v="2017-11-13T00:00:00"/>
    <s v="First Class"/>
    <x v="143"/>
    <x v="143"/>
    <s v="Consumer"/>
    <s v="United States"/>
    <s v="Garland"/>
    <x v="5"/>
    <n v="75043"/>
    <x v="2"/>
    <x v="710"/>
    <x v="1"/>
    <x v="8"/>
    <x v="709"/>
    <n v="18.335999999999999"/>
    <s v="Low"/>
    <n v="4"/>
    <n v="0.8"/>
    <x v="1"/>
    <x v="3"/>
    <n v="-32.088000000000001"/>
    <n v="-1.7500000000000002"/>
    <n v="1"/>
  </r>
  <r>
    <n v="903"/>
    <s v="CA-2017-132353"/>
    <d v="2017-09-15T00:00:00"/>
    <x v="3"/>
    <s v="Q3"/>
    <x v="15"/>
    <d v="2017-09-17T00:00:00"/>
    <s v="First Class"/>
    <x v="72"/>
    <x v="72"/>
    <s v="Consumer"/>
    <s v="United States"/>
    <s v="Chicago"/>
    <x v="10"/>
    <n v="60653"/>
    <x v="2"/>
    <x v="149"/>
    <x v="2"/>
    <x v="7"/>
    <x v="150"/>
    <n v="323.976"/>
    <s v="High"/>
    <n v="3"/>
    <n v="0.2"/>
    <x v="2"/>
    <x v="2"/>
    <n v="20.2485"/>
    <n v="6.25E-2"/>
    <n v="0"/>
  </r>
  <r>
    <n v="904"/>
    <s v="CA-2016-130477"/>
    <d v="2016-04-08T00:00:00"/>
    <x v="0"/>
    <s v="Q2"/>
    <x v="25"/>
    <d v="2016-04-12T00:00:00"/>
    <s v="Standard Class"/>
    <x v="95"/>
    <x v="95"/>
    <s v="Consumer"/>
    <s v="United States"/>
    <s v="Los Angeles"/>
    <x v="1"/>
    <n v="90032"/>
    <x v="1"/>
    <x v="711"/>
    <x v="1"/>
    <x v="10"/>
    <x v="710"/>
    <n v="20.04"/>
    <s v="Low"/>
    <n v="3"/>
    <n v="0"/>
    <x v="0"/>
    <x v="0"/>
    <n v="9.6191999999999993"/>
    <n v="0.48"/>
    <n v="0"/>
  </r>
  <r>
    <n v="905"/>
    <s v="CA-2016-130477"/>
    <d v="2016-04-08T00:00:00"/>
    <x v="0"/>
    <s v="Q2"/>
    <x v="25"/>
    <d v="2016-04-12T00:00:00"/>
    <s v="Standard Class"/>
    <x v="95"/>
    <x v="95"/>
    <s v="Consumer"/>
    <s v="United States"/>
    <s v="Los Angeles"/>
    <x v="1"/>
    <n v="90032"/>
    <x v="1"/>
    <x v="571"/>
    <x v="1"/>
    <x v="4"/>
    <x v="571"/>
    <n v="64.959999999999994"/>
    <s v="Medium"/>
    <n v="2"/>
    <n v="0"/>
    <x v="0"/>
    <x v="0"/>
    <n v="2.5983999999999998"/>
    <n v="0.04"/>
    <n v="0"/>
  </r>
  <r>
    <n v="906"/>
    <s v="CA-2016-130477"/>
    <d v="2016-04-08T00:00:00"/>
    <x v="0"/>
    <s v="Q2"/>
    <x v="25"/>
    <d v="2016-04-12T00:00:00"/>
    <s v="Standard Class"/>
    <x v="95"/>
    <x v="95"/>
    <s v="Consumer"/>
    <s v="United States"/>
    <s v="Los Angeles"/>
    <x v="1"/>
    <n v="90032"/>
    <x v="1"/>
    <x v="712"/>
    <x v="1"/>
    <x v="10"/>
    <x v="711"/>
    <n v="12.96"/>
    <s v="Low"/>
    <n v="2"/>
    <n v="0"/>
    <x v="0"/>
    <x v="0"/>
    <n v="6.2207999999999997"/>
    <n v="0.47999999999999993"/>
    <n v="0"/>
  </r>
  <r>
    <n v="907"/>
    <s v="CA-2017-143259"/>
    <d v="2017-12-30T00:00:00"/>
    <x v="3"/>
    <s v="Q4"/>
    <x v="22"/>
    <d v="2018-01-03T00:00:00"/>
    <s v="Standard Class"/>
    <x v="22"/>
    <x v="22"/>
    <s v="Consumer"/>
    <s v="United States"/>
    <s v="New York City"/>
    <x v="15"/>
    <n v="10009"/>
    <x v="3"/>
    <x v="713"/>
    <x v="0"/>
    <x v="0"/>
    <x v="712"/>
    <n v="323.13600000000002"/>
    <s v="High"/>
    <n v="4"/>
    <n v="0.2"/>
    <x v="2"/>
    <x v="2"/>
    <n v="12.117599999999999"/>
    <n v="3.7499999999999999E-2"/>
    <n v="0"/>
  </r>
  <r>
    <n v="908"/>
    <s v="CA-2017-143259"/>
    <d v="2017-12-30T00:00:00"/>
    <x v="3"/>
    <s v="Q4"/>
    <x v="22"/>
    <d v="2018-01-03T00:00:00"/>
    <s v="Standard Class"/>
    <x v="22"/>
    <x v="22"/>
    <s v="Consumer"/>
    <s v="United States"/>
    <s v="New York City"/>
    <x v="15"/>
    <n v="10009"/>
    <x v="3"/>
    <x v="714"/>
    <x v="2"/>
    <x v="7"/>
    <x v="713"/>
    <n v="90.93"/>
    <s v="Medium"/>
    <n v="7"/>
    <n v="0"/>
    <x v="0"/>
    <x v="0"/>
    <n v="2.7279"/>
    <n v="0.03"/>
    <n v="0"/>
  </r>
  <r>
    <n v="909"/>
    <s v="CA-2017-143259"/>
    <d v="2017-12-30T00:00:00"/>
    <x v="3"/>
    <s v="Q4"/>
    <x v="22"/>
    <d v="2018-01-03T00:00:00"/>
    <s v="Standard Class"/>
    <x v="22"/>
    <x v="22"/>
    <s v="Consumer"/>
    <s v="United States"/>
    <s v="New York City"/>
    <x v="15"/>
    <n v="10009"/>
    <x v="3"/>
    <x v="715"/>
    <x v="1"/>
    <x v="8"/>
    <x v="714"/>
    <n v="52.776000000000003"/>
    <s v="Medium"/>
    <n v="3"/>
    <n v="0.2"/>
    <x v="2"/>
    <x v="2"/>
    <n v="19.791"/>
    <n v="0.375"/>
    <n v="0"/>
  </r>
  <r>
    <n v="910"/>
    <s v="CA-2017-137596"/>
    <d v="2017-09-02T00:00:00"/>
    <x v="3"/>
    <s v="Q3"/>
    <x v="15"/>
    <d v="2017-09-07T00:00:00"/>
    <s v="Standard Class"/>
    <x v="336"/>
    <x v="336"/>
    <s v="Home Office"/>
    <s v="United States"/>
    <s v="Jackson"/>
    <x v="12"/>
    <n v="49201"/>
    <x v="2"/>
    <x v="716"/>
    <x v="2"/>
    <x v="7"/>
    <x v="715"/>
    <n v="1199.8"/>
    <s v="High"/>
    <n v="4"/>
    <n v="0"/>
    <x v="0"/>
    <x v="0"/>
    <n v="323.94600000000003"/>
    <n v="0.27"/>
    <n v="0"/>
  </r>
  <r>
    <n v="911"/>
    <s v="CA-2017-137596"/>
    <d v="2017-09-02T00:00:00"/>
    <x v="3"/>
    <s v="Q3"/>
    <x v="15"/>
    <d v="2017-09-07T00:00:00"/>
    <s v="Standard Class"/>
    <x v="336"/>
    <x v="336"/>
    <s v="Home Office"/>
    <s v="United States"/>
    <s v="Jackson"/>
    <x v="12"/>
    <n v="49201"/>
    <x v="2"/>
    <x v="717"/>
    <x v="2"/>
    <x v="11"/>
    <x v="716"/>
    <n v="1928.78"/>
    <s v="High"/>
    <n v="7"/>
    <n v="0"/>
    <x v="0"/>
    <x v="0"/>
    <n v="829.37540000000001"/>
    <n v="0.43"/>
    <n v="0"/>
  </r>
  <r>
    <n v="912"/>
    <s v="CA-2017-137596"/>
    <d v="2017-09-02T00:00:00"/>
    <x v="3"/>
    <s v="Q3"/>
    <x v="15"/>
    <d v="2017-09-07T00:00:00"/>
    <s v="Standard Class"/>
    <x v="336"/>
    <x v="336"/>
    <s v="Home Office"/>
    <s v="United States"/>
    <s v="Jackson"/>
    <x v="12"/>
    <n v="49201"/>
    <x v="2"/>
    <x v="718"/>
    <x v="1"/>
    <x v="4"/>
    <x v="717"/>
    <n v="352.38"/>
    <s v="High"/>
    <n v="2"/>
    <n v="0"/>
    <x v="0"/>
    <x v="0"/>
    <n v="81.047399999999996"/>
    <n v="0.22999999999999998"/>
    <n v="0"/>
  </r>
  <r>
    <n v="913"/>
    <s v="CA-2015-133627"/>
    <d v="2015-05-31T00:00:00"/>
    <x v="1"/>
    <s v="Q2"/>
    <x v="33"/>
    <d v="2015-06-07T00:00:00"/>
    <s v="Standard Class"/>
    <x v="337"/>
    <x v="337"/>
    <s v="Home Office"/>
    <s v="United States"/>
    <s v="Norwich"/>
    <x v="29"/>
    <n v="6360"/>
    <x v="3"/>
    <x v="345"/>
    <x v="0"/>
    <x v="5"/>
    <x v="345"/>
    <n v="22.2"/>
    <s v="Low"/>
    <n v="6"/>
    <n v="0"/>
    <x v="0"/>
    <x v="0"/>
    <n v="9.1020000000000003"/>
    <n v="0.41000000000000003"/>
    <n v="0"/>
  </r>
  <r>
    <n v="914"/>
    <s v="CA-2017-102519"/>
    <d v="2017-11-27T00:00:00"/>
    <x v="3"/>
    <s v="Q4"/>
    <x v="23"/>
    <d v="2017-11-29T00:00:00"/>
    <s v="First Class"/>
    <x v="312"/>
    <x v="312"/>
    <s v="Corporate"/>
    <s v="United States"/>
    <s v="Milwaukee"/>
    <x v="6"/>
    <n v="53209"/>
    <x v="2"/>
    <x v="267"/>
    <x v="0"/>
    <x v="5"/>
    <x v="267"/>
    <n v="46.94"/>
    <s v="Medium"/>
    <n v="1"/>
    <n v="0"/>
    <x v="0"/>
    <x v="0"/>
    <n v="19.2454"/>
    <n v="0.41000000000000003"/>
    <n v="0"/>
  </r>
  <r>
    <n v="915"/>
    <s v="CA-2017-102519"/>
    <d v="2017-11-27T00:00:00"/>
    <x v="3"/>
    <s v="Q4"/>
    <x v="23"/>
    <d v="2017-11-29T00:00:00"/>
    <s v="First Class"/>
    <x v="312"/>
    <x v="312"/>
    <s v="Corporate"/>
    <s v="United States"/>
    <s v="Milwaukee"/>
    <x v="6"/>
    <n v="53209"/>
    <x v="2"/>
    <x v="404"/>
    <x v="2"/>
    <x v="11"/>
    <x v="405"/>
    <n v="143.72999999999999"/>
    <s v="High"/>
    <n v="9"/>
    <n v="0"/>
    <x v="0"/>
    <x v="0"/>
    <n v="56.054699999999997"/>
    <n v="0.39"/>
    <n v="0"/>
  </r>
  <r>
    <n v="916"/>
    <s v="US-2014-141215"/>
    <d v="2014-06-15T00:00:00"/>
    <x v="2"/>
    <s v="Q2"/>
    <x v="3"/>
    <d v="2014-06-21T00:00:00"/>
    <s v="Standard Class"/>
    <x v="126"/>
    <x v="126"/>
    <s v="Corporate"/>
    <s v="United States"/>
    <s v="San Antonio"/>
    <x v="5"/>
    <n v="78207"/>
    <x v="2"/>
    <x v="719"/>
    <x v="0"/>
    <x v="3"/>
    <x v="718"/>
    <n v="99.918000000000006"/>
    <s v="Medium"/>
    <n v="2"/>
    <n v="0.3"/>
    <x v="1"/>
    <x v="4"/>
    <n v="-18.5562"/>
    <n v="-0.18571428571428572"/>
    <n v="1"/>
  </r>
  <r>
    <n v="917"/>
    <s v="US-2014-141215"/>
    <d v="2014-06-15T00:00:00"/>
    <x v="2"/>
    <s v="Q2"/>
    <x v="3"/>
    <d v="2014-06-21T00:00:00"/>
    <s v="Standard Class"/>
    <x v="126"/>
    <x v="126"/>
    <s v="Corporate"/>
    <s v="United States"/>
    <s v="San Antonio"/>
    <x v="5"/>
    <n v="78207"/>
    <x v="2"/>
    <x v="463"/>
    <x v="0"/>
    <x v="1"/>
    <x v="464"/>
    <n v="797.94399999999996"/>
    <s v="High"/>
    <n v="4"/>
    <n v="0.3"/>
    <x v="1"/>
    <x v="4"/>
    <n v="-56.996000000000002"/>
    <n v="-7.1428571428571438E-2"/>
    <n v="1"/>
  </r>
  <r>
    <n v="918"/>
    <s v="US-2014-141215"/>
    <d v="2014-06-15T00:00:00"/>
    <x v="2"/>
    <s v="Q2"/>
    <x v="3"/>
    <d v="2014-06-21T00:00:00"/>
    <s v="Standard Class"/>
    <x v="126"/>
    <x v="126"/>
    <s v="Corporate"/>
    <s v="United States"/>
    <s v="San Antonio"/>
    <x v="5"/>
    <n v="78207"/>
    <x v="2"/>
    <x v="276"/>
    <x v="1"/>
    <x v="8"/>
    <x v="276"/>
    <n v="8.5679999999999996"/>
    <s v="Low"/>
    <n v="3"/>
    <n v="0.8"/>
    <x v="1"/>
    <x v="3"/>
    <n v="-14.5656"/>
    <n v="-1.7"/>
    <n v="1"/>
  </r>
  <r>
    <n v="919"/>
    <s v="CA-2016-165218"/>
    <d v="2016-03-05T00:00:00"/>
    <x v="0"/>
    <s v="Q1"/>
    <x v="17"/>
    <d v="2016-03-11T00:00:00"/>
    <s v="Standard Class"/>
    <x v="338"/>
    <x v="338"/>
    <s v="Corporate"/>
    <s v="United States"/>
    <s v="Dallas"/>
    <x v="5"/>
    <n v="75220"/>
    <x v="2"/>
    <x v="633"/>
    <x v="1"/>
    <x v="12"/>
    <x v="633"/>
    <n v="149.352"/>
    <s v="High"/>
    <n v="3"/>
    <n v="0.2"/>
    <x v="2"/>
    <x v="2"/>
    <n v="50.406300000000002"/>
    <n v="0.33750000000000002"/>
    <n v="0"/>
  </r>
  <r>
    <n v="920"/>
    <s v="CA-2016-165218"/>
    <d v="2016-03-05T00:00:00"/>
    <x v="0"/>
    <s v="Q1"/>
    <x v="17"/>
    <d v="2016-03-11T00:00:00"/>
    <s v="Standard Class"/>
    <x v="338"/>
    <x v="338"/>
    <s v="Corporate"/>
    <s v="United States"/>
    <s v="Dallas"/>
    <x v="5"/>
    <n v="75220"/>
    <x v="2"/>
    <x v="720"/>
    <x v="1"/>
    <x v="4"/>
    <x v="719"/>
    <n v="12.992000000000001"/>
    <s v="Low"/>
    <n v="1"/>
    <n v="0.2"/>
    <x v="2"/>
    <x v="2"/>
    <n v="-0.81200000000000006"/>
    <n v="-6.25E-2"/>
    <n v="1"/>
  </r>
  <r>
    <n v="921"/>
    <s v="CA-2014-138296"/>
    <d v="2014-12-05T00:00:00"/>
    <x v="2"/>
    <s v="Q4"/>
    <x v="20"/>
    <d v="2014-12-12T00:00:00"/>
    <s v="Standard Class"/>
    <x v="116"/>
    <x v="116"/>
    <s v="Consumer"/>
    <s v="United States"/>
    <s v="Alexandria"/>
    <x v="17"/>
    <n v="22304"/>
    <x v="0"/>
    <x v="576"/>
    <x v="1"/>
    <x v="4"/>
    <x v="576"/>
    <n v="24.56"/>
    <s v="Low"/>
    <n v="2"/>
    <n v="0"/>
    <x v="0"/>
    <x v="0"/>
    <n v="6.8768000000000002"/>
    <n v="0.28000000000000003"/>
    <n v="0"/>
  </r>
  <r>
    <n v="922"/>
    <s v="CA-2015-111164"/>
    <d v="2015-04-11T00:00:00"/>
    <x v="1"/>
    <s v="Q2"/>
    <x v="19"/>
    <d v="2015-04-15T00:00:00"/>
    <s v="Standard Class"/>
    <x v="339"/>
    <x v="339"/>
    <s v="Consumer"/>
    <s v="United States"/>
    <s v="New York City"/>
    <x v="15"/>
    <n v="10009"/>
    <x v="3"/>
    <x v="721"/>
    <x v="2"/>
    <x v="11"/>
    <x v="720"/>
    <n v="85.14"/>
    <s v="Medium"/>
    <n v="3"/>
    <n v="0"/>
    <x v="0"/>
    <x v="0"/>
    <n v="34.907400000000003"/>
    <n v="0.41000000000000003"/>
    <n v="0"/>
  </r>
  <r>
    <n v="923"/>
    <s v="CA-2015-111164"/>
    <d v="2015-04-11T00:00:00"/>
    <x v="1"/>
    <s v="Q2"/>
    <x v="19"/>
    <d v="2015-04-15T00:00:00"/>
    <s v="Standard Class"/>
    <x v="339"/>
    <x v="339"/>
    <s v="Consumer"/>
    <s v="United States"/>
    <s v="New York City"/>
    <x v="15"/>
    <n v="10009"/>
    <x v="3"/>
    <x v="722"/>
    <x v="2"/>
    <x v="7"/>
    <x v="721"/>
    <n v="21.99"/>
    <s v="Low"/>
    <n v="1"/>
    <n v="0"/>
    <x v="0"/>
    <x v="0"/>
    <n v="10.555199999999999"/>
    <n v="0.48"/>
    <n v="0"/>
  </r>
  <r>
    <n v="924"/>
    <s v="CA-2015-111164"/>
    <d v="2015-04-11T00:00:00"/>
    <x v="1"/>
    <s v="Q2"/>
    <x v="19"/>
    <d v="2015-04-15T00:00:00"/>
    <s v="Standard Class"/>
    <x v="339"/>
    <x v="339"/>
    <s v="Consumer"/>
    <s v="United States"/>
    <s v="New York City"/>
    <x v="15"/>
    <n v="10009"/>
    <x v="3"/>
    <x v="723"/>
    <x v="1"/>
    <x v="9"/>
    <x v="722"/>
    <n v="406.6"/>
    <s v="High"/>
    <n v="5"/>
    <n v="0"/>
    <x v="0"/>
    <x v="0"/>
    <n v="113.848"/>
    <n v="0.27999999999999997"/>
    <n v="0"/>
  </r>
  <r>
    <n v="925"/>
    <s v="CA-2016-149797"/>
    <d v="2016-09-15T00:00:00"/>
    <x v="0"/>
    <s v="Q3"/>
    <x v="21"/>
    <d v="2016-09-20T00:00:00"/>
    <s v="Standard Class"/>
    <x v="340"/>
    <x v="340"/>
    <s v="Corporate"/>
    <s v="United States"/>
    <s v="New York City"/>
    <x v="15"/>
    <n v="10011"/>
    <x v="3"/>
    <x v="115"/>
    <x v="1"/>
    <x v="8"/>
    <x v="115"/>
    <n v="841.56799999999998"/>
    <s v="High"/>
    <n v="2"/>
    <n v="0.2"/>
    <x v="2"/>
    <x v="2"/>
    <n v="294.54880000000003"/>
    <n v="0.35000000000000003"/>
    <n v="0"/>
  </r>
  <r>
    <n v="926"/>
    <s v="CA-2014-132962"/>
    <d v="2014-09-13T00:00:00"/>
    <x v="2"/>
    <s v="Q3"/>
    <x v="30"/>
    <d v="2014-09-16T00:00:00"/>
    <s v="First Class"/>
    <x v="341"/>
    <x v="341"/>
    <s v="Consumer"/>
    <s v="United States"/>
    <s v="Philadelphia"/>
    <x v="9"/>
    <n v="19143"/>
    <x v="3"/>
    <x v="724"/>
    <x v="1"/>
    <x v="10"/>
    <x v="723"/>
    <n v="15.552"/>
    <s v="Low"/>
    <n v="3"/>
    <n v="0.2"/>
    <x v="2"/>
    <x v="2"/>
    <n v="5.4432"/>
    <n v="0.35000000000000003"/>
    <n v="0"/>
  </r>
  <r>
    <n v="927"/>
    <s v="CA-2014-132962"/>
    <d v="2014-09-13T00:00:00"/>
    <x v="2"/>
    <s v="Q3"/>
    <x v="30"/>
    <d v="2014-09-16T00:00:00"/>
    <s v="First Class"/>
    <x v="341"/>
    <x v="341"/>
    <s v="Consumer"/>
    <s v="United States"/>
    <s v="Philadelphia"/>
    <x v="9"/>
    <n v="19143"/>
    <x v="3"/>
    <x v="725"/>
    <x v="2"/>
    <x v="11"/>
    <x v="724"/>
    <n v="252"/>
    <s v="High"/>
    <n v="5"/>
    <n v="0.2"/>
    <x v="2"/>
    <x v="2"/>
    <n v="53.55"/>
    <n v="0.21249999999999999"/>
    <n v="0"/>
  </r>
  <r>
    <n v="928"/>
    <s v="CA-2015-115091"/>
    <d v="2015-10-05T00:00:00"/>
    <x v="1"/>
    <s v="Q4"/>
    <x v="2"/>
    <d v="2015-10-09T00:00:00"/>
    <s v="Standard Class"/>
    <x v="342"/>
    <x v="342"/>
    <s v="Home Office"/>
    <s v="United States"/>
    <s v="Springfield"/>
    <x v="17"/>
    <n v="22153"/>
    <x v="0"/>
    <x v="332"/>
    <x v="1"/>
    <x v="6"/>
    <x v="332"/>
    <n v="46.2"/>
    <s v="Medium"/>
    <n v="4"/>
    <n v="0"/>
    <x v="0"/>
    <x v="0"/>
    <n v="12.936"/>
    <n v="0.27999999999999997"/>
    <n v="0"/>
  </r>
  <r>
    <n v="929"/>
    <s v="CA-2015-115091"/>
    <d v="2015-10-05T00:00:00"/>
    <x v="1"/>
    <s v="Q4"/>
    <x v="2"/>
    <d v="2015-10-09T00:00:00"/>
    <s v="Standard Class"/>
    <x v="342"/>
    <x v="342"/>
    <s v="Home Office"/>
    <s v="United States"/>
    <s v="Springfield"/>
    <x v="17"/>
    <n v="22153"/>
    <x v="0"/>
    <x v="336"/>
    <x v="1"/>
    <x v="9"/>
    <x v="336"/>
    <n v="28.84"/>
    <s v="Medium"/>
    <n v="2"/>
    <n v="0"/>
    <x v="0"/>
    <x v="0"/>
    <n v="9.5172000000000008"/>
    <n v="0.33"/>
    <n v="0"/>
  </r>
  <r>
    <n v="930"/>
    <s v="CA-2017-144932"/>
    <d v="2017-04-14T00:00:00"/>
    <x v="3"/>
    <s v="Q2"/>
    <x v="4"/>
    <d v="2017-04-17T00:00:00"/>
    <s v="First Class"/>
    <x v="269"/>
    <x v="269"/>
    <s v="Consumer"/>
    <s v="United States"/>
    <s v="Toledo"/>
    <x v="24"/>
    <n v="43615"/>
    <x v="3"/>
    <x v="487"/>
    <x v="1"/>
    <x v="6"/>
    <x v="487"/>
    <n v="14.592000000000001"/>
    <s v="Low"/>
    <n v="3"/>
    <n v="0.2"/>
    <x v="2"/>
    <x v="2"/>
    <n v="2.5535999999999999"/>
    <n v="0.17499999999999999"/>
    <n v="0"/>
  </r>
  <r>
    <n v="931"/>
    <s v="CA-2017-144932"/>
    <d v="2017-04-14T00:00:00"/>
    <x v="3"/>
    <s v="Q2"/>
    <x v="4"/>
    <d v="2017-04-17T00:00:00"/>
    <s v="First Class"/>
    <x v="269"/>
    <x v="269"/>
    <s v="Consumer"/>
    <s v="United States"/>
    <s v="Toledo"/>
    <x v="24"/>
    <n v="43615"/>
    <x v="3"/>
    <x v="726"/>
    <x v="1"/>
    <x v="6"/>
    <x v="725"/>
    <n v="89.855999999999995"/>
    <s v="Medium"/>
    <n v="3"/>
    <n v="0.2"/>
    <x v="2"/>
    <x v="2"/>
    <n v="21.340800000000002"/>
    <n v="0.23750000000000004"/>
    <n v="0"/>
  </r>
  <r>
    <n v="932"/>
    <s v="CA-2017-144932"/>
    <d v="2017-04-14T00:00:00"/>
    <x v="3"/>
    <s v="Q2"/>
    <x v="4"/>
    <d v="2017-04-17T00:00:00"/>
    <s v="First Class"/>
    <x v="269"/>
    <x v="269"/>
    <s v="Consumer"/>
    <s v="United States"/>
    <s v="Toledo"/>
    <x v="24"/>
    <n v="43615"/>
    <x v="3"/>
    <x v="609"/>
    <x v="1"/>
    <x v="10"/>
    <x v="609"/>
    <n v="13.872"/>
    <s v="Low"/>
    <n v="3"/>
    <n v="0.2"/>
    <x v="2"/>
    <x v="2"/>
    <n v="5.0286"/>
    <n v="0.36249999999999999"/>
    <n v="0"/>
  </r>
  <r>
    <n v="933"/>
    <s v="CA-2017-114216"/>
    <d v="2017-09-02T00:00:00"/>
    <x v="3"/>
    <s v="Q3"/>
    <x v="15"/>
    <d v="2017-09-06T00:00:00"/>
    <s v="Standard Class"/>
    <x v="343"/>
    <x v="343"/>
    <s v="Consumer"/>
    <s v="United States"/>
    <s v="Philadelphia"/>
    <x v="9"/>
    <n v="19140"/>
    <x v="3"/>
    <x v="727"/>
    <x v="1"/>
    <x v="10"/>
    <x v="726"/>
    <n v="12.192"/>
    <s v="Low"/>
    <n v="3"/>
    <n v="0.2"/>
    <x v="2"/>
    <x v="2"/>
    <n v="4.1147999999999998"/>
    <n v="0.33749999999999997"/>
    <n v="0"/>
  </r>
  <r>
    <n v="934"/>
    <s v="CA-2016-140081"/>
    <d v="2016-06-20T00:00:00"/>
    <x v="0"/>
    <s v="Q2"/>
    <x v="1"/>
    <d v="2016-06-24T00:00:00"/>
    <s v="Standard Class"/>
    <x v="344"/>
    <x v="344"/>
    <s v="Home Office"/>
    <s v="United States"/>
    <s v="Philadelphia"/>
    <x v="9"/>
    <n v="19120"/>
    <x v="3"/>
    <x v="728"/>
    <x v="1"/>
    <x v="10"/>
    <x v="727"/>
    <n v="45.055999999999997"/>
    <s v="Medium"/>
    <n v="8"/>
    <n v="0.2"/>
    <x v="2"/>
    <x v="2"/>
    <n v="15.2064"/>
    <n v="0.33750000000000002"/>
    <n v="0"/>
  </r>
  <r>
    <n v="935"/>
    <s v="CA-2016-140081"/>
    <d v="2016-06-20T00:00:00"/>
    <x v="0"/>
    <s v="Q2"/>
    <x v="1"/>
    <d v="2016-06-24T00:00:00"/>
    <s v="Standard Class"/>
    <x v="344"/>
    <x v="344"/>
    <s v="Home Office"/>
    <s v="United States"/>
    <s v="Philadelphia"/>
    <x v="9"/>
    <n v="19120"/>
    <x v="3"/>
    <x v="729"/>
    <x v="1"/>
    <x v="8"/>
    <x v="728"/>
    <n v="29.718"/>
    <s v="Medium"/>
    <n v="6"/>
    <n v="0.7"/>
    <x v="1"/>
    <x v="5"/>
    <n v="-21.793199999999999"/>
    <n v="-0.73333333333333328"/>
    <n v="1"/>
  </r>
  <r>
    <n v="936"/>
    <s v="CA-2016-140081"/>
    <d v="2016-06-20T00:00:00"/>
    <x v="0"/>
    <s v="Q2"/>
    <x v="1"/>
    <d v="2016-06-24T00:00:00"/>
    <s v="Standard Class"/>
    <x v="344"/>
    <x v="344"/>
    <s v="Home Office"/>
    <s v="United States"/>
    <s v="Philadelphia"/>
    <x v="9"/>
    <n v="19120"/>
    <x v="3"/>
    <x v="680"/>
    <x v="1"/>
    <x v="10"/>
    <x v="680"/>
    <n v="15.552"/>
    <s v="Low"/>
    <n v="3"/>
    <n v="0.2"/>
    <x v="2"/>
    <x v="2"/>
    <n v="5.4432"/>
    <n v="0.35000000000000003"/>
    <n v="0"/>
  </r>
  <r>
    <n v="937"/>
    <s v="CA-2016-140081"/>
    <d v="2016-06-20T00:00:00"/>
    <x v="0"/>
    <s v="Q2"/>
    <x v="1"/>
    <d v="2016-06-24T00:00:00"/>
    <s v="Standard Class"/>
    <x v="344"/>
    <x v="344"/>
    <s v="Home Office"/>
    <s v="United States"/>
    <s v="Philadelphia"/>
    <x v="9"/>
    <n v="19120"/>
    <x v="3"/>
    <x v="137"/>
    <x v="1"/>
    <x v="9"/>
    <x v="138"/>
    <n v="447.69600000000003"/>
    <s v="High"/>
    <n v="2"/>
    <n v="0.2"/>
    <x v="2"/>
    <x v="2"/>
    <n v="33.577199999999998"/>
    <n v="7.4999999999999997E-2"/>
    <n v="0"/>
  </r>
  <r>
    <n v="938"/>
    <s v="US-2017-111745"/>
    <d v="2017-11-05T00:00:00"/>
    <x v="3"/>
    <s v="Q4"/>
    <x v="23"/>
    <d v="2017-11-06T00:00:00"/>
    <s v="First Class"/>
    <x v="19"/>
    <x v="19"/>
    <s v="Corporate"/>
    <s v="United States"/>
    <s v="Farmington"/>
    <x v="27"/>
    <n v="87401"/>
    <x v="1"/>
    <x v="331"/>
    <x v="2"/>
    <x v="11"/>
    <x v="331"/>
    <n v="159.99"/>
    <s v="High"/>
    <n v="1"/>
    <n v="0"/>
    <x v="0"/>
    <x v="0"/>
    <n v="54.396599999999999"/>
    <n v="0.33999999999999997"/>
    <n v="0"/>
  </r>
  <r>
    <n v="939"/>
    <s v="CA-2015-148250"/>
    <d v="2015-12-13T00:00:00"/>
    <x v="1"/>
    <s v="Q4"/>
    <x v="14"/>
    <d v="2015-12-17T00:00:00"/>
    <s v="Standard Class"/>
    <x v="345"/>
    <x v="345"/>
    <s v="Corporate"/>
    <s v="United States"/>
    <s v="Riverside"/>
    <x v="1"/>
    <n v="92503"/>
    <x v="1"/>
    <x v="730"/>
    <x v="1"/>
    <x v="10"/>
    <x v="729"/>
    <n v="12.96"/>
    <s v="Low"/>
    <n v="2"/>
    <n v="0"/>
    <x v="0"/>
    <x v="0"/>
    <n v="6.2207999999999997"/>
    <n v="0.47999999999999993"/>
    <n v="0"/>
  </r>
  <r>
    <n v="940"/>
    <s v="CA-2015-148250"/>
    <d v="2015-12-13T00:00:00"/>
    <x v="1"/>
    <s v="Q4"/>
    <x v="14"/>
    <d v="2015-12-17T00:00:00"/>
    <s v="Standard Class"/>
    <x v="345"/>
    <x v="345"/>
    <s v="Corporate"/>
    <s v="United States"/>
    <s v="Riverside"/>
    <x v="1"/>
    <n v="92503"/>
    <x v="1"/>
    <x v="731"/>
    <x v="1"/>
    <x v="9"/>
    <x v="730"/>
    <n v="134.47999999999999"/>
    <s v="High"/>
    <n v="4"/>
    <n v="0"/>
    <x v="0"/>
    <x v="0"/>
    <n v="34.964799999999997"/>
    <n v="0.26"/>
    <n v="0"/>
  </r>
  <r>
    <n v="941"/>
    <s v="CA-2016-105760"/>
    <d v="2016-06-19T00:00:00"/>
    <x v="0"/>
    <s v="Q2"/>
    <x v="1"/>
    <d v="2016-06-20T00:00:00"/>
    <s v="First Class"/>
    <x v="346"/>
    <x v="346"/>
    <s v="Corporate"/>
    <s v="United States"/>
    <s v="San Francisco"/>
    <x v="1"/>
    <n v="94110"/>
    <x v="1"/>
    <x v="732"/>
    <x v="1"/>
    <x v="10"/>
    <x v="731"/>
    <n v="17.12"/>
    <s v="Low"/>
    <n v="2"/>
    <n v="0"/>
    <x v="0"/>
    <x v="0"/>
    <n v="8.0464000000000002"/>
    <n v="0.47"/>
    <n v="0"/>
  </r>
  <r>
    <n v="942"/>
    <s v="CA-2016-142958"/>
    <d v="2016-12-13T00:00:00"/>
    <x v="0"/>
    <s v="Q4"/>
    <x v="5"/>
    <d v="2016-12-20T00:00:00"/>
    <s v="Standard Class"/>
    <x v="338"/>
    <x v="338"/>
    <s v="Corporate"/>
    <s v="United States"/>
    <s v="Torrance"/>
    <x v="1"/>
    <n v="90503"/>
    <x v="1"/>
    <x v="733"/>
    <x v="1"/>
    <x v="8"/>
    <x v="732"/>
    <n v="6.0960000000000001"/>
    <s v="Low"/>
    <n v="2"/>
    <n v="0.2"/>
    <x v="2"/>
    <x v="2"/>
    <n v="2.2098"/>
    <n v="0.36249999999999999"/>
    <n v="0"/>
  </r>
  <r>
    <n v="943"/>
    <s v="CA-2016-142958"/>
    <d v="2016-12-13T00:00:00"/>
    <x v="0"/>
    <s v="Q4"/>
    <x v="5"/>
    <d v="2016-12-20T00:00:00"/>
    <s v="Standard Class"/>
    <x v="338"/>
    <x v="338"/>
    <s v="Corporate"/>
    <s v="United States"/>
    <s v="Torrance"/>
    <x v="1"/>
    <n v="90503"/>
    <x v="1"/>
    <x v="3"/>
    <x v="0"/>
    <x v="3"/>
    <x v="3"/>
    <n v="1114.2719999999999"/>
    <s v="High"/>
    <n v="4"/>
    <n v="0.2"/>
    <x v="2"/>
    <x v="2"/>
    <n v="41.785200000000003"/>
    <n v="3.7500000000000006E-2"/>
    <n v="0"/>
  </r>
  <r>
    <n v="944"/>
    <s v="CA-2015-120880"/>
    <d v="2015-05-29T00:00:00"/>
    <x v="1"/>
    <s v="Q2"/>
    <x v="33"/>
    <d v="2015-06-03T00:00:00"/>
    <s v="Standard Class"/>
    <x v="139"/>
    <x v="139"/>
    <s v="Consumer"/>
    <s v="United States"/>
    <s v="Seattle"/>
    <x v="4"/>
    <n v="98105"/>
    <x v="1"/>
    <x v="511"/>
    <x v="1"/>
    <x v="10"/>
    <x v="511"/>
    <n v="32.4"/>
    <s v="Medium"/>
    <n v="5"/>
    <n v="0"/>
    <x v="0"/>
    <x v="0"/>
    <n v="15.552"/>
    <n v="0.48"/>
    <n v="0"/>
  </r>
  <r>
    <n v="945"/>
    <s v="CA-2015-120880"/>
    <d v="2015-05-29T00:00:00"/>
    <x v="1"/>
    <s v="Q2"/>
    <x v="33"/>
    <d v="2015-06-03T00:00:00"/>
    <s v="Standard Class"/>
    <x v="139"/>
    <x v="139"/>
    <s v="Consumer"/>
    <s v="United States"/>
    <s v="Seattle"/>
    <x v="4"/>
    <n v="98105"/>
    <x v="1"/>
    <x v="734"/>
    <x v="1"/>
    <x v="4"/>
    <x v="733"/>
    <n v="540.57000000000005"/>
    <s v="High"/>
    <n v="3"/>
    <n v="0"/>
    <x v="0"/>
    <x v="0"/>
    <n v="140.54820000000001"/>
    <n v="0.26"/>
    <n v="0"/>
  </r>
  <r>
    <n v="946"/>
    <s v="CA-2015-120880"/>
    <d v="2015-05-29T00:00:00"/>
    <x v="1"/>
    <s v="Q2"/>
    <x v="33"/>
    <d v="2015-06-03T00:00:00"/>
    <s v="Standard Class"/>
    <x v="139"/>
    <x v="139"/>
    <s v="Consumer"/>
    <s v="United States"/>
    <s v="Seattle"/>
    <x v="4"/>
    <n v="98105"/>
    <x v="1"/>
    <x v="735"/>
    <x v="1"/>
    <x v="8"/>
    <x v="734"/>
    <n v="167.76"/>
    <s v="High"/>
    <n v="5"/>
    <n v="0.2"/>
    <x v="2"/>
    <x v="2"/>
    <n v="62.91"/>
    <n v="0.375"/>
    <n v="0"/>
  </r>
  <r>
    <n v="947"/>
    <s v="US-2015-140200"/>
    <d v="2015-07-26T00:00:00"/>
    <x v="1"/>
    <s v="Q3"/>
    <x v="38"/>
    <d v="2015-07-28T00:00:00"/>
    <s v="First Class"/>
    <x v="222"/>
    <x v="222"/>
    <s v="Consumer"/>
    <s v="United States"/>
    <s v="Mesa"/>
    <x v="16"/>
    <n v="85204"/>
    <x v="1"/>
    <x v="736"/>
    <x v="0"/>
    <x v="3"/>
    <x v="735"/>
    <n v="393.16500000000002"/>
    <s v="High"/>
    <n v="3"/>
    <n v="0.5"/>
    <x v="1"/>
    <x v="1"/>
    <n v="-204.44579999999999"/>
    <n v="-0.51999999999999991"/>
    <n v="1"/>
  </r>
  <r>
    <n v="948"/>
    <s v="US-2017-110576"/>
    <d v="2017-11-28T00:00:00"/>
    <x v="3"/>
    <s v="Q4"/>
    <x v="23"/>
    <d v="2017-12-02T00:00:00"/>
    <s v="Standard Class"/>
    <x v="176"/>
    <x v="176"/>
    <s v="Home Office"/>
    <s v="United States"/>
    <s v="Philadelphia"/>
    <x v="9"/>
    <n v="19120"/>
    <x v="3"/>
    <x v="737"/>
    <x v="0"/>
    <x v="5"/>
    <x v="736"/>
    <n v="516.48800000000006"/>
    <s v="High"/>
    <n v="7"/>
    <n v="0.2"/>
    <x v="2"/>
    <x v="2"/>
    <n v="-12.9122"/>
    <n v="-2.4999999999999998E-2"/>
    <n v="1"/>
  </r>
  <r>
    <n v="949"/>
    <s v="US-2017-110576"/>
    <d v="2017-11-28T00:00:00"/>
    <x v="3"/>
    <s v="Q4"/>
    <x v="23"/>
    <d v="2017-12-02T00:00:00"/>
    <s v="Standard Class"/>
    <x v="176"/>
    <x v="176"/>
    <s v="Home Office"/>
    <s v="United States"/>
    <s v="Philadelphia"/>
    <x v="9"/>
    <n v="19120"/>
    <x v="3"/>
    <x v="220"/>
    <x v="0"/>
    <x v="5"/>
    <x v="221"/>
    <n v="1007.232"/>
    <s v="High"/>
    <n v="6"/>
    <n v="0.2"/>
    <x v="2"/>
    <x v="2"/>
    <n v="75.542400000000001"/>
    <n v="7.4999999999999997E-2"/>
    <n v="0"/>
  </r>
  <r>
    <n v="950"/>
    <s v="US-2017-110576"/>
    <d v="2017-11-28T00:00:00"/>
    <x v="3"/>
    <s v="Q4"/>
    <x v="23"/>
    <d v="2017-12-02T00:00:00"/>
    <s v="Standard Class"/>
    <x v="176"/>
    <x v="176"/>
    <s v="Home Office"/>
    <s v="United States"/>
    <s v="Philadelphia"/>
    <x v="9"/>
    <n v="19120"/>
    <x v="3"/>
    <x v="738"/>
    <x v="0"/>
    <x v="3"/>
    <x v="737"/>
    <n v="2065.3200000000002"/>
    <s v="High"/>
    <n v="12"/>
    <n v="0.4"/>
    <x v="1"/>
    <x v="7"/>
    <n v="-619.596"/>
    <n v="-0.3"/>
    <n v="1"/>
  </r>
  <r>
    <n v="951"/>
    <s v="US-2017-110576"/>
    <d v="2017-11-28T00:00:00"/>
    <x v="3"/>
    <s v="Q4"/>
    <x v="23"/>
    <d v="2017-12-02T00:00:00"/>
    <s v="Standard Class"/>
    <x v="176"/>
    <x v="176"/>
    <s v="Home Office"/>
    <s v="United States"/>
    <s v="Philadelphia"/>
    <x v="9"/>
    <n v="19120"/>
    <x v="3"/>
    <x v="739"/>
    <x v="1"/>
    <x v="10"/>
    <x v="738"/>
    <n v="15.552"/>
    <s v="Low"/>
    <n v="3"/>
    <n v="0.2"/>
    <x v="2"/>
    <x v="2"/>
    <n v="5.4432"/>
    <n v="0.35000000000000003"/>
    <n v="0"/>
  </r>
  <r>
    <n v="952"/>
    <s v="US-2017-110576"/>
    <d v="2017-11-28T00:00:00"/>
    <x v="3"/>
    <s v="Q4"/>
    <x v="23"/>
    <d v="2017-12-02T00:00:00"/>
    <s v="Standard Class"/>
    <x v="176"/>
    <x v="176"/>
    <s v="Home Office"/>
    <s v="United States"/>
    <s v="Philadelphia"/>
    <x v="9"/>
    <n v="19120"/>
    <x v="3"/>
    <x v="218"/>
    <x v="1"/>
    <x v="10"/>
    <x v="219"/>
    <n v="25.344000000000001"/>
    <s v="Medium"/>
    <n v="6"/>
    <n v="0.2"/>
    <x v="2"/>
    <x v="2"/>
    <n v="7.92"/>
    <n v="0.3125"/>
    <n v="0"/>
  </r>
  <r>
    <n v="953"/>
    <s v="CA-2017-131156"/>
    <d v="2017-04-03T00:00:00"/>
    <x v="3"/>
    <s v="Q2"/>
    <x v="4"/>
    <d v="2017-04-07T00:00:00"/>
    <s v="Standard Class"/>
    <x v="347"/>
    <x v="347"/>
    <s v="Consumer"/>
    <s v="United States"/>
    <s v="Philadelphia"/>
    <x v="9"/>
    <n v="19143"/>
    <x v="3"/>
    <x v="740"/>
    <x v="0"/>
    <x v="5"/>
    <x v="222"/>
    <n v="25.472000000000001"/>
    <s v="Medium"/>
    <n v="4"/>
    <n v="0.2"/>
    <x v="2"/>
    <x v="2"/>
    <n v="7.6416000000000004"/>
    <n v="0.3"/>
    <n v="0"/>
  </r>
  <r>
    <n v="954"/>
    <s v="CA-2017-136539"/>
    <d v="2017-12-28T00:00:00"/>
    <x v="3"/>
    <s v="Q4"/>
    <x v="22"/>
    <d v="2018-01-01T00:00:00"/>
    <s v="Standard Class"/>
    <x v="348"/>
    <x v="348"/>
    <s v="Consumer"/>
    <s v="United States"/>
    <s v="Round Rock"/>
    <x v="5"/>
    <n v="78664"/>
    <x v="2"/>
    <x v="207"/>
    <x v="1"/>
    <x v="6"/>
    <x v="208"/>
    <n v="27.167999999999999"/>
    <s v="Medium"/>
    <n v="2"/>
    <n v="0.2"/>
    <x v="2"/>
    <x v="2"/>
    <n v="2.7168000000000001"/>
    <n v="0.1"/>
    <n v="0"/>
  </r>
  <r>
    <n v="955"/>
    <s v="CA-2017-136539"/>
    <d v="2017-12-28T00:00:00"/>
    <x v="3"/>
    <s v="Q4"/>
    <x v="22"/>
    <d v="2018-01-01T00:00:00"/>
    <s v="Standard Class"/>
    <x v="348"/>
    <x v="348"/>
    <s v="Consumer"/>
    <s v="United States"/>
    <s v="Round Rock"/>
    <x v="5"/>
    <n v="78664"/>
    <x v="2"/>
    <x v="266"/>
    <x v="0"/>
    <x v="0"/>
    <x v="266"/>
    <n v="78.852800000000002"/>
    <s v="Medium"/>
    <n v="2"/>
    <n v="0.32"/>
    <x v="1"/>
    <x v="7"/>
    <n v="-11.596"/>
    <n v="-0.14705882352941177"/>
    <n v="1"/>
  </r>
  <r>
    <n v="956"/>
    <s v="CA-2017-119305"/>
    <d v="2017-11-30T00:00:00"/>
    <x v="3"/>
    <s v="Q4"/>
    <x v="23"/>
    <d v="2017-12-04T00:00:00"/>
    <s v="Standard Class"/>
    <x v="349"/>
    <x v="349"/>
    <s v="Consumer"/>
    <s v="United States"/>
    <s v="Jackson"/>
    <x v="35"/>
    <n v="39212"/>
    <x v="0"/>
    <x v="54"/>
    <x v="1"/>
    <x v="4"/>
    <x v="54"/>
    <n v="173.8"/>
    <s v="High"/>
    <n v="5"/>
    <n v="0"/>
    <x v="0"/>
    <x v="0"/>
    <n v="43.45"/>
    <n v="0.25"/>
    <n v="0"/>
  </r>
  <r>
    <n v="957"/>
    <s v="CA-2017-102414"/>
    <d v="2017-05-15T00:00:00"/>
    <x v="3"/>
    <s v="Q2"/>
    <x v="24"/>
    <d v="2017-05-18T00:00:00"/>
    <s v="Second Class"/>
    <x v="350"/>
    <x v="350"/>
    <s v="Consumer"/>
    <s v="United States"/>
    <s v="Phoenix"/>
    <x v="16"/>
    <n v="85023"/>
    <x v="1"/>
    <x v="687"/>
    <x v="2"/>
    <x v="7"/>
    <x v="687"/>
    <n v="29.591999999999999"/>
    <s v="Medium"/>
    <n v="1"/>
    <n v="0.2"/>
    <x v="2"/>
    <x v="2"/>
    <n v="2.5893000000000002"/>
    <n v="8.7500000000000008E-2"/>
    <n v="0"/>
  </r>
  <r>
    <n v="958"/>
    <s v="CA-2017-102414"/>
    <d v="2017-05-15T00:00:00"/>
    <x v="3"/>
    <s v="Q2"/>
    <x v="24"/>
    <d v="2017-05-18T00:00:00"/>
    <s v="Second Class"/>
    <x v="350"/>
    <x v="350"/>
    <s v="Consumer"/>
    <s v="United States"/>
    <s v="Phoenix"/>
    <x v="16"/>
    <n v="85023"/>
    <x v="1"/>
    <x v="741"/>
    <x v="1"/>
    <x v="8"/>
    <x v="739"/>
    <n v="4.7519999999999998"/>
    <s v="Low"/>
    <n v="2"/>
    <n v="0.7"/>
    <x v="1"/>
    <x v="5"/>
    <n v="-3.1680000000000001"/>
    <n v="-0.66666666666666674"/>
    <n v="1"/>
  </r>
  <r>
    <n v="959"/>
    <s v="CA-2017-102414"/>
    <d v="2017-05-15T00:00:00"/>
    <x v="3"/>
    <s v="Q2"/>
    <x v="24"/>
    <d v="2017-05-18T00:00:00"/>
    <s v="Second Class"/>
    <x v="350"/>
    <x v="350"/>
    <s v="Consumer"/>
    <s v="United States"/>
    <s v="Phoenix"/>
    <x v="16"/>
    <n v="85023"/>
    <x v="1"/>
    <x v="742"/>
    <x v="1"/>
    <x v="10"/>
    <x v="740"/>
    <n v="15.552"/>
    <s v="Low"/>
    <n v="3"/>
    <n v="0.2"/>
    <x v="2"/>
    <x v="2"/>
    <n v="5.6375999999999999"/>
    <n v="0.36249999999999999"/>
    <n v="0"/>
  </r>
  <r>
    <n v="960"/>
    <s v="CA-2015-112571"/>
    <d v="2015-09-22T00:00:00"/>
    <x v="1"/>
    <s v="Q3"/>
    <x v="11"/>
    <d v="2015-09-22T00:00:00"/>
    <s v="Same Day"/>
    <x v="351"/>
    <x v="351"/>
    <s v="Consumer"/>
    <s v="United States"/>
    <s v="Oceanside"/>
    <x v="1"/>
    <n v="92054"/>
    <x v="1"/>
    <x v="743"/>
    <x v="0"/>
    <x v="5"/>
    <x v="741"/>
    <n v="204.6"/>
    <s v="High"/>
    <n v="2"/>
    <n v="0"/>
    <x v="0"/>
    <x v="0"/>
    <n v="53.195999999999998"/>
    <n v="0.26"/>
    <n v="0"/>
  </r>
  <r>
    <n v="961"/>
    <s v="CA-2017-152142"/>
    <d v="2017-11-14T00:00:00"/>
    <x v="3"/>
    <s v="Q4"/>
    <x v="23"/>
    <d v="2017-11-19T00:00:00"/>
    <s v="Standard Class"/>
    <x v="352"/>
    <x v="352"/>
    <s v="Corporate"/>
    <s v="United States"/>
    <s v="San Francisco"/>
    <x v="1"/>
    <n v="94110"/>
    <x v="1"/>
    <x v="228"/>
    <x v="0"/>
    <x v="1"/>
    <x v="229"/>
    <n v="321.56799999999998"/>
    <s v="High"/>
    <n v="2"/>
    <n v="0.2"/>
    <x v="2"/>
    <x v="2"/>
    <n v="28.1372"/>
    <n v="8.7500000000000008E-2"/>
    <n v="0"/>
  </r>
  <r>
    <n v="962"/>
    <s v="CA-2015-160059"/>
    <d v="2015-11-27T00:00:00"/>
    <x v="1"/>
    <s v="Q4"/>
    <x v="6"/>
    <d v="2015-12-01T00:00:00"/>
    <s v="Standard Class"/>
    <x v="353"/>
    <x v="353"/>
    <s v="Home Office"/>
    <s v="United States"/>
    <s v="Fayetteville"/>
    <x v="36"/>
    <n v="72701"/>
    <x v="0"/>
    <x v="744"/>
    <x v="1"/>
    <x v="8"/>
    <x v="742"/>
    <n v="6.24"/>
    <s v="Low"/>
    <n v="2"/>
    <n v="0"/>
    <x v="0"/>
    <x v="0"/>
    <n v="3.0575999999999999"/>
    <n v="0.48999999999999994"/>
    <n v="0"/>
  </r>
  <r>
    <n v="963"/>
    <s v="CA-2016-120859"/>
    <d v="2016-09-01T00:00:00"/>
    <x v="0"/>
    <s v="Q3"/>
    <x v="21"/>
    <d v="2016-09-04T00:00:00"/>
    <s v="First Class"/>
    <x v="51"/>
    <x v="51"/>
    <s v="Corporate"/>
    <s v="United States"/>
    <s v="San Francisco"/>
    <x v="1"/>
    <n v="94110"/>
    <x v="1"/>
    <x v="466"/>
    <x v="1"/>
    <x v="12"/>
    <x v="467"/>
    <n v="21.88"/>
    <s v="Low"/>
    <n v="2"/>
    <n v="0"/>
    <x v="0"/>
    <x v="0"/>
    <n v="10.94"/>
    <n v="0.5"/>
    <n v="0"/>
  </r>
  <r>
    <n v="964"/>
    <s v="CA-2014-127488"/>
    <d v="2014-09-22T00:00:00"/>
    <x v="2"/>
    <s v="Q3"/>
    <x v="30"/>
    <d v="2014-09-24T00:00:00"/>
    <s v="Second Class"/>
    <x v="333"/>
    <x v="333"/>
    <s v="Consumer"/>
    <s v="United States"/>
    <s v="Boca Raton"/>
    <x v="2"/>
    <n v="33433"/>
    <x v="0"/>
    <x v="745"/>
    <x v="1"/>
    <x v="2"/>
    <x v="743"/>
    <n v="4.6079999999999997"/>
    <s v="Low"/>
    <n v="2"/>
    <n v="0.2"/>
    <x v="2"/>
    <x v="2"/>
    <n v="1.6704000000000001"/>
    <n v="0.36250000000000004"/>
    <n v="0"/>
  </r>
  <r>
    <n v="965"/>
    <s v="CA-2017-135279"/>
    <d v="2017-04-09T00:00:00"/>
    <x v="3"/>
    <s v="Q2"/>
    <x v="4"/>
    <d v="2017-04-11T00:00:00"/>
    <s v="First Class"/>
    <x v="354"/>
    <x v="354"/>
    <s v="Home Office"/>
    <s v="United States"/>
    <s v="New York City"/>
    <x v="15"/>
    <n v="10011"/>
    <x v="3"/>
    <x v="746"/>
    <x v="1"/>
    <x v="2"/>
    <x v="744"/>
    <n v="9.82"/>
    <s v="Low"/>
    <n v="2"/>
    <n v="0"/>
    <x v="0"/>
    <x v="0"/>
    <n v="4.8117999999999999"/>
    <n v="0.49"/>
    <n v="0"/>
  </r>
  <r>
    <n v="966"/>
    <s v="CA-2017-135279"/>
    <d v="2017-04-09T00:00:00"/>
    <x v="3"/>
    <s v="Q2"/>
    <x v="4"/>
    <d v="2017-04-11T00:00:00"/>
    <s v="First Class"/>
    <x v="354"/>
    <x v="354"/>
    <s v="Home Office"/>
    <s v="United States"/>
    <s v="New York City"/>
    <x v="15"/>
    <n v="10011"/>
    <x v="3"/>
    <x v="369"/>
    <x v="1"/>
    <x v="6"/>
    <x v="370"/>
    <n v="35.97"/>
    <s v="Medium"/>
    <n v="3"/>
    <n v="0"/>
    <x v="0"/>
    <x v="0"/>
    <n v="9.7119"/>
    <n v="0.27"/>
    <n v="0"/>
  </r>
  <r>
    <n v="967"/>
    <s v="CA-2017-135279"/>
    <d v="2017-04-09T00:00:00"/>
    <x v="3"/>
    <s v="Q2"/>
    <x v="4"/>
    <d v="2017-04-11T00:00:00"/>
    <s v="First Class"/>
    <x v="354"/>
    <x v="354"/>
    <s v="Home Office"/>
    <s v="United States"/>
    <s v="New York City"/>
    <x v="15"/>
    <n v="10011"/>
    <x v="3"/>
    <x v="747"/>
    <x v="1"/>
    <x v="10"/>
    <x v="745"/>
    <n v="12.96"/>
    <s v="Low"/>
    <n v="2"/>
    <n v="0"/>
    <x v="0"/>
    <x v="0"/>
    <n v="6.2207999999999997"/>
    <n v="0.47999999999999993"/>
    <n v="0"/>
  </r>
  <r>
    <n v="968"/>
    <s v="CA-2017-135279"/>
    <d v="2017-04-09T00:00:00"/>
    <x v="3"/>
    <s v="Q2"/>
    <x v="4"/>
    <d v="2017-04-11T00:00:00"/>
    <s v="First Class"/>
    <x v="354"/>
    <x v="354"/>
    <s v="Home Office"/>
    <s v="United States"/>
    <s v="New York City"/>
    <x v="15"/>
    <n v="10011"/>
    <x v="3"/>
    <x v="748"/>
    <x v="1"/>
    <x v="10"/>
    <x v="746"/>
    <n v="191.6"/>
    <s v="High"/>
    <n v="4"/>
    <n v="0"/>
    <x v="0"/>
    <x v="0"/>
    <n v="91.968000000000004"/>
    <n v="0.48000000000000004"/>
    <n v="0"/>
  </r>
  <r>
    <n v="969"/>
    <s v="CA-2017-135279"/>
    <d v="2017-04-09T00:00:00"/>
    <x v="3"/>
    <s v="Q2"/>
    <x v="4"/>
    <d v="2017-04-11T00:00:00"/>
    <s v="First Class"/>
    <x v="354"/>
    <x v="354"/>
    <s v="Home Office"/>
    <s v="United States"/>
    <s v="New York City"/>
    <x v="15"/>
    <n v="10011"/>
    <x v="3"/>
    <x v="745"/>
    <x v="1"/>
    <x v="2"/>
    <x v="743"/>
    <n v="8.64"/>
    <s v="Low"/>
    <n v="3"/>
    <n v="0"/>
    <x v="0"/>
    <x v="0"/>
    <n v="4.2336"/>
    <n v="0.49"/>
    <n v="0"/>
  </r>
  <r>
    <n v="970"/>
    <s v="CA-2017-135279"/>
    <d v="2017-04-09T00:00:00"/>
    <x v="3"/>
    <s v="Q2"/>
    <x v="4"/>
    <d v="2017-04-11T00:00:00"/>
    <s v="First Class"/>
    <x v="354"/>
    <x v="354"/>
    <s v="Home Office"/>
    <s v="United States"/>
    <s v="New York City"/>
    <x v="15"/>
    <n v="10011"/>
    <x v="3"/>
    <x v="749"/>
    <x v="1"/>
    <x v="4"/>
    <x v="747"/>
    <n v="501.81"/>
    <s v="High"/>
    <n v="3"/>
    <n v="0"/>
    <x v="0"/>
    <x v="0"/>
    <n v="0"/>
    <n v="0"/>
    <n v="0"/>
  </r>
  <r>
    <n v="971"/>
    <s v="CA-2014-115791"/>
    <d v="2014-01-16T00:00:00"/>
    <x v="2"/>
    <s v="Q1"/>
    <x v="46"/>
    <d v="2014-01-18T00:00:00"/>
    <s v="Second Class"/>
    <x v="111"/>
    <x v="111"/>
    <s v="Consumer"/>
    <s v="United States"/>
    <s v="Philadelphia"/>
    <x v="9"/>
    <n v="19134"/>
    <x v="3"/>
    <x v="750"/>
    <x v="0"/>
    <x v="5"/>
    <x v="748"/>
    <n v="127.104"/>
    <s v="High"/>
    <n v="6"/>
    <n v="0.2"/>
    <x v="2"/>
    <x v="2"/>
    <n v="28.598400000000002"/>
    <n v="0.22500000000000001"/>
    <n v="0"/>
  </r>
  <r>
    <n v="972"/>
    <s v="CA-2014-115791"/>
    <d v="2014-01-16T00:00:00"/>
    <x v="2"/>
    <s v="Q1"/>
    <x v="46"/>
    <d v="2014-01-18T00:00:00"/>
    <s v="Second Class"/>
    <x v="111"/>
    <x v="111"/>
    <s v="Consumer"/>
    <s v="United States"/>
    <s v="Philadelphia"/>
    <x v="9"/>
    <n v="19134"/>
    <x v="3"/>
    <x v="302"/>
    <x v="2"/>
    <x v="7"/>
    <x v="302"/>
    <n v="124.2"/>
    <s v="High"/>
    <n v="3"/>
    <n v="0.4"/>
    <x v="1"/>
    <x v="7"/>
    <n v="-31.05"/>
    <n v="-0.25"/>
    <n v="1"/>
  </r>
  <r>
    <n v="973"/>
    <s v="CA-2014-115791"/>
    <d v="2014-01-16T00:00:00"/>
    <x v="2"/>
    <s v="Q1"/>
    <x v="46"/>
    <d v="2014-01-18T00:00:00"/>
    <s v="Second Class"/>
    <x v="111"/>
    <x v="111"/>
    <s v="Consumer"/>
    <s v="United States"/>
    <s v="Philadelphia"/>
    <x v="9"/>
    <n v="19134"/>
    <x v="3"/>
    <x v="582"/>
    <x v="1"/>
    <x v="8"/>
    <x v="582"/>
    <n v="18.588000000000001"/>
    <s v="Low"/>
    <n v="2"/>
    <n v="0.7"/>
    <x v="1"/>
    <x v="5"/>
    <n v="-13.6312"/>
    <n v="-0.73333333333333328"/>
    <n v="1"/>
  </r>
  <r>
    <n v="974"/>
    <s v="CA-2014-115791"/>
    <d v="2014-01-16T00:00:00"/>
    <x v="2"/>
    <s v="Q1"/>
    <x v="46"/>
    <d v="2014-01-18T00:00:00"/>
    <s v="Second Class"/>
    <x v="111"/>
    <x v="111"/>
    <s v="Consumer"/>
    <s v="United States"/>
    <s v="Philadelphia"/>
    <x v="9"/>
    <n v="19134"/>
    <x v="3"/>
    <x v="300"/>
    <x v="1"/>
    <x v="2"/>
    <x v="300"/>
    <n v="30.071999999999999"/>
    <s v="Medium"/>
    <n v="3"/>
    <n v="0.2"/>
    <x v="2"/>
    <x v="2"/>
    <n v="10.1493"/>
    <n v="0.33750000000000002"/>
    <n v="0"/>
  </r>
  <r>
    <n v="975"/>
    <s v="US-2017-103247"/>
    <d v="2017-10-05T00:00:00"/>
    <x v="3"/>
    <s v="Q4"/>
    <x v="13"/>
    <d v="2017-10-08T00:00:00"/>
    <s v="Second Class"/>
    <x v="285"/>
    <x v="285"/>
    <s v="Home Office"/>
    <s v="United States"/>
    <s v="New York City"/>
    <x v="15"/>
    <n v="10011"/>
    <x v="3"/>
    <x v="461"/>
    <x v="2"/>
    <x v="7"/>
    <x v="462"/>
    <n v="160.93"/>
    <s v="High"/>
    <n v="7"/>
    <n v="0"/>
    <x v="0"/>
    <x v="0"/>
    <n v="3.2185999999999999"/>
    <n v="1.9999999999999997E-2"/>
    <n v="0"/>
  </r>
  <r>
    <n v="976"/>
    <s v="US-2017-103247"/>
    <d v="2017-10-05T00:00:00"/>
    <x v="3"/>
    <s v="Q4"/>
    <x v="13"/>
    <d v="2017-10-08T00:00:00"/>
    <s v="Second Class"/>
    <x v="285"/>
    <x v="285"/>
    <s v="Home Office"/>
    <s v="United States"/>
    <s v="New York City"/>
    <x v="15"/>
    <n v="10011"/>
    <x v="3"/>
    <x v="351"/>
    <x v="1"/>
    <x v="8"/>
    <x v="351"/>
    <n v="75.792000000000002"/>
    <s v="Medium"/>
    <n v="3"/>
    <n v="0.2"/>
    <x v="2"/>
    <x v="2"/>
    <n v="25.579799999999999"/>
    <n v="0.33749999999999997"/>
    <n v="0"/>
  </r>
  <r>
    <n v="977"/>
    <s v="US-2017-100209"/>
    <d v="2017-07-09T00:00:00"/>
    <x v="3"/>
    <s v="Q3"/>
    <x v="10"/>
    <d v="2017-07-15T00:00:00"/>
    <s v="Standard Class"/>
    <x v="143"/>
    <x v="143"/>
    <s v="Consumer"/>
    <s v="United States"/>
    <s v="Portland"/>
    <x v="21"/>
    <n v="97206"/>
    <x v="1"/>
    <x v="751"/>
    <x v="1"/>
    <x v="8"/>
    <x v="749"/>
    <n v="1.08"/>
    <s v="Low"/>
    <n v="2"/>
    <n v="0.7"/>
    <x v="1"/>
    <x v="5"/>
    <n v="-0.79200000000000004"/>
    <n v="-0.73333333333333328"/>
    <n v="1"/>
  </r>
  <r>
    <n v="978"/>
    <s v="CA-2017-159366"/>
    <d v="2017-01-07T00:00:00"/>
    <x v="3"/>
    <s v="Q1"/>
    <x v="44"/>
    <d v="2017-01-10T00:00:00"/>
    <s v="First Class"/>
    <x v="308"/>
    <x v="308"/>
    <s v="Corporate"/>
    <s v="United States"/>
    <s v="Detroit"/>
    <x v="12"/>
    <n v="48205"/>
    <x v="2"/>
    <x v="155"/>
    <x v="2"/>
    <x v="15"/>
    <x v="156"/>
    <n v="3059.982"/>
    <s v="High"/>
    <n v="2"/>
    <n v="0.1"/>
    <x v="3"/>
    <x v="8"/>
    <n v="679.99599999999998"/>
    <n v="0.22222222222222221"/>
    <n v="0"/>
  </r>
  <r>
    <n v="979"/>
    <s v="CA-2016-145499"/>
    <d v="2016-05-30T00:00:00"/>
    <x v="0"/>
    <s v="Q2"/>
    <x v="35"/>
    <d v="2016-05-31T00:00:00"/>
    <s v="First Class"/>
    <x v="355"/>
    <x v="355"/>
    <s v="Consumer"/>
    <s v="United States"/>
    <s v="Wilmington"/>
    <x v="3"/>
    <n v="28403"/>
    <x v="0"/>
    <x v="520"/>
    <x v="1"/>
    <x v="8"/>
    <x v="520"/>
    <n v="3.282"/>
    <s v="Low"/>
    <n v="2"/>
    <n v="0.7"/>
    <x v="1"/>
    <x v="5"/>
    <n v="-2.6255999999999999"/>
    <n v="-0.79999999999999993"/>
    <n v="1"/>
  </r>
  <r>
    <n v="980"/>
    <s v="CA-2015-157035"/>
    <d v="2015-12-09T00:00:00"/>
    <x v="1"/>
    <s v="Q4"/>
    <x v="14"/>
    <d v="2015-12-12T00:00:00"/>
    <s v="First Class"/>
    <x v="33"/>
    <x v="33"/>
    <s v="Corporate"/>
    <s v="United States"/>
    <s v="Columbus"/>
    <x v="14"/>
    <n v="47201"/>
    <x v="2"/>
    <x v="752"/>
    <x v="1"/>
    <x v="10"/>
    <x v="750"/>
    <n v="34.020000000000003"/>
    <s v="Medium"/>
    <n v="3"/>
    <n v="0"/>
    <x v="0"/>
    <x v="0"/>
    <n v="16.669799999999999"/>
    <n v="0.48999999999999994"/>
    <n v="0"/>
  </r>
  <r>
    <n v="981"/>
    <s v="CA-2016-144939"/>
    <d v="2016-10-03T00:00:00"/>
    <x v="0"/>
    <s v="Q4"/>
    <x v="32"/>
    <d v="2016-10-08T00:00:00"/>
    <s v="Standard Class"/>
    <x v="12"/>
    <x v="12"/>
    <s v="Consumer"/>
    <s v="United States"/>
    <s v="New York City"/>
    <x v="15"/>
    <n v="10035"/>
    <x v="3"/>
    <x v="637"/>
    <x v="0"/>
    <x v="1"/>
    <x v="637"/>
    <n v="599.29200000000003"/>
    <s v="High"/>
    <n v="6"/>
    <n v="0.1"/>
    <x v="3"/>
    <x v="8"/>
    <n v="93.223200000000006"/>
    <n v="0.15555555555555556"/>
    <n v="0"/>
  </r>
  <r>
    <n v="982"/>
    <s v="CA-2014-163419"/>
    <d v="2014-11-11T00:00:00"/>
    <x v="2"/>
    <s v="Q4"/>
    <x v="7"/>
    <d v="2014-11-14T00:00:00"/>
    <s v="Second Class"/>
    <x v="356"/>
    <x v="356"/>
    <s v="Consumer"/>
    <s v="United States"/>
    <s v="Louisville"/>
    <x v="22"/>
    <n v="80027"/>
    <x v="1"/>
    <x v="753"/>
    <x v="1"/>
    <x v="6"/>
    <x v="751"/>
    <n v="3.3919999999999999"/>
    <s v="Low"/>
    <n v="1"/>
    <n v="0.2"/>
    <x v="2"/>
    <x v="2"/>
    <n v="0.80559999999999998"/>
    <n v="0.23749999999999999"/>
    <n v="0"/>
  </r>
  <r>
    <n v="983"/>
    <s v="CA-2014-163419"/>
    <d v="2014-11-11T00:00:00"/>
    <x v="2"/>
    <s v="Q4"/>
    <x v="7"/>
    <d v="2014-11-14T00:00:00"/>
    <s v="Second Class"/>
    <x v="356"/>
    <x v="356"/>
    <s v="Consumer"/>
    <s v="United States"/>
    <s v="Louisville"/>
    <x v="22"/>
    <n v="80027"/>
    <x v="1"/>
    <x v="754"/>
    <x v="2"/>
    <x v="7"/>
    <x v="752"/>
    <n v="559.98400000000004"/>
    <s v="High"/>
    <n v="2"/>
    <n v="0.2"/>
    <x v="2"/>
    <x v="2"/>
    <n v="55.998399999999997"/>
    <n v="9.9999999999999992E-2"/>
    <n v="0"/>
  </r>
  <r>
    <n v="984"/>
    <s v="CA-2014-163419"/>
    <d v="2014-11-11T00:00:00"/>
    <x v="2"/>
    <s v="Q4"/>
    <x v="7"/>
    <d v="2014-11-14T00:00:00"/>
    <s v="Second Class"/>
    <x v="356"/>
    <x v="356"/>
    <s v="Consumer"/>
    <s v="United States"/>
    <s v="Louisville"/>
    <x v="22"/>
    <n v="80027"/>
    <x v="1"/>
    <x v="662"/>
    <x v="0"/>
    <x v="1"/>
    <x v="662"/>
    <n v="603.91999999999996"/>
    <s v="High"/>
    <n v="5"/>
    <n v="0.2"/>
    <x v="2"/>
    <x v="2"/>
    <n v="75.489999999999995"/>
    <n v="0.125"/>
    <n v="0"/>
  </r>
  <r>
    <n v="985"/>
    <s v="CA-2017-100314"/>
    <d v="2017-09-29T00:00:00"/>
    <x v="3"/>
    <s v="Q3"/>
    <x v="15"/>
    <d v="2017-10-05T00:00:00"/>
    <s v="Standard Class"/>
    <x v="357"/>
    <x v="357"/>
    <s v="Home Office"/>
    <s v="United States"/>
    <s v="Pasadena"/>
    <x v="5"/>
    <n v="77506"/>
    <x v="2"/>
    <x v="639"/>
    <x v="1"/>
    <x v="2"/>
    <x v="639"/>
    <n v="7.968"/>
    <s v="Low"/>
    <n v="2"/>
    <n v="0.2"/>
    <x v="2"/>
    <x v="2"/>
    <n v="2.5895999999999999"/>
    <n v="0.32500000000000001"/>
    <n v="0"/>
  </r>
  <r>
    <n v="986"/>
    <s v="CA-2017-100314"/>
    <d v="2017-09-29T00:00:00"/>
    <x v="3"/>
    <s v="Q3"/>
    <x v="15"/>
    <d v="2017-10-05T00:00:00"/>
    <s v="Standard Class"/>
    <x v="357"/>
    <x v="357"/>
    <s v="Home Office"/>
    <s v="United States"/>
    <s v="Pasadena"/>
    <x v="5"/>
    <n v="77506"/>
    <x v="2"/>
    <x v="755"/>
    <x v="1"/>
    <x v="12"/>
    <x v="753"/>
    <n v="27.968"/>
    <s v="Medium"/>
    <n v="4"/>
    <n v="0.2"/>
    <x v="2"/>
    <x v="2"/>
    <n v="9.4391999999999996"/>
    <n v="0.33749999999999997"/>
    <n v="0"/>
  </r>
  <r>
    <n v="987"/>
    <s v="CA-2017-100314"/>
    <d v="2017-09-29T00:00:00"/>
    <x v="3"/>
    <s v="Q3"/>
    <x v="15"/>
    <d v="2017-10-05T00:00:00"/>
    <s v="Standard Class"/>
    <x v="357"/>
    <x v="357"/>
    <s v="Home Office"/>
    <s v="United States"/>
    <s v="Pasadena"/>
    <x v="5"/>
    <n v="77506"/>
    <x v="2"/>
    <x v="756"/>
    <x v="2"/>
    <x v="15"/>
    <x v="754"/>
    <n v="336.51"/>
    <s v="High"/>
    <n v="3"/>
    <n v="0.4"/>
    <x v="1"/>
    <x v="7"/>
    <n v="44.868000000000002"/>
    <n v="0.13333333333333333"/>
    <n v="0"/>
  </r>
  <r>
    <n v="988"/>
    <s v="CA-2015-146829"/>
    <d v="2015-03-10T00:00:00"/>
    <x v="1"/>
    <s v="Q1"/>
    <x v="29"/>
    <d v="2015-03-10T00:00:00"/>
    <s v="Same Day"/>
    <x v="358"/>
    <x v="358"/>
    <s v="Consumer"/>
    <s v="United States"/>
    <s v="Houston"/>
    <x v="5"/>
    <n v="77041"/>
    <x v="2"/>
    <x v="757"/>
    <x v="1"/>
    <x v="8"/>
    <x v="755"/>
    <n v="1.1120000000000001"/>
    <s v="Low"/>
    <n v="2"/>
    <n v="0.8"/>
    <x v="1"/>
    <x v="3"/>
    <n v="-1.8904000000000001"/>
    <n v="-1.7"/>
    <n v="1"/>
  </r>
  <r>
    <n v="989"/>
    <s v="CA-2017-167899"/>
    <d v="2017-05-21T00:00:00"/>
    <x v="3"/>
    <s v="Q2"/>
    <x v="24"/>
    <d v="2017-05-26T00:00:00"/>
    <s v="Standard Class"/>
    <x v="189"/>
    <x v="189"/>
    <s v="Corporate"/>
    <s v="United States"/>
    <s v="Auburn"/>
    <x v="15"/>
    <n v="13021"/>
    <x v="3"/>
    <x v="575"/>
    <x v="0"/>
    <x v="5"/>
    <x v="575"/>
    <n v="520.04999999999995"/>
    <s v="High"/>
    <n v="5"/>
    <n v="0"/>
    <x v="0"/>
    <x v="0"/>
    <n v="72.807000000000002"/>
    <n v="0.14000000000000001"/>
    <n v="0"/>
  </r>
  <r>
    <n v="990"/>
    <s v="CA-2017-167899"/>
    <d v="2017-05-21T00:00:00"/>
    <x v="3"/>
    <s v="Q2"/>
    <x v="24"/>
    <d v="2017-05-26T00:00:00"/>
    <s v="Standard Class"/>
    <x v="189"/>
    <x v="189"/>
    <s v="Corporate"/>
    <s v="United States"/>
    <s v="Auburn"/>
    <x v="15"/>
    <n v="13021"/>
    <x v="3"/>
    <x v="758"/>
    <x v="1"/>
    <x v="6"/>
    <x v="756"/>
    <n v="17.97"/>
    <s v="Low"/>
    <n v="3"/>
    <n v="0"/>
    <x v="0"/>
    <x v="0"/>
    <n v="5.2112999999999996"/>
    <n v="0.28999999999999998"/>
    <n v="0"/>
  </r>
  <r>
    <n v="991"/>
    <s v="CA-2015-153549"/>
    <d v="2015-03-29T00:00:00"/>
    <x v="1"/>
    <s v="Q1"/>
    <x v="29"/>
    <d v="2015-03-31T00:00:00"/>
    <s v="Second Class"/>
    <x v="359"/>
    <x v="359"/>
    <s v="Home Office"/>
    <s v="United States"/>
    <s v="Jacksonville"/>
    <x v="2"/>
    <n v="32216"/>
    <x v="0"/>
    <x v="284"/>
    <x v="0"/>
    <x v="1"/>
    <x v="284"/>
    <n v="1166.92"/>
    <s v="High"/>
    <n v="5"/>
    <n v="0.2"/>
    <x v="2"/>
    <x v="2"/>
    <n v="131.27850000000001"/>
    <n v="0.1125"/>
    <n v="0"/>
  </r>
  <r>
    <n v="992"/>
    <s v="CA-2016-110023"/>
    <d v="2016-09-09T00:00:00"/>
    <x v="0"/>
    <s v="Q3"/>
    <x v="21"/>
    <d v="2016-09-11T00:00:00"/>
    <s v="First Class"/>
    <x v="59"/>
    <x v="59"/>
    <s v="Consumer"/>
    <s v="United States"/>
    <s v="New York City"/>
    <x v="15"/>
    <n v="10024"/>
    <x v="3"/>
    <x v="624"/>
    <x v="1"/>
    <x v="8"/>
    <x v="624"/>
    <n v="14.624000000000001"/>
    <s v="Low"/>
    <n v="2"/>
    <n v="0.2"/>
    <x v="2"/>
    <x v="2"/>
    <n v="5.484"/>
    <n v="0.375"/>
    <n v="0"/>
  </r>
  <r>
    <n v="993"/>
    <s v="CA-2016-105585"/>
    <d v="2016-08-26T00:00:00"/>
    <x v="0"/>
    <s v="Q3"/>
    <x v="28"/>
    <d v="2016-08-27T00:00:00"/>
    <s v="First Class"/>
    <x v="288"/>
    <x v="288"/>
    <s v="Consumer"/>
    <s v="United States"/>
    <s v="San Jose"/>
    <x v="1"/>
    <n v="95123"/>
    <x v="1"/>
    <x v="263"/>
    <x v="1"/>
    <x v="13"/>
    <x v="263"/>
    <n v="10.23"/>
    <s v="Low"/>
    <n v="3"/>
    <n v="0"/>
    <x v="0"/>
    <x v="0"/>
    <n v="4.9104000000000001"/>
    <n v="0.48"/>
    <n v="0"/>
  </r>
  <r>
    <n v="994"/>
    <s v="CA-2016-105585"/>
    <d v="2016-08-26T00:00:00"/>
    <x v="0"/>
    <s v="Q3"/>
    <x v="28"/>
    <d v="2016-08-27T00:00:00"/>
    <s v="First Class"/>
    <x v="288"/>
    <x v="288"/>
    <s v="Consumer"/>
    <s v="United States"/>
    <s v="San Jose"/>
    <x v="1"/>
    <n v="95123"/>
    <x v="1"/>
    <x v="759"/>
    <x v="1"/>
    <x v="10"/>
    <x v="757"/>
    <n v="154.9"/>
    <s v="High"/>
    <n v="5"/>
    <n v="0"/>
    <x v="0"/>
    <x v="0"/>
    <n v="69.704999999999998"/>
    <n v="0.44999999999999996"/>
    <n v="0"/>
  </r>
  <r>
    <n v="995"/>
    <s v="CA-2014-117639"/>
    <d v="2014-05-21T00:00:00"/>
    <x v="2"/>
    <s v="Q2"/>
    <x v="8"/>
    <d v="2014-05-25T00:00:00"/>
    <s v="Standard Class"/>
    <x v="360"/>
    <x v="360"/>
    <s v="Corporate"/>
    <s v="United States"/>
    <s v="Virginia Beach"/>
    <x v="17"/>
    <n v="23464"/>
    <x v="0"/>
    <x v="760"/>
    <x v="1"/>
    <x v="8"/>
    <x v="758"/>
    <n v="2715.93"/>
    <s v="High"/>
    <n v="7"/>
    <n v="0"/>
    <x v="0"/>
    <x v="0"/>
    <n v="1276.4871000000001"/>
    <n v="0.47000000000000003"/>
    <n v="0"/>
  </r>
  <r>
    <n v="996"/>
    <s v="CA-2014-117639"/>
    <d v="2014-05-21T00:00:00"/>
    <x v="2"/>
    <s v="Q2"/>
    <x v="8"/>
    <d v="2014-05-25T00:00:00"/>
    <s v="Standard Class"/>
    <x v="360"/>
    <x v="360"/>
    <s v="Corporate"/>
    <s v="United States"/>
    <s v="Virginia Beach"/>
    <x v="17"/>
    <n v="23464"/>
    <x v="0"/>
    <x v="638"/>
    <x v="2"/>
    <x v="7"/>
    <x v="759"/>
    <n v="617.97"/>
    <s v="High"/>
    <n v="3"/>
    <n v="0"/>
    <x v="0"/>
    <x v="0"/>
    <n v="173.0316"/>
    <n v="0.27999999999999997"/>
    <n v="0"/>
  </r>
  <r>
    <n v="997"/>
    <s v="CA-2015-162537"/>
    <d v="2015-10-28T00:00:00"/>
    <x v="1"/>
    <s v="Q4"/>
    <x v="2"/>
    <d v="2015-11-03T00:00:00"/>
    <s v="Standard Class"/>
    <x v="361"/>
    <x v="361"/>
    <s v="Consumer"/>
    <s v="United States"/>
    <s v="Henderson"/>
    <x v="0"/>
    <n v="42420"/>
    <x v="0"/>
    <x v="761"/>
    <x v="1"/>
    <x v="12"/>
    <x v="760"/>
    <n v="10.67"/>
    <s v="Low"/>
    <n v="1"/>
    <n v="0"/>
    <x v="0"/>
    <x v="0"/>
    <n v="4.9081999999999999"/>
    <n v="0.46"/>
    <n v="0"/>
  </r>
  <r>
    <n v="998"/>
    <s v="CA-2015-162537"/>
    <d v="2015-10-28T00:00:00"/>
    <x v="1"/>
    <s v="Q4"/>
    <x v="2"/>
    <d v="2015-11-03T00:00:00"/>
    <s v="Standard Class"/>
    <x v="361"/>
    <x v="361"/>
    <s v="Consumer"/>
    <s v="United States"/>
    <s v="Henderson"/>
    <x v="0"/>
    <n v="42420"/>
    <x v="0"/>
    <x v="762"/>
    <x v="1"/>
    <x v="4"/>
    <x v="761"/>
    <n v="36.630000000000003"/>
    <s v="Medium"/>
    <n v="3"/>
    <n v="0"/>
    <x v="0"/>
    <x v="0"/>
    <n v="9.8901000000000003"/>
    <n v="0.27"/>
    <n v="0"/>
  </r>
  <r>
    <n v="999"/>
    <s v="CA-2015-162537"/>
    <d v="2015-10-28T00:00:00"/>
    <x v="1"/>
    <s v="Q4"/>
    <x v="2"/>
    <d v="2015-11-03T00:00:00"/>
    <s v="Standard Class"/>
    <x v="361"/>
    <x v="361"/>
    <s v="Consumer"/>
    <s v="United States"/>
    <s v="Henderson"/>
    <x v="0"/>
    <n v="42420"/>
    <x v="0"/>
    <x v="763"/>
    <x v="0"/>
    <x v="5"/>
    <x v="762"/>
    <n v="24.1"/>
    <s v="Low"/>
    <n v="5"/>
    <n v="0"/>
    <x v="0"/>
    <x v="0"/>
    <n v="9.1579999999999995"/>
    <n v="0.37999999999999995"/>
    <n v="0"/>
  </r>
  <r>
    <n v="1000"/>
    <s v="CA-2015-162537"/>
    <d v="2015-10-28T00:00:00"/>
    <x v="1"/>
    <s v="Q4"/>
    <x v="2"/>
    <d v="2015-11-03T00:00:00"/>
    <s v="Standard Class"/>
    <x v="361"/>
    <x v="361"/>
    <s v="Consumer"/>
    <s v="United States"/>
    <s v="Henderson"/>
    <x v="0"/>
    <n v="42420"/>
    <x v="0"/>
    <x v="283"/>
    <x v="0"/>
    <x v="5"/>
    <x v="283"/>
    <n v="33.11"/>
    <s v="Medium"/>
    <n v="7"/>
    <n v="0"/>
    <x v="0"/>
    <x v="0"/>
    <n v="12.9129"/>
    <n v="0.39"/>
    <n v="0"/>
  </r>
  <r>
    <n v="1001"/>
    <s v="CA-2016-155488"/>
    <d v="2016-11-13T00:00:00"/>
    <x v="0"/>
    <s v="Q4"/>
    <x v="0"/>
    <d v="2016-11-17T00:00:00"/>
    <s v="Standard Class"/>
    <x v="86"/>
    <x v="86"/>
    <s v="Home Office"/>
    <s v="United States"/>
    <s v="Vancouver"/>
    <x v="4"/>
    <n v="98661"/>
    <x v="1"/>
    <x v="666"/>
    <x v="1"/>
    <x v="6"/>
    <x v="666"/>
    <n v="44.02"/>
    <s v="Medium"/>
    <n v="2"/>
    <n v="0"/>
    <x v="0"/>
    <x v="0"/>
    <n v="11.4452"/>
    <n v="0.25999999999999995"/>
    <n v="0"/>
  </r>
  <r>
    <n v="1002"/>
    <s v="CA-2015-124891"/>
    <d v="2015-07-31T00:00:00"/>
    <x v="1"/>
    <s v="Q3"/>
    <x v="38"/>
    <d v="2015-07-31T00:00:00"/>
    <s v="Same Day"/>
    <x v="302"/>
    <x v="302"/>
    <s v="Consumer"/>
    <s v="United States"/>
    <s v="New York City"/>
    <x v="15"/>
    <n v="10024"/>
    <x v="3"/>
    <x v="764"/>
    <x v="2"/>
    <x v="11"/>
    <x v="763"/>
    <n v="2309.65"/>
    <s v="High"/>
    <n v="7"/>
    <n v="0"/>
    <x v="0"/>
    <x v="0"/>
    <n v="762.18449999999996"/>
    <n v="0.32999999999999996"/>
    <n v="0"/>
  </r>
  <r>
    <n v="1003"/>
    <s v="CA-2015-124891"/>
    <d v="2015-07-31T00:00:00"/>
    <x v="1"/>
    <s v="Q3"/>
    <x v="38"/>
    <d v="2015-07-31T00:00:00"/>
    <s v="Same Day"/>
    <x v="302"/>
    <x v="302"/>
    <s v="Consumer"/>
    <s v="United States"/>
    <s v="New York City"/>
    <x v="15"/>
    <n v="10024"/>
    <x v="3"/>
    <x v="257"/>
    <x v="0"/>
    <x v="3"/>
    <x v="258"/>
    <n v="1090.7819999999999"/>
    <s v="High"/>
    <n v="7"/>
    <n v="0.4"/>
    <x v="1"/>
    <x v="7"/>
    <n v="-290.87520000000001"/>
    <n v="-0.26666666666666672"/>
    <n v="1"/>
  </r>
  <r>
    <n v="1004"/>
    <s v="CA-2015-124891"/>
    <d v="2015-07-31T00:00:00"/>
    <x v="1"/>
    <s v="Q3"/>
    <x v="38"/>
    <d v="2015-07-31T00:00:00"/>
    <s v="Same Day"/>
    <x v="302"/>
    <x v="302"/>
    <s v="Consumer"/>
    <s v="United States"/>
    <s v="New York City"/>
    <x v="15"/>
    <n v="10024"/>
    <x v="3"/>
    <x v="747"/>
    <x v="1"/>
    <x v="10"/>
    <x v="745"/>
    <n v="19.440000000000001"/>
    <s v="Low"/>
    <n v="3"/>
    <n v="0"/>
    <x v="0"/>
    <x v="0"/>
    <n v="9.3312000000000008"/>
    <n v="0.48000000000000004"/>
    <n v="0"/>
  </r>
  <r>
    <n v="1005"/>
    <s v="CA-2015-126445"/>
    <d v="2015-08-27T00:00:00"/>
    <x v="1"/>
    <s v="Q3"/>
    <x v="37"/>
    <d v="2015-08-31T00:00:00"/>
    <s v="Standard Class"/>
    <x v="362"/>
    <x v="362"/>
    <s v="Consumer"/>
    <s v="United States"/>
    <s v="Murrieta"/>
    <x v="1"/>
    <n v="92563"/>
    <x v="1"/>
    <x v="765"/>
    <x v="1"/>
    <x v="4"/>
    <x v="764"/>
    <n v="484.65"/>
    <s v="High"/>
    <n v="3"/>
    <n v="0"/>
    <x v="0"/>
    <x v="0"/>
    <n v="92.083500000000001"/>
    <n v="0.19"/>
    <n v="0"/>
  </r>
  <r>
    <n v="1006"/>
    <s v="CA-2015-111199"/>
    <d v="2015-11-13T00:00:00"/>
    <x v="1"/>
    <s v="Q4"/>
    <x v="6"/>
    <d v="2015-11-17T00:00:00"/>
    <s v="Standard Class"/>
    <x v="300"/>
    <x v="300"/>
    <s v="Consumer"/>
    <s v="United States"/>
    <s v="Jacksonville"/>
    <x v="3"/>
    <n v="28540"/>
    <x v="0"/>
    <x v="694"/>
    <x v="1"/>
    <x v="10"/>
    <x v="694"/>
    <n v="115.29600000000001"/>
    <s v="Medium"/>
    <n v="3"/>
    <n v="0.2"/>
    <x v="2"/>
    <x v="2"/>
    <n v="40.3536"/>
    <n v="0.35"/>
    <n v="0"/>
  </r>
  <r>
    <n v="1007"/>
    <s v="CA-2015-105312"/>
    <d v="2015-11-06T00:00:00"/>
    <x v="1"/>
    <s v="Q4"/>
    <x v="6"/>
    <d v="2015-11-09T00:00:00"/>
    <s v="First Class"/>
    <x v="363"/>
    <x v="363"/>
    <s v="Consumer"/>
    <s v="United States"/>
    <s v="Scottsdale"/>
    <x v="16"/>
    <n v="85254"/>
    <x v="1"/>
    <x v="111"/>
    <x v="1"/>
    <x v="12"/>
    <x v="111"/>
    <n v="7.08"/>
    <s v="Low"/>
    <n v="3"/>
    <n v="0.2"/>
    <x v="2"/>
    <x v="2"/>
    <n v="2.4780000000000002"/>
    <n v="0.35000000000000003"/>
    <n v="0"/>
  </r>
  <r>
    <n v="1008"/>
    <s v="CA-2015-105312"/>
    <d v="2015-11-06T00:00:00"/>
    <x v="1"/>
    <s v="Q4"/>
    <x v="6"/>
    <d v="2015-11-09T00:00:00"/>
    <s v="First Class"/>
    <x v="363"/>
    <x v="363"/>
    <s v="Consumer"/>
    <s v="United States"/>
    <s v="Scottsdale"/>
    <x v="16"/>
    <n v="85254"/>
    <x v="1"/>
    <x v="766"/>
    <x v="1"/>
    <x v="8"/>
    <x v="765"/>
    <n v="4.4009999999999998"/>
    <s v="Low"/>
    <n v="3"/>
    <n v="0.7"/>
    <x v="1"/>
    <x v="5"/>
    <n v="-3.5207999999999999"/>
    <n v="-0.8"/>
    <n v="1"/>
  </r>
  <r>
    <n v="1009"/>
    <s v="US-2017-106705"/>
    <d v="2017-12-26T00:00:00"/>
    <x v="3"/>
    <s v="Q4"/>
    <x v="22"/>
    <d v="2018-01-01T00:00:00"/>
    <s v="Standard Class"/>
    <x v="138"/>
    <x v="138"/>
    <s v="Consumer"/>
    <s v="United States"/>
    <s v="Burlington"/>
    <x v="23"/>
    <n v="52601"/>
    <x v="2"/>
    <x v="422"/>
    <x v="1"/>
    <x v="10"/>
    <x v="422"/>
    <n v="44.75"/>
    <s v="Medium"/>
    <n v="5"/>
    <n v="0"/>
    <x v="0"/>
    <x v="0"/>
    <n v="20.585000000000001"/>
    <n v="0.46"/>
    <n v="0"/>
  </r>
  <r>
    <n v="1010"/>
    <s v="CA-2017-135034"/>
    <d v="2017-08-01T00:00:00"/>
    <x v="3"/>
    <s v="Q3"/>
    <x v="43"/>
    <d v="2017-08-03T00:00:00"/>
    <s v="First Class"/>
    <x v="247"/>
    <x v="247"/>
    <s v="Consumer"/>
    <s v="United States"/>
    <s v="Chicago"/>
    <x v="10"/>
    <n v="60653"/>
    <x v="2"/>
    <x v="160"/>
    <x v="2"/>
    <x v="7"/>
    <x v="161"/>
    <n v="95.983999999999995"/>
    <s v="Medium"/>
    <n v="2"/>
    <n v="0.2"/>
    <x v="2"/>
    <x v="2"/>
    <n v="5.9989999999999997"/>
    <n v="6.25E-2"/>
    <n v="0"/>
  </r>
  <r>
    <n v="1011"/>
    <s v="CA-2014-158540"/>
    <d v="2014-11-24T00:00:00"/>
    <x v="2"/>
    <s v="Q4"/>
    <x v="7"/>
    <d v="2014-11-26T00:00:00"/>
    <s v="First Class"/>
    <x v="364"/>
    <x v="364"/>
    <s v="Consumer"/>
    <s v="United States"/>
    <s v="San Diego"/>
    <x v="1"/>
    <n v="92037"/>
    <x v="1"/>
    <x v="767"/>
    <x v="0"/>
    <x v="5"/>
    <x v="766"/>
    <n v="151.72"/>
    <s v="High"/>
    <n v="4"/>
    <n v="0"/>
    <x v="0"/>
    <x v="0"/>
    <n v="27.3096"/>
    <n v="0.18"/>
    <n v="0"/>
  </r>
  <r>
    <n v="1012"/>
    <s v="CA-2017-118437"/>
    <d v="2017-06-17T00:00:00"/>
    <x v="3"/>
    <s v="Q2"/>
    <x v="27"/>
    <d v="2017-06-21T00:00:00"/>
    <s v="Second Class"/>
    <x v="58"/>
    <x v="58"/>
    <s v="Consumer"/>
    <s v="United States"/>
    <s v="Olympia"/>
    <x v="4"/>
    <n v="98502"/>
    <x v="1"/>
    <x v="28"/>
    <x v="0"/>
    <x v="5"/>
    <x v="28"/>
    <n v="155.25"/>
    <s v="High"/>
    <n v="3"/>
    <n v="0"/>
    <x v="0"/>
    <x v="0"/>
    <n v="46.575000000000003"/>
    <n v="0.30000000000000004"/>
    <n v="0"/>
  </r>
  <r>
    <n v="1013"/>
    <s v="CA-2017-118437"/>
    <d v="2017-06-17T00:00:00"/>
    <x v="3"/>
    <s v="Q2"/>
    <x v="27"/>
    <d v="2017-06-21T00:00:00"/>
    <s v="Second Class"/>
    <x v="58"/>
    <x v="58"/>
    <s v="Consumer"/>
    <s v="United States"/>
    <s v="Olympia"/>
    <x v="4"/>
    <n v="98502"/>
    <x v="1"/>
    <x v="768"/>
    <x v="1"/>
    <x v="4"/>
    <x v="767"/>
    <n v="14.03"/>
    <s v="Low"/>
    <n v="1"/>
    <n v="0"/>
    <x v="0"/>
    <x v="0"/>
    <n v="4.0686999999999998"/>
    <n v="0.28999999999999998"/>
    <n v="0"/>
  </r>
  <r>
    <n v="1014"/>
    <s v="US-2015-126214"/>
    <d v="2015-12-21T00:00:00"/>
    <x v="1"/>
    <s v="Q4"/>
    <x v="14"/>
    <d v="2015-12-24T00:00:00"/>
    <s v="Second Class"/>
    <x v="365"/>
    <x v="365"/>
    <s v="Consumer"/>
    <s v="United States"/>
    <s v="Seattle"/>
    <x v="4"/>
    <n v="98103"/>
    <x v="1"/>
    <x v="209"/>
    <x v="0"/>
    <x v="3"/>
    <x v="210"/>
    <n v="1618.37"/>
    <s v="High"/>
    <n v="13"/>
    <n v="0"/>
    <x v="0"/>
    <x v="0"/>
    <n v="356.04140000000001"/>
    <n v="0.22000000000000003"/>
    <n v="0"/>
  </r>
  <r>
    <n v="1015"/>
    <s v="US-2015-126214"/>
    <d v="2015-12-21T00:00:00"/>
    <x v="1"/>
    <s v="Q4"/>
    <x v="14"/>
    <d v="2015-12-24T00:00:00"/>
    <s v="Second Class"/>
    <x v="365"/>
    <x v="365"/>
    <s v="Consumer"/>
    <s v="United States"/>
    <s v="Seattle"/>
    <x v="4"/>
    <n v="98103"/>
    <x v="1"/>
    <x v="769"/>
    <x v="2"/>
    <x v="11"/>
    <x v="768"/>
    <n v="99.6"/>
    <s v="Medium"/>
    <n v="1"/>
    <n v="0"/>
    <x v="0"/>
    <x v="0"/>
    <n v="36.851999999999997"/>
    <n v="0.37"/>
    <n v="0"/>
  </r>
  <r>
    <n v="1016"/>
    <s v="CA-2015-133025"/>
    <d v="2015-09-17T00:00:00"/>
    <x v="1"/>
    <s v="Q3"/>
    <x v="11"/>
    <d v="2015-09-19T00:00:00"/>
    <s v="Second Class"/>
    <x v="246"/>
    <x v="246"/>
    <s v="Home Office"/>
    <s v="United States"/>
    <s v="Los Angeles"/>
    <x v="1"/>
    <n v="90036"/>
    <x v="1"/>
    <x v="260"/>
    <x v="1"/>
    <x v="10"/>
    <x v="260"/>
    <n v="32.4"/>
    <s v="Medium"/>
    <n v="5"/>
    <n v="0"/>
    <x v="0"/>
    <x v="0"/>
    <n v="15.552"/>
    <n v="0.48"/>
    <n v="0"/>
  </r>
  <r>
    <n v="1017"/>
    <s v="CA-2015-108665"/>
    <d v="2015-07-06T00:00:00"/>
    <x v="1"/>
    <s v="Q3"/>
    <x v="38"/>
    <d v="2015-07-10T00:00:00"/>
    <s v="Standard Class"/>
    <x v="366"/>
    <x v="366"/>
    <s v="Corporate"/>
    <s v="United States"/>
    <s v="New York City"/>
    <x v="15"/>
    <n v="10011"/>
    <x v="3"/>
    <x v="770"/>
    <x v="0"/>
    <x v="5"/>
    <x v="769"/>
    <n v="13.96"/>
    <s v="Low"/>
    <n v="2"/>
    <n v="0"/>
    <x v="0"/>
    <x v="0"/>
    <n v="6.7008000000000001"/>
    <n v="0.48"/>
    <n v="0"/>
  </r>
  <r>
    <n v="1018"/>
    <s v="CA-2015-108665"/>
    <d v="2015-07-06T00:00:00"/>
    <x v="1"/>
    <s v="Q3"/>
    <x v="38"/>
    <d v="2015-07-10T00:00:00"/>
    <s v="Standard Class"/>
    <x v="366"/>
    <x v="366"/>
    <s v="Corporate"/>
    <s v="United States"/>
    <s v="New York City"/>
    <x v="15"/>
    <n v="10011"/>
    <x v="3"/>
    <x v="689"/>
    <x v="0"/>
    <x v="5"/>
    <x v="689"/>
    <n v="155.82"/>
    <s v="High"/>
    <n v="3"/>
    <n v="0"/>
    <x v="0"/>
    <x v="0"/>
    <n v="63.886200000000002"/>
    <n v="0.41000000000000003"/>
    <n v="0"/>
  </r>
  <r>
    <n v="1019"/>
    <s v="CA-2015-108665"/>
    <d v="2015-07-06T00:00:00"/>
    <x v="1"/>
    <s v="Q3"/>
    <x v="38"/>
    <d v="2015-07-10T00:00:00"/>
    <s v="Standard Class"/>
    <x v="366"/>
    <x v="366"/>
    <s v="Corporate"/>
    <s v="United States"/>
    <s v="New York City"/>
    <x v="15"/>
    <n v="10011"/>
    <x v="3"/>
    <x v="771"/>
    <x v="2"/>
    <x v="7"/>
    <x v="770"/>
    <n v="124.95"/>
    <s v="High"/>
    <n v="5"/>
    <n v="0"/>
    <x v="0"/>
    <x v="0"/>
    <n v="2.4990000000000001"/>
    <n v="0.02"/>
    <n v="0"/>
  </r>
  <r>
    <n v="1020"/>
    <s v="CA-2015-108665"/>
    <d v="2015-07-06T00:00:00"/>
    <x v="1"/>
    <s v="Q3"/>
    <x v="38"/>
    <d v="2015-07-10T00:00:00"/>
    <s v="Standard Class"/>
    <x v="366"/>
    <x v="366"/>
    <s v="Corporate"/>
    <s v="United States"/>
    <s v="New York City"/>
    <x v="15"/>
    <n v="10011"/>
    <x v="3"/>
    <x v="772"/>
    <x v="1"/>
    <x v="4"/>
    <x v="771"/>
    <n v="601.65"/>
    <s v="High"/>
    <n v="5"/>
    <n v="0"/>
    <x v="0"/>
    <x v="0"/>
    <n v="156.429"/>
    <n v="0.26"/>
    <n v="0"/>
  </r>
  <r>
    <n v="1021"/>
    <s v="CA-2015-124450"/>
    <d v="2015-04-27T00:00:00"/>
    <x v="1"/>
    <s v="Q2"/>
    <x v="19"/>
    <d v="2015-05-03T00:00:00"/>
    <s v="Standard Class"/>
    <x v="218"/>
    <x v="218"/>
    <s v="Consumer"/>
    <s v="United States"/>
    <s v="Washington"/>
    <x v="40"/>
    <n v="20016"/>
    <x v="3"/>
    <x v="773"/>
    <x v="1"/>
    <x v="6"/>
    <x v="772"/>
    <n v="22.74"/>
    <s v="Low"/>
    <n v="3"/>
    <n v="0"/>
    <x v="0"/>
    <x v="0"/>
    <n v="8.8686000000000007"/>
    <n v="0.39000000000000007"/>
    <n v="0"/>
  </r>
  <r>
    <n v="1022"/>
    <s v="CA-2015-124450"/>
    <d v="2015-04-27T00:00:00"/>
    <x v="1"/>
    <s v="Q2"/>
    <x v="19"/>
    <d v="2015-05-03T00:00:00"/>
    <s v="Standard Class"/>
    <x v="218"/>
    <x v="218"/>
    <s v="Consumer"/>
    <s v="United States"/>
    <s v="Washington"/>
    <x v="40"/>
    <n v="20016"/>
    <x v="3"/>
    <x v="774"/>
    <x v="0"/>
    <x v="1"/>
    <x v="773"/>
    <n v="1267.53"/>
    <s v="High"/>
    <n v="3"/>
    <n v="0"/>
    <x v="0"/>
    <x v="0"/>
    <n v="316.88249999999999"/>
    <n v="0.25"/>
    <n v="0"/>
  </r>
  <r>
    <n v="1023"/>
    <s v="CA-2015-124450"/>
    <d v="2015-04-27T00:00:00"/>
    <x v="1"/>
    <s v="Q2"/>
    <x v="19"/>
    <d v="2015-05-03T00:00:00"/>
    <s v="Standard Class"/>
    <x v="218"/>
    <x v="218"/>
    <s v="Consumer"/>
    <s v="United States"/>
    <s v="Washington"/>
    <x v="40"/>
    <n v="20016"/>
    <x v="3"/>
    <x v="775"/>
    <x v="2"/>
    <x v="15"/>
    <x v="774"/>
    <n v="1379.92"/>
    <s v="High"/>
    <n v="8"/>
    <n v="0"/>
    <x v="0"/>
    <x v="0"/>
    <n v="648.56240000000003"/>
    <n v="0.47"/>
    <n v="0"/>
  </r>
  <r>
    <n v="1024"/>
    <s v="CA-2015-167269"/>
    <d v="2015-06-16T00:00:00"/>
    <x v="1"/>
    <s v="Q2"/>
    <x v="40"/>
    <d v="2015-06-20T00:00:00"/>
    <s v="Standard Class"/>
    <x v="171"/>
    <x v="171"/>
    <s v="Consumer"/>
    <s v="United States"/>
    <s v="Philadelphia"/>
    <x v="9"/>
    <n v="19134"/>
    <x v="3"/>
    <x v="776"/>
    <x v="1"/>
    <x v="12"/>
    <x v="775"/>
    <n v="6.2080000000000002"/>
    <s v="Low"/>
    <n v="2"/>
    <n v="0.2"/>
    <x v="2"/>
    <x v="2"/>
    <n v="2.1728000000000001"/>
    <n v="0.35"/>
    <n v="0"/>
  </r>
  <r>
    <n v="1025"/>
    <s v="CA-2017-106964"/>
    <d v="2017-12-17T00:00:00"/>
    <x v="3"/>
    <s v="Q4"/>
    <x v="22"/>
    <d v="2017-12-20T00:00:00"/>
    <s v="First Class"/>
    <x v="367"/>
    <x v="367"/>
    <s v="Home Office"/>
    <s v="United States"/>
    <s v="Los Angeles"/>
    <x v="1"/>
    <n v="90045"/>
    <x v="1"/>
    <x v="777"/>
    <x v="1"/>
    <x v="8"/>
    <x v="776"/>
    <n v="11.808"/>
    <s v="Low"/>
    <n v="2"/>
    <n v="0.2"/>
    <x v="2"/>
    <x v="2"/>
    <n v="4.2804000000000002"/>
    <n v="0.36250000000000004"/>
    <n v="0"/>
  </r>
  <r>
    <n v="1026"/>
    <s v="CA-2016-126529"/>
    <d v="2016-01-11T00:00:00"/>
    <x v="0"/>
    <s v="Q1"/>
    <x v="12"/>
    <d v="2016-01-13T00:00:00"/>
    <s v="Second Class"/>
    <x v="368"/>
    <x v="368"/>
    <s v="Home Office"/>
    <s v="United States"/>
    <s v="Springfield"/>
    <x v="24"/>
    <n v="45503"/>
    <x v="3"/>
    <x v="778"/>
    <x v="1"/>
    <x v="10"/>
    <x v="777"/>
    <n v="15.552"/>
    <s v="Low"/>
    <n v="3"/>
    <n v="0.2"/>
    <x v="2"/>
    <x v="2"/>
    <n v="5.4432"/>
    <n v="0.35000000000000003"/>
    <n v="0"/>
  </r>
  <r>
    <n v="1027"/>
    <s v="CA-2016-126529"/>
    <d v="2016-01-11T00:00:00"/>
    <x v="0"/>
    <s v="Q1"/>
    <x v="12"/>
    <d v="2016-01-13T00:00:00"/>
    <s v="Second Class"/>
    <x v="368"/>
    <x v="368"/>
    <s v="Home Office"/>
    <s v="United States"/>
    <s v="Springfield"/>
    <x v="24"/>
    <n v="45503"/>
    <x v="3"/>
    <x v="779"/>
    <x v="1"/>
    <x v="10"/>
    <x v="778"/>
    <n v="63.311999999999998"/>
    <s v="Medium"/>
    <n v="3"/>
    <n v="0.2"/>
    <x v="2"/>
    <x v="2"/>
    <n v="20.5764"/>
    <n v="0.32500000000000001"/>
    <n v="0"/>
  </r>
  <r>
    <n v="1028"/>
    <s v="CA-2016-126529"/>
    <d v="2016-01-11T00:00:00"/>
    <x v="0"/>
    <s v="Q1"/>
    <x v="12"/>
    <d v="2016-01-13T00:00:00"/>
    <s v="Second Class"/>
    <x v="368"/>
    <x v="368"/>
    <s v="Home Office"/>
    <s v="United States"/>
    <s v="Springfield"/>
    <x v="24"/>
    <n v="45503"/>
    <x v="3"/>
    <x v="780"/>
    <x v="2"/>
    <x v="7"/>
    <x v="779"/>
    <n v="15.587999999999999"/>
    <s v="Low"/>
    <n v="2"/>
    <n v="0.4"/>
    <x v="1"/>
    <x v="7"/>
    <n v="-9.8724000000000007"/>
    <n v="-0.63333333333333341"/>
    <n v="1"/>
  </r>
  <r>
    <n v="1029"/>
    <s v="CA-2014-163552"/>
    <d v="2014-07-11T00:00:00"/>
    <x v="2"/>
    <s v="Q3"/>
    <x v="39"/>
    <d v="2014-07-15T00:00:00"/>
    <s v="Standard Class"/>
    <x v="156"/>
    <x v="156"/>
    <s v="Corporate"/>
    <s v="United States"/>
    <s v="Hackensack"/>
    <x v="30"/>
    <n v="7601"/>
    <x v="3"/>
    <x v="258"/>
    <x v="1"/>
    <x v="10"/>
    <x v="33"/>
    <n v="177.2"/>
    <s v="High"/>
    <n v="5"/>
    <n v="0"/>
    <x v="0"/>
    <x v="0"/>
    <n v="83.284000000000006"/>
    <n v="0.47000000000000008"/>
    <n v="0"/>
  </r>
  <r>
    <n v="1030"/>
    <s v="CA-2014-163552"/>
    <d v="2014-07-11T00:00:00"/>
    <x v="2"/>
    <s v="Q3"/>
    <x v="39"/>
    <d v="2014-07-15T00:00:00"/>
    <s v="Standard Class"/>
    <x v="156"/>
    <x v="156"/>
    <s v="Corporate"/>
    <s v="United States"/>
    <s v="Hackensack"/>
    <x v="30"/>
    <n v="7601"/>
    <x v="3"/>
    <x v="781"/>
    <x v="2"/>
    <x v="7"/>
    <x v="780"/>
    <n v="197.97"/>
    <s v="High"/>
    <n v="3"/>
    <n v="0"/>
    <x v="0"/>
    <x v="0"/>
    <n v="57.411299999999997"/>
    <n v="0.28999999999999998"/>
    <n v="0"/>
  </r>
  <r>
    <n v="1031"/>
    <s v="CA-2014-163552"/>
    <d v="2014-07-11T00:00:00"/>
    <x v="2"/>
    <s v="Q3"/>
    <x v="39"/>
    <d v="2014-07-15T00:00:00"/>
    <s v="Standard Class"/>
    <x v="156"/>
    <x v="156"/>
    <s v="Corporate"/>
    <s v="United States"/>
    <s v="Hackensack"/>
    <x v="30"/>
    <n v="7601"/>
    <x v="3"/>
    <x v="463"/>
    <x v="0"/>
    <x v="1"/>
    <x v="464"/>
    <n v="854.94"/>
    <s v="High"/>
    <n v="3"/>
    <n v="0"/>
    <x v="0"/>
    <x v="0"/>
    <n v="213.73500000000001"/>
    <n v="0.25"/>
    <n v="0"/>
  </r>
  <r>
    <n v="1032"/>
    <s v="CA-2014-163552"/>
    <d v="2014-07-11T00:00:00"/>
    <x v="2"/>
    <s v="Q3"/>
    <x v="39"/>
    <d v="2014-07-15T00:00:00"/>
    <s v="Standard Class"/>
    <x v="156"/>
    <x v="156"/>
    <s v="Corporate"/>
    <s v="United States"/>
    <s v="Hackensack"/>
    <x v="30"/>
    <n v="7601"/>
    <x v="3"/>
    <x v="93"/>
    <x v="0"/>
    <x v="5"/>
    <x v="93"/>
    <n v="124.11"/>
    <s v="High"/>
    <n v="9"/>
    <n v="0"/>
    <x v="0"/>
    <x v="0"/>
    <n v="52.126199999999997"/>
    <n v="0.42"/>
    <n v="0"/>
  </r>
  <r>
    <n v="1033"/>
    <s v="CA-2014-163552"/>
    <d v="2014-07-11T00:00:00"/>
    <x v="2"/>
    <s v="Q3"/>
    <x v="39"/>
    <d v="2014-07-15T00:00:00"/>
    <s v="Standard Class"/>
    <x v="156"/>
    <x v="156"/>
    <s v="Corporate"/>
    <s v="United States"/>
    <s v="Hackensack"/>
    <x v="30"/>
    <n v="7601"/>
    <x v="3"/>
    <x v="782"/>
    <x v="1"/>
    <x v="2"/>
    <x v="781"/>
    <n v="14.4"/>
    <s v="Low"/>
    <n v="5"/>
    <n v="0"/>
    <x v="0"/>
    <x v="0"/>
    <n v="7.056"/>
    <n v="0.49"/>
    <n v="0"/>
  </r>
  <r>
    <n v="1034"/>
    <s v="CA-2016-109820"/>
    <d v="2016-11-20T00:00:00"/>
    <x v="0"/>
    <s v="Q4"/>
    <x v="0"/>
    <d v="2016-11-22T00:00:00"/>
    <s v="First Class"/>
    <x v="369"/>
    <x v="369"/>
    <s v="Consumer"/>
    <s v="United States"/>
    <s v="Cincinnati"/>
    <x v="24"/>
    <n v="45231"/>
    <x v="3"/>
    <x v="783"/>
    <x v="1"/>
    <x v="10"/>
    <x v="782"/>
    <n v="15.696"/>
    <s v="Low"/>
    <n v="3"/>
    <n v="0.2"/>
    <x v="2"/>
    <x v="2"/>
    <n v="5.1012000000000004"/>
    <n v="0.32500000000000001"/>
    <n v="0"/>
  </r>
  <r>
    <n v="1035"/>
    <s v="CA-2016-109820"/>
    <d v="2016-11-20T00:00:00"/>
    <x v="0"/>
    <s v="Q4"/>
    <x v="0"/>
    <d v="2016-11-22T00:00:00"/>
    <s v="First Class"/>
    <x v="369"/>
    <x v="369"/>
    <s v="Consumer"/>
    <s v="United States"/>
    <s v="Cincinnati"/>
    <x v="24"/>
    <n v="45231"/>
    <x v="3"/>
    <x v="236"/>
    <x v="1"/>
    <x v="8"/>
    <x v="237"/>
    <n v="2.6280000000000001"/>
    <s v="Low"/>
    <n v="2"/>
    <n v="0.7"/>
    <x v="1"/>
    <x v="5"/>
    <n v="-1.9272"/>
    <n v="-0.73333333333333328"/>
    <n v="1"/>
  </r>
  <r>
    <n v="1036"/>
    <s v="CA-2016-109820"/>
    <d v="2016-11-20T00:00:00"/>
    <x v="0"/>
    <s v="Q4"/>
    <x v="0"/>
    <d v="2016-11-22T00:00:00"/>
    <s v="First Class"/>
    <x v="369"/>
    <x v="369"/>
    <s v="Consumer"/>
    <s v="United States"/>
    <s v="Cincinnati"/>
    <x v="24"/>
    <n v="45231"/>
    <x v="3"/>
    <x v="27"/>
    <x v="1"/>
    <x v="8"/>
    <x v="27"/>
    <n v="14.427"/>
    <s v="Low"/>
    <n v="3"/>
    <n v="0.7"/>
    <x v="1"/>
    <x v="5"/>
    <n v="-10.579800000000001"/>
    <n v="-0.73333333333333339"/>
    <n v="1"/>
  </r>
  <r>
    <n v="1037"/>
    <s v="CA-2016-113061"/>
    <d v="2016-04-22T00:00:00"/>
    <x v="0"/>
    <s v="Q2"/>
    <x v="25"/>
    <d v="2016-04-26T00:00:00"/>
    <s v="Standard Class"/>
    <x v="330"/>
    <x v="330"/>
    <s v="Home Office"/>
    <s v="United States"/>
    <s v="Jefferson City"/>
    <x v="25"/>
    <n v="65109"/>
    <x v="2"/>
    <x v="784"/>
    <x v="0"/>
    <x v="5"/>
    <x v="783"/>
    <n v="86.62"/>
    <s v="Medium"/>
    <n v="2"/>
    <n v="0"/>
    <x v="0"/>
    <x v="0"/>
    <n v="8.6620000000000008"/>
    <n v="0.1"/>
    <n v="0"/>
  </r>
  <r>
    <n v="1038"/>
    <s v="CA-2015-127418"/>
    <d v="2015-06-13T00:00:00"/>
    <x v="1"/>
    <s v="Q2"/>
    <x v="40"/>
    <d v="2015-06-14T00:00:00"/>
    <s v="First Class"/>
    <x v="370"/>
    <x v="370"/>
    <s v="Consumer"/>
    <s v="United States"/>
    <s v="Los Angeles"/>
    <x v="1"/>
    <n v="90004"/>
    <x v="1"/>
    <x v="785"/>
    <x v="1"/>
    <x v="8"/>
    <x v="784"/>
    <n v="36.624000000000002"/>
    <s v="Medium"/>
    <n v="3"/>
    <n v="0.2"/>
    <x v="2"/>
    <x v="2"/>
    <n v="13.734"/>
    <n v="0.375"/>
    <n v="0"/>
  </r>
  <r>
    <n v="1039"/>
    <s v="CA-2017-121818"/>
    <d v="2017-11-20T00:00:00"/>
    <x v="3"/>
    <s v="Q4"/>
    <x v="23"/>
    <d v="2017-11-21T00:00:00"/>
    <s v="First Class"/>
    <x v="371"/>
    <x v="371"/>
    <s v="Consumer"/>
    <s v="United States"/>
    <s v="Burlington"/>
    <x v="3"/>
    <n v="27217"/>
    <x v="0"/>
    <x v="786"/>
    <x v="1"/>
    <x v="6"/>
    <x v="785"/>
    <n v="23.968"/>
    <s v="Low"/>
    <n v="7"/>
    <n v="0.2"/>
    <x v="2"/>
    <x v="2"/>
    <n v="2.6964000000000001"/>
    <n v="0.1125"/>
    <n v="0"/>
  </r>
  <r>
    <n v="1040"/>
    <s v="CA-2017-121818"/>
    <d v="2017-11-20T00:00:00"/>
    <x v="3"/>
    <s v="Q4"/>
    <x v="23"/>
    <d v="2017-11-21T00:00:00"/>
    <s v="First Class"/>
    <x v="371"/>
    <x v="371"/>
    <s v="Consumer"/>
    <s v="United States"/>
    <s v="Burlington"/>
    <x v="3"/>
    <n v="27217"/>
    <x v="0"/>
    <x v="787"/>
    <x v="1"/>
    <x v="6"/>
    <x v="772"/>
    <n v="28.728000000000002"/>
    <s v="Medium"/>
    <n v="3"/>
    <n v="0.2"/>
    <x v="2"/>
    <x v="2"/>
    <n v="1.7955000000000001"/>
    <n v="6.25E-2"/>
    <n v="0"/>
  </r>
  <r>
    <n v="1041"/>
    <s v="CA-2016-127670"/>
    <d v="2016-03-20T00:00:00"/>
    <x v="0"/>
    <s v="Q1"/>
    <x v="17"/>
    <d v="2016-03-24T00:00:00"/>
    <s v="Standard Class"/>
    <x v="372"/>
    <x v="372"/>
    <s v="Home Office"/>
    <s v="United States"/>
    <s v="Saint Peters"/>
    <x v="25"/>
    <n v="63376"/>
    <x v="2"/>
    <x v="616"/>
    <x v="0"/>
    <x v="3"/>
    <x v="616"/>
    <n v="697.16"/>
    <s v="High"/>
    <n v="4"/>
    <n v="0"/>
    <x v="0"/>
    <x v="0"/>
    <n v="146.40360000000001"/>
    <n v="0.21000000000000002"/>
    <n v="0"/>
  </r>
  <r>
    <n v="1042"/>
    <s v="CA-2016-102981"/>
    <d v="2016-09-06T00:00:00"/>
    <x v="0"/>
    <s v="Q3"/>
    <x v="21"/>
    <d v="2016-09-09T00:00:00"/>
    <s v="Second Class"/>
    <x v="373"/>
    <x v="373"/>
    <s v="Consumer"/>
    <s v="United States"/>
    <s v="New York City"/>
    <x v="15"/>
    <n v="10035"/>
    <x v="3"/>
    <x v="788"/>
    <x v="2"/>
    <x v="11"/>
    <x v="786"/>
    <n v="31.86"/>
    <s v="Medium"/>
    <n v="2"/>
    <n v="0"/>
    <x v="0"/>
    <x v="0"/>
    <n v="11.151"/>
    <n v="0.35"/>
    <n v="0"/>
  </r>
  <r>
    <n v="1043"/>
    <s v="CA-2016-102981"/>
    <d v="2016-09-06T00:00:00"/>
    <x v="0"/>
    <s v="Q3"/>
    <x v="21"/>
    <d v="2016-09-09T00:00:00"/>
    <s v="Second Class"/>
    <x v="373"/>
    <x v="373"/>
    <s v="Consumer"/>
    <s v="United States"/>
    <s v="New York City"/>
    <x v="15"/>
    <n v="10035"/>
    <x v="3"/>
    <x v="789"/>
    <x v="0"/>
    <x v="0"/>
    <x v="787"/>
    <n v="722.35199999999998"/>
    <s v="High"/>
    <n v="3"/>
    <n v="0.2"/>
    <x v="2"/>
    <x v="2"/>
    <n v="90.293999999999997"/>
    <n v="0.125"/>
    <n v="0"/>
  </r>
  <r>
    <n v="1044"/>
    <s v="CA-2017-115651"/>
    <d v="2017-07-09T00:00:00"/>
    <x v="3"/>
    <s v="Q3"/>
    <x v="10"/>
    <d v="2017-07-12T00:00:00"/>
    <s v="First Class"/>
    <x v="374"/>
    <x v="374"/>
    <s v="Corporate"/>
    <s v="United States"/>
    <s v="Chicago"/>
    <x v="10"/>
    <n v="60610"/>
    <x v="2"/>
    <x v="790"/>
    <x v="1"/>
    <x v="6"/>
    <x v="788"/>
    <n v="8.84"/>
    <s v="Low"/>
    <n v="5"/>
    <n v="0.2"/>
    <x v="2"/>
    <x v="2"/>
    <n v="2.9834999999999998"/>
    <n v="0.33749999999999997"/>
    <n v="0"/>
  </r>
  <r>
    <n v="1045"/>
    <s v="CA-2017-115651"/>
    <d v="2017-07-09T00:00:00"/>
    <x v="3"/>
    <s v="Q3"/>
    <x v="10"/>
    <d v="2017-07-12T00:00:00"/>
    <s v="First Class"/>
    <x v="374"/>
    <x v="374"/>
    <s v="Corporate"/>
    <s v="United States"/>
    <s v="Chicago"/>
    <x v="10"/>
    <n v="60610"/>
    <x v="2"/>
    <x v="791"/>
    <x v="1"/>
    <x v="9"/>
    <x v="789"/>
    <n v="58.463999999999999"/>
    <s v="Medium"/>
    <n v="9"/>
    <n v="0.8"/>
    <x v="1"/>
    <x v="3"/>
    <n v="-146.16"/>
    <n v="-2.5"/>
    <n v="1"/>
  </r>
  <r>
    <n v="1046"/>
    <s v="CA-2017-152702"/>
    <d v="2017-10-12T00:00:00"/>
    <x v="3"/>
    <s v="Q4"/>
    <x v="13"/>
    <d v="2017-10-16T00:00:00"/>
    <s v="Standard Class"/>
    <x v="17"/>
    <x v="17"/>
    <s v="Home Office"/>
    <s v="United States"/>
    <s v="Rockford"/>
    <x v="10"/>
    <n v="61107"/>
    <x v="2"/>
    <x v="792"/>
    <x v="0"/>
    <x v="1"/>
    <x v="790"/>
    <n v="254.60400000000001"/>
    <s v="High"/>
    <n v="14"/>
    <n v="0.3"/>
    <x v="1"/>
    <x v="4"/>
    <n v="-18.186"/>
    <n v="-7.1428571428571425E-2"/>
    <n v="1"/>
  </r>
  <r>
    <n v="1047"/>
    <s v="CA-2016-169103"/>
    <d v="2016-03-08T00:00:00"/>
    <x v="0"/>
    <s v="Q1"/>
    <x v="17"/>
    <d v="2016-03-13T00:00:00"/>
    <s v="Standard Class"/>
    <x v="233"/>
    <x v="233"/>
    <s v="Consumer"/>
    <s v="United States"/>
    <s v="Miami"/>
    <x v="2"/>
    <n v="33142"/>
    <x v="0"/>
    <x v="638"/>
    <x v="2"/>
    <x v="7"/>
    <x v="638"/>
    <n v="1363.96"/>
    <s v="High"/>
    <n v="5"/>
    <n v="0.2"/>
    <x v="2"/>
    <x v="2"/>
    <n v="85.247500000000002"/>
    <n v="6.25E-2"/>
    <n v="0"/>
  </r>
  <r>
    <n v="1048"/>
    <s v="CA-2016-169103"/>
    <d v="2016-03-08T00:00:00"/>
    <x v="0"/>
    <s v="Q1"/>
    <x v="17"/>
    <d v="2016-03-13T00:00:00"/>
    <s v="Standard Class"/>
    <x v="233"/>
    <x v="233"/>
    <s v="Consumer"/>
    <s v="United States"/>
    <s v="Miami"/>
    <x v="2"/>
    <n v="33142"/>
    <x v="0"/>
    <x v="101"/>
    <x v="0"/>
    <x v="5"/>
    <x v="101"/>
    <n v="102.36"/>
    <s v="Medium"/>
    <n v="3"/>
    <n v="0.2"/>
    <x v="2"/>
    <x v="2"/>
    <n v="-3.8384999999999998"/>
    <n v="-3.7499999999999999E-2"/>
    <n v="1"/>
  </r>
  <r>
    <n v="1049"/>
    <s v="CA-2014-139192"/>
    <d v="2014-05-27T00:00:00"/>
    <x v="2"/>
    <s v="Q2"/>
    <x v="8"/>
    <d v="2014-06-01T00:00:00"/>
    <s v="Second Class"/>
    <x v="62"/>
    <x v="62"/>
    <s v="Consumer"/>
    <s v="United States"/>
    <s v="San Francisco"/>
    <x v="1"/>
    <n v="94109"/>
    <x v="1"/>
    <x v="39"/>
    <x v="2"/>
    <x v="7"/>
    <x v="39"/>
    <n v="1113.5039999999999"/>
    <s v="High"/>
    <n v="12"/>
    <n v="0.2"/>
    <x v="2"/>
    <x v="2"/>
    <n v="125.2692"/>
    <n v="0.1125"/>
    <n v="0"/>
  </r>
  <r>
    <n v="1050"/>
    <s v="CA-2014-139192"/>
    <d v="2014-05-27T00:00:00"/>
    <x v="2"/>
    <s v="Q2"/>
    <x v="8"/>
    <d v="2014-06-01T00:00:00"/>
    <s v="Second Class"/>
    <x v="62"/>
    <x v="62"/>
    <s v="Consumer"/>
    <s v="United States"/>
    <s v="San Francisco"/>
    <x v="1"/>
    <n v="94109"/>
    <x v="1"/>
    <x v="590"/>
    <x v="2"/>
    <x v="11"/>
    <x v="590"/>
    <n v="99.99"/>
    <s v="Medium"/>
    <n v="1"/>
    <n v="0"/>
    <x v="0"/>
    <x v="0"/>
    <n v="37.996200000000002"/>
    <n v="0.38000000000000006"/>
    <n v="0"/>
  </r>
  <r>
    <n v="1051"/>
    <s v="US-2015-153500"/>
    <d v="2015-07-03T00:00:00"/>
    <x v="1"/>
    <s v="Q3"/>
    <x v="38"/>
    <d v="2015-07-05T00:00:00"/>
    <s v="First Class"/>
    <x v="375"/>
    <x v="375"/>
    <s v="Corporate"/>
    <s v="United States"/>
    <s v="Philadelphia"/>
    <x v="9"/>
    <n v="19134"/>
    <x v="3"/>
    <x v="793"/>
    <x v="0"/>
    <x v="5"/>
    <x v="791"/>
    <n v="168.464"/>
    <s v="High"/>
    <n v="2"/>
    <n v="0.2"/>
    <x v="2"/>
    <x v="2"/>
    <n v="-29.481200000000001"/>
    <n v="-0.17500000000000002"/>
    <n v="1"/>
  </r>
  <r>
    <n v="1052"/>
    <s v="US-2015-153500"/>
    <d v="2015-07-03T00:00:00"/>
    <x v="1"/>
    <s v="Q3"/>
    <x v="38"/>
    <d v="2015-07-05T00:00:00"/>
    <s v="First Class"/>
    <x v="375"/>
    <x v="375"/>
    <s v="Corporate"/>
    <s v="United States"/>
    <s v="Philadelphia"/>
    <x v="9"/>
    <n v="19134"/>
    <x v="3"/>
    <x v="794"/>
    <x v="1"/>
    <x v="10"/>
    <x v="792"/>
    <n v="6.72"/>
    <s v="Low"/>
    <n v="2"/>
    <n v="0.2"/>
    <x v="2"/>
    <x v="2"/>
    <n v="2.4359999999999999"/>
    <n v="0.36249999999999999"/>
    <n v="0"/>
  </r>
  <r>
    <n v="1053"/>
    <s v="US-2015-153500"/>
    <d v="2015-07-03T00:00:00"/>
    <x v="1"/>
    <s v="Q3"/>
    <x v="38"/>
    <d v="2015-07-05T00:00:00"/>
    <s v="First Class"/>
    <x v="375"/>
    <x v="375"/>
    <s v="Corporate"/>
    <s v="United States"/>
    <s v="Philadelphia"/>
    <x v="9"/>
    <n v="19134"/>
    <x v="3"/>
    <x v="795"/>
    <x v="0"/>
    <x v="5"/>
    <x v="793"/>
    <n v="282.88799999999998"/>
    <s v="High"/>
    <n v="9"/>
    <n v="0.2"/>
    <x v="2"/>
    <x v="2"/>
    <n v="56.577599999999997"/>
    <n v="0.2"/>
    <n v="0"/>
  </r>
  <r>
    <n v="1054"/>
    <s v="CA-2015-110667"/>
    <d v="2015-04-04T00:00:00"/>
    <x v="1"/>
    <s v="Q2"/>
    <x v="19"/>
    <d v="2015-04-08T00:00:00"/>
    <s v="Standard Class"/>
    <x v="376"/>
    <x v="376"/>
    <s v="Home Office"/>
    <s v="United States"/>
    <s v="New York City"/>
    <x v="15"/>
    <n v="10009"/>
    <x v="3"/>
    <x v="796"/>
    <x v="1"/>
    <x v="6"/>
    <x v="794"/>
    <n v="11.16"/>
    <s v="Low"/>
    <n v="2"/>
    <n v="0"/>
    <x v="0"/>
    <x v="0"/>
    <n v="4.3524000000000003"/>
    <n v="0.39"/>
    <n v="0"/>
  </r>
  <r>
    <n v="1055"/>
    <s v="CA-2015-110667"/>
    <d v="2015-04-04T00:00:00"/>
    <x v="1"/>
    <s v="Q2"/>
    <x v="19"/>
    <d v="2015-04-08T00:00:00"/>
    <s v="Standard Class"/>
    <x v="376"/>
    <x v="376"/>
    <s v="Home Office"/>
    <s v="United States"/>
    <s v="New York City"/>
    <x v="15"/>
    <n v="10009"/>
    <x v="3"/>
    <x v="797"/>
    <x v="0"/>
    <x v="5"/>
    <x v="795"/>
    <n v="108.4"/>
    <s v="Medium"/>
    <n v="2"/>
    <n v="0"/>
    <x v="0"/>
    <x v="0"/>
    <n v="22.763999999999999"/>
    <n v="0.21"/>
    <n v="0"/>
  </r>
  <r>
    <n v="1056"/>
    <s v="CA-2015-110667"/>
    <d v="2015-04-04T00:00:00"/>
    <x v="1"/>
    <s v="Q2"/>
    <x v="19"/>
    <d v="2015-04-08T00:00:00"/>
    <s v="Standard Class"/>
    <x v="376"/>
    <x v="376"/>
    <s v="Home Office"/>
    <s v="United States"/>
    <s v="New York City"/>
    <x v="15"/>
    <n v="10009"/>
    <x v="3"/>
    <x v="141"/>
    <x v="1"/>
    <x v="8"/>
    <x v="142"/>
    <n v="82.343999999999994"/>
    <s v="Medium"/>
    <n v="3"/>
    <n v="0.2"/>
    <x v="2"/>
    <x v="2"/>
    <n v="27.7911"/>
    <n v="0.33750000000000002"/>
    <n v="0"/>
  </r>
  <r>
    <n v="1057"/>
    <s v="CA-2015-110667"/>
    <d v="2015-04-04T00:00:00"/>
    <x v="1"/>
    <s v="Q2"/>
    <x v="19"/>
    <d v="2015-04-08T00:00:00"/>
    <s v="Standard Class"/>
    <x v="376"/>
    <x v="376"/>
    <s v="Home Office"/>
    <s v="United States"/>
    <s v="New York City"/>
    <x v="15"/>
    <n v="10009"/>
    <x v="3"/>
    <x v="798"/>
    <x v="1"/>
    <x v="8"/>
    <x v="796"/>
    <n v="9.0879999999999992"/>
    <s v="Low"/>
    <n v="4"/>
    <n v="0.2"/>
    <x v="2"/>
    <x v="2"/>
    <n v="3.2944"/>
    <n v="0.36250000000000004"/>
    <n v="0"/>
  </r>
  <r>
    <n v="1058"/>
    <s v="CA-2017-167150"/>
    <d v="2017-12-10T00:00:00"/>
    <x v="3"/>
    <s v="Q4"/>
    <x v="22"/>
    <d v="2017-12-17T00:00:00"/>
    <s v="Standard Class"/>
    <x v="130"/>
    <x v="130"/>
    <s v="Corporate"/>
    <s v="United States"/>
    <s v="San Diego"/>
    <x v="1"/>
    <n v="92037"/>
    <x v="1"/>
    <x v="799"/>
    <x v="1"/>
    <x v="8"/>
    <x v="797"/>
    <n v="19.936"/>
    <s v="Low"/>
    <n v="4"/>
    <n v="0.2"/>
    <x v="2"/>
    <x v="2"/>
    <n v="7.2267999999999999"/>
    <n v="0.36249999999999999"/>
    <n v="0"/>
  </r>
  <r>
    <n v="1059"/>
    <s v="CA-2017-167150"/>
    <d v="2017-12-10T00:00:00"/>
    <x v="3"/>
    <s v="Q4"/>
    <x v="22"/>
    <d v="2017-12-17T00:00:00"/>
    <s v="Standard Class"/>
    <x v="130"/>
    <x v="130"/>
    <s v="Corporate"/>
    <s v="United States"/>
    <s v="San Diego"/>
    <x v="1"/>
    <n v="92037"/>
    <x v="1"/>
    <x v="800"/>
    <x v="1"/>
    <x v="8"/>
    <x v="798"/>
    <n v="65.567999999999998"/>
    <s v="Medium"/>
    <n v="2"/>
    <n v="0.2"/>
    <x v="2"/>
    <x v="2"/>
    <n v="22.948799999999999"/>
    <n v="0.35"/>
    <n v="0"/>
  </r>
  <r>
    <n v="1060"/>
    <s v="CA-2016-105284"/>
    <d v="2016-11-24T00:00:00"/>
    <x v="0"/>
    <s v="Q4"/>
    <x v="0"/>
    <d v="2016-12-01T00:00:00"/>
    <s v="Standard Class"/>
    <x v="377"/>
    <x v="377"/>
    <s v="Home Office"/>
    <s v="United States"/>
    <s v="Philadelphia"/>
    <x v="9"/>
    <n v="19143"/>
    <x v="3"/>
    <x v="801"/>
    <x v="1"/>
    <x v="13"/>
    <x v="799"/>
    <n v="4.4160000000000004"/>
    <s v="Low"/>
    <n v="3"/>
    <n v="0.2"/>
    <x v="2"/>
    <x v="2"/>
    <n v="1.6008"/>
    <n v="0.36249999999999999"/>
    <n v="0"/>
  </r>
  <r>
    <n v="1061"/>
    <s v="US-2015-125374"/>
    <d v="2015-03-23T00:00:00"/>
    <x v="1"/>
    <s v="Q1"/>
    <x v="29"/>
    <d v="2015-03-29T00:00:00"/>
    <s v="Standard Class"/>
    <x v="148"/>
    <x v="148"/>
    <s v="Consumer"/>
    <s v="United States"/>
    <s v="Houston"/>
    <x v="5"/>
    <n v="77095"/>
    <x v="2"/>
    <x v="389"/>
    <x v="0"/>
    <x v="1"/>
    <x v="390"/>
    <n v="107.77200000000001"/>
    <s v="Medium"/>
    <n v="2"/>
    <n v="0.3"/>
    <x v="1"/>
    <x v="4"/>
    <n v="-29.252400000000002"/>
    <n v="-0.27142857142857141"/>
    <n v="1"/>
  </r>
  <r>
    <n v="1062"/>
    <s v="CA-2015-161263"/>
    <d v="2015-04-16T00:00:00"/>
    <x v="1"/>
    <s v="Q2"/>
    <x v="19"/>
    <d v="2015-04-21T00:00:00"/>
    <s v="Standard Class"/>
    <x v="378"/>
    <x v="378"/>
    <s v="Corporate"/>
    <s v="United States"/>
    <s v="Toledo"/>
    <x v="24"/>
    <n v="43615"/>
    <x v="3"/>
    <x v="551"/>
    <x v="1"/>
    <x v="9"/>
    <x v="550"/>
    <n v="45.216000000000001"/>
    <s v="Medium"/>
    <n v="3"/>
    <n v="0.2"/>
    <x v="2"/>
    <x v="2"/>
    <n v="4.5216000000000003"/>
    <n v="0.1"/>
    <n v="0"/>
  </r>
  <r>
    <n v="1063"/>
    <s v="CA-2015-161263"/>
    <d v="2015-04-16T00:00:00"/>
    <x v="1"/>
    <s v="Q2"/>
    <x v="19"/>
    <d v="2015-04-21T00:00:00"/>
    <s v="Standard Class"/>
    <x v="378"/>
    <x v="378"/>
    <s v="Corporate"/>
    <s v="United States"/>
    <s v="Toledo"/>
    <x v="24"/>
    <n v="43615"/>
    <x v="3"/>
    <x v="802"/>
    <x v="1"/>
    <x v="13"/>
    <x v="800"/>
    <n v="10.416"/>
    <s v="Low"/>
    <n v="7"/>
    <n v="0.2"/>
    <x v="2"/>
    <x v="2"/>
    <n v="-2.2134"/>
    <n v="-0.21249999999999999"/>
    <n v="1"/>
  </r>
  <r>
    <n v="1064"/>
    <s v="CA-2015-161263"/>
    <d v="2015-04-16T00:00:00"/>
    <x v="1"/>
    <s v="Q2"/>
    <x v="19"/>
    <d v="2015-04-21T00:00:00"/>
    <s v="Standard Class"/>
    <x v="378"/>
    <x v="378"/>
    <s v="Corporate"/>
    <s v="United States"/>
    <s v="Toledo"/>
    <x v="24"/>
    <n v="43615"/>
    <x v="3"/>
    <x v="346"/>
    <x v="1"/>
    <x v="6"/>
    <x v="346"/>
    <n v="7.8719999999999999"/>
    <s v="Low"/>
    <n v="3"/>
    <n v="0.2"/>
    <x v="2"/>
    <x v="2"/>
    <n v="1.2791999999999999"/>
    <n v="0.16249999999999998"/>
    <n v="0"/>
  </r>
  <r>
    <n v="1065"/>
    <s v="CA-2015-161263"/>
    <d v="2015-04-16T00:00:00"/>
    <x v="1"/>
    <s v="Q2"/>
    <x v="19"/>
    <d v="2015-04-21T00:00:00"/>
    <s v="Standard Class"/>
    <x v="378"/>
    <x v="378"/>
    <s v="Corporate"/>
    <s v="United States"/>
    <s v="Toledo"/>
    <x v="24"/>
    <n v="43615"/>
    <x v="3"/>
    <x v="803"/>
    <x v="2"/>
    <x v="7"/>
    <x v="801"/>
    <n v="118.782"/>
    <s v="Medium"/>
    <n v="3"/>
    <n v="0.4"/>
    <x v="1"/>
    <x v="7"/>
    <n v="-27.715800000000002"/>
    <n v="-0.23333333333333336"/>
    <n v="1"/>
  </r>
  <r>
    <n v="1066"/>
    <s v="CA-2015-161263"/>
    <d v="2015-04-16T00:00:00"/>
    <x v="1"/>
    <s v="Q2"/>
    <x v="19"/>
    <d v="2015-04-21T00:00:00"/>
    <s v="Standard Class"/>
    <x v="378"/>
    <x v="378"/>
    <s v="Corporate"/>
    <s v="United States"/>
    <s v="Toledo"/>
    <x v="24"/>
    <n v="43615"/>
    <x v="3"/>
    <x v="804"/>
    <x v="1"/>
    <x v="13"/>
    <x v="802"/>
    <n v="1.448"/>
    <s v="Low"/>
    <n v="1"/>
    <n v="0.2"/>
    <x v="2"/>
    <x v="2"/>
    <n v="0.23530000000000001"/>
    <n v="0.16250000000000001"/>
    <n v="0"/>
  </r>
  <r>
    <n v="1067"/>
    <s v="CA-2015-161263"/>
    <d v="2015-04-16T00:00:00"/>
    <x v="1"/>
    <s v="Q2"/>
    <x v="19"/>
    <d v="2015-04-21T00:00:00"/>
    <s v="Standard Class"/>
    <x v="378"/>
    <x v="378"/>
    <s v="Corporate"/>
    <s v="United States"/>
    <s v="Toledo"/>
    <x v="24"/>
    <n v="43615"/>
    <x v="3"/>
    <x v="805"/>
    <x v="1"/>
    <x v="8"/>
    <x v="803"/>
    <n v="55.47"/>
    <s v="Medium"/>
    <n v="5"/>
    <n v="0.7"/>
    <x v="1"/>
    <x v="5"/>
    <n v="-46.225000000000001"/>
    <n v="-0.83333333333333337"/>
    <n v="1"/>
  </r>
  <r>
    <n v="1068"/>
    <s v="CA-2016-157686"/>
    <d v="2016-10-01T00:00:00"/>
    <x v="0"/>
    <s v="Q4"/>
    <x v="32"/>
    <d v="2016-10-02T00:00:00"/>
    <s v="First Class"/>
    <x v="379"/>
    <x v="379"/>
    <s v="Consumer"/>
    <s v="United States"/>
    <s v="San Francisco"/>
    <x v="1"/>
    <n v="94122"/>
    <x v="1"/>
    <x v="64"/>
    <x v="0"/>
    <x v="1"/>
    <x v="64"/>
    <n v="194.84800000000001"/>
    <s v="High"/>
    <n v="4"/>
    <n v="0.2"/>
    <x v="2"/>
    <x v="2"/>
    <n v="12.178000000000001"/>
    <n v="6.25E-2"/>
    <n v="0"/>
  </r>
  <r>
    <n v="1069"/>
    <s v="US-2017-139955"/>
    <d v="2017-09-28T00:00:00"/>
    <x v="3"/>
    <s v="Q3"/>
    <x v="15"/>
    <d v="2017-09-30T00:00:00"/>
    <s v="Second Class"/>
    <x v="380"/>
    <x v="380"/>
    <s v="Consumer"/>
    <s v="United States"/>
    <s v="Brownsville"/>
    <x v="5"/>
    <n v="78521"/>
    <x v="2"/>
    <x v="482"/>
    <x v="1"/>
    <x v="14"/>
    <x v="327"/>
    <n v="1.744"/>
    <s v="Low"/>
    <n v="1"/>
    <n v="0.2"/>
    <x v="2"/>
    <x v="2"/>
    <n v="-0.3488"/>
    <n v="-0.2"/>
    <n v="1"/>
  </r>
  <r>
    <n v="1070"/>
    <s v="US-2015-150161"/>
    <d v="2015-07-25T00:00:00"/>
    <x v="1"/>
    <s v="Q3"/>
    <x v="38"/>
    <d v="2015-07-29T00:00:00"/>
    <s v="Standard Class"/>
    <x v="176"/>
    <x v="176"/>
    <s v="Home Office"/>
    <s v="United States"/>
    <s v="Philadelphia"/>
    <x v="9"/>
    <n v="19143"/>
    <x v="3"/>
    <x v="301"/>
    <x v="1"/>
    <x v="8"/>
    <x v="301"/>
    <n v="25.175999999999998"/>
    <s v="Medium"/>
    <n v="4"/>
    <n v="0.7"/>
    <x v="1"/>
    <x v="5"/>
    <n v="-18.462399999999999"/>
    <n v="-0.73333333333333328"/>
    <n v="1"/>
  </r>
  <r>
    <n v="1071"/>
    <s v="CA-2015-144652"/>
    <d v="2015-11-20T00:00:00"/>
    <x v="1"/>
    <s v="Q4"/>
    <x v="6"/>
    <d v="2015-11-26T00:00:00"/>
    <s v="Standard Class"/>
    <x v="381"/>
    <x v="381"/>
    <s v="Home Office"/>
    <s v="United States"/>
    <s v="Los Angeles"/>
    <x v="1"/>
    <n v="90008"/>
    <x v="1"/>
    <x v="324"/>
    <x v="1"/>
    <x v="6"/>
    <x v="324"/>
    <n v="19.46"/>
    <s v="Low"/>
    <n v="7"/>
    <n v="0"/>
    <x v="0"/>
    <x v="0"/>
    <n v="5.0595999999999997"/>
    <n v="0.25999999999999995"/>
    <n v="0"/>
  </r>
  <r>
    <n v="1072"/>
    <s v="CA-2016-152814"/>
    <d v="2016-04-28T00:00:00"/>
    <x v="0"/>
    <s v="Q2"/>
    <x v="25"/>
    <d v="2016-05-02T00:00:00"/>
    <s v="Standard Class"/>
    <x v="382"/>
    <x v="382"/>
    <s v="Home Office"/>
    <s v="United States"/>
    <s v="Denver"/>
    <x v="22"/>
    <n v="80219"/>
    <x v="1"/>
    <x v="314"/>
    <x v="1"/>
    <x v="10"/>
    <x v="314"/>
    <n v="29.472000000000001"/>
    <s v="Medium"/>
    <n v="3"/>
    <n v="0.2"/>
    <x v="2"/>
    <x v="2"/>
    <n v="9.9467999999999996"/>
    <n v="0.33749999999999997"/>
    <n v="0"/>
  </r>
  <r>
    <n v="1073"/>
    <s v="CA-2017-106943"/>
    <d v="2017-11-14T00:00:00"/>
    <x v="3"/>
    <s v="Q4"/>
    <x v="23"/>
    <d v="2017-11-19T00:00:00"/>
    <s v="Standard Class"/>
    <x v="383"/>
    <x v="383"/>
    <s v="Consumer"/>
    <s v="United States"/>
    <s v="New York City"/>
    <x v="15"/>
    <n v="10035"/>
    <x v="3"/>
    <x v="806"/>
    <x v="1"/>
    <x v="8"/>
    <x v="804"/>
    <n v="8.64"/>
    <s v="Low"/>
    <n v="2"/>
    <n v="0.2"/>
    <x v="2"/>
    <x v="2"/>
    <n v="3.024"/>
    <n v="0.35"/>
    <n v="0"/>
  </r>
  <r>
    <n v="1074"/>
    <s v="CA-2016-134348"/>
    <d v="2016-11-12T00:00:00"/>
    <x v="0"/>
    <s v="Q4"/>
    <x v="0"/>
    <d v="2016-11-19T00:00:00"/>
    <s v="Standard Class"/>
    <x v="384"/>
    <x v="384"/>
    <s v="Consumer"/>
    <s v="United States"/>
    <s v="Mesa"/>
    <x v="16"/>
    <n v="85204"/>
    <x v="1"/>
    <x v="807"/>
    <x v="1"/>
    <x v="8"/>
    <x v="805"/>
    <n v="6.27"/>
    <s v="Low"/>
    <n v="5"/>
    <n v="0.7"/>
    <x v="1"/>
    <x v="5"/>
    <n v="-4.5979999999999999"/>
    <n v="-0.73333333333333339"/>
    <n v="1"/>
  </r>
  <r>
    <n v="1075"/>
    <s v="CA-2016-134348"/>
    <d v="2016-11-12T00:00:00"/>
    <x v="0"/>
    <s v="Q4"/>
    <x v="0"/>
    <d v="2016-11-19T00:00:00"/>
    <s v="Standard Class"/>
    <x v="384"/>
    <x v="384"/>
    <s v="Consumer"/>
    <s v="United States"/>
    <s v="Mesa"/>
    <x v="16"/>
    <n v="85204"/>
    <x v="1"/>
    <x v="255"/>
    <x v="1"/>
    <x v="8"/>
    <x v="256"/>
    <n v="4.3680000000000003"/>
    <s v="Low"/>
    <n v="7"/>
    <n v="0.7"/>
    <x v="1"/>
    <x v="5"/>
    <n v="-3.3488000000000002"/>
    <n v="-0.76666666666666661"/>
    <n v="1"/>
  </r>
  <r>
    <n v="1076"/>
    <s v="CA-2016-134348"/>
    <d v="2016-11-12T00:00:00"/>
    <x v="0"/>
    <s v="Q4"/>
    <x v="0"/>
    <d v="2016-11-19T00:00:00"/>
    <s v="Standard Class"/>
    <x v="384"/>
    <x v="384"/>
    <s v="Consumer"/>
    <s v="United States"/>
    <s v="Mesa"/>
    <x v="16"/>
    <n v="85204"/>
    <x v="1"/>
    <x v="808"/>
    <x v="2"/>
    <x v="11"/>
    <x v="806"/>
    <n v="31.984000000000002"/>
    <s v="Medium"/>
    <n v="2"/>
    <n v="0.2"/>
    <x v="2"/>
    <x v="2"/>
    <n v="1.9990000000000001"/>
    <n v="6.25E-2"/>
    <n v="0"/>
  </r>
  <r>
    <n v="1077"/>
    <s v="CA-2016-161781"/>
    <d v="2016-09-29T00:00:00"/>
    <x v="0"/>
    <s v="Q3"/>
    <x v="21"/>
    <d v="2016-09-30T00:00:00"/>
    <s v="First Class"/>
    <x v="385"/>
    <x v="385"/>
    <s v="Home Office"/>
    <s v="United States"/>
    <s v="Columbus"/>
    <x v="14"/>
    <n v="47201"/>
    <x v="2"/>
    <x v="809"/>
    <x v="1"/>
    <x v="6"/>
    <x v="807"/>
    <n v="40.880000000000003"/>
    <s v="Medium"/>
    <n v="7"/>
    <n v="0"/>
    <x v="0"/>
    <x v="0"/>
    <n v="10.6288"/>
    <n v="0.26"/>
    <n v="0"/>
  </r>
  <r>
    <n v="1078"/>
    <s v="CA-2017-132521"/>
    <d v="2017-09-23T00:00:00"/>
    <x v="3"/>
    <s v="Q3"/>
    <x v="15"/>
    <d v="2017-09-25T00:00:00"/>
    <s v="Second Class"/>
    <x v="386"/>
    <x v="386"/>
    <s v="Consumer"/>
    <s v="United States"/>
    <s v="Seattle"/>
    <x v="4"/>
    <n v="98105"/>
    <x v="1"/>
    <x v="810"/>
    <x v="1"/>
    <x v="9"/>
    <x v="808"/>
    <n v="119.96"/>
    <s v="Medium"/>
    <n v="2"/>
    <n v="0"/>
    <x v="0"/>
    <x v="0"/>
    <n v="33.588799999999999"/>
    <n v="0.28000000000000003"/>
    <n v="0"/>
  </r>
  <r>
    <n v="1079"/>
    <s v="CA-2017-132521"/>
    <d v="2017-09-23T00:00:00"/>
    <x v="3"/>
    <s v="Q3"/>
    <x v="15"/>
    <d v="2017-09-25T00:00:00"/>
    <s v="Second Class"/>
    <x v="386"/>
    <x v="386"/>
    <s v="Consumer"/>
    <s v="United States"/>
    <s v="Seattle"/>
    <x v="4"/>
    <n v="98105"/>
    <x v="1"/>
    <x v="470"/>
    <x v="1"/>
    <x v="4"/>
    <x v="471"/>
    <n v="31.44"/>
    <s v="Medium"/>
    <n v="3"/>
    <n v="0"/>
    <x v="0"/>
    <x v="0"/>
    <n v="8.4887999999999995"/>
    <n v="0.26999999999999996"/>
    <n v="0"/>
  </r>
  <r>
    <n v="1080"/>
    <s v="CA-2017-132521"/>
    <d v="2017-09-23T00:00:00"/>
    <x v="3"/>
    <s v="Q3"/>
    <x v="15"/>
    <d v="2017-09-25T00:00:00"/>
    <s v="Second Class"/>
    <x v="386"/>
    <x v="386"/>
    <s v="Consumer"/>
    <s v="United States"/>
    <s v="Seattle"/>
    <x v="4"/>
    <n v="98105"/>
    <x v="1"/>
    <x v="480"/>
    <x v="1"/>
    <x v="8"/>
    <x v="481"/>
    <n v="6.88"/>
    <s v="Low"/>
    <n v="1"/>
    <n v="0.2"/>
    <x v="2"/>
    <x v="2"/>
    <n v="2.3220000000000001"/>
    <n v="0.33750000000000002"/>
    <n v="0"/>
  </r>
  <r>
    <n v="1081"/>
    <s v="CA-2015-110016"/>
    <d v="2015-11-29T00:00:00"/>
    <x v="1"/>
    <s v="Q4"/>
    <x v="6"/>
    <d v="2015-12-04T00:00:00"/>
    <s v="Standard Class"/>
    <x v="387"/>
    <x v="387"/>
    <s v="Corporate"/>
    <s v="United States"/>
    <s v="Detroit"/>
    <x v="12"/>
    <n v="48227"/>
    <x v="2"/>
    <x v="811"/>
    <x v="1"/>
    <x v="10"/>
    <x v="33"/>
    <n v="19.920000000000002"/>
    <s v="Low"/>
    <n v="4"/>
    <n v="0"/>
    <x v="0"/>
    <x v="0"/>
    <n v="9.3623999999999992"/>
    <n v="0.46999999999999992"/>
    <n v="0"/>
  </r>
  <r>
    <n v="1082"/>
    <s v="CA-2015-110016"/>
    <d v="2015-11-29T00:00:00"/>
    <x v="1"/>
    <s v="Q4"/>
    <x v="6"/>
    <d v="2015-12-04T00:00:00"/>
    <s v="Standard Class"/>
    <x v="387"/>
    <x v="387"/>
    <s v="Corporate"/>
    <s v="United States"/>
    <s v="Detroit"/>
    <x v="12"/>
    <n v="48227"/>
    <x v="2"/>
    <x v="812"/>
    <x v="0"/>
    <x v="1"/>
    <x v="809"/>
    <n v="1106.9100000000001"/>
    <s v="High"/>
    <n v="9"/>
    <n v="0"/>
    <x v="0"/>
    <x v="0"/>
    <n v="121.76009999999999"/>
    <n v="0.10999999999999999"/>
    <n v="0"/>
  </r>
  <r>
    <n v="1083"/>
    <s v="US-2016-143819"/>
    <d v="2016-03-01T00:00:00"/>
    <x v="0"/>
    <s v="Q1"/>
    <x v="17"/>
    <d v="2016-03-05T00:00:00"/>
    <s v="Standard Class"/>
    <x v="30"/>
    <x v="30"/>
    <s v="Consumer"/>
    <s v="United States"/>
    <s v="Yonkers"/>
    <x v="15"/>
    <n v="10701"/>
    <x v="3"/>
    <x v="616"/>
    <x v="0"/>
    <x v="3"/>
    <x v="616"/>
    <n v="836.59199999999998"/>
    <s v="High"/>
    <n v="8"/>
    <n v="0.4"/>
    <x v="1"/>
    <x v="7"/>
    <n v="-264.92079999999999"/>
    <n v="-0.31666666666666665"/>
    <n v="1"/>
  </r>
  <r>
    <n v="1084"/>
    <s v="US-2016-143819"/>
    <d v="2016-03-01T00:00:00"/>
    <x v="0"/>
    <s v="Q1"/>
    <x v="17"/>
    <d v="2016-03-05T00:00:00"/>
    <s v="Standard Class"/>
    <x v="30"/>
    <x v="30"/>
    <s v="Consumer"/>
    <s v="United States"/>
    <s v="Yonkers"/>
    <x v="15"/>
    <n v="10701"/>
    <x v="3"/>
    <x v="813"/>
    <x v="1"/>
    <x v="10"/>
    <x v="33"/>
    <n v="26.38"/>
    <s v="Medium"/>
    <n v="1"/>
    <n v="0"/>
    <x v="0"/>
    <x v="0"/>
    <n v="12.1348"/>
    <n v="0.46"/>
    <n v="0"/>
  </r>
  <r>
    <n v="1085"/>
    <s v="US-2016-143819"/>
    <d v="2016-03-01T00:00:00"/>
    <x v="0"/>
    <s v="Q1"/>
    <x v="17"/>
    <d v="2016-03-05T00:00:00"/>
    <s v="Standard Class"/>
    <x v="30"/>
    <x v="30"/>
    <s v="Consumer"/>
    <s v="United States"/>
    <s v="Yonkers"/>
    <x v="15"/>
    <n v="10701"/>
    <x v="3"/>
    <x v="245"/>
    <x v="1"/>
    <x v="4"/>
    <x v="246"/>
    <n v="362.92"/>
    <s v="High"/>
    <n v="2"/>
    <n v="0"/>
    <x v="0"/>
    <x v="0"/>
    <n v="105.24679999999999"/>
    <n v="0.28999999999999998"/>
    <n v="0"/>
  </r>
  <r>
    <n v="1086"/>
    <s v="US-2016-143819"/>
    <d v="2016-03-01T00:00:00"/>
    <x v="0"/>
    <s v="Q1"/>
    <x v="17"/>
    <d v="2016-03-05T00:00:00"/>
    <s v="Standard Class"/>
    <x v="30"/>
    <x v="30"/>
    <s v="Consumer"/>
    <s v="United States"/>
    <s v="Yonkers"/>
    <x v="15"/>
    <n v="10701"/>
    <x v="3"/>
    <x v="814"/>
    <x v="2"/>
    <x v="15"/>
    <x v="810"/>
    <n v="4899.93"/>
    <s v="High"/>
    <n v="7"/>
    <n v="0"/>
    <x v="0"/>
    <x v="0"/>
    <n v="2400.9657000000002"/>
    <n v="0.49"/>
    <n v="0"/>
  </r>
  <r>
    <n v="1087"/>
    <s v="CA-2016-167584"/>
    <d v="2016-08-12T00:00:00"/>
    <x v="0"/>
    <s v="Q3"/>
    <x v="28"/>
    <d v="2016-08-12T00:00:00"/>
    <s v="Same Day"/>
    <x v="48"/>
    <x v="48"/>
    <s v="Consumer"/>
    <s v="United States"/>
    <s v="Des Moines"/>
    <x v="23"/>
    <n v="50315"/>
    <x v="2"/>
    <x v="815"/>
    <x v="1"/>
    <x v="10"/>
    <x v="811"/>
    <n v="6.48"/>
    <s v="Low"/>
    <n v="1"/>
    <n v="0"/>
    <x v="0"/>
    <x v="0"/>
    <n v="3.1103999999999998"/>
    <n v="0.47999999999999993"/>
    <n v="0"/>
  </r>
  <r>
    <n v="1088"/>
    <s v="CA-2016-166163"/>
    <d v="2016-08-15T00:00:00"/>
    <x v="0"/>
    <s v="Q3"/>
    <x v="28"/>
    <d v="2016-08-20T00:00:00"/>
    <s v="Second Class"/>
    <x v="388"/>
    <x v="388"/>
    <s v="Corporate"/>
    <s v="United States"/>
    <s v="Oakland"/>
    <x v="1"/>
    <n v="94601"/>
    <x v="1"/>
    <x v="173"/>
    <x v="2"/>
    <x v="7"/>
    <x v="174"/>
    <n v="71.975999999999999"/>
    <s v="Medium"/>
    <n v="3"/>
    <n v="0.2"/>
    <x v="2"/>
    <x v="2"/>
    <n v="7.1976000000000004"/>
    <n v="0.1"/>
    <n v="0"/>
  </r>
  <r>
    <n v="1089"/>
    <s v="CA-2016-166163"/>
    <d v="2016-08-15T00:00:00"/>
    <x v="0"/>
    <s v="Q3"/>
    <x v="28"/>
    <d v="2016-08-20T00:00:00"/>
    <s v="Second Class"/>
    <x v="388"/>
    <x v="388"/>
    <s v="Corporate"/>
    <s v="United States"/>
    <s v="Oakland"/>
    <x v="1"/>
    <n v="94601"/>
    <x v="1"/>
    <x v="816"/>
    <x v="1"/>
    <x v="2"/>
    <x v="812"/>
    <n v="3.15"/>
    <s v="Low"/>
    <n v="1"/>
    <n v="0"/>
    <x v="0"/>
    <x v="0"/>
    <n v="1.512"/>
    <n v="0.48000000000000004"/>
    <n v="0"/>
  </r>
  <r>
    <n v="1090"/>
    <s v="CA-2017-158407"/>
    <d v="2017-06-04T00:00:00"/>
    <x v="3"/>
    <s v="Q2"/>
    <x v="27"/>
    <d v="2017-06-10T00:00:00"/>
    <s v="Standard Class"/>
    <x v="352"/>
    <x v="352"/>
    <s v="Corporate"/>
    <s v="United States"/>
    <s v="Monroe"/>
    <x v="3"/>
    <n v="28110"/>
    <x v="0"/>
    <x v="296"/>
    <x v="0"/>
    <x v="5"/>
    <x v="296"/>
    <n v="31.984000000000002"/>
    <s v="Medium"/>
    <n v="2"/>
    <n v="0.2"/>
    <x v="2"/>
    <x v="2"/>
    <n v="1.9990000000000001"/>
    <n v="6.25E-2"/>
    <n v="0"/>
  </r>
  <r>
    <n v="1091"/>
    <s v="CA-2017-158407"/>
    <d v="2017-06-04T00:00:00"/>
    <x v="3"/>
    <s v="Q2"/>
    <x v="27"/>
    <d v="2017-06-10T00:00:00"/>
    <s v="Standard Class"/>
    <x v="352"/>
    <x v="352"/>
    <s v="Corporate"/>
    <s v="United States"/>
    <s v="Monroe"/>
    <x v="3"/>
    <n v="28110"/>
    <x v="0"/>
    <x v="817"/>
    <x v="2"/>
    <x v="7"/>
    <x v="813"/>
    <n v="71.983999999999995"/>
    <s v="Medium"/>
    <n v="2"/>
    <n v="0.2"/>
    <x v="2"/>
    <x v="2"/>
    <n v="25.194400000000002"/>
    <n v="0.35000000000000003"/>
    <n v="0"/>
  </r>
  <r>
    <n v="1092"/>
    <s v="CA-2015-143490"/>
    <d v="2015-12-06T00:00:00"/>
    <x v="1"/>
    <s v="Q4"/>
    <x v="14"/>
    <d v="2015-12-13T00:00:00"/>
    <s v="Standard Class"/>
    <x v="268"/>
    <x v="268"/>
    <s v="Consumer"/>
    <s v="United States"/>
    <s v="San Diego"/>
    <x v="1"/>
    <n v="92105"/>
    <x v="1"/>
    <x v="818"/>
    <x v="1"/>
    <x v="6"/>
    <x v="814"/>
    <n v="120.15"/>
    <s v="Medium"/>
    <n v="9"/>
    <n v="0"/>
    <x v="0"/>
    <x v="0"/>
    <n v="33.642000000000003"/>
    <n v="0.28000000000000003"/>
    <n v="0"/>
  </r>
  <r>
    <n v="1093"/>
    <s v="CA-2015-143490"/>
    <d v="2015-12-06T00:00:00"/>
    <x v="1"/>
    <s v="Q4"/>
    <x v="14"/>
    <d v="2015-12-13T00:00:00"/>
    <s v="Standard Class"/>
    <x v="268"/>
    <x v="268"/>
    <s v="Consumer"/>
    <s v="United States"/>
    <s v="San Diego"/>
    <x v="1"/>
    <n v="92105"/>
    <x v="1"/>
    <x v="819"/>
    <x v="2"/>
    <x v="7"/>
    <x v="815"/>
    <n v="219.184"/>
    <s v="High"/>
    <n v="2"/>
    <n v="0.2"/>
    <x v="2"/>
    <x v="2"/>
    <n v="19.178599999999999"/>
    <n v="8.7499999999999994E-2"/>
    <n v="0"/>
  </r>
  <r>
    <n v="1094"/>
    <s v="CA-2015-165085"/>
    <d v="2015-12-27T00:00:00"/>
    <x v="1"/>
    <s v="Q4"/>
    <x v="14"/>
    <d v="2015-12-31T00:00:00"/>
    <s v="Standard Class"/>
    <x v="389"/>
    <x v="389"/>
    <s v="Home Office"/>
    <s v="United States"/>
    <s v="Clinton"/>
    <x v="39"/>
    <n v="20735"/>
    <x v="3"/>
    <x v="820"/>
    <x v="1"/>
    <x v="10"/>
    <x v="816"/>
    <n v="28.9"/>
    <s v="Medium"/>
    <n v="5"/>
    <n v="0"/>
    <x v="0"/>
    <x v="0"/>
    <n v="14.161"/>
    <n v="0.49"/>
    <n v="0"/>
  </r>
  <r>
    <n v="1095"/>
    <s v="CA-2015-165085"/>
    <d v="2015-12-27T00:00:00"/>
    <x v="1"/>
    <s v="Q4"/>
    <x v="14"/>
    <d v="2015-12-31T00:00:00"/>
    <s v="Standard Class"/>
    <x v="389"/>
    <x v="389"/>
    <s v="Home Office"/>
    <s v="United States"/>
    <s v="Clinton"/>
    <x v="39"/>
    <n v="20735"/>
    <x v="3"/>
    <x v="159"/>
    <x v="1"/>
    <x v="9"/>
    <x v="160"/>
    <n v="355.96"/>
    <s v="High"/>
    <n v="2"/>
    <n v="0"/>
    <x v="0"/>
    <x v="0"/>
    <n v="103.22839999999999"/>
    <n v="0.28999999999999998"/>
    <n v="0"/>
  </r>
  <r>
    <n v="1096"/>
    <s v="CA-2017-160423"/>
    <d v="2017-01-21T00:00:00"/>
    <x v="3"/>
    <s v="Q1"/>
    <x v="44"/>
    <d v="2017-01-26T00:00:00"/>
    <s v="Standard Class"/>
    <x v="390"/>
    <x v="390"/>
    <s v="Home Office"/>
    <s v="United States"/>
    <s v="Charlotte"/>
    <x v="3"/>
    <n v="28205"/>
    <x v="0"/>
    <x v="821"/>
    <x v="1"/>
    <x v="4"/>
    <x v="817"/>
    <n v="348.20800000000003"/>
    <s v="High"/>
    <n v="7"/>
    <n v="0.2"/>
    <x v="2"/>
    <x v="2"/>
    <n v="30.4682"/>
    <n v="8.7499999999999994E-2"/>
    <n v="0"/>
  </r>
  <r>
    <n v="1097"/>
    <s v="CA-2017-160423"/>
    <d v="2017-01-21T00:00:00"/>
    <x v="3"/>
    <s v="Q1"/>
    <x v="44"/>
    <d v="2017-01-26T00:00:00"/>
    <s v="Standard Class"/>
    <x v="390"/>
    <x v="390"/>
    <s v="Home Office"/>
    <s v="United States"/>
    <s v="Charlotte"/>
    <x v="3"/>
    <n v="28205"/>
    <x v="0"/>
    <x v="822"/>
    <x v="1"/>
    <x v="8"/>
    <x v="818"/>
    <n v="35.783999999999999"/>
    <s v="Medium"/>
    <n v="7"/>
    <n v="0.7"/>
    <x v="1"/>
    <x v="5"/>
    <n v="-28.627199999999998"/>
    <n v="-0.79999999999999993"/>
    <n v="1"/>
  </r>
  <r>
    <n v="1098"/>
    <s v="CA-2014-159338"/>
    <d v="2014-06-25T00:00:00"/>
    <x v="2"/>
    <s v="Q2"/>
    <x v="3"/>
    <d v="2014-06-28T00:00:00"/>
    <s v="First Class"/>
    <x v="374"/>
    <x v="374"/>
    <s v="Corporate"/>
    <s v="United States"/>
    <s v="Los Angeles"/>
    <x v="1"/>
    <n v="90049"/>
    <x v="1"/>
    <x v="823"/>
    <x v="0"/>
    <x v="3"/>
    <x v="819"/>
    <n v="447.84"/>
    <s v="High"/>
    <n v="5"/>
    <n v="0.2"/>
    <x v="2"/>
    <x v="2"/>
    <n v="11.196"/>
    <n v="2.5000000000000001E-2"/>
    <n v="0"/>
  </r>
  <r>
    <n v="1099"/>
    <s v="CA-2016-107216"/>
    <d v="2016-06-14T00:00:00"/>
    <x v="0"/>
    <s v="Q2"/>
    <x v="1"/>
    <d v="2016-06-17T00:00:00"/>
    <s v="First Class"/>
    <x v="391"/>
    <x v="391"/>
    <s v="Home Office"/>
    <s v="United States"/>
    <s v="San Francisco"/>
    <x v="1"/>
    <n v="94122"/>
    <x v="1"/>
    <x v="824"/>
    <x v="1"/>
    <x v="6"/>
    <x v="820"/>
    <n v="7.04"/>
    <s v="Low"/>
    <n v="4"/>
    <n v="0"/>
    <x v="0"/>
    <x v="0"/>
    <n v="2.0415999999999999"/>
    <n v="0.28999999999999998"/>
    <n v="0"/>
  </r>
  <r>
    <n v="1100"/>
    <s v="CA-2016-107216"/>
    <d v="2016-06-14T00:00:00"/>
    <x v="0"/>
    <s v="Q2"/>
    <x v="1"/>
    <d v="2016-06-17T00:00:00"/>
    <s v="First Class"/>
    <x v="391"/>
    <x v="391"/>
    <s v="Home Office"/>
    <s v="United States"/>
    <s v="San Francisco"/>
    <x v="1"/>
    <n v="94122"/>
    <x v="1"/>
    <x v="396"/>
    <x v="0"/>
    <x v="5"/>
    <x v="397"/>
    <n v="8.73"/>
    <s v="Low"/>
    <n v="3"/>
    <n v="0"/>
    <x v="0"/>
    <x v="0"/>
    <n v="4.1031000000000004"/>
    <n v="0.47000000000000003"/>
    <n v="0"/>
  </r>
  <r>
    <n v="1101"/>
    <s v="CA-2016-107216"/>
    <d v="2016-06-14T00:00:00"/>
    <x v="0"/>
    <s v="Q2"/>
    <x v="1"/>
    <d v="2016-06-17T00:00:00"/>
    <s v="First Class"/>
    <x v="391"/>
    <x v="391"/>
    <s v="Home Office"/>
    <s v="United States"/>
    <s v="San Francisco"/>
    <x v="1"/>
    <n v="94122"/>
    <x v="1"/>
    <x v="825"/>
    <x v="2"/>
    <x v="11"/>
    <x v="821"/>
    <n v="29.29"/>
    <s v="Medium"/>
    <n v="1"/>
    <n v="0"/>
    <x v="0"/>
    <x v="0"/>
    <n v="9.6656999999999993"/>
    <n v="0.32999999999999996"/>
    <n v="0"/>
  </r>
  <r>
    <n v="1102"/>
    <s v="CA-2016-107216"/>
    <d v="2016-06-14T00:00:00"/>
    <x v="0"/>
    <s v="Q2"/>
    <x v="1"/>
    <d v="2016-06-17T00:00:00"/>
    <s v="First Class"/>
    <x v="391"/>
    <x v="391"/>
    <s v="Home Office"/>
    <s v="United States"/>
    <s v="San Francisco"/>
    <x v="1"/>
    <n v="94122"/>
    <x v="1"/>
    <x v="826"/>
    <x v="1"/>
    <x v="6"/>
    <x v="822"/>
    <n v="8.64"/>
    <s v="Low"/>
    <n v="3"/>
    <n v="0"/>
    <x v="0"/>
    <x v="0"/>
    <n v="2.5055999999999998"/>
    <n v="0.28999999999999998"/>
    <n v="0"/>
  </r>
  <r>
    <n v="1103"/>
    <s v="US-2017-145863"/>
    <d v="2017-04-21T00:00:00"/>
    <x v="3"/>
    <s v="Q2"/>
    <x v="4"/>
    <d v="2017-04-27T00:00:00"/>
    <s v="Standard Class"/>
    <x v="261"/>
    <x v="261"/>
    <s v="Consumer"/>
    <s v="United States"/>
    <s v="Houston"/>
    <x v="5"/>
    <n v="77041"/>
    <x v="2"/>
    <x v="307"/>
    <x v="1"/>
    <x v="8"/>
    <x v="307"/>
    <n v="2.694"/>
    <s v="Low"/>
    <n v="3"/>
    <n v="0.8"/>
    <x v="1"/>
    <x v="3"/>
    <n v="-4.7145000000000001"/>
    <n v="-1.75"/>
    <n v="1"/>
  </r>
  <r>
    <n v="1104"/>
    <s v="US-2017-145863"/>
    <d v="2017-04-21T00:00:00"/>
    <x v="3"/>
    <s v="Q2"/>
    <x v="4"/>
    <d v="2017-04-27T00:00:00"/>
    <s v="Standard Class"/>
    <x v="261"/>
    <x v="261"/>
    <s v="Consumer"/>
    <s v="United States"/>
    <s v="Houston"/>
    <x v="5"/>
    <n v="77041"/>
    <x v="2"/>
    <x v="766"/>
    <x v="1"/>
    <x v="8"/>
    <x v="765"/>
    <n v="2.9340000000000002"/>
    <s v="Low"/>
    <n v="3"/>
    <n v="0.8"/>
    <x v="1"/>
    <x v="3"/>
    <n v="-4.9878"/>
    <n v="-1.7"/>
    <n v="1"/>
  </r>
  <r>
    <n v="1105"/>
    <s v="CA-2016-112340"/>
    <d v="2016-10-21T00:00:00"/>
    <x v="0"/>
    <s v="Q4"/>
    <x v="32"/>
    <d v="2016-10-27T00:00:00"/>
    <s v="Standard Class"/>
    <x v="392"/>
    <x v="392"/>
    <s v="Consumer"/>
    <s v="United States"/>
    <s v="Riverside"/>
    <x v="1"/>
    <n v="92503"/>
    <x v="1"/>
    <x v="827"/>
    <x v="1"/>
    <x v="10"/>
    <x v="823"/>
    <n v="22.92"/>
    <s v="Low"/>
    <n v="3"/>
    <n v="0"/>
    <x v="0"/>
    <x v="0"/>
    <n v="11.2308"/>
    <n v="0.49"/>
    <n v="0"/>
  </r>
  <r>
    <n v="1106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193"/>
    <x v="1"/>
    <x v="4"/>
    <x v="194"/>
    <n v="100.70399999999999"/>
    <s v="Medium"/>
    <n v="6"/>
    <n v="0.2"/>
    <x v="2"/>
    <x v="2"/>
    <n v="-16.3644"/>
    <n v="-0.16250000000000001"/>
    <n v="1"/>
  </r>
  <r>
    <n v="1107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396"/>
    <x v="0"/>
    <x v="5"/>
    <x v="397"/>
    <n v="2.3279999999999998"/>
    <s v="Low"/>
    <n v="2"/>
    <n v="0.6"/>
    <x v="1"/>
    <x v="6"/>
    <n v="-0.75660000000000005"/>
    <n v="-0.32500000000000007"/>
    <n v="1"/>
  </r>
  <r>
    <n v="1108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828"/>
    <x v="1"/>
    <x v="8"/>
    <x v="824"/>
    <n v="10.78"/>
    <s v="Low"/>
    <n v="5"/>
    <n v="0.8"/>
    <x v="1"/>
    <x v="3"/>
    <n v="-17.248000000000001"/>
    <n v="-1.6"/>
    <n v="1"/>
  </r>
  <r>
    <n v="1109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829"/>
    <x v="1"/>
    <x v="13"/>
    <x v="128"/>
    <n v="58.368000000000002"/>
    <s v="Medium"/>
    <n v="12"/>
    <n v="0.2"/>
    <x v="2"/>
    <x v="2"/>
    <n v="21.888000000000002"/>
    <n v="0.375"/>
    <n v="0"/>
  </r>
  <r>
    <n v="1110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830"/>
    <x v="1"/>
    <x v="12"/>
    <x v="825"/>
    <n v="40.968000000000004"/>
    <s v="Medium"/>
    <n v="3"/>
    <n v="0.2"/>
    <x v="2"/>
    <x v="2"/>
    <n v="13.826700000000001"/>
    <n v="0.33749999999999997"/>
    <n v="0"/>
  </r>
  <r>
    <n v="1111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831"/>
    <x v="2"/>
    <x v="7"/>
    <x v="826"/>
    <n v="71.959999999999994"/>
    <s v="Medium"/>
    <n v="5"/>
    <n v="0.2"/>
    <x v="2"/>
    <x v="2"/>
    <n v="25.186"/>
    <n v="0.35000000000000003"/>
    <n v="0"/>
  </r>
  <r>
    <n v="1112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832"/>
    <x v="1"/>
    <x v="10"/>
    <x v="827"/>
    <n v="10.368"/>
    <s v="Low"/>
    <n v="2"/>
    <n v="0.2"/>
    <x v="2"/>
    <x v="2"/>
    <n v="3.6288"/>
    <n v="0.35"/>
    <n v="0"/>
  </r>
  <r>
    <n v="1113"/>
    <s v="US-2016-110156"/>
    <d v="2016-11-19T00:00:00"/>
    <x v="0"/>
    <s v="Q4"/>
    <x v="0"/>
    <d v="2016-11-24T00:00:00"/>
    <s v="Standard Class"/>
    <x v="13"/>
    <x v="13"/>
    <s v="Consumer"/>
    <s v="United States"/>
    <s v="Houston"/>
    <x v="5"/>
    <n v="77041"/>
    <x v="2"/>
    <x v="98"/>
    <x v="1"/>
    <x v="8"/>
    <x v="98"/>
    <n v="1.1919999999999999"/>
    <s v="Low"/>
    <n v="2"/>
    <n v="0.8"/>
    <x v="1"/>
    <x v="3"/>
    <n v="-2.0264000000000002"/>
    <n v="-1.7000000000000002"/>
    <n v="1"/>
  </r>
  <r>
    <n v="1114"/>
    <s v="CA-2017-140585"/>
    <d v="2017-12-18T00:00:00"/>
    <x v="3"/>
    <s v="Q4"/>
    <x v="22"/>
    <d v="2017-12-23T00:00:00"/>
    <s v="Second Class"/>
    <x v="154"/>
    <x v="154"/>
    <s v="Consumer"/>
    <s v="United States"/>
    <s v="Encinitas"/>
    <x v="1"/>
    <n v="92024"/>
    <x v="1"/>
    <x v="705"/>
    <x v="1"/>
    <x v="8"/>
    <x v="705"/>
    <n v="46.671999999999997"/>
    <s v="Medium"/>
    <n v="2"/>
    <n v="0.2"/>
    <x v="2"/>
    <x v="2"/>
    <n v="16.3352"/>
    <n v="0.35000000000000003"/>
    <n v="0"/>
  </r>
  <r>
    <n v="1115"/>
    <s v="CA-2017-140585"/>
    <d v="2017-12-18T00:00:00"/>
    <x v="3"/>
    <s v="Q4"/>
    <x v="22"/>
    <d v="2017-12-23T00:00:00"/>
    <s v="Second Class"/>
    <x v="154"/>
    <x v="154"/>
    <s v="Consumer"/>
    <s v="United States"/>
    <s v="Encinitas"/>
    <x v="1"/>
    <n v="92024"/>
    <x v="1"/>
    <x v="833"/>
    <x v="0"/>
    <x v="0"/>
    <x v="828"/>
    <n v="119.833"/>
    <s v="Medium"/>
    <n v="1"/>
    <n v="0.15"/>
    <x v="2"/>
    <x v="2"/>
    <n v="-12.6882"/>
    <n v="-0.10588235294117647"/>
    <n v="1"/>
  </r>
  <r>
    <n v="1116"/>
    <s v="CA-2017-140585"/>
    <d v="2017-12-18T00:00:00"/>
    <x v="3"/>
    <s v="Q4"/>
    <x v="22"/>
    <d v="2017-12-23T00:00:00"/>
    <s v="Second Class"/>
    <x v="154"/>
    <x v="154"/>
    <s v="Consumer"/>
    <s v="United States"/>
    <s v="Encinitas"/>
    <x v="1"/>
    <n v="92024"/>
    <x v="1"/>
    <x v="603"/>
    <x v="2"/>
    <x v="11"/>
    <x v="603"/>
    <n v="119.98"/>
    <s v="Medium"/>
    <n v="2"/>
    <n v="0"/>
    <x v="0"/>
    <x v="0"/>
    <n v="57.590400000000002"/>
    <n v="0.48"/>
    <n v="0"/>
  </r>
  <r>
    <n v="1117"/>
    <s v="CA-2016-144855"/>
    <d v="2016-07-22T00:00:00"/>
    <x v="0"/>
    <s v="Q3"/>
    <x v="16"/>
    <d v="2016-07-24T00:00:00"/>
    <s v="Second Class"/>
    <x v="393"/>
    <x v="393"/>
    <s v="Corporate"/>
    <s v="United States"/>
    <s v="San Francisco"/>
    <x v="1"/>
    <n v="94110"/>
    <x v="1"/>
    <x v="365"/>
    <x v="1"/>
    <x v="2"/>
    <x v="365"/>
    <n v="6.3"/>
    <s v="Low"/>
    <n v="2"/>
    <n v="0"/>
    <x v="0"/>
    <x v="0"/>
    <n v="3.024"/>
    <n v="0.48000000000000004"/>
    <n v="0"/>
  </r>
  <r>
    <n v="1118"/>
    <s v="CA-2015-142755"/>
    <d v="2015-09-04T00:00:00"/>
    <x v="1"/>
    <s v="Q3"/>
    <x v="11"/>
    <d v="2015-09-08T00:00:00"/>
    <s v="Standard Class"/>
    <x v="394"/>
    <x v="394"/>
    <s v="Consumer"/>
    <s v="United States"/>
    <s v="Roswell"/>
    <x v="32"/>
    <n v="30076"/>
    <x v="0"/>
    <x v="314"/>
    <x v="1"/>
    <x v="10"/>
    <x v="366"/>
    <n v="279.89999999999998"/>
    <s v="High"/>
    <n v="5"/>
    <n v="0"/>
    <x v="0"/>
    <x v="0"/>
    <n v="137.15100000000001"/>
    <n v="0.4900000000000001"/>
    <n v="0"/>
  </r>
  <r>
    <n v="1119"/>
    <s v="CA-2015-142755"/>
    <d v="2015-09-04T00:00:00"/>
    <x v="1"/>
    <s v="Q3"/>
    <x v="11"/>
    <d v="2015-09-08T00:00:00"/>
    <s v="Standard Class"/>
    <x v="394"/>
    <x v="394"/>
    <s v="Consumer"/>
    <s v="United States"/>
    <s v="Roswell"/>
    <x v="32"/>
    <n v="30076"/>
    <x v="0"/>
    <x v="695"/>
    <x v="2"/>
    <x v="11"/>
    <x v="695"/>
    <n v="619.95000000000005"/>
    <s v="High"/>
    <n v="5"/>
    <n v="0"/>
    <x v="0"/>
    <x v="0"/>
    <n v="111.59099999999999"/>
    <n v="0.17999999999999997"/>
    <n v="0"/>
  </r>
  <r>
    <n v="1120"/>
    <s v="CA-2015-142755"/>
    <d v="2015-09-04T00:00:00"/>
    <x v="1"/>
    <s v="Q3"/>
    <x v="11"/>
    <d v="2015-09-08T00:00:00"/>
    <s v="Standard Class"/>
    <x v="394"/>
    <x v="394"/>
    <s v="Consumer"/>
    <s v="United States"/>
    <s v="Roswell"/>
    <x v="32"/>
    <n v="30076"/>
    <x v="0"/>
    <x v="834"/>
    <x v="1"/>
    <x v="10"/>
    <x v="829"/>
    <n v="4.3600000000000003"/>
    <s v="Low"/>
    <n v="2"/>
    <n v="0"/>
    <x v="0"/>
    <x v="0"/>
    <n v="2.0491999999999999"/>
    <n v="0.46999999999999992"/>
    <n v="0"/>
  </r>
  <r>
    <n v="1121"/>
    <s v="CA-2015-142755"/>
    <d v="2015-09-04T00:00:00"/>
    <x v="1"/>
    <s v="Q3"/>
    <x v="11"/>
    <d v="2015-09-08T00:00:00"/>
    <s v="Standard Class"/>
    <x v="394"/>
    <x v="394"/>
    <s v="Consumer"/>
    <s v="United States"/>
    <s v="Roswell"/>
    <x v="32"/>
    <n v="30076"/>
    <x v="0"/>
    <x v="661"/>
    <x v="1"/>
    <x v="12"/>
    <x v="661"/>
    <n v="15.28"/>
    <s v="Low"/>
    <n v="2"/>
    <n v="0"/>
    <x v="0"/>
    <x v="0"/>
    <n v="7.4871999999999996"/>
    <n v="0.49"/>
    <n v="0"/>
  </r>
  <r>
    <n v="1122"/>
    <s v="US-2014-147627"/>
    <d v="2014-01-20T00:00:00"/>
    <x v="2"/>
    <s v="Q1"/>
    <x v="46"/>
    <d v="2014-01-26T00:00:00"/>
    <s v="Standard Class"/>
    <x v="332"/>
    <x v="332"/>
    <s v="Consumer"/>
    <s v="United States"/>
    <s v="Jonesboro"/>
    <x v="36"/>
    <n v="72401"/>
    <x v="0"/>
    <x v="835"/>
    <x v="2"/>
    <x v="7"/>
    <x v="830"/>
    <n v="699.93"/>
    <s v="High"/>
    <n v="7"/>
    <n v="0"/>
    <x v="0"/>
    <x v="0"/>
    <n v="181.98179999999999"/>
    <n v="0.26"/>
    <n v="0"/>
  </r>
  <r>
    <n v="1123"/>
    <s v="US-2014-147627"/>
    <d v="2014-01-20T00:00:00"/>
    <x v="2"/>
    <s v="Q1"/>
    <x v="46"/>
    <d v="2014-01-26T00:00:00"/>
    <s v="Standard Class"/>
    <x v="332"/>
    <x v="332"/>
    <s v="Consumer"/>
    <s v="United States"/>
    <s v="Jonesboro"/>
    <x v="36"/>
    <n v="72401"/>
    <x v="0"/>
    <x v="836"/>
    <x v="1"/>
    <x v="6"/>
    <x v="831"/>
    <n v="22.96"/>
    <s v="Low"/>
    <n v="7"/>
    <n v="0"/>
    <x v="0"/>
    <x v="0"/>
    <n v="6.6584000000000003"/>
    <n v="0.28999999999999998"/>
    <n v="0"/>
  </r>
  <r>
    <n v="1124"/>
    <s v="US-2014-147627"/>
    <d v="2014-01-20T00:00:00"/>
    <x v="2"/>
    <s v="Q1"/>
    <x v="46"/>
    <d v="2014-01-26T00:00:00"/>
    <s v="Standard Class"/>
    <x v="332"/>
    <x v="332"/>
    <s v="Consumer"/>
    <s v="United States"/>
    <s v="Jonesboro"/>
    <x v="36"/>
    <n v="72401"/>
    <x v="0"/>
    <x v="76"/>
    <x v="0"/>
    <x v="5"/>
    <x v="76"/>
    <n v="38.6"/>
    <s v="Medium"/>
    <n v="4"/>
    <n v="0"/>
    <x v="0"/>
    <x v="0"/>
    <n v="11.58"/>
    <n v="0.3"/>
    <n v="0"/>
  </r>
  <r>
    <n v="1125"/>
    <s v="US-2014-147627"/>
    <d v="2014-01-20T00:00:00"/>
    <x v="2"/>
    <s v="Q1"/>
    <x v="46"/>
    <d v="2014-01-26T00:00:00"/>
    <s v="Standard Class"/>
    <x v="332"/>
    <x v="332"/>
    <s v="Consumer"/>
    <s v="United States"/>
    <s v="Jonesboro"/>
    <x v="36"/>
    <n v="72401"/>
    <x v="0"/>
    <x v="453"/>
    <x v="1"/>
    <x v="6"/>
    <x v="454"/>
    <n v="6.63"/>
    <s v="Low"/>
    <n v="3"/>
    <n v="0"/>
    <x v="0"/>
    <x v="0"/>
    <n v="1.7901"/>
    <n v="0.27"/>
    <n v="0"/>
  </r>
  <r>
    <n v="1126"/>
    <s v="US-2014-147627"/>
    <d v="2014-01-20T00:00:00"/>
    <x v="2"/>
    <s v="Q1"/>
    <x v="46"/>
    <d v="2014-01-26T00:00:00"/>
    <s v="Standard Class"/>
    <x v="332"/>
    <x v="332"/>
    <s v="Consumer"/>
    <s v="United States"/>
    <s v="Jonesboro"/>
    <x v="36"/>
    <n v="72401"/>
    <x v="0"/>
    <x v="837"/>
    <x v="1"/>
    <x v="12"/>
    <x v="153"/>
    <n v="23.34"/>
    <s v="Low"/>
    <n v="3"/>
    <n v="0"/>
    <x v="0"/>
    <x v="0"/>
    <n v="10.969799999999999"/>
    <n v="0.47"/>
    <n v="0"/>
  </r>
  <r>
    <n v="1127"/>
    <s v="US-2014-147627"/>
    <d v="2014-01-20T00:00:00"/>
    <x v="2"/>
    <s v="Q1"/>
    <x v="46"/>
    <d v="2014-01-26T00:00:00"/>
    <s v="Standard Class"/>
    <x v="332"/>
    <x v="332"/>
    <s v="Consumer"/>
    <s v="United States"/>
    <s v="Jonesboro"/>
    <x v="36"/>
    <n v="72401"/>
    <x v="0"/>
    <x v="406"/>
    <x v="0"/>
    <x v="1"/>
    <x v="407"/>
    <n v="1067.94"/>
    <s v="High"/>
    <n v="3"/>
    <n v="0"/>
    <x v="0"/>
    <x v="0"/>
    <n v="224.26740000000001"/>
    <n v="0.21"/>
    <n v="0"/>
  </r>
  <r>
    <n v="1128"/>
    <s v="CA-2015-105970"/>
    <d v="2015-03-02T00:00:00"/>
    <x v="1"/>
    <s v="Q1"/>
    <x v="29"/>
    <d v="2015-03-07T00:00:00"/>
    <s v="Standard Class"/>
    <x v="50"/>
    <x v="50"/>
    <s v="Home Office"/>
    <s v="United States"/>
    <s v="Richmond"/>
    <x v="14"/>
    <n v="47374"/>
    <x v="2"/>
    <x v="400"/>
    <x v="1"/>
    <x v="6"/>
    <x v="401"/>
    <n v="10.16"/>
    <s v="Low"/>
    <n v="1"/>
    <n v="0"/>
    <x v="0"/>
    <x v="0"/>
    <n v="2.6415999999999999"/>
    <n v="0.26"/>
    <n v="0"/>
  </r>
  <r>
    <n v="1129"/>
    <s v="CA-2015-105970"/>
    <d v="2015-03-02T00:00:00"/>
    <x v="1"/>
    <s v="Q1"/>
    <x v="29"/>
    <d v="2015-03-07T00:00:00"/>
    <s v="Standard Class"/>
    <x v="50"/>
    <x v="50"/>
    <s v="Home Office"/>
    <s v="United States"/>
    <s v="Richmond"/>
    <x v="14"/>
    <n v="47374"/>
    <x v="2"/>
    <x v="618"/>
    <x v="1"/>
    <x v="12"/>
    <x v="618"/>
    <n v="101.88"/>
    <s v="Medium"/>
    <n v="6"/>
    <n v="0"/>
    <x v="0"/>
    <x v="0"/>
    <n v="50.94"/>
    <n v="0.5"/>
    <n v="0"/>
  </r>
  <r>
    <n v="1130"/>
    <s v="CA-2016-112102"/>
    <d v="2016-04-12T00:00:00"/>
    <x v="0"/>
    <s v="Q2"/>
    <x v="25"/>
    <d v="2016-04-16T00:00:00"/>
    <s v="Standard Class"/>
    <x v="205"/>
    <x v="205"/>
    <s v="Consumer"/>
    <s v="United States"/>
    <s v="Springfield"/>
    <x v="17"/>
    <n v="22153"/>
    <x v="0"/>
    <x v="838"/>
    <x v="0"/>
    <x v="3"/>
    <x v="832"/>
    <n v="343.92"/>
    <s v="High"/>
    <n v="4"/>
    <n v="0"/>
    <x v="0"/>
    <x v="0"/>
    <n v="75.662400000000005"/>
    <n v="0.22"/>
    <n v="0"/>
  </r>
  <r>
    <n v="1131"/>
    <s v="CA-2016-112102"/>
    <d v="2016-04-12T00:00:00"/>
    <x v="0"/>
    <s v="Q2"/>
    <x v="25"/>
    <d v="2016-04-16T00:00:00"/>
    <s v="Standard Class"/>
    <x v="205"/>
    <x v="205"/>
    <s v="Consumer"/>
    <s v="United States"/>
    <s v="Springfield"/>
    <x v="17"/>
    <n v="22153"/>
    <x v="0"/>
    <x v="839"/>
    <x v="1"/>
    <x v="10"/>
    <x v="833"/>
    <n v="40.99"/>
    <s v="Medium"/>
    <n v="1"/>
    <n v="0"/>
    <x v="0"/>
    <x v="0"/>
    <n v="20.085100000000001"/>
    <n v="0.49"/>
    <n v="0"/>
  </r>
  <r>
    <n v="1132"/>
    <s v="CA-2016-112102"/>
    <d v="2016-04-12T00:00:00"/>
    <x v="0"/>
    <s v="Q2"/>
    <x v="25"/>
    <d v="2016-04-16T00:00:00"/>
    <s v="Standard Class"/>
    <x v="205"/>
    <x v="205"/>
    <s v="Consumer"/>
    <s v="United States"/>
    <s v="Springfield"/>
    <x v="17"/>
    <n v="22153"/>
    <x v="0"/>
    <x v="118"/>
    <x v="1"/>
    <x v="12"/>
    <x v="118"/>
    <n v="63.9"/>
    <s v="Medium"/>
    <n v="5"/>
    <n v="0"/>
    <x v="0"/>
    <x v="0"/>
    <n v="28.754999999999999"/>
    <n v="0.45"/>
    <n v="0"/>
  </r>
  <r>
    <n v="1133"/>
    <s v="US-2016-114776"/>
    <d v="2016-12-06T00:00:00"/>
    <x v="0"/>
    <s v="Q4"/>
    <x v="5"/>
    <d v="2016-12-07T00:00:00"/>
    <s v="First Class"/>
    <x v="55"/>
    <x v="55"/>
    <s v="Corporate"/>
    <s v="United States"/>
    <s v="Antioch"/>
    <x v="1"/>
    <n v="94509"/>
    <x v="1"/>
    <x v="260"/>
    <x v="1"/>
    <x v="10"/>
    <x v="260"/>
    <n v="19.440000000000001"/>
    <s v="Low"/>
    <n v="3"/>
    <n v="0"/>
    <x v="0"/>
    <x v="0"/>
    <n v="9.3312000000000008"/>
    <n v="0.48000000000000004"/>
    <n v="0"/>
  </r>
  <r>
    <n v="1134"/>
    <s v="US-2016-134908"/>
    <d v="2016-06-05T00:00:00"/>
    <x v="0"/>
    <s v="Q2"/>
    <x v="1"/>
    <d v="2016-06-09T00:00:00"/>
    <s v="Standard Class"/>
    <x v="185"/>
    <x v="185"/>
    <s v="Home Office"/>
    <s v="United States"/>
    <s v="Philadelphia"/>
    <x v="9"/>
    <n v="19134"/>
    <x v="3"/>
    <x v="41"/>
    <x v="1"/>
    <x v="4"/>
    <x v="41"/>
    <n v="124.608"/>
    <s v="High"/>
    <n v="4"/>
    <n v="0.2"/>
    <x v="2"/>
    <x v="2"/>
    <n v="-23.364000000000001"/>
    <n v="-0.1875"/>
    <n v="1"/>
  </r>
  <r>
    <n v="1135"/>
    <s v="US-2016-134908"/>
    <d v="2016-06-05T00:00:00"/>
    <x v="0"/>
    <s v="Q2"/>
    <x v="1"/>
    <d v="2016-06-09T00:00:00"/>
    <s v="Standard Class"/>
    <x v="185"/>
    <x v="185"/>
    <s v="Home Office"/>
    <s v="United States"/>
    <s v="Philadelphia"/>
    <x v="9"/>
    <n v="19134"/>
    <x v="3"/>
    <x v="840"/>
    <x v="1"/>
    <x v="2"/>
    <x v="834"/>
    <n v="7.56"/>
    <s v="Low"/>
    <n v="3"/>
    <n v="0.2"/>
    <x v="2"/>
    <x v="2"/>
    <n v="2.6459999999999999"/>
    <n v="0.35000000000000003"/>
    <n v="0"/>
  </r>
  <r>
    <n v="1136"/>
    <s v="US-2016-148803"/>
    <d v="2016-12-11T00:00:00"/>
    <x v="0"/>
    <s v="Q4"/>
    <x v="5"/>
    <d v="2016-12-11T00:00:00"/>
    <s v="Same Day"/>
    <x v="235"/>
    <x v="235"/>
    <s v="Consumer"/>
    <s v="United States"/>
    <s v="Homestead"/>
    <x v="2"/>
    <n v="33030"/>
    <x v="0"/>
    <x v="841"/>
    <x v="1"/>
    <x v="4"/>
    <x v="835"/>
    <n v="85.224000000000004"/>
    <s v="Medium"/>
    <n v="3"/>
    <n v="0.2"/>
    <x v="2"/>
    <x v="2"/>
    <n v="7.4570999999999996"/>
    <n v="8.7499999999999994E-2"/>
    <n v="0"/>
  </r>
  <r>
    <n v="1137"/>
    <s v="CA-2016-152170"/>
    <d v="2016-11-12T00:00:00"/>
    <x v="0"/>
    <s v="Q4"/>
    <x v="0"/>
    <d v="2016-11-15T00:00:00"/>
    <s v="Second Class"/>
    <x v="395"/>
    <x v="395"/>
    <s v="Corporate"/>
    <s v="United States"/>
    <s v="La Porte"/>
    <x v="14"/>
    <n v="46350"/>
    <x v="2"/>
    <x v="842"/>
    <x v="1"/>
    <x v="12"/>
    <x v="836"/>
    <n v="287.52"/>
    <s v="High"/>
    <n v="8"/>
    <n v="0"/>
    <x v="0"/>
    <x v="0"/>
    <n v="129.38399999999999"/>
    <n v="0.44999999999999996"/>
    <n v="0"/>
  </r>
  <r>
    <n v="1138"/>
    <s v="CA-2016-152170"/>
    <d v="2016-11-12T00:00:00"/>
    <x v="0"/>
    <s v="Q4"/>
    <x v="0"/>
    <d v="2016-11-15T00:00:00"/>
    <s v="Second Class"/>
    <x v="395"/>
    <x v="395"/>
    <s v="Corporate"/>
    <s v="United States"/>
    <s v="La Porte"/>
    <x v="14"/>
    <n v="46350"/>
    <x v="2"/>
    <x v="551"/>
    <x v="1"/>
    <x v="9"/>
    <x v="550"/>
    <n v="37.68"/>
    <s v="Medium"/>
    <n v="2"/>
    <n v="0"/>
    <x v="0"/>
    <x v="0"/>
    <n v="10.5504"/>
    <n v="0.27999999999999997"/>
    <n v="0"/>
  </r>
  <r>
    <n v="1139"/>
    <s v="CA-2016-152170"/>
    <d v="2016-11-12T00:00:00"/>
    <x v="0"/>
    <s v="Q4"/>
    <x v="0"/>
    <d v="2016-11-15T00:00:00"/>
    <s v="Second Class"/>
    <x v="395"/>
    <x v="395"/>
    <s v="Corporate"/>
    <s v="United States"/>
    <s v="La Porte"/>
    <x v="14"/>
    <n v="46350"/>
    <x v="2"/>
    <x v="843"/>
    <x v="1"/>
    <x v="10"/>
    <x v="837"/>
    <n v="19.98"/>
    <s v="Low"/>
    <n v="2"/>
    <n v="0"/>
    <x v="0"/>
    <x v="0"/>
    <n v="8.9909999999999997"/>
    <n v="0.44999999999999996"/>
    <n v="0"/>
  </r>
  <r>
    <n v="1140"/>
    <s v="CA-2016-152170"/>
    <d v="2016-11-12T00:00:00"/>
    <x v="0"/>
    <s v="Q4"/>
    <x v="0"/>
    <d v="2016-11-15T00:00:00"/>
    <s v="Second Class"/>
    <x v="395"/>
    <x v="395"/>
    <s v="Corporate"/>
    <s v="United States"/>
    <s v="La Porte"/>
    <x v="14"/>
    <n v="46350"/>
    <x v="2"/>
    <x v="501"/>
    <x v="1"/>
    <x v="6"/>
    <x v="501"/>
    <n v="20.58"/>
    <s v="Low"/>
    <n v="7"/>
    <n v="0"/>
    <x v="0"/>
    <x v="0"/>
    <n v="5.5566000000000004"/>
    <n v="0.27"/>
    <n v="0"/>
  </r>
  <r>
    <n v="1141"/>
    <s v="CA-2016-152170"/>
    <d v="2016-11-12T00:00:00"/>
    <x v="0"/>
    <s v="Q4"/>
    <x v="0"/>
    <d v="2016-11-15T00:00:00"/>
    <s v="Second Class"/>
    <x v="395"/>
    <x v="395"/>
    <s v="Corporate"/>
    <s v="United States"/>
    <s v="La Porte"/>
    <x v="14"/>
    <n v="46350"/>
    <x v="2"/>
    <x v="844"/>
    <x v="1"/>
    <x v="8"/>
    <x v="838"/>
    <n v="17.38"/>
    <s v="Low"/>
    <n v="2"/>
    <n v="0"/>
    <x v="0"/>
    <x v="0"/>
    <n v="8.69"/>
    <n v="0.5"/>
    <n v="0"/>
  </r>
  <r>
    <n v="1142"/>
    <s v="CA-2014-146969"/>
    <d v="2014-09-29T00:00:00"/>
    <x v="2"/>
    <s v="Q3"/>
    <x v="30"/>
    <d v="2014-10-03T00:00:00"/>
    <s v="Standard Class"/>
    <x v="275"/>
    <x v="275"/>
    <s v="Consumer"/>
    <s v="United States"/>
    <s v="Los Angeles"/>
    <x v="1"/>
    <n v="90045"/>
    <x v="1"/>
    <x v="743"/>
    <x v="0"/>
    <x v="5"/>
    <x v="741"/>
    <n v="204.6"/>
    <s v="High"/>
    <n v="2"/>
    <n v="0"/>
    <x v="0"/>
    <x v="0"/>
    <n v="53.195999999999998"/>
    <n v="0.26"/>
    <n v="0"/>
  </r>
  <r>
    <n v="1143"/>
    <s v="CA-2014-146969"/>
    <d v="2014-09-29T00:00:00"/>
    <x v="2"/>
    <s v="Q3"/>
    <x v="30"/>
    <d v="2014-10-03T00:00:00"/>
    <s v="Standard Class"/>
    <x v="275"/>
    <x v="275"/>
    <s v="Consumer"/>
    <s v="United States"/>
    <s v="Los Angeles"/>
    <x v="1"/>
    <n v="90045"/>
    <x v="1"/>
    <x v="845"/>
    <x v="1"/>
    <x v="13"/>
    <x v="839"/>
    <n v="8.7200000000000006"/>
    <s v="Low"/>
    <n v="4"/>
    <n v="0"/>
    <x v="0"/>
    <x v="0"/>
    <n v="2.8776000000000002"/>
    <n v="0.33"/>
    <n v="0"/>
  </r>
  <r>
    <n v="1144"/>
    <s v="CA-2014-146969"/>
    <d v="2014-09-29T00:00:00"/>
    <x v="2"/>
    <s v="Q3"/>
    <x v="30"/>
    <d v="2014-10-03T00:00:00"/>
    <s v="Standard Class"/>
    <x v="275"/>
    <x v="275"/>
    <s v="Consumer"/>
    <s v="United States"/>
    <s v="Los Angeles"/>
    <x v="1"/>
    <n v="90045"/>
    <x v="1"/>
    <x v="272"/>
    <x v="1"/>
    <x v="10"/>
    <x v="272"/>
    <n v="6.48"/>
    <s v="Low"/>
    <n v="1"/>
    <n v="0"/>
    <x v="0"/>
    <x v="0"/>
    <n v="3.1103999999999998"/>
    <n v="0.47999999999999993"/>
    <n v="0"/>
  </r>
  <r>
    <n v="1145"/>
    <s v="CA-2014-146969"/>
    <d v="2014-09-29T00:00:00"/>
    <x v="2"/>
    <s v="Q3"/>
    <x v="30"/>
    <d v="2014-10-03T00:00:00"/>
    <s v="Standard Class"/>
    <x v="275"/>
    <x v="275"/>
    <s v="Consumer"/>
    <s v="United States"/>
    <s v="Los Angeles"/>
    <x v="1"/>
    <n v="90045"/>
    <x v="1"/>
    <x v="846"/>
    <x v="2"/>
    <x v="15"/>
    <x v="840"/>
    <n v="686.32"/>
    <s v="High"/>
    <n v="2"/>
    <n v="0.2"/>
    <x v="2"/>
    <x v="2"/>
    <n v="223.054"/>
    <n v="0.32499999999999996"/>
    <n v="0"/>
  </r>
  <r>
    <n v="1146"/>
    <s v="CA-2014-146969"/>
    <d v="2014-09-29T00:00:00"/>
    <x v="2"/>
    <s v="Q3"/>
    <x v="30"/>
    <d v="2014-10-03T00:00:00"/>
    <s v="Standard Class"/>
    <x v="275"/>
    <x v="275"/>
    <s v="Consumer"/>
    <s v="United States"/>
    <s v="Los Angeles"/>
    <x v="1"/>
    <n v="90045"/>
    <x v="1"/>
    <x v="821"/>
    <x v="1"/>
    <x v="4"/>
    <x v="817"/>
    <n v="62.18"/>
    <s v="Medium"/>
    <n v="1"/>
    <n v="0"/>
    <x v="0"/>
    <x v="0"/>
    <n v="16.788599999999999"/>
    <n v="0.26999999999999996"/>
    <n v="0"/>
  </r>
  <r>
    <n v="1147"/>
    <s v="CA-2015-112452"/>
    <d v="2015-04-04T00:00:00"/>
    <x v="1"/>
    <s v="Q2"/>
    <x v="19"/>
    <d v="2015-04-04T00:00:00"/>
    <s v="Same Day"/>
    <x v="396"/>
    <x v="396"/>
    <s v="Consumer"/>
    <s v="United States"/>
    <s v="Lansing"/>
    <x v="12"/>
    <n v="48911"/>
    <x v="2"/>
    <x v="847"/>
    <x v="1"/>
    <x v="9"/>
    <x v="841"/>
    <n v="644.07600000000002"/>
    <s v="High"/>
    <n v="2"/>
    <n v="0.1"/>
    <x v="3"/>
    <x v="8"/>
    <n v="107.346"/>
    <n v="0.16666666666666666"/>
    <n v="0"/>
  </r>
  <r>
    <n v="1148"/>
    <s v="CA-2015-112452"/>
    <d v="2015-04-04T00:00:00"/>
    <x v="1"/>
    <s v="Q2"/>
    <x v="19"/>
    <d v="2015-04-04T00:00:00"/>
    <s v="Same Day"/>
    <x v="396"/>
    <x v="396"/>
    <s v="Consumer"/>
    <s v="United States"/>
    <s v="Lansing"/>
    <x v="12"/>
    <n v="48911"/>
    <x v="2"/>
    <x v="848"/>
    <x v="1"/>
    <x v="13"/>
    <x v="128"/>
    <n v="5.84"/>
    <s v="Low"/>
    <n v="2"/>
    <n v="0"/>
    <x v="0"/>
    <x v="0"/>
    <n v="2.6280000000000001"/>
    <n v="0.45"/>
    <n v="0"/>
  </r>
  <r>
    <n v="1149"/>
    <s v="CA-2015-112452"/>
    <d v="2015-04-04T00:00:00"/>
    <x v="1"/>
    <s v="Q2"/>
    <x v="19"/>
    <d v="2015-04-04T00:00:00"/>
    <s v="Same Day"/>
    <x v="396"/>
    <x v="396"/>
    <s v="Consumer"/>
    <s v="United States"/>
    <s v="Lansing"/>
    <x v="12"/>
    <n v="48911"/>
    <x v="2"/>
    <x v="849"/>
    <x v="1"/>
    <x v="8"/>
    <x v="842"/>
    <n v="12.76"/>
    <s v="Low"/>
    <n v="2"/>
    <n v="0"/>
    <x v="0"/>
    <x v="0"/>
    <n v="5.8696000000000002"/>
    <n v="0.46"/>
    <n v="0"/>
  </r>
  <r>
    <n v="1150"/>
    <s v="CA-2015-112452"/>
    <d v="2015-04-04T00:00:00"/>
    <x v="1"/>
    <s v="Q2"/>
    <x v="19"/>
    <d v="2015-04-04T00:00:00"/>
    <s v="Same Day"/>
    <x v="396"/>
    <x v="396"/>
    <s v="Consumer"/>
    <s v="United States"/>
    <s v="Lansing"/>
    <x v="12"/>
    <n v="48911"/>
    <x v="2"/>
    <x v="850"/>
    <x v="2"/>
    <x v="7"/>
    <x v="843"/>
    <n v="10.95"/>
    <s v="Low"/>
    <n v="1"/>
    <n v="0"/>
    <x v="0"/>
    <x v="0"/>
    <n v="0.438"/>
    <n v="0.04"/>
    <n v="0"/>
  </r>
  <r>
    <n v="1151"/>
    <s v="CA-2015-112452"/>
    <d v="2015-04-04T00:00:00"/>
    <x v="1"/>
    <s v="Q2"/>
    <x v="19"/>
    <d v="2015-04-04T00:00:00"/>
    <s v="Same Day"/>
    <x v="396"/>
    <x v="396"/>
    <s v="Consumer"/>
    <s v="United States"/>
    <s v="Lansing"/>
    <x v="12"/>
    <n v="48911"/>
    <x v="2"/>
    <x v="851"/>
    <x v="2"/>
    <x v="16"/>
    <x v="844"/>
    <n v="599.98"/>
    <s v="High"/>
    <n v="2"/>
    <n v="0"/>
    <x v="0"/>
    <x v="0"/>
    <n v="209.99299999999999"/>
    <n v="0.35"/>
    <n v="0"/>
  </r>
  <r>
    <n v="1152"/>
    <s v="CA-2015-113971"/>
    <d v="2015-05-08T00:00:00"/>
    <x v="1"/>
    <s v="Q2"/>
    <x v="33"/>
    <d v="2015-05-14T00:00:00"/>
    <s v="Standard Class"/>
    <x v="118"/>
    <x v="118"/>
    <s v="Corporate"/>
    <s v="United States"/>
    <s v="Cuyahoga Falls"/>
    <x v="24"/>
    <n v="44221"/>
    <x v="3"/>
    <x v="852"/>
    <x v="0"/>
    <x v="5"/>
    <x v="845"/>
    <n v="8.3520000000000003"/>
    <s v="Low"/>
    <n v="6"/>
    <n v="0.2"/>
    <x v="2"/>
    <x v="2"/>
    <n v="1.2527999999999999"/>
    <n v="0.15"/>
    <n v="0"/>
  </r>
  <r>
    <n v="1153"/>
    <s v="CA-2017-160395"/>
    <d v="2016-12-31T00:00:00"/>
    <x v="0"/>
    <s v="Q4"/>
    <x v="5"/>
    <d v="2017-01-06T00:00:00"/>
    <s v="Standard Class"/>
    <x v="126"/>
    <x v="126"/>
    <s v="Corporate"/>
    <s v="United States"/>
    <s v="Reno"/>
    <x v="33"/>
    <n v="89502"/>
    <x v="1"/>
    <x v="853"/>
    <x v="1"/>
    <x v="6"/>
    <x v="846"/>
    <n v="3.64"/>
    <s v="Low"/>
    <n v="2"/>
    <n v="0"/>
    <x v="0"/>
    <x v="0"/>
    <n v="1.6379999999999999"/>
    <n v="0.44999999999999996"/>
    <n v="0"/>
  </r>
  <r>
    <n v="1154"/>
    <s v="CA-2017-160395"/>
    <d v="2016-12-31T00:00:00"/>
    <x v="0"/>
    <s v="Q4"/>
    <x v="5"/>
    <d v="2017-01-06T00:00:00"/>
    <s v="Standard Class"/>
    <x v="126"/>
    <x v="126"/>
    <s v="Corporate"/>
    <s v="United States"/>
    <s v="Reno"/>
    <x v="33"/>
    <n v="89502"/>
    <x v="1"/>
    <x v="697"/>
    <x v="1"/>
    <x v="8"/>
    <x v="697"/>
    <n v="159.768"/>
    <s v="High"/>
    <n v="7"/>
    <n v="0.2"/>
    <x v="2"/>
    <x v="2"/>
    <n v="53.921700000000001"/>
    <n v="0.33750000000000002"/>
    <n v="0"/>
  </r>
  <r>
    <n v="1155"/>
    <s v="CA-2014-136567"/>
    <d v="2014-12-20T00:00:00"/>
    <x v="2"/>
    <s v="Q4"/>
    <x v="20"/>
    <d v="2014-12-21T00:00:00"/>
    <s v="First Class"/>
    <x v="390"/>
    <x v="390"/>
    <s v="Home Office"/>
    <s v="United States"/>
    <s v="Harrisonburg"/>
    <x v="17"/>
    <n v="22801"/>
    <x v="0"/>
    <x v="854"/>
    <x v="1"/>
    <x v="4"/>
    <x v="847"/>
    <n v="122.48"/>
    <s v="Medium"/>
    <n v="2"/>
    <n v="0"/>
    <x v="0"/>
    <x v="0"/>
    <n v="0"/>
    <n v="0"/>
    <n v="0"/>
  </r>
  <r>
    <n v="1156"/>
    <s v="CA-2014-136567"/>
    <d v="2014-12-20T00:00:00"/>
    <x v="2"/>
    <s v="Q4"/>
    <x v="20"/>
    <d v="2014-12-21T00:00:00"/>
    <s v="First Class"/>
    <x v="390"/>
    <x v="390"/>
    <s v="Home Office"/>
    <s v="United States"/>
    <s v="Harrisonburg"/>
    <x v="17"/>
    <n v="22801"/>
    <x v="0"/>
    <x v="855"/>
    <x v="0"/>
    <x v="3"/>
    <x v="848"/>
    <n v="2244.48"/>
    <s v="High"/>
    <n v="7"/>
    <n v="0"/>
    <x v="0"/>
    <x v="0"/>
    <n v="493.78559999999999"/>
    <n v="0.22"/>
    <n v="0"/>
  </r>
  <r>
    <n v="1157"/>
    <s v="CA-2014-136567"/>
    <d v="2014-12-20T00:00:00"/>
    <x v="2"/>
    <s v="Q4"/>
    <x v="20"/>
    <d v="2014-12-21T00:00:00"/>
    <s v="First Class"/>
    <x v="390"/>
    <x v="390"/>
    <s v="Home Office"/>
    <s v="United States"/>
    <s v="Harrisonburg"/>
    <x v="17"/>
    <n v="22801"/>
    <x v="0"/>
    <x v="350"/>
    <x v="1"/>
    <x v="8"/>
    <x v="350"/>
    <n v="62.31"/>
    <s v="Medium"/>
    <n v="3"/>
    <n v="0"/>
    <x v="0"/>
    <x v="0"/>
    <n v="29.285699999999999"/>
    <n v="0.47"/>
    <n v="0"/>
  </r>
  <r>
    <n v="1158"/>
    <s v="CA-2014-136567"/>
    <d v="2014-12-20T00:00:00"/>
    <x v="2"/>
    <s v="Q4"/>
    <x v="20"/>
    <d v="2014-12-21T00:00:00"/>
    <s v="First Class"/>
    <x v="390"/>
    <x v="390"/>
    <s v="Home Office"/>
    <s v="United States"/>
    <s v="Harrisonburg"/>
    <x v="17"/>
    <n v="22801"/>
    <x v="0"/>
    <x v="342"/>
    <x v="0"/>
    <x v="3"/>
    <x v="342"/>
    <n v="455.1"/>
    <s v="High"/>
    <n v="2"/>
    <n v="0"/>
    <x v="0"/>
    <x v="0"/>
    <n v="100.122"/>
    <n v="0.22"/>
    <n v="0"/>
  </r>
  <r>
    <n v="1159"/>
    <s v="CA-2016-149314"/>
    <d v="2016-07-02T00:00:00"/>
    <x v="0"/>
    <s v="Q3"/>
    <x v="16"/>
    <d v="2016-07-07T00:00:00"/>
    <s v="Second Class"/>
    <x v="334"/>
    <x v="334"/>
    <s v="Corporate"/>
    <s v="United States"/>
    <s v="Los Angeles"/>
    <x v="1"/>
    <n v="90004"/>
    <x v="1"/>
    <x v="856"/>
    <x v="0"/>
    <x v="1"/>
    <x v="849"/>
    <n v="195.184"/>
    <s v="High"/>
    <n v="1"/>
    <n v="0.2"/>
    <x v="2"/>
    <x v="2"/>
    <n v="19.5184"/>
    <n v="0.1"/>
    <n v="0"/>
  </r>
  <r>
    <n v="1160"/>
    <s v="CA-2017-147039"/>
    <d v="2017-06-29T00:00:00"/>
    <x v="3"/>
    <s v="Q2"/>
    <x v="27"/>
    <d v="2017-07-04T00:00:00"/>
    <s v="Standard Class"/>
    <x v="397"/>
    <x v="397"/>
    <s v="Consumer"/>
    <s v="United States"/>
    <s v="Minneapolis"/>
    <x v="11"/>
    <n v="55407"/>
    <x v="2"/>
    <x v="643"/>
    <x v="1"/>
    <x v="9"/>
    <x v="850"/>
    <n v="362.94"/>
    <s v="High"/>
    <n v="3"/>
    <n v="0"/>
    <x v="0"/>
    <x v="0"/>
    <n v="90.734999999999999"/>
    <n v="0.25"/>
    <n v="0"/>
  </r>
  <r>
    <n v="1161"/>
    <s v="CA-2017-147039"/>
    <d v="2017-06-29T00:00:00"/>
    <x v="3"/>
    <s v="Q2"/>
    <x v="27"/>
    <d v="2017-07-04T00:00:00"/>
    <s v="Standard Class"/>
    <x v="397"/>
    <x v="397"/>
    <s v="Consumer"/>
    <s v="United States"/>
    <s v="Minneapolis"/>
    <x v="11"/>
    <n v="55407"/>
    <x v="2"/>
    <x v="68"/>
    <x v="1"/>
    <x v="8"/>
    <x v="68"/>
    <n v="11.54"/>
    <s v="Low"/>
    <n v="2"/>
    <n v="0"/>
    <x v="0"/>
    <x v="0"/>
    <n v="5.77"/>
    <n v="0.5"/>
    <n v="0"/>
  </r>
  <r>
    <n v="1162"/>
    <s v="CA-2014-126522"/>
    <d v="2014-09-01T00:00:00"/>
    <x v="2"/>
    <s v="Q3"/>
    <x v="30"/>
    <d v="2014-09-05T00:00:00"/>
    <s v="Second Class"/>
    <x v="398"/>
    <x v="398"/>
    <s v="Consumer"/>
    <s v="United States"/>
    <s v="Escondido"/>
    <x v="1"/>
    <n v="92025"/>
    <x v="1"/>
    <x v="30"/>
    <x v="1"/>
    <x v="6"/>
    <x v="30"/>
    <n v="53.94"/>
    <s v="Medium"/>
    <n v="3"/>
    <n v="0"/>
    <x v="0"/>
    <x v="0"/>
    <n v="15.6426"/>
    <n v="0.29000000000000004"/>
    <n v="0"/>
  </r>
  <r>
    <n v="1163"/>
    <s v="CA-2014-127964"/>
    <d v="2014-03-03T00:00:00"/>
    <x v="2"/>
    <s v="Q1"/>
    <x v="34"/>
    <d v="2014-03-08T00:00:00"/>
    <s v="Standard Class"/>
    <x v="399"/>
    <x v="399"/>
    <s v="Home Office"/>
    <s v="United States"/>
    <s v="New York City"/>
    <x v="15"/>
    <n v="10035"/>
    <x v="3"/>
    <x v="857"/>
    <x v="2"/>
    <x v="7"/>
    <x v="851"/>
    <n v="9.99"/>
    <s v="Low"/>
    <n v="1"/>
    <n v="0"/>
    <x v="0"/>
    <x v="0"/>
    <n v="4.5953999999999997"/>
    <n v="0.45999999999999996"/>
    <n v="0"/>
  </r>
  <r>
    <n v="1164"/>
    <s v="CA-2014-127964"/>
    <d v="2014-03-03T00:00:00"/>
    <x v="2"/>
    <s v="Q1"/>
    <x v="34"/>
    <d v="2014-03-08T00:00:00"/>
    <s v="Standard Class"/>
    <x v="399"/>
    <x v="399"/>
    <s v="Home Office"/>
    <s v="United States"/>
    <s v="New York City"/>
    <x v="15"/>
    <n v="10035"/>
    <x v="3"/>
    <x v="270"/>
    <x v="1"/>
    <x v="8"/>
    <x v="270"/>
    <n v="125.76"/>
    <s v="High"/>
    <n v="3"/>
    <n v="0.2"/>
    <x v="2"/>
    <x v="2"/>
    <n v="40.872"/>
    <n v="0.32500000000000001"/>
    <n v="0"/>
  </r>
  <r>
    <n v="1165"/>
    <s v="CA-2014-127964"/>
    <d v="2014-03-03T00:00:00"/>
    <x v="2"/>
    <s v="Q1"/>
    <x v="34"/>
    <d v="2014-03-08T00:00:00"/>
    <s v="Standard Class"/>
    <x v="399"/>
    <x v="399"/>
    <s v="Home Office"/>
    <s v="United States"/>
    <s v="New York City"/>
    <x v="15"/>
    <n v="10035"/>
    <x v="3"/>
    <x v="858"/>
    <x v="1"/>
    <x v="8"/>
    <x v="852"/>
    <n v="25.32"/>
    <s v="Medium"/>
    <n v="5"/>
    <n v="0.2"/>
    <x v="2"/>
    <x v="2"/>
    <n v="9.1784999999999997"/>
    <n v="0.36249999999999999"/>
    <n v="0"/>
  </r>
  <r>
    <n v="1166"/>
    <s v="CA-2014-117709"/>
    <d v="2014-05-04T00:00:00"/>
    <x v="2"/>
    <s v="Q2"/>
    <x v="8"/>
    <d v="2014-05-08T00:00:00"/>
    <s v="Standard Class"/>
    <x v="400"/>
    <x v="400"/>
    <s v="Consumer"/>
    <s v="United States"/>
    <s v="Jackson"/>
    <x v="12"/>
    <n v="49201"/>
    <x v="2"/>
    <x v="673"/>
    <x v="1"/>
    <x v="8"/>
    <x v="673"/>
    <n v="46.8"/>
    <s v="Medium"/>
    <n v="4"/>
    <n v="0"/>
    <x v="0"/>
    <x v="0"/>
    <n v="21.06"/>
    <n v="0.45"/>
    <n v="0"/>
  </r>
  <r>
    <n v="1167"/>
    <s v="CA-2015-125416"/>
    <d v="2015-11-02T00:00:00"/>
    <x v="1"/>
    <s v="Q4"/>
    <x v="6"/>
    <d v="2015-11-02T00:00:00"/>
    <s v="Same Day"/>
    <x v="110"/>
    <x v="110"/>
    <s v="Consumer"/>
    <s v="United States"/>
    <s v="Seattle"/>
    <x v="4"/>
    <n v="98115"/>
    <x v="1"/>
    <x v="100"/>
    <x v="2"/>
    <x v="11"/>
    <x v="100"/>
    <n v="447.93"/>
    <s v="High"/>
    <n v="9"/>
    <n v="0"/>
    <x v="0"/>
    <x v="0"/>
    <n v="49.272300000000001"/>
    <n v="0.11"/>
    <n v="0"/>
  </r>
  <r>
    <n v="1168"/>
    <s v="CA-2017-145226"/>
    <d v="2017-12-08T00:00:00"/>
    <x v="3"/>
    <s v="Q4"/>
    <x v="22"/>
    <d v="2017-12-10T00:00:00"/>
    <s v="Second Class"/>
    <x v="111"/>
    <x v="111"/>
    <s v="Consumer"/>
    <s v="United States"/>
    <s v="New York City"/>
    <x v="15"/>
    <n v="10035"/>
    <x v="3"/>
    <x v="859"/>
    <x v="0"/>
    <x v="5"/>
    <x v="853"/>
    <n v="109.48"/>
    <s v="Medium"/>
    <n v="2"/>
    <n v="0"/>
    <x v="0"/>
    <x v="0"/>
    <n v="33.938800000000001"/>
    <n v="0.31"/>
    <n v="0"/>
  </r>
  <r>
    <n v="1169"/>
    <s v="CA-2017-145226"/>
    <d v="2017-12-08T00:00:00"/>
    <x v="3"/>
    <s v="Q4"/>
    <x v="22"/>
    <d v="2017-12-10T00:00:00"/>
    <s v="Second Class"/>
    <x v="111"/>
    <x v="111"/>
    <s v="Consumer"/>
    <s v="United States"/>
    <s v="New York City"/>
    <x v="15"/>
    <n v="10035"/>
    <x v="3"/>
    <x v="72"/>
    <x v="1"/>
    <x v="4"/>
    <x v="72"/>
    <n v="272.94"/>
    <s v="High"/>
    <n v="3"/>
    <n v="0"/>
    <x v="0"/>
    <x v="0"/>
    <n v="0"/>
    <n v="0"/>
    <n v="0"/>
  </r>
  <r>
    <n v="1170"/>
    <s v="CA-2017-145226"/>
    <d v="2017-12-08T00:00:00"/>
    <x v="3"/>
    <s v="Q4"/>
    <x v="22"/>
    <d v="2017-12-10T00:00:00"/>
    <s v="Second Class"/>
    <x v="111"/>
    <x v="111"/>
    <s v="Consumer"/>
    <s v="United States"/>
    <s v="New York City"/>
    <x v="15"/>
    <n v="10035"/>
    <x v="3"/>
    <x v="860"/>
    <x v="1"/>
    <x v="10"/>
    <x v="854"/>
    <n v="19.440000000000001"/>
    <s v="Low"/>
    <n v="3"/>
    <n v="0"/>
    <x v="0"/>
    <x v="0"/>
    <n v="9.3312000000000008"/>
    <n v="0.48000000000000004"/>
    <n v="0"/>
  </r>
  <r>
    <n v="1171"/>
    <s v="CA-2017-145226"/>
    <d v="2017-12-08T00:00:00"/>
    <x v="3"/>
    <s v="Q4"/>
    <x v="22"/>
    <d v="2017-12-10T00:00:00"/>
    <s v="Second Class"/>
    <x v="111"/>
    <x v="111"/>
    <s v="Consumer"/>
    <s v="United States"/>
    <s v="New York City"/>
    <x v="15"/>
    <n v="10035"/>
    <x v="3"/>
    <x v="861"/>
    <x v="1"/>
    <x v="4"/>
    <x v="855"/>
    <n v="31.92"/>
    <s v="Medium"/>
    <n v="4"/>
    <n v="0"/>
    <x v="0"/>
    <x v="0"/>
    <n v="8.2992000000000008"/>
    <n v="0.26"/>
    <n v="0"/>
  </r>
  <r>
    <n v="1172"/>
    <s v="US-2014-100279"/>
    <d v="2014-03-10T00:00:00"/>
    <x v="2"/>
    <s v="Q1"/>
    <x v="34"/>
    <d v="2014-03-14T00:00:00"/>
    <s v="Standard Class"/>
    <x v="349"/>
    <x v="349"/>
    <s v="Consumer"/>
    <s v="United States"/>
    <s v="Royal Oak"/>
    <x v="12"/>
    <n v="48073"/>
    <x v="2"/>
    <x v="862"/>
    <x v="1"/>
    <x v="10"/>
    <x v="856"/>
    <n v="22.38"/>
    <s v="Low"/>
    <n v="2"/>
    <n v="0"/>
    <x v="0"/>
    <x v="0"/>
    <n v="10.7424"/>
    <n v="0.48000000000000004"/>
    <n v="0"/>
  </r>
  <r>
    <n v="1173"/>
    <s v="CA-2014-158064"/>
    <d v="2014-04-21T00:00:00"/>
    <x v="2"/>
    <s v="Q2"/>
    <x v="41"/>
    <d v="2014-04-25T00:00:00"/>
    <s v="Standard Class"/>
    <x v="211"/>
    <x v="211"/>
    <s v="Consumer"/>
    <s v="United States"/>
    <s v="Los Angeles"/>
    <x v="1"/>
    <n v="90008"/>
    <x v="1"/>
    <x v="863"/>
    <x v="1"/>
    <x v="8"/>
    <x v="857"/>
    <n v="16.52"/>
    <s v="Low"/>
    <n v="5"/>
    <n v="0.2"/>
    <x v="2"/>
    <x v="2"/>
    <n v="5.5754999999999999"/>
    <n v="0.33750000000000002"/>
    <n v="0"/>
  </r>
  <r>
    <n v="1174"/>
    <s v="US-2015-104430"/>
    <d v="2015-10-22T00:00:00"/>
    <x v="1"/>
    <s v="Q4"/>
    <x v="2"/>
    <d v="2015-10-26T00:00:00"/>
    <s v="Standard Class"/>
    <x v="299"/>
    <x v="299"/>
    <s v="Consumer"/>
    <s v="United States"/>
    <s v="Bloomington"/>
    <x v="10"/>
    <n v="61701"/>
    <x v="2"/>
    <x v="625"/>
    <x v="1"/>
    <x v="8"/>
    <x v="625"/>
    <n v="5.1760000000000002"/>
    <s v="Low"/>
    <n v="4"/>
    <n v="0.8"/>
    <x v="1"/>
    <x v="3"/>
    <n v="-7.7640000000000002"/>
    <n v="-1.5"/>
    <n v="1"/>
  </r>
  <r>
    <n v="1175"/>
    <s v="CA-2015-132080"/>
    <d v="2015-08-22T00:00:00"/>
    <x v="1"/>
    <s v="Q3"/>
    <x v="37"/>
    <d v="2015-08-25T00:00:00"/>
    <s v="First Class"/>
    <x v="317"/>
    <x v="317"/>
    <s v="Corporate"/>
    <s v="United States"/>
    <s v="New York City"/>
    <x v="15"/>
    <n v="10035"/>
    <x v="3"/>
    <x v="864"/>
    <x v="1"/>
    <x v="8"/>
    <x v="858"/>
    <n v="50.112000000000002"/>
    <s v="Medium"/>
    <n v="6"/>
    <n v="0.2"/>
    <x v="2"/>
    <x v="2"/>
    <n v="16.2864"/>
    <n v="0.32500000000000001"/>
    <n v="0"/>
  </r>
  <r>
    <n v="1176"/>
    <s v="CA-2016-161207"/>
    <d v="2016-08-29T00:00:00"/>
    <x v="0"/>
    <s v="Q3"/>
    <x v="28"/>
    <d v="2016-09-03T00:00:00"/>
    <s v="Standard Class"/>
    <x v="144"/>
    <x v="144"/>
    <s v="Home Office"/>
    <s v="United States"/>
    <s v="Concord"/>
    <x v="38"/>
    <n v="3301"/>
    <x v="3"/>
    <x v="660"/>
    <x v="1"/>
    <x v="14"/>
    <x v="660"/>
    <n v="27.93"/>
    <s v="Medium"/>
    <n v="3"/>
    <n v="0"/>
    <x v="0"/>
    <x v="0"/>
    <n v="8.0997000000000003"/>
    <n v="0.29000000000000004"/>
    <n v="0"/>
  </r>
  <r>
    <n v="1177"/>
    <s v="CA-2014-120243"/>
    <d v="2014-12-27T00:00:00"/>
    <x v="2"/>
    <s v="Q4"/>
    <x v="20"/>
    <d v="2014-12-30T00:00:00"/>
    <s v="Second Class"/>
    <x v="401"/>
    <x v="401"/>
    <s v="Home Office"/>
    <s v="United States"/>
    <s v="Los Angeles"/>
    <x v="1"/>
    <n v="90004"/>
    <x v="1"/>
    <x v="865"/>
    <x v="1"/>
    <x v="2"/>
    <x v="859"/>
    <n v="11.56"/>
    <s v="Low"/>
    <n v="4"/>
    <n v="0"/>
    <x v="0"/>
    <x v="0"/>
    <n v="5.4332000000000003"/>
    <n v="0.47000000000000003"/>
    <n v="0"/>
  </r>
  <r>
    <n v="1178"/>
    <s v="CA-2016-113621"/>
    <d v="2016-12-01T00:00:00"/>
    <x v="0"/>
    <s v="Q4"/>
    <x v="5"/>
    <d v="2016-12-05T00:00:00"/>
    <s v="Standard Class"/>
    <x v="32"/>
    <x v="32"/>
    <s v="Consumer"/>
    <s v="United States"/>
    <s v="Rockville"/>
    <x v="39"/>
    <n v="20852"/>
    <x v="3"/>
    <x v="866"/>
    <x v="0"/>
    <x v="1"/>
    <x v="860"/>
    <n v="172.5"/>
    <s v="High"/>
    <n v="2"/>
    <n v="0"/>
    <x v="0"/>
    <x v="0"/>
    <n v="51.75"/>
    <n v="0.3"/>
    <n v="0"/>
  </r>
  <r>
    <n v="1179"/>
    <s v="CA-2016-113621"/>
    <d v="2016-12-01T00:00:00"/>
    <x v="0"/>
    <s v="Q4"/>
    <x v="5"/>
    <d v="2016-12-05T00:00:00"/>
    <s v="Standard Class"/>
    <x v="32"/>
    <x v="32"/>
    <s v="Consumer"/>
    <s v="United States"/>
    <s v="Rockville"/>
    <x v="39"/>
    <n v="20852"/>
    <x v="3"/>
    <x v="160"/>
    <x v="2"/>
    <x v="7"/>
    <x v="161"/>
    <n v="179.97"/>
    <s v="High"/>
    <n v="3"/>
    <n v="0"/>
    <x v="0"/>
    <x v="0"/>
    <n v="44.9925"/>
    <n v="0.25"/>
    <n v="0"/>
  </r>
  <r>
    <n v="1180"/>
    <s v="CA-2016-168081"/>
    <d v="2016-04-24T00:00:00"/>
    <x v="0"/>
    <s v="Q2"/>
    <x v="25"/>
    <d v="2016-04-27T00:00:00"/>
    <s v="Second Class"/>
    <x v="402"/>
    <x v="402"/>
    <s v="Home Office"/>
    <s v="United States"/>
    <s v="Houston"/>
    <x v="5"/>
    <n v="77070"/>
    <x v="2"/>
    <x v="619"/>
    <x v="2"/>
    <x v="11"/>
    <x v="619"/>
    <n v="258.69600000000003"/>
    <s v="High"/>
    <n v="3"/>
    <n v="0.2"/>
    <x v="2"/>
    <x v="2"/>
    <n v="64.674000000000007"/>
    <n v="0.25"/>
    <n v="0"/>
  </r>
  <r>
    <n v="1181"/>
    <s v="CA-2014-128146"/>
    <d v="2014-06-21T00:00:00"/>
    <x v="2"/>
    <s v="Q2"/>
    <x v="3"/>
    <d v="2014-06-25T00:00:00"/>
    <s v="Standard Class"/>
    <x v="72"/>
    <x v="72"/>
    <s v="Consumer"/>
    <s v="United States"/>
    <s v="Lakewood"/>
    <x v="30"/>
    <n v="8701"/>
    <x v="3"/>
    <x v="867"/>
    <x v="2"/>
    <x v="7"/>
    <x v="861"/>
    <n v="1322.93"/>
    <s v="High"/>
    <n v="7"/>
    <n v="0"/>
    <x v="0"/>
    <x v="0"/>
    <n v="357.19110000000001"/>
    <n v="0.27"/>
    <n v="0"/>
  </r>
  <r>
    <n v="1182"/>
    <s v="CA-2014-128146"/>
    <d v="2014-06-21T00:00:00"/>
    <x v="2"/>
    <s v="Q2"/>
    <x v="3"/>
    <d v="2014-06-25T00:00:00"/>
    <s v="Standard Class"/>
    <x v="72"/>
    <x v="72"/>
    <s v="Consumer"/>
    <s v="United States"/>
    <s v="Lakewood"/>
    <x v="30"/>
    <n v="8701"/>
    <x v="3"/>
    <x v="868"/>
    <x v="1"/>
    <x v="6"/>
    <x v="862"/>
    <n v="3.76"/>
    <s v="Low"/>
    <n v="2"/>
    <n v="0"/>
    <x v="0"/>
    <x v="0"/>
    <n v="1.0904"/>
    <n v="0.29000000000000004"/>
    <n v="0"/>
  </r>
  <r>
    <n v="1183"/>
    <s v="CA-2017-138779"/>
    <d v="2017-01-14T00:00:00"/>
    <x v="3"/>
    <s v="Q1"/>
    <x v="44"/>
    <d v="2017-01-15T00:00:00"/>
    <s v="First Class"/>
    <x v="262"/>
    <x v="262"/>
    <s v="Consumer"/>
    <s v="United States"/>
    <s v="Jacksonville"/>
    <x v="3"/>
    <n v="28540"/>
    <x v="0"/>
    <x v="113"/>
    <x v="1"/>
    <x v="12"/>
    <x v="113"/>
    <n v="21.744"/>
    <s v="Low"/>
    <n v="1"/>
    <n v="0.2"/>
    <x v="2"/>
    <x v="2"/>
    <n v="7.3385999999999996"/>
    <n v="0.33749999999999997"/>
    <n v="0"/>
  </r>
  <r>
    <n v="1184"/>
    <s v="CA-2017-138779"/>
    <d v="2017-01-14T00:00:00"/>
    <x v="3"/>
    <s v="Q1"/>
    <x v="44"/>
    <d v="2017-01-15T00:00:00"/>
    <s v="First Class"/>
    <x v="262"/>
    <x v="262"/>
    <s v="Consumer"/>
    <s v="United States"/>
    <s v="Jacksonville"/>
    <x v="3"/>
    <n v="28540"/>
    <x v="0"/>
    <x v="869"/>
    <x v="2"/>
    <x v="7"/>
    <x v="863"/>
    <n v="7.92"/>
    <s v="Low"/>
    <n v="5"/>
    <n v="0.2"/>
    <x v="2"/>
    <x v="2"/>
    <n v="0.69299999999999995"/>
    <n v="8.7499999999999994E-2"/>
    <n v="0"/>
  </r>
  <r>
    <n v="1185"/>
    <s v="CA-2014-127131"/>
    <d v="2014-11-24T00:00:00"/>
    <x v="2"/>
    <s v="Q4"/>
    <x v="7"/>
    <d v="2014-11-30T00:00:00"/>
    <s v="Standard Class"/>
    <x v="403"/>
    <x v="403"/>
    <s v="Corporate"/>
    <s v="United States"/>
    <s v="Seattle"/>
    <x v="4"/>
    <n v="98103"/>
    <x v="1"/>
    <x v="870"/>
    <x v="1"/>
    <x v="8"/>
    <x v="864"/>
    <n v="12.096"/>
    <s v="Low"/>
    <n v="7"/>
    <n v="0.2"/>
    <x v="2"/>
    <x v="2"/>
    <n v="4.2336"/>
    <n v="0.35"/>
    <n v="0"/>
  </r>
  <r>
    <n v="1186"/>
    <s v="CA-2014-127131"/>
    <d v="2014-11-24T00:00:00"/>
    <x v="2"/>
    <s v="Q4"/>
    <x v="7"/>
    <d v="2014-11-30T00:00:00"/>
    <s v="Standard Class"/>
    <x v="403"/>
    <x v="403"/>
    <s v="Corporate"/>
    <s v="United States"/>
    <s v="Seattle"/>
    <x v="4"/>
    <n v="98103"/>
    <x v="1"/>
    <x v="871"/>
    <x v="1"/>
    <x v="4"/>
    <x v="865"/>
    <n v="485.88"/>
    <s v="High"/>
    <n v="6"/>
    <n v="0"/>
    <x v="0"/>
    <x v="0"/>
    <n v="9.7175999999999991"/>
    <n v="1.9999999999999997E-2"/>
    <n v="0"/>
  </r>
  <r>
    <n v="1187"/>
    <s v="CA-2014-127131"/>
    <d v="2014-11-24T00:00:00"/>
    <x v="2"/>
    <s v="Q4"/>
    <x v="7"/>
    <d v="2014-11-30T00:00:00"/>
    <s v="Standard Class"/>
    <x v="403"/>
    <x v="403"/>
    <s v="Corporate"/>
    <s v="United States"/>
    <s v="Seattle"/>
    <x v="4"/>
    <n v="98103"/>
    <x v="1"/>
    <x v="585"/>
    <x v="1"/>
    <x v="10"/>
    <x v="585"/>
    <n v="25.92"/>
    <s v="Medium"/>
    <n v="4"/>
    <n v="0"/>
    <x v="0"/>
    <x v="0"/>
    <n v="12.441599999999999"/>
    <n v="0.47999999999999993"/>
    <n v="0"/>
  </r>
  <r>
    <n v="1188"/>
    <s v="CA-2014-127131"/>
    <d v="2014-11-24T00:00:00"/>
    <x v="2"/>
    <s v="Q4"/>
    <x v="7"/>
    <d v="2014-11-30T00:00:00"/>
    <s v="Standard Class"/>
    <x v="403"/>
    <x v="403"/>
    <s v="Corporate"/>
    <s v="United States"/>
    <s v="Seattle"/>
    <x v="4"/>
    <n v="98103"/>
    <x v="1"/>
    <x v="595"/>
    <x v="1"/>
    <x v="4"/>
    <x v="595"/>
    <n v="197.58"/>
    <s v="High"/>
    <n v="2"/>
    <n v="0"/>
    <x v="0"/>
    <x v="0"/>
    <n v="53.346600000000002"/>
    <n v="0.27"/>
    <n v="0"/>
  </r>
  <r>
    <n v="1189"/>
    <s v="CA-2017-117212"/>
    <d v="2017-02-26T00:00:00"/>
    <x v="3"/>
    <s v="Q1"/>
    <x v="31"/>
    <d v="2017-02-28T00:00:00"/>
    <s v="Second Class"/>
    <x v="404"/>
    <x v="404"/>
    <s v="Home Office"/>
    <s v="United States"/>
    <s v="Los Angeles"/>
    <x v="1"/>
    <n v="90036"/>
    <x v="1"/>
    <x v="564"/>
    <x v="1"/>
    <x v="9"/>
    <x v="564"/>
    <n v="81.92"/>
    <s v="Medium"/>
    <n v="4"/>
    <n v="0"/>
    <x v="0"/>
    <x v="0"/>
    <n v="22.118400000000001"/>
    <n v="0.27"/>
    <n v="0"/>
  </r>
  <r>
    <n v="1190"/>
    <s v="CA-2017-117212"/>
    <d v="2017-02-26T00:00:00"/>
    <x v="3"/>
    <s v="Q1"/>
    <x v="31"/>
    <d v="2017-02-28T00:00:00"/>
    <s v="Second Class"/>
    <x v="404"/>
    <x v="404"/>
    <s v="Home Office"/>
    <s v="United States"/>
    <s v="Los Angeles"/>
    <x v="1"/>
    <n v="90036"/>
    <x v="1"/>
    <x v="872"/>
    <x v="2"/>
    <x v="7"/>
    <x v="866"/>
    <n v="889.53599999999994"/>
    <s v="High"/>
    <n v="8"/>
    <n v="0.2"/>
    <x v="2"/>
    <x v="2"/>
    <n v="66.715199999999996"/>
    <n v="7.4999999999999997E-2"/>
    <n v="0"/>
  </r>
  <r>
    <n v="1191"/>
    <s v="CA-2017-117212"/>
    <d v="2017-02-26T00:00:00"/>
    <x v="3"/>
    <s v="Q1"/>
    <x v="31"/>
    <d v="2017-02-28T00:00:00"/>
    <s v="Second Class"/>
    <x v="404"/>
    <x v="404"/>
    <s v="Home Office"/>
    <s v="United States"/>
    <s v="Los Angeles"/>
    <x v="1"/>
    <n v="90036"/>
    <x v="1"/>
    <x v="873"/>
    <x v="0"/>
    <x v="1"/>
    <x v="867"/>
    <n v="892.22400000000005"/>
    <s v="High"/>
    <n v="3"/>
    <n v="0.2"/>
    <x v="2"/>
    <x v="2"/>
    <n v="89.222399999999993"/>
    <n v="9.9999999999999992E-2"/>
    <n v="0"/>
  </r>
  <r>
    <n v="1192"/>
    <s v="CA-2017-117212"/>
    <d v="2017-02-26T00:00:00"/>
    <x v="3"/>
    <s v="Q1"/>
    <x v="31"/>
    <d v="2017-02-28T00:00:00"/>
    <s v="Second Class"/>
    <x v="404"/>
    <x v="404"/>
    <s v="Home Office"/>
    <s v="United States"/>
    <s v="Los Angeles"/>
    <x v="1"/>
    <n v="90036"/>
    <x v="1"/>
    <x v="314"/>
    <x v="1"/>
    <x v="10"/>
    <x v="366"/>
    <n v="223.92"/>
    <s v="High"/>
    <n v="4"/>
    <n v="0"/>
    <x v="0"/>
    <x v="0"/>
    <n v="109.7208"/>
    <n v="0.49"/>
    <n v="0"/>
  </r>
  <r>
    <n v="1193"/>
    <s v="CA-2017-117212"/>
    <d v="2017-02-26T00:00:00"/>
    <x v="3"/>
    <s v="Q1"/>
    <x v="31"/>
    <d v="2017-02-28T00:00:00"/>
    <s v="Second Class"/>
    <x v="404"/>
    <x v="404"/>
    <s v="Home Office"/>
    <s v="United States"/>
    <s v="Los Angeles"/>
    <x v="1"/>
    <n v="90036"/>
    <x v="1"/>
    <x v="874"/>
    <x v="1"/>
    <x v="10"/>
    <x v="868"/>
    <n v="23.12"/>
    <s v="Low"/>
    <n v="4"/>
    <n v="0"/>
    <x v="0"/>
    <x v="0"/>
    <n v="11.328799999999999"/>
    <n v="0.48999999999999994"/>
    <n v="0"/>
  </r>
  <r>
    <n v="1194"/>
    <s v="US-2015-130519"/>
    <d v="2015-09-15T00:00:00"/>
    <x v="1"/>
    <s v="Q3"/>
    <x v="11"/>
    <d v="2015-09-15T00:00:00"/>
    <s v="Same Day"/>
    <x v="243"/>
    <x v="243"/>
    <s v="Corporate"/>
    <s v="United States"/>
    <s v="Coral Springs"/>
    <x v="2"/>
    <n v="33065"/>
    <x v="0"/>
    <x v="289"/>
    <x v="1"/>
    <x v="10"/>
    <x v="289"/>
    <n v="15.552"/>
    <s v="Low"/>
    <n v="3"/>
    <n v="0.2"/>
    <x v="2"/>
    <x v="2"/>
    <n v="5.4432"/>
    <n v="0.35000000000000003"/>
    <n v="0"/>
  </r>
  <r>
    <n v="1195"/>
    <s v="US-2015-130519"/>
    <d v="2015-09-15T00:00:00"/>
    <x v="1"/>
    <s v="Q3"/>
    <x v="11"/>
    <d v="2015-09-15T00:00:00"/>
    <s v="Same Day"/>
    <x v="243"/>
    <x v="243"/>
    <s v="Corporate"/>
    <s v="United States"/>
    <s v="Coral Springs"/>
    <x v="2"/>
    <n v="33065"/>
    <x v="0"/>
    <x v="875"/>
    <x v="0"/>
    <x v="5"/>
    <x v="869"/>
    <n v="15.712"/>
    <s v="Low"/>
    <n v="4"/>
    <n v="0.2"/>
    <x v="2"/>
    <x v="2"/>
    <n v="2.5531999999999999"/>
    <n v="0.16250000000000001"/>
    <n v="0"/>
  </r>
  <r>
    <n v="1196"/>
    <s v="US-2015-130519"/>
    <d v="2015-09-15T00:00:00"/>
    <x v="1"/>
    <s v="Q3"/>
    <x v="11"/>
    <d v="2015-09-15T00:00:00"/>
    <s v="Same Day"/>
    <x v="243"/>
    <x v="243"/>
    <s v="Corporate"/>
    <s v="United States"/>
    <s v="Coral Springs"/>
    <x v="2"/>
    <n v="33065"/>
    <x v="0"/>
    <x v="421"/>
    <x v="1"/>
    <x v="4"/>
    <x v="421"/>
    <n v="24.672000000000001"/>
    <s v="Low"/>
    <n v="2"/>
    <n v="0.2"/>
    <x v="2"/>
    <x v="2"/>
    <n v="2.1587999999999998"/>
    <n v="8.7499999999999994E-2"/>
    <n v="0"/>
  </r>
  <r>
    <n v="1197"/>
    <s v="US-2015-130519"/>
    <d v="2015-09-15T00:00:00"/>
    <x v="1"/>
    <s v="Q3"/>
    <x v="11"/>
    <d v="2015-09-15T00:00:00"/>
    <s v="Same Day"/>
    <x v="243"/>
    <x v="243"/>
    <s v="Corporate"/>
    <s v="United States"/>
    <s v="Coral Springs"/>
    <x v="2"/>
    <n v="33065"/>
    <x v="0"/>
    <x v="583"/>
    <x v="0"/>
    <x v="5"/>
    <x v="583"/>
    <n v="55.968000000000004"/>
    <s v="Medium"/>
    <n v="1"/>
    <n v="0.2"/>
    <x v="2"/>
    <x v="2"/>
    <n v="-2.0988000000000002"/>
    <n v="-3.7499999999999999E-2"/>
    <n v="1"/>
  </r>
  <r>
    <n v="1198"/>
    <s v="CA-2016-130946"/>
    <d v="2016-04-08T00:00:00"/>
    <x v="0"/>
    <s v="Q2"/>
    <x v="25"/>
    <d v="2016-04-12T00:00:00"/>
    <s v="Standard Class"/>
    <x v="233"/>
    <x v="233"/>
    <s v="Consumer"/>
    <s v="United States"/>
    <s v="Houston"/>
    <x v="5"/>
    <n v="77041"/>
    <x v="2"/>
    <x v="876"/>
    <x v="2"/>
    <x v="11"/>
    <x v="870"/>
    <n v="431.928"/>
    <s v="High"/>
    <n v="9"/>
    <n v="0.2"/>
    <x v="2"/>
    <x v="2"/>
    <n v="64.789199999999994"/>
    <n v="0.15"/>
    <n v="0"/>
  </r>
  <r>
    <n v="1199"/>
    <s v="CA-2016-130946"/>
    <d v="2016-04-08T00:00:00"/>
    <x v="0"/>
    <s v="Q2"/>
    <x v="25"/>
    <d v="2016-04-12T00:00:00"/>
    <s v="Standard Class"/>
    <x v="233"/>
    <x v="233"/>
    <s v="Consumer"/>
    <s v="United States"/>
    <s v="Houston"/>
    <x v="5"/>
    <n v="77041"/>
    <x v="2"/>
    <x v="877"/>
    <x v="0"/>
    <x v="1"/>
    <x v="871"/>
    <n v="95.983999999999995"/>
    <s v="Medium"/>
    <n v="4"/>
    <n v="0.3"/>
    <x v="1"/>
    <x v="4"/>
    <n v="-4.1135999999999999"/>
    <n v="-4.2857142857142858E-2"/>
    <n v="1"/>
  </r>
  <r>
    <n v="1200"/>
    <s v="CA-2016-130946"/>
    <d v="2016-04-08T00:00:00"/>
    <x v="0"/>
    <s v="Q2"/>
    <x v="25"/>
    <d v="2016-04-12T00:00:00"/>
    <s v="Standard Class"/>
    <x v="233"/>
    <x v="233"/>
    <s v="Consumer"/>
    <s v="United States"/>
    <s v="Houston"/>
    <x v="5"/>
    <n v="77041"/>
    <x v="2"/>
    <x v="316"/>
    <x v="1"/>
    <x v="8"/>
    <x v="316"/>
    <n v="1088.7919999999999"/>
    <s v="High"/>
    <n v="4"/>
    <n v="0.8"/>
    <x v="1"/>
    <x v="3"/>
    <n v="-1850.9464"/>
    <n v="-1.7000000000000002"/>
    <n v="1"/>
  </r>
  <r>
    <n v="1201"/>
    <s v="CA-2016-114727"/>
    <d v="2016-07-18T00:00:00"/>
    <x v="0"/>
    <s v="Q3"/>
    <x v="16"/>
    <d v="2016-07-24T00:00:00"/>
    <s v="Standard Class"/>
    <x v="322"/>
    <x v="322"/>
    <s v="Corporate"/>
    <s v="United States"/>
    <s v="Denver"/>
    <x v="22"/>
    <n v="80219"/>
    <x v="1"/>
    <x v="629"/>
    <x v="0"/>
    <x v="1"/>
    <x v="629"/>
    <n v="544.00800000000004"/>
    <s v="High"/>
    <n v="3"/>
    <n v="0.2"/>
    <x v="2"/>
    <x v="2"/>
    <n v="40.800600000000003"/>
    <n v="7.4999999999999997E-2"/>
    <n v="0"/>
  </r>
  <r>
    <n v="1202"/>
    <s v="CA-2016-114727"/>
    <d v="2016-07-18T00:00:00"/>
    <x v="0"/>
    <s v="Q3"/>
    <x v="16"/>
    <d v="2016-07-24T00:00:00"/>
    <s v="Standard Class"/>
    <x v="322"/>
    <x v="322"/>
    <s v="Corporate"/>
    <s v="United States"/>
    <s v="Denver"/>
    <x v="22"/>
    <n v="80219"/>
    <x v="1"/>
    <x v="255"/>
    <x v="1"/>
    <x v="8"/>
    <x v="256"/>
    <n v="1.8720000000000001"/>
    <s v="Low"/>
    <n v="3"/>
    <n v="0.7"/>
    <x v="1"/>
    <x v="5"/>
    <n v="-1.4352"/>
    <n v="-0.76666666666666661"/>
    <n v="1"/>
  </r>
  <r>
    <n v="1203"/>
    <s v="CA-2016-114727"/>
    <d v="2016-07-18T00:00:00"/>
    <x v="0"/>
    <s v="Q3"/>
    <x v="16"/>
    <d v="2016-07-24T00:00:00"/>
    <s v="Standard Class"/>
    <x v="322"/>
    <x v="322"/>
    <s v="Corporate"/>
    <s v="United States"/>
    <s v="Denver"/>
    <x v="22"/>
    <n v="80219"/>
    <x v="1"/>
    <x v="406"/>
    <x v="0"/>
    <x v="1"/>
    <x v="407"/>
    <n v="854.35199999999998"/>
    <s v="High"/>
    <n v="3"/>
    <n v="0.2"/>
    <x v="2"/>
    <x v="2"/>
    <n v="10.679399999999999"/>
    <n v="1.2499999999999999E-2"/>
    <n v="0"/>
  </r>
  <r>
    <n v="1204"/>
    <s v="CA-2016-114727"/>
    <d v="2016-07-18T00:00:00"/>
    <x v="0"/>
    <s v="Q3"/>
    <x v="16"/>
    <d v="2016-07-24T00:00:00"/>
    <s v="Standard Class"/>
    <x v="322"/>
    <x v="322"/>
    <s v="Corporate"/>
    <s v="United States"/>
    <s v="Denver"/>
    <x v="22"/>
    <n v="80219"/>
    <x v="1"/>
    <x v="878"/>
    <x v="1"/>
    <x v="4"/>
    <x v="872"/>
    <n v="593.56799999999998"/>
    <s v="High"/>
    <n v="2"/>
    <n v="0.2"/>
    <x v="2"/>
    <x v="2"/>
    <n v="0"/>
    <n v="0"/>
    <n v="0"/>
  </r>
  <r>
    <n v="1205"/>
    <s v="CA-2016-114727"/>
    <d v="2016-07-18T00:00:00"/>
    <x v="0"/>
    <s v="Q3"/>
    <x v="16"/>
    <d v="2016-07-24T00:00:00"/>
    <s v="Standard Class"/>
    <x v="322"/>
    <x v="322"/>
    <s v="Corporate"/>
    <s v="United States"/>
    <s v="Denver"/>
    <x v="22"/>
    <n v="80219"/>
    <x v="1"/>
    <x v="426"/>
    <x v="1"/>
    <x v="4"/>
    <x v="426"/>
    <n v="338.04"/>
    <s v="High"/>
    <n v="3"/>
    <n v="0.2"/>
    <x v="2"/>
    <x v="2"/>
    <n v="-33.804000000000002"/>
    <n v="-0.1"/>
    <n v="1"/>
  </r>
  <r>
    <n v="1206"/>
    <s v="CA-2017-133235"/>
    <d v="2017-08-01T00:00:00"/>
    <x v="3"/>
    <s v="Q3"/>
    <x v="43"/>
    <d v="2017-08-04T00:00:00"/>
    <s v="First Class"/>
    <x v="405"/>
    <x v="405"/>
    <s v="Consumer"/>
    <s v="United States"/>
    <s v="Charlotte"/>
    <x v="3"/>
    <n v="28205"/>
    <x v="0"/>
    <x v="704"/>
    <x v="2"/>
    <x v="7"/>
    <x v="704"/>
    <n v="271.95999999999998"/>
    <s v="High"/>
    <n v="5"/>
    <n v="0.2"/>
    <x v="2"/>
    <x v="2"/>
    <n v="16.997499999999999"/>
    <n v="6.25E-2"/>
    <n v="0"/>
  </r>
  <r>
    <n v="1207"/>
    <s v="CA-2016-137050"/>
    <d v="2016-07-14T00:00:00"/>
    <x v="0"/>
    <s v="Q3"/>
    <x v="16"/>
    <d v="2016-07-18T00:00:00"/>
    <s v="Second Class"/>
    <x v="406"/>
    <x v="406"/>
    <s v="Corporate"/>
    <s v="United States"/>
    <s v="New York City"/>
    <x v="15"/>
    <n v="10009"/>
    <x v="3"/>
    <x v="602"/>
    <x v="1"/>
    <x v="4"/>
    <x v="602"/>
    <n v="11.21"/>
    <s v="Low"/>
    <n v="1"/>
    <n v="0"/>
    <x v="0"/>
    <x v="0"/>
    <n v="3.363"/>
    <n v="0.3"/>
    <n v="0"/>
  </r>
  <r>
    <n v="1208"/>
    <s v="CA-2016-137050"/>
    <d v="2016-07-14T00:00:00"/>
    <x v="0"/>
    <s v="Q3"/>
    <x v="16"/>
    <d v="2016-07-18T00:00:00"/>
    <s v="Second Class"/>
    <x v="406"/>
    <x v="406"/>
    <s v="Corporate"/>
    <s v="United States"/>
    <s v="New York City"/>
    <x v="15"/>
    <n v="10009"/>
    <x v="3"/>
    <x v="315"/>
    <x v="1"/>
    <x v="8"/>
    <x v="315"/>
    <n v="9.1440000000000001"/>
    <s v="Low"/>
    <n v="3"/>
    <n v="0.2"/>
    <x v="2"/>
    <x v="2"/>
    <n v="3.2004000000000001"/>
    <n v="0.35000000000000003"/>
    <n v="0"/>
  </r>
  <r>
    <n v="1209"/>
    <s v="CA-2016-137050"/>
    <d v="2016-07-14T00:00:00"/>
    <x v="0"/>
    <s v="Q3"/>
    <x v="16"/>
    <d v="2016-07-18T00:00:00"/>
    <s v="Second Class"/>
    <x v="406"/>
    <x v="406"/>
    <s v="Corporate"/>
    <s v="United States"/>
    <s v="New York City"/>
    <x v="15"/>
    <n v="10009"/>
    <x v="3"/>
    <x v="131"/>
    <x v="1"/>
    <x v="13"/>
    <x v="132"/>
    <n v="14.07"/>
    <s v="Low"/>
    <n v="7"/>
    <n v="0"/>
    <x v="0"/>
    <x v="0"/>
    <n v="6.8943000000000003"/>
    <n v="0.49"/>
    <n v="0"/>
  </r>
  <r>
    <n v="1210"/>
    <s v="CA-2016-137050"/>
    <d v="2016-07-14T00:00:00"/>
    <x v="0"/>
    <s v="Q3"/>
    <x v="16"/>
    <d v="2016-07-18T00:00:00"/>
    <s v="Second Class"/>
    <x v="406"/>
    <x v="406"/>
    <s v="Corporate"/>
    <s v="United States"/>
    <s v="New York City"/>
    <x v="15"/>
    <n v="10009"/>
    <x v="3"/>
    <x v="879"/>
    <x v="1"/>
    <x v="6"/>
    <x v="873"/>
    <n v="41.86"/>
    <s v="Medium"/>
    <n v="7"/>
    <n v="0"/>
    <x v="0"/>
    <x v="0"/>
    <n v="10.465"/>
    <n v="0.25"/>
    <n v="0"/>
  </r>
  <r>
    <n v="1211"/>
    <s v="CA-2016-137050"/>
    <d v="2016-07-14T00:00:00"/>
    <x v="0"/>
    <s v="Q3"/>
    <x v="16"/>
    <d v="2016-07-18T00:00:00"/>
    <s v="Second Class"/>
    <x v="406"/>
    <x v="406"/>
    <s v="Corporate"/>
    <s v="United States"/>
    <s v="New York City"/>
    <x v="15"/>
    <n v="10009"/>
    <x v="3"/>
    <x v="880"/>
    <x v="1"/>
    <x v="8"/>
    <x v="874"/>
    <n v="8.5440000000000005"/>
    <s v="Low"/>
    <n v="2"/>
    <n v="0.2"/>
    <x v="2"/>
    <x v="2"/>
    <n v="2.8835999999999999"/>
    <n v="0.33749999999999997"/>
    <n v="0"/>
  </r>
  <r>
    <n v="1212"/>
    <s v="CA-2016-137050"/>
    <d v="2016-07-14T00:00:00"/>
    <x v="0"/>
    <s v="Q3"/>
    <x v="16"/>
    <d v="2016-07-18T00:00:00"/>
    <s v="Second Class"/>
    <x v="406"/>
    <x v="406"/>
    <s v="Corporate"/>
    <s v="United States"/>
    <s v="New York City"/>
    <x v="15"/>
    <n v="10009"/>
    <x v="3"/>
    <x v="199"/>
    <x v="0"/>
    <x v="0"/>
    <x v="200"/>
    <n v="579.13599999999997"/>
    <s v="High"/>
    <n v="4"/>
    <n v="0.2"/>
    <x v="2"/>
    <x v="2"/>
    <n v="21.717600000000001"/>
    <n v="3.7500000000000006E-2"/>
    <n v="0"/>
  </r>
  <r>
    <n v="1213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211"/>
    <x v="0"/>
    <x v="1"/>
    <x v="212"/>
    <n v="141.37200000000001"/>
    <s v="High"/>
    <n v="2"/>
    <n v="0.3"/>
    <x v="1"/>
    <x v="4"/>
    <n v="-48.470399999999998"/>
    <n v="-0.3428571428571428"/>
    <n v="1"/>
  </r>
  <r>
    <n v="1214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881"/>
    <x v="1"/>
    <x v="8"/>
    <x v="875"/>
    <n v="3.036"/>
    <s v="Low"/>
    <n v="2"/>
    <n v="0.7"/>
    <x v="1"/>
    <x v="5"/>
    <n v="-2.3275999999999999"/>
    <n v="-0.76666666666666661"/>
    <n v="1"/>
  </r>
  <r>
    <n v="1215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491"/>
    <x v="1"/>
    <x v="8"/>
    <x v="491"/>
    <n v="4.5030000000000001"/>
    <s v="Low"/>
    <n v="1"/>
    <n v="0.7"/>
    <x v="1"/>
    <x v="5"/>
    <n v="-3.6023999999999998"/>
    <n v="-0.79999999999999993"/>
    <n v="1"/>
  </r>
  <r>
    <n v="1216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241"/>
    <x v="1"/>
    <x v="6"/>
    <x v="242"/>
    <n v="4.6719999999999997"/>
    <s v="Low"/>
    <n v="1"/>
    <n v="0.2"/>
    <x v="2"/>
    <x v="2"/>
    <n v="1.5768"/>
    <n v="0.33750000000000002"/>
    <n v="0"/>
  </r>
  <r>
    <n v="1217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240"/>
    <x v="2"/>
    <x v="11"/>
    <x v="241"/>
    <n v="95.88"/>
    <s v="Medium"/>
    <n v="3"/>
    <n v="0.2"/>
    <x v="2"/>
    <x v="2"/>
    <n v="28.763999999999999"/>
    <n v="0.3"/>
    <n v="0"/>
  </r>
  <r>
    <n v="1218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882"/>
    <x v="0"/>
    <x v="5"/>
    <x v="876"/>
    <n v="17.024000000000001"/>
    <s v="Low"/>
    <n v="2"/>
    <n v="0.2"/>
    <x v="2"/>
    <x v="2"/>
    <n v="1.7023999999999999"/>
    <n v="9.9999999999999992E-2"/>
    <n v="0"/>
  </r>
  <r>
    <n v="1219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619"/>
    <x v="2"/>
    <x v="11"/>
    <x v="619"/>
    <n v="258.69600000000003"/>
    <s v="High"/>
    <n v="3"/>
    <n v="0.2"/>
    <x v="2"/>
    <x v="2"/>
    <n v="64.674000000000007"/>
    <n v="0.25"/>
    <n v="0"/>
  </r>
  <r>
    <n v="1220"/>
    <s v="US-2017-118087"/>
    <d v="2017-09-09T00:00:00"/>
    <x v="3"/>
    <s v="Q3"/>
    <x v="15"/>
    <d v="2017-09-13T00:00:00"/>
    <s v="Standard Class"/>
    <x v="407"/>
    <x v="407"/>
    <s v="Corporate"/>
    <s v="United States"/>
    <s v="Philadelphia"/>
    <x v="9"/>
    <n v="19134"/>
    <x v="3"/>
    <x v="883"/>
    <x v="2"/>
    <x v="7"/>
    <x v="877"/>
    <n v="1931.9580000000001"/>
    <s v="High"/>
    <n v="7"/>
    <n v="0.4"/>
    <x v="1"/>
    <x v="7"/>
    <n v="-386.39159999999998"/>
    <n v="-0.19999999999999998"/>
    <n v="1"/>
  </r>
  <r>
    <n v="1221"/>
    <s v="CA-2014-110184"/>
    <d v="2014-07-12T00:00:00"/>
    <x v="2"/>
    <s v="Q3"/>
    <x v="39"/>
    <d v="2014-07-16T00:00:00"/>
    <s v="Standard Class"/>
    <x v="408"/>
    <x v="408"/>
    <s v="Home Office"/>
    <s v="United States"/>
    <s v="Los Angeles"/>
    <x v="1"/>
    <n v="90036"/>
    <x v="1"/>
    <x v="17"/>
    <x v="1"/>
    <x v="4"/>
    <x v="17"/>
    <n v="249.75"/>
    <s v="High"/>
    <n v="9"/>
    <n v="0"/>
    <x v="0"/>
    <x v="0"/>
    <n v="44.954999999999998"/>
    <n v="0.18"/>
    <n v="0"/>
  </r>
  <r>
    <n v="1222"/>
    <s v="CA-2014-110184"/>
    <d v="2014-07-12T00:00:00"/>
    <x v="2"/>
    <s v="Q3"/>
    <x v="39"/>
    <d v="2014-07-16T00:00:00"/>
    <s v="Standard Class"/>
    <x v="408"/>
    <x v="408"/>
    <s v="Home Office"/>
    <s v="United States"/>
    <s v="Los Angeles"/>
    <x v="1"/>
    <n v="90036"/>
    <x v="1"/>
    <x v="884"/>
    <x v="2"/>
    <x v="7"/>
    <x v="878"/>
    <n v="255.93600000000001"/>
    <s v="High"/>
    <n v="8"/>
    <n v="0.2"/>
    <x v="2"/>
    <x v="2"/>
    <n v="28.7928"/>
    <n v="0.11249999999999999"/>
    <n v="0"/>
  </r>
  <r>
    <n v="1223"/>
    <s v="CA-2016-126004"/>
    <d v="2016-12-04T00:00:00"/>
    <x v="0"/>
    <s v="Q4"/>
    <x v="5"/>
    <d v="2016-12-05T00:00:00"/>
    <s v="First Class"/>
    <x v="78"/>
    <x v="78"/>
    <s v="Consumer"/>
    <s v="United States"/>
    <s v="New York City"/>
    <x v="15"/>
    <n v="10024"/>
    <x v="3"/>
    <x v="767"/>
    <x v="0"/>
    <x v="5"/>
    <x v="766"/>
    <n v="113.79"/>
    <s v="Medium"/>
    <n v="3"/>
    <n v="0"/>
    <x v="0"/>
    <x v="0"/>
    <n v="20.482199999999999"/>
    <n v="0.18"/>
    <n v="0"/>
  </r>
  <r>
    <n v="1224"/>
    <s v="CA-2016-126004"/>
    <d v="2016-12-04T00:00:00"/>
    <x v="0"/>
    <s v="Q4"/>
    <x v="5"/>
    <d v="2016-12-05T00:00:00"/>
    <s v="First Class"/>
    <x v="78"/>
    <x v="78"/>
    <s v="Consumer"/>
    <s v="United States"/>
    <s v="New York City"/>
    <x v="15"/>
    <n v="10024"/>
    <x v="3"/>
    <x v="475"/>
    <x v="2"/>
    <x v="11"/>
    <x v="476"/>
    <n v="78.150000000000006"/>
    <s v="Medium"/>
    <n v="1"/>
    <n v="0"/>
    <x v="0"/>
    <x v="0"/>
    <n v="34.386000000000003"/>
    <n v="0.44"/>
    <n v="0"/>
  </r>
  <r>
    <n v="1225"/>
    <s v="CA-2016-126004"/>
    <d v="2016-12-04T00:00:00"/>
    <x v="0"/>
    <s v="Q4"/>
    <x v="5"/>
    <d v="2016-12-05T00:00:00"/>
    <s v="First Class"/>
    <x v="78"/>
    <x v="78"/>
    <s v="Consumer"/>
    <s v="United States"/>
    <s v="New York City"/>
    <x v="15"/>
    <n v="10024"/>
    <x v="3"/>
    <x v="870"/>
    <x v="1"/>
    <x v="8"/>
    <x v="864"/>
    <n v="1.728"/>
    <s v="Low"/>
    <n v="1"/>
    <n v="0.2"/>
    <x v="2"/>
    <x v="2"/>
    <n v="0.6048"/>
    <n v="0.35000000000000003"/>
    <n v="0"/>
  </r>
  <r>
    <n v="1226"/>
    <s v="CA-2016-126004"/>
    <d v="2016-12-04T00:00:00"/>
    <x v="0"/>
    <s v="Q4"/>
    <x v="5"/>
    <d v="2016-12-05T00:00:00"/>
    <s v="First Class"/>
    <x v="78"/>
    <x v="78"/>
    <s v="Consumer"/>
    <s v="United States"/>
    <s v="New York City"/>
    <x v="15"/>
    <n v="10024"/>
    <x v="3"/>
    <x v="885"/>
    <x v="1"/>
    <x v="10"/>
    <x v="33"/>
    <n v="40.56"/>
    <s v="Medium"/>
    <n v="4"/>
    <n v="0"/>
    <x v="0"/>
    <x v="0"/>
    <n v="19.874400000000001"/>
    <n v="0.49"/>
    <n v="0"/>
  </r>
  <r>
    <n v="1227"/>
    <s v="CA-2016-126004"/>
    <d v="2016-12-04T00:00:00"/>
    <x v="0"/>
    <s v="Q4"/>
    <x v="5"/>
    <d v="2016-12-05T00:00:00"/>
    <s v="First Class"/>
    <x v="78"/>
    <x v="78"/>
    <s v="Consumer"/>
    <s v="United States"/>
    <s v="New York City"/>
    <x v="15"/>
    <n v="10024"/>
    <x v="3"/>
    <x v="886"/>
    <x v="1"/>
    <x v="4"/>
    <x v="879"/>
    <n v="182.94"/>
    <s v="High"/>
    <n v="3"/>
    <n v="0"/>
    <x v="0"/>
    <x v="0"/>
    <n v="3.6587999999999998"/>
    <n v="0.02"/>
    <n v="0"/>
  </r>
  <r>
    <n v="1228"/>
    <s v="CA-2016-126004"/>
    <d v="2016-12-04T00:00:00"/>
    <x v="0"/>
    <s v="Q4"/>
    <x v="5"/>
    <d v="2016-12-05T00:00:00"/>
    <s v="First Class"/>
    <x v="78"/>
    <x v="78"/>
    <s v="Consumer"/>
    <s v="United States"/>
    <s v="New York City"/>
    <x v="15"/>
    <n v="10024"/>
    <x v="3"/>
    <x v="887"/>
    <x v="1"/>
    <x v="4"/>
    <x v="880"/>
    <n v="193.86"/>
    <s v="High"/>
    <n v="2"/>
    <n v="0"/>
    <x v="0"/>
    <x v="0"/>
    <n v="11.631600000000001"/>
    <n v="0.06"/>
    <n v="0"/>
  </r>
  <r>
    <n v="1229"/>
    <s v="CA-2017-100013"/>
    <d v="2017-11-06T00:00:00"/>
    <x v="3"/>
    <s v="Q4"/>
    <x v="23"/>
    <d v="2017-11-11T00:00:00"/>
    <s v="Standard Class"/>
    <x v="233"/>
    <x v="233"/>
    <s v="Consumer"/>
    <s v="United States"/>
    <s v="Los Angeles"/>
    <x v="1"/>
    <n v="90045"/>
    <x v="1"/>
    <x v="588"/>
    <x v="1"/>
    <x v="12"/>
    <x v="588"/>
    <n v="15.28"/>
    <s v="Low"/>
    <n v="2"/>
    <n v="0"/>
    <x v="0"/>
    <x v="0"/>
    <n v="7.4871999999999996"/>
    <n v="0.49"/>
    <n v="0"/>
  </r>
  <r>
    <n v="1230"/>
    <s v="CA-2017-100013"/>
    <d v="2017-11-06T00:00:00"/>
    <x v="3"/>
    <s v="Q4"/>
    <x v="23"/>
    <d v="2017-11-11T00:00:00"/>
    <s v="Standard Class"/>
    <x v="233"/>
    <x v="233"/>
    <s v="Consumer"/>
    <s v="United States"/>
    <s v="Los Angeles"/>
    <x v="1"/>
    <n v="90045"/>
    <x v="1"/>
    <x v="698"/>
    <x v="0"/>
    <x v="5"/>
    <x v="698"/>
    <n v="8.73"/>
    <s v="Low"/>
    <n v="1"/>
    <n v="0"/>
    <x v="0"/>
    <x v="0"/>
    <n v="2.9681999999999999"/>
    <n v="0.33999999999999997"/>
    <n v="0"/>
  </r>
  <r>
    <n v="1231"/>
    <s v="CA-2017-100013"/>
    <d v="2017-11-06T00:00:00"/>
    <x v="3"/>
    <s v="Q4"/>
    <x v="23"/>
    <d v="2017-11-11T00:00:00"/>
    <s v="Standard Class"/>
    <x v="233"/>
    <x v="233"/>
    <s v="Consumer"/>
    <s v="United States"/>
    <s v="Los Angeles"/>
    <x v="1"/>
    <n v="90045"/>
    <x v="1"/>
    <x v="888"/>
    <x v="1"/>
    <x v="6"/>
    <x v="881"/>
    <n v="5.68"/>
    <s v="Low"/>
    <n v="2"/>
    <n v="0"/>
    <x v="0"/>
    <x v="0"/>
    <n v="1.7607999999999999"/>
    <n v="0.31"/>
    <n v="0"/>
  </r>
  <r>
    <n v="1232"/>
    <s v="CA-2015-132570"/>
    <d v="2015-10-31T00:00:00"/>
    <x v="1"/>
    <s v="Q4"/>
    <x v="2"/>
    <d v="2015-11-02T00:00:00"/>
    <s v="Second Class"/>
    <x v="409"/>
    <x v="409"/>
    <s v="Consumer"/>
    <s v="United States"/>
    <s v="Buffalo"/>
    <x v="15"/>
    <n v="14215"/>
    <x v="3"/>
    <x v="381"/>
    <x v="1"/>
    <x v="6"/>
    <x v="382"/>
    <n v="2.78"/>
    <s v="Low"/>
    <n v="2"/>
    <n v="0"/>
    <x v="0"/>
    <x v="0"/>
    <n v="0.7228"/>
    <n v="0.26"/>
    <n v="0"/>
  </r>
  <r>
    <n v="1233"/>
    <s v="CA-2015-132570"/>
    <d v="2015-10-31T00:00:00"/>
    <x v="1"/>
    <s v="Q4"/>
    <x v="2"/>
    <d v="2015-11-02T00:00:00"/>
    <s v="Second Class"/>
    <x v="409"/>
    <x v="409"/>
    <s v="Consumer"/>
    <s v="United States"/>
    <s v="Buffalo"/>
    <x v="15"/>
    <n v="14215"/>
    <x v="3"/>
    <x v="889"/>
    <x v="1"/>
    <x v="12"/>
    <x v="882"/>
    <n v="79.959999999999994"/>
    <s v="Medium"/>
    <n v="2"/>
    <n v="0"/>
    <x v="0"/>
    <x v="0"/>
    <n v="35.981999999999999"/>
    <n v="0.45"/>
    <n v="0"/>
  </r>
  <r>
    <n v="1234"/>
    <s v="CA-2016-153682"/>
    <d v="2016-05-30T00:00:00"/>
    <x v="0"/>
    <s v="Q2"/>
    <x v="35"/>
    <d v="2016-06-01T00:00:00"/>
    <s v="First Class"/>
    <x v="410"/>
    <x v="410"/>
    <s v="Corporate"/>
    <s v="United States"/>
    <s v="Cincinnati"/>
    <x v="24"/>
    <n v="45231"/>
    <x v="3"/>
    <x v="890"/>
    <x v="2"/>
    <x v="16"/>
    <x v="883"/>
    <n v="839.98800000000006"/>
    <s v="High"/>
    <n v="2"/>
    <n v="0.4"/>
    <x v="1"/>
    <x v="7"/>
    <n v="69.998999999999995"/>
    <n v="8.3333333333333329E-2"/>
    <n v="0"/>
  </r>
  <r>
    <n v="1235"/>
    <s v="CA-2016-144344"/>
    <d v="2016-10-28T00:00:00"/>
    <x v="0"/>
    <s v="Q4"/>
    <x v="32"/>
    <d v="2016-10-28T00:00:00"/>
    <s v="Same Day"/>
    <x v="310"/>
    <x v="310"/>
    <s v="Consumer"/>
    <s v="United States"/>
    <s v="Boynton Beach"/>
    <x v="2"/>
    <n v="33437"/>
    <x v="0"/>
    <x v="891"/>
    <x v="0"/>
    <x v="5"/>
    <x v="884"/>
    <n v="47.951999999999998"/>
    <s v="Medium"/>
    <n v="3"/>
    <n v="0.2"/>
    <x v="2"/>
    <x v="2"/>
    <n v="13.786199999999999"/>
    <n v="0.28749999999999998"/>
    <n v="0"/>
  </r>
  <r>
    <n v="1236"/>
    <s v="CA-2016-144344"/>
    <d v="2016-10-28T00:00:00"/>
    <x v="0"/>
    <s v="Q4"/>
    <x v="32"/>
    <d v="2016-10-28T00:00:00"/>
    <s v="Same Day"/>
    <x v="310"/>
    <x v="310"/>
    <s v="Consumer"/>
    <s v="United States"/>
    <s v="Boynton Beach"/>
    <x v="2"/>
    <n v="33437"/>
    <x v="0"/>
    <x v="691"/>
    <x v="1"/>
    <x v="8"/>
    <x v="691"/>
    <n v="37.424999999999997"/>
    <s v="Medium"/>
    <n v="5"/>
    <n v="0.7"/>
    <x v="1"/>
    <x v="5"/>
    <n v="-29.94"/>
    <n v="-0.8"/>
    <n v="1"/>
  </r>
  <r>
    <n v="1237"/>
    <s v="CA-2016-144344"/>
    <d v="2016-10-28T00:00:00"/>
    <x v="0"/>
    <s v="Q4"/>
    <x v="32"/>
    <d v="2016-10-28T00:00:00"/>
    <s v="Same Day"/>
    <x v="310"/>
    <x v="310"/>
    <s v="Consumer"/>
    <s v="United States"/>
    <s v="Boynton Beach"/>
    <x v="2"/>
    <n v="33437"/>
    <x v="0"/>
    <x v="892"/>
    <x v="0"/>
    <x v="5"/>
    <x v="885"/>
    <n v="63.968000000000004"/>
    <s v="Medium"/>
    <n v="2"/>
    <n v="0.2"/>
    <x v="2"/>
    <x v="2"/>
    <n v="0"/>
    <n v="0"/>
    <n v="0"/>
  </r>
  <r>
    <n v="1238"/>
    <s v="CA-2016-144344"/>
    <d v="2016-10-28T00:00:00"/>
    <x v="0"/>
    <s v="Q4"/>
    <x v="32"/>
    <d v="2016-10-28T00:00:00"/>
    <s v="Same Day"/>
    <x v="310"/>
    <x v="310"/>
    <s v="Consumer"/>
    <s v="United States"/>
    <s v="Boynton Beach"/>
    <x v="2"/>
    <n v="33437"/>
    <x v="0"/>
    <x v="568"/>
    <x v="0"/>
    <x v="5"/>
    <x v="568"/>
    <n v="165.048"/>
    <s v="High"/>
    <n v="3"/>
    <n v="0.2"/>
    <x v="2"/>
    <x v="2"/>
    <n v="41.262"/>
    <n v="0.25"/>
    <n v="0"/>
  </r>
  <r>
    <n v="1239"/>
    <s v="CA-2014-127012"/>
    <d v="2014-08-11T00:00:00"/>
    <x v="2"/>
    <s v="Q3"/>
    <x v="9"/>
    <d v="2014-08-15T00:00:00"/>
    <s v="Standard Class"/>
    <x v="411"/>
    <x v="411"/>
    <s v="Consumer"/>
    <s v="United States"/>
    <s v="Seattle"/>
    <x v="4"/>
    <n v="98105"/>
    <x v="1"/>
    <x v="893"/>
    <x v="0"/>
    <x v="5"/>
    <x v="886"/>
    <n v="12.35"/>
    <s v="Low"/>
    <n v="1"/>
    <n v="0"/>
    <x v="0"/>
    <x v="0"/>
    <n v="5.4340000000000002"/>
    <n v="0.44"/>
    <n v="0"/>
  </r>
  <r>
    <n v="1240"/>
    <s v="CA-2014-127012"/>
    <d v="2014-08-11T00:00:00"/>
    <x v="2"/>
    <s v="Q3"/>
    <x v="9"/>
    <d v="2014-08-15T00:00:00"/>
    <s v="Standard Class"/>
    <x v="411"/>
    <x v="411"/>
    <s v="Consumer"/>
    <s v="United States"/>
    <s v="Seattle"/>
    <x v="4"/>
    <n v="98105"/>
    <x v="1"/>
    <x v="894"/>
    <x v="1"/>
    <x v="6"/>
    <x v="887"/>
    <n v="40.97"/>
    <s v="Medium"/>
    <n v="1"/>
    <n v="0"/>
    <x v="0"/>
    <x v="0"/>
    <n v="10.652200000000001"/>
    <n v="0.26"/>
    <n v="0"/>
  </r>
  <r>
    <n v="1241"/>
    <s v="CA-2014-127012"/>
    <d v="2014-08-11T00:00:00"/>
    <x v="2"/>
    <s v="Q3"/>
    <x v="9"/>
    <d v="2014-08-15T00:00:00"/>
    <s v="Standard Class"/>
    <x v="411"/>
    <x v="411"/>
    <s v="Consumer"/>
    <s v="United States"/>
    <s v="Seattle"/>
    <x v="4"/>
    <n v="98105"/>
    <x v="1"/>
    <x v="271"/>
    <x v="1"/>
    <x v="13"/>
    <x v="271"/>
    <n v="22.96"/>
    <s v="Low"/>
    <n v="2"/>
    <n v="0"/>
    <x v="0"/>
    <x v="0"/>
    <n v="10.7912"/>
    <n v="0.47"/>
    <n v="0"/>
  </r>
  <r>
    <n v="1242"/>
    <s v="CA-2016-128727"/>
    <d v="2016-08-29T00:00:00"/>
    <x v="0"/>
    <s v="Q3"/>
    <x v="28"/>
    <d v="2016-09-04T00:00:00"/>
    <s v="Standard Class"/>
    <x v="246"/>
    <x v="246"/>
    <s v="Home Office"/>
    <s v="United States"/>
    <s v="New York City"/>
    <x v="15"/>
    <n v="10024"/>
    <x v="3"/>
    <x v="895"/>
    <x v="2"/>
    <x v="7"/>
    <x v="888"/>
    <n v="22"/>
    <s v="Low"/>
    <n v="4"/>
    <n v="0"/>
    <x v="0"/>
    <x v="0"/>
    <n v="5.5"/>
    <n v="0.25"/>
    <n v="0"/>
  </r>
  <r>
    <n v="1243"/>
    <s v="US-2016-162859"/>
    <d v="2016-02-15T00:00:00"/>
    <x v="0"/>
    <s v="Q1"/>
    <x v="47"/>
    <d v="2016-02-22T00:00:00"/>
    <s v="Standard Class"/>
    <x v="310"/>
    <x v="310"/>
    <s v="Consumer"/>
    <s v="United States"/>
    <s v="New York City"/>
    <x v="15"/>
    <n v="10009"/>
    <x v="3"/>
    <x v="896"/>
    <x v="1"/>
    <x v="8"/>
    <x v="889"/>
    <n v="398.35199999999998"/>
    <s v="High"/>
    <n v="3"/>
    <n v="0.2"/>
    <x v="2"/>
    <x v="2"/>
    <n v="124.485"/>
    <n v="0.3125"/>
    <n v="0"/>
  </r>
  <r>
    <n v="1244"/>
    <s v="US-2016-162859"/>
    <d v="2016-02-15T00:00:00"/>
    <x v="0"/>
    <s v="Q1"/>
    <x v="47"/>
    <d v="2016-02-22T00:00:00"/>
    <s v="Standard Class"/>
    <x v="310"/>
    <x v="310"/>
    <s v="Consumer"/>
    <s v="United States"/>
    <s v="New York City"/>
    <x v="15"/>
    <n v="10009"/>
    <x v="3"/>
    <x v="52"/>
    <x v="1"/>
    <x v="13"/>
    <x v="52"/>
    <n v="8.7200000000000006"/>
    <s v="Low"/>
    <n v="4"/>
    <n v="0"/>
    <x v="0"/>
    <x v="0"/>
    <n v="3.5752000000000002"/>
    <n v="0.41"/>
    <n v="0"/>
  </r>
  <r>
    <n v="1245"/>
    <s v="CA-2017-133641"/>
    <d v="2017-05-14T00:00:00"/>
    <x v="3"/>
    <s v="Q2"/>
    <x v="24"/>
    <d v="2017-05-21T00:00:00"/>
    <s v="Standard Class"/>
    <x v="412"/>
    <x v="412"/>
    <s v="Consumer"/>
    <s v="United States"/>
    <s v="Gulfport"/>
    <x v="35"/>
    <n v="39503"/>
    <x v="0"/>
    <x v="897"/>
    <x v="1"/>
    <x v="12"/>
    <x v="890"/>
    <n v="48.69"/>
    <s v="Medium"/>
    <n v="9"/>
    <n v="0"/>
    <x v="0"/>
    <x v="0"/>
    <n v="23.8581"/>
    <n v="0.49000000000000005"/>
    <n v="0"/>
  </r>
  <r>
    <n v="1246"/>
    <s v="CA-2014-168494"/>
    <d v="2014-12-12T00:00:00"/>
    <x v="2"/>
    <s v="Q4"/>
    <x v="20"/>
    <d v="2014-12-14T00:00:00"/>
    <s v="Second Class"/>
    <x v="413"/>
    <x v="413"/>
    <s v="Consumer"/>
    <s v="United States"/>
    <s v="Fresno"/>
    <x v="1"/>
    <n v="93727"/>
    <x v="1"/>
    <x v="898"/>
    <x v="0"/>
    <x v="3"/>
    <x v="891"/>
    <n v="764.68799999999999"/>
    <s v="High"/>
    <n v="6"/>
    <n v="0.2"/>
    <x v="2"/>
    <x v="2"/>
    <n v="95.585999999999999"/>
    <n v="0.125"/>
    <n v="0"/>
  </r>
  <r>
    <n v="1247"/>
    <s v="CA-2014-168494"/>
    <d v="2014-12-12T00:00:00"/>
    <x v="2"/>
    <s v="Q4"/>
    <x v="20"/>
    <d v="2014-12-14T00:00:00"/>
    <s v="Second Class"/>
    <x v="413"/>
    <x v="413"/>
    <s v="Consumer"/>
    <s v="United States"/>
    <s v="Fresno"/>
    <x v="1"/>
    <n v="93727"/>
    <x v="1"/>
    <x v="215"/>
    <x v="0"/>
    <x v="3"/>
    <x v="216"/>
    <n v="3610.848"/>
    <s v="High"/>
    <n v="12"/>
    <n v="0.2"/>
    <x v="2"/>
    <x v="2"/>
    <n v="135.4068"/>
    <n v="3.7499999999999999E-2"/>
    <n v="0"/>
  </r>
  <r>
    <n v="1248"/>
    <s v="CA-2014-168494"/>
    <d v="2014-12-12T00:00:00"/>
    <x v="2"/>
    <s v="Q4"/>
    <x v="20"/>
    <d v="2014-12-14T00:00:00"/>
    <s v="Second Class"/>
    <x v="413"/>
    <x v="413"/>
    <s v="Consumer"/>
    <s v="United States"/>
    <s v="Fresno"/>
    <x v="1"/>
    <n v="93727"/>
    <x v="1"/>
    <x v="899"/>
    <x v="0"/>
    <x v="0"/>
    <x v="892"/>
    <n v="254.97450000000001"/>
    <s v="High"/>
    <n v="3"/>
    <n v="0.15"/>
    <x v="2"/>
    <x v="2"/>
    <n v="11.998799999999999"/>
    <n v="4.7058823529411764E-2"/>
    <n v="0"/>
  </r>
  <r>
    <n v="1249"/>
    <s v="CA-2017-115602"/>
    <d v="2017-12-18T00:00:00"/>
    <x v="3"/>
    <s v="Q4"/>
    <x v="22"/>
    <d v="2017-12-24T00:00:00"/>
    <s v="Standard Class"/>
    <x v="264"/>
    <x v="264"/>
    <s v="Consumer"/>
    <s v="United States"/>
    <s v="New York City"/>
    <x v="15"/>
    <n v="10009"/>
    <x v="3"/>
    <x v="900"/>
    <x v="1"/>
    <x v="6"/>
    <x v="772"/>
    <n v="38.82"/>
    <s v="Medium"/>
    <n v="6"/>
    <n v="0"/>
    <x v="0"/>
    <x v="0"/>
    <n v="17.469000000000001"/>
    <n v="0.45"/>
    <n v="0"/>
  </r>
  <r>
    <n v="1250"/>
    <s v="CA-2017-115602"/>
    <d v="2017-12-18T00:00:00"/>
    <x v="3"/>
    <s v="Q4"/>
    <x v="22"/>
    <d v="2017-12-24T00:00:00"/>
    <s v="Standard Class"/>
    <x v="264"/>
    <x v="264"/>
    <s v="Consumer"/>
    <s v="United States"/>
    <s v="New York City"/>
    <x v="15"/>
    <n v="10009"/>
    <x v="3"/>
    <x v="901"/>
    <x v="0"/>
    <x v="1"/>
    <x v="893"/>
    <n v="1141.9380000000001"/>
    <s v="High"/>
    <n v="9"/>
    <n v="0.1"/>
    <x v="3"/>
    <x v="8"/>
    <n v="139.5702"/>
    <n v="0.1222222222222222"/>
    <n v="0"/>
  </r>
  <r>
    <n v="1251"/>
    <s v="CA-2017-115602"/>
    <d v="2017-12-18T00:00:00"/>
    <x v="3"/>
    <s v="Q4"/>
    <x v="22"/>
    <d v="2017-12-24T00:00:00"/>
    <s v="Standard Class"/>
    <x v="264"/>
    <x v="264"/>
    <s v="Consumer"/>
    <s v="United States"/>
    <s v="New York City"/>
    <x v="15"/>
    <n v="10009"/>
    <x v="3"/>
    <x v="164"/>
    <x v="1"/>
    <x v="9"/>
    <x v="165"/>
    <n v="1704.56"/>
    <s v="High"/>
    <n v="13"/>
    <n v="0"/>
    <x v="0"/>
    <x v="0"/>
    <n v="511.36799999999999"/>
    <n v="0.3"/>
    <n v="0"/>
  </r>
  <r>
    <n v="1252"/>
    <s v="CA-2017-115602"/>
    <d v="2017-12-18T00:00:00"/>
    <x v="3"/>
    <s v="Q4"/>
    <x v="22"/>
    <d v="2017-12-24T00:00:00"/>
    <s v="Standard Class"/>
    <x v="264"/>
    <x v="264"/>
    <s v="Consumer"/>
    <s v="United States"/>
    <s v="New York City"/>
    <x v="15"/>
    <n v="10009"/>
    <x v="3"/>
    <x v="902"/>
    <x v="1"/>
    <x v="6"/>
    <x v="894"/>
    <n v="3.2"/>
    <s v="Low"/>
    <n v="2"/>
    <n v="0"/>
    <x v="0"/>
    <x v="0"/>
    <n v="1.3759999999999999"/>
    <n v="0.42999999999999994"/>
    <n v="0"/>
  </r>
  <r>
    <n v="1253"/>
    <s v="CA-2015-154956"/>
    <d v="2015-07-04T00:00:00"/>
    <x v="1"/>
    <s v="Q3"/>
    <x v="38"/>
    <d v="2015-07-09T00:00:00"/>
    <s v="Standard Class"/>
    <x v="5"/>
    <x v="5"/>
    <s v="Consumer"/>
    <s v="United States"/>
    <s v="Milwaukee"/>
    <x v="6"/>
    <n v="53209"/>
    <x v="2"/>
    <x v="903"/>
    <x v="2"/>
    <x v="7"/>
    <x v="895"/>
    <n v="1099.96"/>
    <s v="High"/>
    <n v="4"/>
    <n v="0"/>
    <x v="0"/>
    <x v="0"/>
    <n v="285.9896"/>
    <n v="0.26"/>
    <n v="0"/>
  </r>
  <r>
    <n v="1254"/>
    <s v="CA-2017-144638"/>
    <d v="2017-03-10T00:00:00"/>
    <x v="3"/>
    <s v="Q1"/>
    <x v="42"/>
    <d v="2017-03-14T00:00:00"/>
    <s v="Standard Class"/>
    <x v="414"/>
    <x v="414"/>
    <s v="Home Office"/>
    <s v="United States"/>
    <s v="Chester"/>
    <x v="9"/>
    <n v="19013"/>
    <x v="3"/>
    <x v="686"/>
    <x v="1"/>
    <x v="6"/>
    <x v="686"/>
    <n v="5.2480000000000002"/>
    <s v="Low"/>
    <n v="2"/>
    <n v="0.2"/>
    <x v="2"/>
    <x v="2"/>
    <n v="0.59040000000000004"/>
    <n v="0.1125"/>
    <n v="0"/>
  </r>
  <r>
    <n v="1255"/>
    <s v="CA-2017-144638"/>
    <d v="2017-03-10T00:00:00"/>
    <x v="3"/>
    <s v="Q1"/>
    <x v="42"/>
    <d v="2017-03-14T00:00:00"/>
    <s v="Standard Class"/>
    <x v="414"/>
    <x v="414"/>
    <s v="Home Office"/>
    <s v="United States"/>
    <s v="Chester"/>
    <x v="9"/>
    <n v="19013"/>
    <x v="3"/>
    <x v="424"/>
    <x v="2"/>
    <x v="7"/>
    <x v="424"/>
    <n v="35.909999999999997"/>
    <s v="Medium"/>
    <n v="3"/>
    <n v="0.4"/>
    <x v="1"/>
    <x v="7"/>
    <n v="-8.3789999999999996"/>
    <n v="-0.23333333333333334"/>
    <n v="1"/>
  </r>
  <r>
    <n v="1256"/>
    <s v="CA-2017-144638"/>
    <d v="2017-03-10T00:00:00"/>
    <x v="3"/>
    <s v="Q1"/>
    <x v="42"/>
    <d v="2017-03-14T00:00:00"/>
    <s v="Standard Class"/>
    <x v="414"/>
    <x v="414"/>
    <s v="Home Office"/>
    <s v="United States"/>
    <s v="Chester"/>
    <x v="9"/>
    <n v="19013"/>
    <x v="3"/>
    <x v="904"/>
    <x v="0"/>
    <x v="5"/>
    <x v="896"/>
    <n v="6.6959999999999997"/>
    <s v="Low"/>
    <n v="1"/>
    <n v="0.2"/>
    <x v="2"/>
    <x v="2"/>
    <n v="0.50219999999999998"/>
    <n v="7.4999999999999997E-2"/>
    <n v="0"/>
  </r>
  <r>
    <n v="1257"/>
    <s v="CA-2017-144638"/>
    <d v="2017-03-10T00:00:00"/>
    <x v="3"/>
    <s v="Q1"/>
    <x v="42"/>
    <d v="2017-03-14T00:00:00"/>
    <s v="Standard Class"/>
    <x v="414"/>
    <x v="414"/>
    <s v="Home Office"/>
    <s v="United States"/>
    <s v="Chester"/>
    <x v="9"/>
    <n v="19013"/>
    <x v="3"/>
    <x v="905"/>
    <x v="0"/>
    <x v="5"/>
    <x v="897"/>
    <n v="43.872"/>
    <s v="Medium"/>
    <n v="2"/>
    <n v="0.2"/>
    <x v="2"/>
    <x v="2"/>
    <n v="11.516400000000001"/>
    <n v="0.26250000000000001"/>
    <n v="0"/>
  </r>
  <r>
    <n v="1258"/>
    <s v="US-2016-168620"/>
    <d v="2016-12-24T00:00:00"/>
    <x v="0"/>
    <s v="Q4"/>
    <x v="5"/>
    <d v="2016-12-28T00:00:00"/>
    <s v="Second Class"/>
    <x v="176"/>
    <x v="176"/>
    <s v="Home Office"/>
    <s v="United States"/>
    <s v="Charlotte"/>
    <x v="3"/>
    <n v="28205"/>
    <x v="0"/>
    <x v="582"/>
    <x v="1"/>
    <x v="8"/>
    <x v="582"/>
    <n v="27.882000000000001"/>
    <s v="Medium"/>
    <n v="3"/>
    <n v="0.7"/>
    <x v="1"/>
    <x v="5"/>
    <n v="-20.4468"/>
    <n v="-0.73333333333333328"/>
    <n v="1"/>
  </r>
  <r>
    <n v="1259"/>
    <s v="US-2016-168620"/>
    <d v="2016-12-24T00:00:00"/>
    <x v="0"/>
    <s v="Q4"/>
    <x v="5"/>
    <d v="2016-12-28T00:00:00"/>
    <s v="Second Class"/>
    <x v="176"/>
    <x v="176"/>
    <s v="Home Office"/>
    <s v="United States"/>
    <s v="Charlotte"/>
    <x v="3"/>
    <n v="28205"/>
    <x v="0"/>
    <x v="906"/>
    <x v="1"/>
    <x v="4"/>
    <x v="898"/>
    <n v="540.048"/>
    <s v="High"/>
    <n v="3"/>
    <n v="0.2"/>
    <x v="2"/>
    <x v="2"/>
    <n v="-47.254199999999997"/>
    <n v="-8.7499999999999994E-2"/>
    <n v="1"/>
  </r>
  <r>
    <n v="1260"/>
    <s v="US-2016-168620"/>
    <d v="2016-12-24T00:00:00"/>
    <x v="0"/>
    <s v="Q4"/>
    <x v="5"/>
    <d v="2016-12-28T00:00:00"/>
    <s v="Second Class"/>
    <x v="176"/>
    <x v="176"/>
    <s v="Home Office"/>
    <s v="United States"/>
    <s v="Charlotte"/>
    <x v="3"/>
    <n v="28205"/>
    <x v="0"/>
    <x v="240"/>
    <x v="2"/>
    <x v="11"/>
    <x v="241"/>
    <n v="255.68"/>
    <s v="High"/>
    <n v="8"/>
    <n v="0.2"/>
    <x v="2"/>
    <x v="2"/>
    <n v="76.703999999999994"/>
    <n v="0.3"/>
    <n v="0"/>
  </r>
  <r>
    <n v="1261"/>
    <s v="CA-2017-117079"/>
    <d v="2017-10-23T00:00:00"/>
    <x v="3"/>
    <s v="Q4"/>
    <x v="13"/>
    <d v="2017-10-27T00:00:00"/>
    <s v="Standard Class"/>
    <x v="415"/>
    <x v="415"/>
    <s v="Consumer"/>
    <s v="United States"/>
    <s v="Jacksonville"/>
    <x v="2"/>
    <n v="32216"/>
    <x v="0"/>
    <x v="907"/>
    <x v="2"/>
    <x v="7"/>
    <x v="899"/>
    <n v="863.88"/>
    <s v="High"/>
    <n v="3"/>
    <n v="0.2"/>
    <x v="2"/>
    <x v="2"/>
    <n v="107.985"/>
    <n v="0.125"/>
    <n v="0"/>
  </r>
  <r>
    <n v="1262"/>
    <s v="US-2016-144393"/>
    <d v="2016-10-28T00:00:00"/>
    <x v="0"/>
    <s v="Q4"/>
    <x v="32"/>
    <d v="2016-11-04T00:00:00"/>
    <s v="Standard Class"/>
    <x v="416"/>
    <x v="416"/>
    <s v="Corporate"/>
    <s v="United States"/>
    <s v="Greenville"/>
    <x v="3"/>
    <n v="27834"/>
    <x v="0"/>
    <x v="908"/>
    <x v="1"/>
    <x v="8"/>
    <x v="900"/>
    <n v="17.616"/>
    <s v="Low"/>
    <n v="4"/>
    <n v="0.7"/>
    <x v="1"/>
    <x v="5"/>
    <n v="-14.0928"/>
    <n v="-0.8"/>
    <n v="1"/>
  </r>
  <r>
    <n v="1263"/>
    <s v="CA-2017-105053"/>
    <d v="2017-07-07T00:00:00"/>
    <x v="3"/>
    <s v="Q3"/>
    <x v="10"/>
    <d v="2017-07-09T00:00:00"/>
    <s v="Second Class"/>
    <x v="394"/>
    <x v="394"/>
    <s v="Consumer"/>
    <s v="United States"/>
    <s v="Long Beach"/>
    <x v="15"/>
    <n v="11561"/>
    <x v="3"/>
    <x v="24"/>
    <x v="1"/>
    <x v="8"/>
    <x v="24"/>
    <n v="17.472000000000001"/>
    <s v="Low"/>
    <n v="3"/>
    <n v="0.2"/>
    <x v="2"/>
    <x v="2"/>
    <n v="6.3335999999999997"/>
    <n v="0.36249999999999993"/>
    <n v="0"/>
  </r>
  <r>
    <n v="1264"/>
    <s v="CA-2016-155992"/>
    <d v="2016-10-01T00:00:00"/>
    <x v="0"/>
    <s v="Q4"/>
    <x v="32"/>
    <d v="2016-10-02T00:00:00"/>
    <s v="First Class"/>
    <x v="417"/>
    <x v="417"/>
    <s v="Consumer"/>
    <s v="United States"/>
    <s v="La Porte"/>
    <x v="14"/>
    <n v="46350"/>
    <x v="2"/>
    <x v="139"/>
    <x v="2"/>
    <x v="7"/>
    <x v="140"/>
    <n v="69.900000000000006"/>
    <s v="Medium"/>
    <n v="2"/>
    <n v="0"/>
    <x v="0"/>
    <x v="0"/>
    <n v="18.873000000000001"/>
    <n v="0.27"/>
    <n v="0"/>
  </r>
  <r>
    <n v="1265"/>
    <s v="CA-2016-155992"/>
    <d v="2016-10-01T00:00:00"/>
    <x v="0"/>
    <s v="Q4"/>
    <x v="32"/>
    <d v="2016-10-02T00:00:00"/>
    <s v="First Class"/>
    <x v="417"/>
    <x v="417"/>
    <s v="Consumer"/>
    <s v="United States"/>
    <s v="La Porte"/>
    <x v="14"/>
    <n v="46350"/>
    <x v="2"/>
    <x v="904"/>
    <x v="0"/>
    <x v="5"/>
    <x v="896"/>
    <n v="41.85"/>
    <s v="Medium"/>
    <n v="5"/>
    <n v="0"/>
    <x v="0"/>
    <x v="0"/>
    <n v="10.881"/>
    <n v="0.26"/>
    <n v="0"/>
  </r>
  <r>
    <n v="1266"/>
    <s v="CA-2017-110380"/>
    <d v="2017-09-02T00:00:00"/>
    <x v="3"/>
    <s v="Q3"/>
    <x v="15"/>
    <d v="2017-09-07T00:00:00"/>
    <s v="Standard Class"/>
    <x v="418"/>
    <x v="418"/>
    <s v="Consumer"/>
    <s v="United States"/>
    <s v="San Francisco"/>
    <x v="1"/>
    <n v="94122"/>
    <x v="1"/>
    <x v="909"/>
    <x v="1"/>
    <x v="6"/>
    <x v="901"/>
    <n v="6.57"/>
    <s v="Low"/>
    <n v="3"/>
    <n v="0"/>
    <x v="0"/>
    <x v="0"/>
    <n v="1.7739"/>
    <n v="0.27"/>
    <n v="0"/>
  </r>
  <r>
    <n v="1267"/>
    <s v="US-2014-167738"/>
    <d v="2014-12-24T00:00:00"/>
    <x v="2"/>
    <s v="Q4"/>
    <x v="20"/>
    <d v="2014-12-29T00:00:00"/>
    <s v="Standard Class"/>
    <x v="36"/>
    <x v="36"/>
    <s v="Corporate"/>
    <s v="United States"/>
    <s v="Los Angeles"/>
    <x v="1"/>
    <n v="90045"/>
    <x v="1"/>
    <x v="384"/>
    <x v="1"/>
    <x v="4"/>
    <x v="385"/>
    <n v="142.86000000000001"/>
    <s v="High"/>
    <n v="1"/>
    <n v="0"/>
    <x v="0"/>
    <x v="0"/>
    <n v="41.429400000000001"/>
    <n v="0.28999999999999998"/>
    <n v="0"/>
  </r>
  <r>
    <n v="1268"/>
    <s v="US-2014-167738"/>
    <d v="2014-12-24T00:00:00"/>
    <x v="2"/>
    <s v="Q4"/>
    <x v="20"/>
    <d v="2014-12-29T00:00:00"/>
    <s v="Standard Class"/>
    <x v="36"/>
    <x v="36"/>
    <s v="Corporate"/>
    <s v="United States"/>
    <s v="Los Angeles"/>
    <x v="1"/>
    <n v="90045"/>
    <x v="1"/>
    <x v="64"/>
    <x v="0"/>
    <x v="1"/>
    <x v="64"/>
    <n v="292.27199999999999"/>
    <s v="High"/>
    <n v="6"/>
    <n v="0.2"/>
    <x v="2"/>
    <x v="2"/>
    <n v="18.266999999999999"/>
    <n v="6.25E-2"/>
    <n v="0"/>
  </r>
  <r>
    <n v="1269"/>
    <s v="CA-2017-121412"/>
    <d v="2017-09-23T00:00:00"/>
    <x v="3"/>
    <s v="Q3"/>
    <x v="15"/>
    <d v="2017-09-27T00:00:00"/>
    <s v="Standard Class"/>
    <x v="410"/>
    <x v="410"/>
    <s v="Corporate"/>
    <s v="United States"/>
    <s v="Louisville"/>
    <x v="22"/>
    <n v="80027"/>
    <x v="1"/>
    <x v="390"/>
    <x v="0"/>
    <x v="5"/>
    <x v="391"/>
    <n v="29.327999999999999"/>
    <s v="Medium"/>
    <n v="3"/>
    <n v="0.2"/>
    <x v="2"/>
    <x v="2"/>
    <n v="3.6659999999999999"/>
    <n v="0.125"/>
    <n v="0"/>
  </r>
  <r>
    <n v="1270"/>
    <s v="CA-2017-100426"/>
    <d v="2017-06-04T00:00:00"/>
    <x v="3"/>
    <s v="Q2"/>
    <x v="27"/>
    <d v="2017-06-08T00:00:00"/>
    <s v="Standard Class"/>
    <x v="419"/>
    <x v="419"/>
    <s v="Consumer"/>
    <s v="United States"/>
    <s v="Florence"/>
    <x v="19"/>
    <n v="35630"/>
    <x v="0"/>
    <x v="910"/>
    <x v="1"/>
    <x v="10"/>
    <x v="902"/>
    <n v="12.48"/>
    <s v="Low"/>
    <n v="2"/>
    <n v="0"/>
    <x v="0"/>
    <x v="0"/>
    <n v="5.6159999999999997"/>
    <n v="0.44999999999999996"/>
    <n v="0"/>
  </r>
  <r>
    <n v="1271"/>
    <s v="US-2016-103646"/>
    <d v="2016-04-21T00:00:00"/>
    <x v="0"/>
    <s v="Q2"/>
    <x v="25"/>
    <d v="2016-04-26T00:00:00"/>
    <s v="Standard Class"/>
    <x v="259"/>
    <x v="259"/>
    <s v="Corporate"/>
    <s v="United States"/>
    <s v="Chicago"/>
    <x v="10"/>
    <n v="60623"/>
    <x v="2"/>
    <x v="911"/>
    <x v="1"/>
    <x v="4"/>
    <x v="903"/>
    <n v="102.336"/>
    <s v="Medium"/>
    <n v="4"/>
    <n v="0.2"/>
    <x v="2"/>
    <x v="2"/>
    <n v="-12.792"/>
    <n v="-0.125"/>
    <n v="1"/>
  </r>
  <r>
    <n v="1272"/>
    <s v="US-2016-103646"/>
    <d v="2016-04-21T00:00:00"/>
    <x v="0"/>
    <s v="Q2"/>
    <x v="25"/>
    <d v="2016-04-26T00:00:00"/>
    <s v="Standard Class"/>
    <x v="259"/>
    <x v="259"/>
    <s v="Corporate"/>
    <s v="United States"/>
    <s v="Chicago"/>
    <x v="10"/>
    <n v="60623"/>
    <x v="2"/>
    <x v="723"/>
    <x v="1"/>
    <x v="9"/>
    <x v="722"/>
    <n v="48.792000000000002"/>
    <s v="Medium"/>
    <n v="3"/>
    <n v="0.8"/>
    <x v="1"/>
    <x v="3"/>
    <n v="-126.8592"/>
    <n v="-2.6"/>
    <n v="1"/>
  </r>
  <r>
    <n v="1273"/>
    <s v="US-2016-103646"/>
    <d v="2016-04-21T00:00:00"/>
    <x v="0"/>
    <s v="Q2"/>
    <x v="25"/>
    <d v="2016-04-26T00:00:00"/>
    <s v="Standard Class"/>
    <x v="259"/>
    <x v="259"/>
    <s v="Corporate"/>
    <s v="United States"/>
    <s v="Chicago"/>
    <x v="10"/>
    <n v="60623"/>
    <x v="2"/>
    <x v="912"/>
    <x v="1"/>
    <x v="8"/>
    <x v="904"/>
    <n v="44.847999999999999"/>
    <s v="Medium"/>
    <n v="8"/>
    <n v="0.8"/>
    <x v="1"/>
    <x v="3"/>
    <n v="-67.272000000000006"/>
    <n v="-1.5000000000000002"/>
    <n v="1"/>
  </r>
  <r>
    <n v="1274"/>
    <s v="CA-2016-119186"/>
    <d v="2016-05-26T00:00:00"/>
    <x v="0"/>
    <s v="Q2"/>
    <x v="35"/>
    <d v="2016-05-26T00:00:00"/>
    <s v="Same Day"/>
    <x v="384"/>
    <x v="384"/>
    <s v="Consumer"/>
    <s v="United States"/>
    <s v="Fort Worth"/>
    <x v="5"/>
    <n v="76106"/>
    <x v="2"/>
    <x v="747"/>
    <x v="1"/>
    <x v="10"/>
    <x v="745"/>
    <n v="10.368"/>
    <s v="Low"/>
    <n v="2"/>
    <n v="0.2"/>
    <x v="2"/>
    <x v="2"/>
    <n v="3.6288"/>
    <n v="0.35"/>
    <n v="0"/>
  </r>
  <r>
    <n v="1275"/>
    <s v="CA-2016-119186"/>
    <d v="2016-05-26T00:00:00"/>
    <x v="0"/>
    <s v="Q2"/>
    <x v="35"/>
    <d v="2016-05-26T00:00:00"/>
    <s v="Same Day"/>
    <x v="384"/>
    <x v="384"/>
    <s v="Consumer"/>
    <s v="United States"/>
    <s v="Fort Worth"/>
    <x v="5"/>
    <n v="76106"/>
    <x v="2"/>
    <x v="913"/>
    <x v="0"/>
    <x v="1"/>
    <x v="905"/>
    <n v="388.43"/>
    <s v="High"/>
    <n v="5"/>
    <n v="0.3"/>
    <x v="1"/>
    <x v="4"/>
    <n v="-88.784000000000006"/>
    <n v="-0.22857142857142859"/>
    <n v="1"/>
  </r>
  <r>
    <n v="1276"/>
    <s v="CA-2016-119186"/>
    <d v="2016-05-26T00:00:00"/>
    <x v="0"/>
    <s v="Q2"/>
    <x v="35"/>
    <d v="2016-05-26T00:00:00"/>
    <s v="Same Day"/>
    <x v="384"/>
    <x v="384"/>
    <s v="Consumer"/>
    <s v="United States"/>
    <s v="Fort Worth"/>
    <x v="5"/>
    <n v="76106"/>
    <x v="2"/>
    <x v="99"/>
    <x v="1"/>
    <x v="10"/>
    <x v="99"/>
    <n v="14.352"/>
    <s v="Low"/>
    <n v="3"/>
    <n v="0.2"/>
    <x v="2"/>
    <x v="2"/>
    <n v="5.2026000000000003"/>
    <n v="0.36249999999999999"/>
    <n v="0"/>
  </r>
  <r>
    <n v="1277"/>
    <s v="CA-2016-119186"/>
    <d v="2016-05-26T00:00:00"/>
    <x v="0"/>
    <s v="Q2"/>
    <x v="35"/>
    <d v="2016-05-26T00:00:00"/>
    <s v="Same Day"/>
    <x v="384"/>
    <x v="384"/>
    <s v="Consumer"/>
    <s v="United States"/>
    <s v="Fort Worth"/>
    <x v="5"/>
    <n v="76106"/>
    <x v="2"/>
    <x v="914"/>
    <x v="2"/>
    <x v="11"/>
    <x v="906"/>
    <n v="63.991999999999997"/>
    <s v="Medium"/>
    <n v="1"/>
    <n v="0.2"/>
    <x v="2"/>
    <x v="2"/>
    <n v="-7.1990999999999996"/>
    <n v="-0.1125"/>
    <n v="1"/>
  </r>
  <r>
    <n v="1278"/>
    <s v="CA-2016-148698"/>
    <d v="2016-05-02T00:00:00"/>
    <x v="0"/>
    <s v="Q2"/>
    <x v="35"/>
    <d v="2016-05-07T00:00:00"/>
    <s v="Standard Class"/>
    <x v="420"/>
    <x v="420"/>
    <s v="Consumer"/>
    <s v="United States"/>
    <s v="Houston"/>
    <x v="5"/>
    <n v="77070"/>
    <x v="2"/>
    <x v="915"/>
    <x v="1"/>
    <x v="6"/>
    <x v="907"/>
    <n v="86.352000000000004"/>
    <s v="Medium"/>
    <n v="3"/>
    <n v="0.2"/>
    <x v="2"/>
    <x v="2"/>
    <n v="5.3970000000000002"/>
    <n v="6.25E-2"/>
    <n v="0"/>
  </r>
  <r>
    <n v="1279"/>
    <s v="CA-2014-163293"/>
    <d v="2014-09-08T00:00:00"/>
    <x v="2"/>
    <s v="Q3"/>
    <x v="30"/>
    <d v="2014-09-11T00:00:00"/>
    <s v="First Class"/>
    <x v="346"/>
    <x v="346"/>
    <s v="Corporate"/>
    <s v="United States"/>
    <s v="Macon"/>
    <x v="32"/>
    <n v="31204"/>
    <x v="0"/>
    <x v="916"/>
    <x v="2"/>
    <x v="11"/>
    <x v="908"/>
    <n v="32.97"/>
    <s v="Medium"/>
    <n v="3"/>
    <n v="0"/>
    <x v="0"/>
    <x v="0"/>
    <n v="12.8583"/>
    <n v="0.39"/>
    <n v="0"/>
  </r>
  <r>
    <n v="1280"/>
    <s v="CA-2014-163293"/>
    <d v="2014-09-08T00:00:00"/>
    <x v="2"/>
    <s v="Q3"/>
    <x v="30"/>
    <d v="2014-09-11T00:00:00"/>
    <s v="First Class"/>
    <x v="346"/>
    <x v="346"/>
    <s v="Corporate"/>
    <s v="United States"/>
    <s v="Macon"/>
    <x v="32"/>
    <n v="31204"/>
    <x v="0"/>
    <x v="917"/>
    <x v="2"/>
    <x v="11"/>
    <x v="909"/>
    <n v="83.88"/>
    <s v="Medium"/>
    <n v="4"/>
    <n v="0"/>
    <x v="0"/>
    <x v="0"/>
    <n v="30.1968"/>
    <n v="0.36000000000000004"/>
    <n v="0"/>
  </r>
  <r>
    <n v="1281"/>
    <s v="CA-2016-160815"/>
    <d v="2016-09-05T00:00:00"/>
    <x v="0"/>
    <s v="Q3"/>
    <x v="21"/>
    <d v="2016-09-06T00:00:00"/>
    <s v="First Class"/>
    <x v="309"/>
    <x v="309"/>
    <s v="Consumer"/>
    <s v="United States"/>
    <s v="Cedar Rapids"/>
    <x v="23"/>
    <n v="52402"/>
    <x v="2"/>
    <x v="918"/>
    <x v="2"/>
    <x v="7"/>
    <x v="910"/>
    <n v="278.39999999999998"/>
    <s v="High"/>
    <n v="3"/>
    <n v="0"/>
    <x v="0"/>
    <x v="0"/>
    <n v="80.736000000000004"/>
    <n v="0.29000000000000004"/>
    <n v="0"/>
  </r>
  <r>
    <n v="1282"/>
    <s v="CA-2017-122154"/>
    <d v="2017-04-09T00:00:00"/>
    <x v="3"/>
    <s v="Q2"/>
    <x v="4"/>
    <d v="2017-04-11T00:00:00"/>
    <s v="First Class"/>
    <x v="193"/>
    <x v="193"/>
    <s v="Consumer"/>
    <s v="United States"/>
    <s v="Jacksonville"/>
    <x v="2"/>
    <n v="32216"/>
    <x v="0"/>
    <x v="919"/>
    <x v="1"/>
    <x v="2"/>
    <x v="911"/>
    <n v="15.12"/>
    <s v="Low"/>
    <n v="3"/>
    <n v="0.2"/>
    <x v="2"/>
    <x v="2"/>
    <n v="4.9139999999999997"/>
    <n v="0.32500000000000001"/>
    <n v="0"/>
  </r>
  <r>
    <n v="1283"/>
    <s v="CA-2017-122154"/>
    <d v="2017-04-09T00:00:00"/>
    <x v="3"/>
    <s v="Q2"/>
    <x v="4"/>
    <d v="2017-04-11T00:00:00"/>
    <s v="First Class"/>
    <x v="193"/>
    <x v="193"/>
    <s v="Consumer"/>
    <s v="United States"/>
    <s v="Jacksonville"/>
    <x v="2"/>
    <n v="32216"/>
    <x v="0"/>
    <x v="920"/>
    <x v="1"/>
    <x v="8"/>
    <x v="912"/>
    <n v="17.43"/>
    <s v="Low"/>
    <n v="1"/>
    <n v="0.7"/>
    <x v="1"/>
    <x v="5"/>
    <n v="-13.363"/>
    <n v="-0.76666666666666661"/>
    <n v="1"/>
  </r>
  <r>
    <n v="1284"/>
    <s v="CA-2017-122154"/>
    <d v="2017-04-09T00:00:00"/>
    <x v="3"/>
    <s v="Q2"/>
    <x v="4"/>
    <d v="2017-04-11T00:00:00"/>
    <s v="First Class"/>
    <x v="193"/>
    <x v="193"/>
    <s v="Consumer"/>
    <s v="United States"/>
    <s v="Jacksonville"/>
    <x v="2"/>
    <n v="32216"/>
    <x v="0"/>
    <x v="921"/>
    <x v="1"/>
    <x v="10"/>
    <x v="913"/>
    <n v="251.64"/>
    <s v="High"/>
    <n v="3"/>
    <n v="0.2"/>
    <x v="2"/>
    <x v="2"/>
    <n v="88.073999999999998"/>
    <n v="0.35000000000000003"/>
    <n v="0"/>
  </r>
  <r>
    <n v="1285"/>
    <s v="US-2015-149692"/>
    <d v="2015-12-06T00:00:00"/>
    <x v="1"/>
    <s v="Q4"/>
    <x v="14"/>
    <d v="2015-12-12T00:00:00"/>
    <s v="Standard Class"/>
    <x v="147"/>
    <x v="147"/>
    <s v="Consumer"/>
    <s v="United States"/>
    <s v="Austin"/>
    <x v="5"/>
    <n v="78745"/>
    <x v="2"/>
    <x v="922"/>
    <x v="1"/>
    <x v="8"/>
    <x v="914"/>
    <n v="2.7719999999999998"/>
    <s v="Low"/>
    <n v="7"/>
    <n v="0.8"/>
    <x v="1"/>
    <x v="3"/>
    <n v="-4.851"/>
    <n v="-1.7500000000000002"/>
    <n v="1"/>
  </r>
  <r>
    <n v="1286"/>
    <s v="CA-2016-119445"/>
    <d v="2016-06-26T00:00:00"/>
    <x v="0"/>
    <s v="Q2"/>
    <x v="1"/>
    <d v="2016-07-03T00:00:00"/>
    <s v="Standard Class"/>
    <x v="421"/>
    <x v="421"/>
    <s v="Consumer"/>
    <s v="United States"/>
    <s v="Providence"/>
    <x v="34"/>
    <n v="2908"/>
    <x v="3"/>
    <x v="383"/>
    <x v="1"/>
    <x v="4"/>
    <x v="384"/>
    <n v="14.9"/>
    <s v="Low"/>
    <n v="5"/>
    <n v="0"/>
    <x v="0"/>
    <x v="0"/>
    <n v="1.0429999999999999"/>
    <n v="6.9999999999999993E-2"/>
    <n v="0"/>
  </r>
  <r>
    <n v="1287"/>
    <s v="CA-2015-124268"/>
    <d v="2015-07-04T00:00:00"/>
    <x v="1"/>
    <s v="Q3"/>
    <x v="38"/>
    <d v="2015-07-08T00:00:00"/>
    <s v="Standard Class"/>
    <x v="57"/>
    <x v="57"/>
    <s v="Home Office"/>
    <s v="United States"/>
    <s v="New York City"/>
    <x v="15"/>
    <n v="10035"/>
    <x v="3"/>
    <x v="923"/>
    <x v="1"/>
    <x v="6"/>
    <x v="915"/>
    <n v="15.48"/>
    <s v="Low"/>
    <n v="3"/>
    <n v="0"/>
    <x v="0"/>
    <x v="0"/>
    <n v="4.4892000000000003"/>
    <n v="0.29000000000000004"/>
    <n v="0"/>
  </r>
  <r>
    <n v="1288"/>
    <s v="CA-2016-154711"/>
    <d v="2016-11-22T00:00:00"/>
    <x v="0"/>
    <s v="Q4"/>
    <x v="0"/>
    <d v="2016-11-26T00:00:00"/>
    <s v="Standard Class"/>
    <x v="422"/>
    <x v="422"/>
    <s v="Corporate"/>
    <s v="United States"/>
    <s v="New York City"/>
    <x v="15"/>
    <n v="10009"/>
    <x v="3"/>
    <x v="63"/>
    <x v="0"/>
    <x v="5"/>
    <x v="63"/>
    <n v="39.880000000000003"/>
    <s v="Medium"/>
    <n v="2"/>
    <n v="0"/>
    <x v="0"/>
    <x v="0"/>
    <n v="11.166399999999999"/>
    <n v="0.27999999999999997"/>
    <n v="0"/>
  </r>
  <r>
    <n v="1289"/>
    <s v="CA-2016-154711"/>
    <d v="2016-11-22T00:00:00"/>
    <x v="0"/>
    <s v="Q4"/>
    <x v="0"/>
    <d v="2016-11-26T00:00:00"/>
    <s v="Standard Class"/>
    <x v="422"/>
    <x v="422"/>
    <s v="Corporate"/>
    <s v="United States"/>
    <s v="New York City"/>
    <x v="15"/>
    <n v="10009"/>
    <x v="3"/>
    <x v="536"/>
    <x v="1"/>
    <x v="8"/>
    <x v="536"/>
    <n v="12.192"/>
    <s v="Low"/>
    <n v="4"/>
    <n v="0.2"/>
    <x v="2"/>
    <x v="2"/>
    <n v="4.1147999999999998"/>
    <n v="0.33749999999999997"/>
    <n v="0"/>
  </r>
  <r>
    <n v="1290"/>
    <s v="CA-2016-154711"/>
    <d v="2016-11-22T00:00:00"/>
    <x v="0"/>
    <s v="Q4"/>
    <x v="0"/>
    <d v="2016-11-26T00:00:00"/>
    <s v="Standard Class"/>
    <x v="422"/>
    <x v="422"/>
    <s v="Corporate"/>
    <s v="United States"/>
    <s v="New York City"/>
    <x v="15"/>
    <n v="10009"/>
    <x v="3"/>
    <x v="924"/>
    <x v="1"/>
    <x v="6"/>
    <x v="916"/>
    <n v="20.82"/>
    <s v="Low"/>
    <n v="3"/>
    <n v="0"/>
    <x v="0"/>
    <x v="0"/>
    <n v="7.4951999999999996"/>
    <n v="0.36"/>
    <n v="0"/>
  </r>
  <r>
    <n v="1291"/>
    <s v="CA-2016-163384"/>
    <d v="2016-11-10T00:00:00"/>
    <x v="0"/>
    <s v="Q4"/>
    <x v="0"/>
    <d v="2016-11-12T00:00:00"/>
    <s v="First Class"/>
    <x v="254"/>
    <x v="254"/>
    <s v="Home Office"/>
    <s v="United States"/>
    <s v="San Francisco"/>
    <x v="1"/>
    <n v="94122"/>
    <x v="1"/>
    <x v="925"/>
    <x v="1"/>
    <x v="8"/>
    <x v="917"/>
    <n v="13.215999999999999"/>
    <s v="Low"/>
    <n v="4"/>
    <n v="0.2"/>
    <x v="2"/>
    <x v="2"/>
    <n v="4.4603999999999999"/>
    <n v="0.33750000000000002"/>
    <n v="0"/>
  </r>
  <r>
    <n v="1292"/>
    <s v="CA-2016-163384"/>
    <d v="2016-11-10T00:00:00"/>
    <x v="0"/>
    <s v="Q4"/>
    <x v="0"/>
    <d v="2016-11-12T00:00:00"/>
    <s v="First Class"/>
    <x v="254"/>
    <x v="254"/>
    <s v="Home Office"/>
    <s v="United States"/>
    <s v="San Francisco"/>
    <x v="1"/>
    <n v="94122"/>
    <x v="1"/>
    <x v="860"/>
    <x v="1"/>
    <x v="10"/>
    <x v="854"/>
    <n v="32.4"/>
    <s v="Medium"/>
    <n v="5"/>
    <n v="0"/>
    <x v="0"/>
    <x v="0"/>
    <n v="15.552"/>
    <n v="0.48"/>
    <n v="0"/>
  </r>
  <r>
    <n v="1293"/>
    <s v="CA-2015-101707"/>
    <d v="2015-08-27T00:00:00"/>
    <x v="1"/>
    <s v="Q3"/>
    <x v="37"/>
    <d v="2015-09-01T00:00:00"/>
    <s v="Standard Class"/>
    <x v="58"/>
    <x v="58"/>
    <s v="Consumer"/>
    <s v="United States"/>
    <s v="San Diego"/>
    <x v="1"/>
    <n v="92105"/>
    <x v="1"/>
    <x v="133"/>
    <x v="1"/>
    <x v="14"/>
    <x v="134"/>
    <n v="32.94"/>
    <s v="Medium"/>
    <n v="3"/>
    <n v="0"/>
    <x v="0"/>
    <x v="0"/>
    <n v="9.2232000000000003"/>
    <n v="0.28000000000000003"/>
    <n v="0"/>
  </r>
  <r>
    <n v="1294"/>
    <s v="CA-2015-101707"/>
    <d v="2015-08-27T00:00:00"/>
    <x v="1"/>
    <s v="Q3"/>
    <x v="37"/>
    <d v="2015-09-01T00:00:00"/>
    <s v="Standard Class"/>
    <x v="58"/>
    <x v="58"/>
    <s v="Consumer"/>
    <s v="United States"/>
    <s v="San Diego"/>
    <x v="1"/>
    <n v="92105"/>
    <x v="1"/>
    <x v="926"/>
    <x v="1"/>
    <x v="10"/>
    <x v="918"/>
    <n v="114.2"/>
    <s v="Medium"/>
    <n v="5"/>
    <n v="0"/>
    <x v="0"/>
    <x v="0"/>
    <n v="52.531999999999996"/>
    <n v="0.45999999999999996"/>
    <n v="0"/>
  </r>
  <r>
    <n v="1295"/>
    <s v="CA-2015-101707"/>
    <d v="2015-08-27T00:00:00"/>
    <x v="1"/>
    <s v="Q3"/>
    <x v="37"/>
    <d v="2015-09-01T00:00:00"/>
    <s v="Standard Class"/>
    <x v="58"/>
    <x v="58"/>
    <s v="Consumer"/>
    <s v="United States"/>
    <s v="San Diego"/>
    <x v="1"/>
    <n v="92105"/>
    <x v="1"/>
    <x v="85"/>
    <x v="1"/>
    <x v="2"/>
    <x v="85"/>
    <n v="3.08"/>
    <s v="Low"/>
    <n v="1"/>
    <n v="0"/>
    <x v="0"/>
    <x v="0"/>
    <n v="1.4783999999999999"/>
    <n v="0.48"/>
    <n v="0"/>
  </r>
  <r>
    <n v="1296"/>
    <s v="CA-2015-138898"/>
    <d v="2015-05-25T00:00:00"/>
    <x v="1"/>
    <s v="Q2"/>
    <x v="33"/>
    <d v="2015-05-29T00:00:00"/>
    <s v="Standard Class"/>
    <x v="423"/>
    <x v="423"/>
    <s v="Consumer"/>
    <s v="United States"/>
    <s v="Pueblo"/>
    <x v="22"/>
    <n v="81001"/>
    <x v="1"/>
    <x v="723"/>
    <x v="1"/>
    <x v="9"/>
    <x v="722"/>
    <n v="845.72799999999995"/>
    <s v="High"/>
    <n v="13"/>
    <n v="0.2"/>
    <x v="2"/>
    <x v="2"/>
    <n v="84.572800000000001"/>
    <n v="0.1"/>
    <n v="0"/>
  </r>
  <r>
    <n v="1297"/>
    <s v="CA-2017-115427"/>
    <d v="2017-12-30T00:00:00"/>
    <x v="3"/>
    <s v="Q4"/>
    <x v="22"/>
    <d v="2018-01-03T00:00:00"/>
    <s v="Standard Class"/>
    <x v="424"/>
    <x v="424"/>
    <s v="Corporate"/>
    <s v="United States"/>
    <s v="Fairfield"/>
    <x v="1"/>
    <n v="94533"/>
    <x v="1"/>
    <x v="530"/>
    <x v="1"/>
    <x v="8"/>
    <x v="530"/>
    <n v="13.904"/>
    <s v="Low"/>
    <n v="2"/>
    <n v="0.2"/>
    <x v="2"/>
    <x v="2"/>
    <n v="4.5187999999999997"/>
    <n v="0.32499999999999996"/>
    <n v="0"/>
  </r>
  <r>
    <n v="1298"/>
    <s v="CA-2017-115427"/>
    <d v="2017-12-30T00:00:00"/>
    <x v="3"/>
    <s v="Q4"/>
    <x v="22"/>
    <d v="2018-01-03T00:00:00"/>
    <s v="Standard Class"/>
    <x v="424"/>
    <x v="424"/>
    <s v="Corporate"/>
    <s v="United States"/>
    <s v="Fairfield"/>
    <x v="1"/>
    <n v="94533"/>
    <x v="1"/>
    <x v="569"/>
    <x v="1"/>
    <x v="8"/>
    <x v="919"/>
    <n v="20.72"/>
    <s v="Low"/>
    <n v="2"/>
    <n v="0.2"/>
    <x v="2"/>
    <x v="2"/>
    <n v="6.4749999999999996"/>
    <n v="0.3125"/>
    <n v="0"/>
  </r>
  <r>
    <n v="1299"/>
    <s v="CA-2016-134425"/>
    <d v="2016-12-08T00:00:00"/>
    <x v="0"/>
    <s v="Q4"/>
    <x v="5"/>
    <d v="2016-12-12T00:00:00"/>
    <s v="Second Class"/>
    <x v="425"/>
    <x v="425"/>
    <s v="Corporate"/>
    <s v="United States"/>
    <s v="Saint Paul"/>
    <x v="11"/>
    <n v="55106"/>
    <x v="2"/>
    <x v="461"/>
    <x v="2"/>
    <x v="7"/>
    <x v="462"/>
    <n v="114.95"/>
    <s v="Medium"/>
    <n v="5"/>
    <n v="0"/>
    <x v="0"/>
    <x v="0"/>
    <n v="2.2989999999999999"/>
    <n v="0.02"/>
    <n v="0"/>
  </r>
  <r>
    <n v="1300"/>
    <s v="CA-2015-121391"/>
    <d v="2015-10-04T00:00:00"/>
    <x v="1"/>
    <s v="Q4"/>
    <x v="2"/>
    <d v="2015-10-07T00:00:00"/>
    <s v="First Class"/>
    <x v="397"/>
    <x v="397"/>
    <s v="Consumer"/>
    <s v="United States"/>
    <s v="San Francisco"/>
    <x v="1"/>
    <n v="94109"/>
    <x v="1"/>
    <x v="146"/>
    <x v="1"/>
    <x v="4"/>
    <x v="147"/>
    <n v="26.96"/>
    <s v="Medium"/>
    <n v="2"/>
    <n v="0"/>
    <x v="0"/>
    <x v="0"/>
    <n v="7.0095999999999998"/>
    <n v="0.26"/>
    <n v="0"/>
  </r>
  <r>
    <n v="1301"/>
    <s v="CA-2016-137043"/>
    <d v="2016-12-23T00:00:00"/>
    <x v="0"/>
    <s v="Q4"/>
    <x v="5"/>
    <d v="2016-12-25T00:00:00"/>
    <s v="Second Class"/>
    <x v="95"/>
    <x v="95"/>
    <s v="Consumer"/>
    <s v="United States"/>
    <s v="Springfield"/>
    <x v="17"/>
    <n v="22153"/>
    <x v="0"/>
    <x v="35"/>
    <x v="0"/>
    <x v="5"/>
    <x v="35"/>
    <n v="572.76"/>
    <s v="High"/>
    <n v="6"/>
    <n v="0"/>
    <x v="0"/>
    <x v="0"/>
    <n v="166.10040000000001"/>
    <n v="0.29000000000000004"/>
    <n v="0"/>
  </r>
  <r>
    <n v="1302"/>
    <s v="CA-2016-137043"/>
    <d v="2016-12-23T00:00:00"/>
    <x v="0"/>
    <s v="Q4"/>
    <x v="5"/>
    <d v="2016-12-25T00:00:00"/>
    <s v="Second Class"/>
    <x v="95"/>
    <x v="95"/>
    <s v="Consumer"/>
    <s v="United States"/>
    <s v="Springfield"/>
    <x v="17"/>
    <n v="22153"/>
    <x v="0"/>
    <x v="35"/>
    <x v="0"/>
    <x v="5"/>
    <x v="35"/>
    <n v="286.38"/>
    <s v="High"/>
    <n v="3"/>
    <n v="0"/>
    <x v="0"/>
    <x v="0"/>
    <n v="83.050200000000004"/>
    <n v="0.29000000000000004"/>
    <n v="0"/>
  </r>
  <r>
    <n v="1303"/>
    <s v="CA-2015-115847"/>
    <d v="2015-09-19T00:00:00"/>
    <x v="1"/>
    <s v="Q3"/>
    <x v="11"/>
    <d v="2015-09-24T00:00:00"/>
    <s v="Second Class"/>
    <x v="426"/>
    <x v="426"/>
    <s v="Home Office"/>
    <s v="United States"/>
    <s v="Arlington"/>
    <x v="17"/>
    <n v="22204"/>
    <x v="0"/>
    <x v="927"/>
    <x v="0"/>
    <x v="0"/>
    <x v="920"/>
    <n v="61.96"/>
    <s v="Medium"/>
    <n v="2"/>
    <n v="0"/>
    <x v="0"/>
    <x v="0"/>
    <n v="4.3372000000000002"/>
    <n v="7.0000000000000007E-2"/>
    <n v="0"/>
  </r>
  <r>
    <n v="1304"/>
    <s v="US-2017-126179"/>
    <d v="2017-07-03T00:00:00"/>
    <x v="3"/>
    <s v="Q3"/>
    <x v="10"/>
    <d v="2017-07-07T00:00:00"/>
    <s v="Standard Class"/>
    <x v="427"/>
    <x v="427"/>
    <s v="Consumer"/>
    <s v="United States"/>
    <s v="Columbus"/>
    <x v="32"/>
    <n v="31907"/>
    <x v="0"/>
    <x v="928"/>
    <x v="0"/>
    <x v="5"/>
    <x v="921"/>
    <n v="23.99"/>
    <s v="Low"/>
    <n v="1"/>
    <n v="0"/>
    <x v="0"/>
    <x v="0"/>
    <n v="5.5176999999999996"/>
    <n v="0.23"/>
    <n v="0"/>
  </r>
  <r>
    <n v="1305"/>
    <s v="US-2017-126179"/>
    <d v="2017-07-03T00:00:00"/>
    <x v="3"/>
    <s v="Q3"/>
    <x v="10"/>
    <d v="2017-07-07T00:00:00"/>
    <s v="Standard Class"/>
    <x v="427"/>
    <x v="427"/>
    <s v="Consumer"/>
    <s v="United States"/>
    <s v="Columbus"/>
    <x v="32"/>
    <n v="31907"/>
    <x v="0"/>
    <x v="664"/>
    <x v="2"/>
    <x v="7"/>
    <x v="664"/>
    <n v="287.97000000000003"/>
    <s v="High"/>
    <n v="3"/>
    <n v="0"/>
    <x v="0"/>
    <x v="0"/>
    <n v="77.751900000000006"/>
    <n v="0.27"/>
    <n v="0"/>
  </r>
  <r>
    <n v="1306"/>
    <s v="CA-2016-101966"/>
    <d v="2016-07-14T00:00:00"/>
    <x v="0"/>
    <s v="Q3"/>
    <x v="16"/>
    <d v="2016-07-16T00:00:00"/>
    <s v="Second Class"/>
    <x v="298"/>
    <x v="298"/>
    <s v="Consumer"/>
    <s v="United States"/>
    <s v="Houston"/>
    <x v="5"/>
    <n v="77036"/>
    <x v="2"/>
    <x v="929"/>
    <x v="2"/>
    <x v="7"/>
    <x v="922"/>
    <n v="419.94400000000002"/>
    <s v="High"/>
    <n v="7"/>
    <n v="0.2"/>
    <x v="2"/>
    <x v="2"/>
    <n v="52.493000000000002"/>
    <n v="0.125"/>
    <n v="0"/>
  </r>
  <r>
    <n v="1307"/>
    <s v="CA-2016-141397"/>
    <d v="2016-06-20T00:00:00"/>
    <x v="0"/>
    <s v="Q2"/>
    <x v="1"/>
    <d v="2016-06-21T00:00:00"/>
    <s v="First Class"/>
    <x v="116"/>
    <x v="116"/>
    <s v="Consumer"/>
    <s v="United States"/>
    <s v="Pasadena"/>
    <x v="1"/>
    <n v="91104"/>
    <x v="1"/>
    <x v="481"/>
    <x v="1"/>
    <x v="10"/>
    <x v="482"/>
    <n v="46.76"/>
    <s v="Medium"/>
    <n v="7"/>
    <n v="0"/>
    <x v="0"/>
    <x v="0"/>
    <n v="22.444800000000001"/>
    <n v="0.48000000000000004"/>
    <n v="0"/>
  </r>
  <r>
    <n v="1308"/>
    <s v="CA-2016-141397"/>
    <d v="2016-06-20T00:00:00"/>
    <x v="0"/>
    <s v="Q2"/>
    <x v="1"/>
    <d v="2016-06-21T00:00:00"/>
    <s v="First Class"/>
    <x v="116"/>
    <x v="116"/>
    <s v="Consumer"/>
    <s v="United States"/>
    <s v="Pasadena"/>
    <x v="1"/>
    <n v="91104"/>
    <x v="1"/>
    <x v="777"/>
    <x v="1"/>
    <x v="8"/>
    <x v="776"/>
    <n v="17.712"/>
    <s v="Low"/>
    <n v="3"/>
    <n v="0.2"/>
    <x v="2"/>
    <x v="2"/>
    <n v="6.4206000000000003"/>
    <n v="0.36250000000000004"/>
    <n v="0"/>
  </r>
  <r>
    <n v="1309"/>
    <s v="CA-2016-141397"/>
    <d v="2016-06-20T00:00:00"/>
    <x v="0"/>
    <s v="Q2"/>
    <x v="1"/>
    <d v="2016-06-21T00:00:00"/>
    <s v="First Class"/>
    <x v="116"/>
    <x v="116"/>
    <s v="Consumer"/>
    <s v="United States"/>
    <s v="Pasadena"/>
    <x v="1"/>
    <n v="91104"/>
    <x v="1"/>
    <x v="930"/>
    <x v="1"/>
    <x v="9"/>
    <x v="923"/>
    <n v="21.78"/>
    <s v="Low"/>
    <n v="2"/>
    <n v="0"/>
    <x v="0"/>
    <x v="0"/>
    <n v="5.6627999999999998"/>
    <n v="0.25999999999999995"/>
    <n v="0"/>
  </r>
  <r>
    <n v="1310"/>
    <s v="CA-2016-141397"/>
    <d v="2016-06-20T00:00:00"/>
    <x v="0"/>
    <s v="Q2"/>
    <x v="1"/>
    <d v="2016-06-21T00:00:00"/>
    <s v="First Class"/>
    <x v="116"/>
    <x v="116"/>
    <s v="Consumer"/>
    <s v="United States"/>
    <s v="Pasadena"/>
    <x v="1"/>
    <n v="91104"/>
    <x v="1"/>
    <x v="398"/>
    <x v="1"/>
    <x v="4"/>
    <x v="399"/>
    <n v="161.94"/>
    <s v="High"/>
    <n v="3"/>
    <n v="0"/>
    <x v="0"/>
    <x v="0"/>
    <n v="9.7164000000000001"/>
    <n v="6.0000000000000005E-2"/>
    <n v="0"/>
  </r>
  <r>
    <n v="1311"/>
    <s v="CA-2016-141397"/>
    <d v="2016-06-20T00:00:00"/>
    <x v="0"/>
    <s v="Q2"/>
    <x v="1"/>
    <d v="2016-06-21T00:00:00"/>
    <s v="First Class"/>
    <x v="116"/>
    <x v="116"/>
    <s v="Consumer"/>
    <s v="United States"/>
    <s v="Pasadena"/>
    <x v="1"/>
    <n v="91104"/>
    <x v="1"/>
    <x v="931"/>
    <x v="0"/>
    <x v="1"/>
    <x v="924"/>
    <n v="161.56800000000001"/>
    <s v="High"/>
    <n v="2"/>
    <n v="0.2"/>
    <x v="2"/>
    <x v="2"/>
    <n v="-8.0784000000000002"/>
    <n v="-4.9999999999999996E-2"/>
    <n v="1"/>
  </r>
  <r>
    <n v="1312"/>
    <s v="CA-2016-141082"/>
    <d v="2016-12-09T00:00:00"/>
    <x v="0"/>
    <s v="Q4"/>
    <x v="5"/>
    <d v="2016-12-13T00:00:00"/>
    <s v="Standard Class"/>
    <x v="248"/>
    <x v="248"/>
    <s v="Consumer"/>
    <s v="United States"/>
    <s v="Lawrence"/>
    <x v="31"/>
    <n v="1841"/>
    <x v="3"/>
    <x v="932"/>
    <x v="1"/>
    <x v="2"/>
    <x v="925"/>
    <n v="3.69"/>
    <s v="Low"/>
    <n v="1"/>
    <n v="0"/>
    <x v="0"/>
    <x v="0"/>
    <n v="1.7343"/>
    <n v="0.47"/>
    <n v="0"/>
  </r>
  <r>
    <n v="1313"/>
    <s v="CA-2016-141082"/>
    <d v="2016-12-09T00:00:00"/>
    <x v="0"/>
    <s v="Q4"/>
    <x v="5"/>
    <d v="2016-12-13T00:00:00"/>
    <s v="Standard Class"/>
    <x v="248"/>
    <x v="248"/>
    <s v="Consumer"/>
    <s v="United States"/>
    <s v="Lawrence"/>
    <x v="31"/>
    <n v="1841"/>
    <x v="3"/>
    <x v="933"/>
    <x v="1"/>
    <x v="2"/>
    <x v="926"/>
    <n v="122.12"/>
    <s v="Medium"/>
    <n v="4"/>
    <n v="0"/>
    <x v="0"/>
    <x v="0"/>
    <n v="56.175199999999997"/>
    <n v="0.45999999999999996"/>
    <n v="0"/>
  </r>
  <r>
    <n v="1314"/>
    <s v="US-2016-134488"/>
    <d v="2016-09-24T00:00:00"/>
    <x v="0"/>
    <s v="Q3"/>
    <x v="21"/>
    <d v="2016-10-01T00:00:00"/>
    <s v="Standard Class"/>
    <x v="7"/>
    <x v="7"/>
    <s v="Consumer"/>
    <s v="United States"/>
    <s v="Columbus"/>
    <x v="24"/>
    <n v="43229"/>
    <x v="3"/>
    <x v="637"/>
    <x v="0"/>
    <x v="1"/>
    <x v="637"/>
    <n v="155.37200000000001"/>
    <s v="High"/>
    <n v="2"/>
    <n v="0.3"/>
    <x v="1"/>
    <x v="4"/>
    <n v="-13.317600000000001"/>
    <n v="-8.5714285714285715E-2"/>
    <n v="1"/>
  </r>
  <r>
    <n v="1315"/>
    <s v="CA-2016-145919"/>
    <d v="2016-12-18T00:00:00"/>
    <x v="0"/>
    <s v="Q4"/>
    <x v="5"/>
    <d v="2016-12-23T00:00:00"/>
    <s v="Standard Class"/>
    <x v="428"/>
    <x v="428"/>
    <s v="Corporate"/>
    <s v="United States"/>
    <s v="Los Angeles"/>
    <x v="1"/>
    <n v="90032"/>
    <x v="1"/>
    <x v="934"/>
    <x v="1"/>
    <x v="10"/>
    <x v="927"/>
    <n v="38.880000000000003"/>
    <s v="Medium"/>
    <n v="6"/>
    <n v="0"/>
    <x v="0"/>
    <x v="0"/>
    <n v="18.662400000000002"/>
    <n v="0.48000000000000004"/>
    <n v="0"/>
  </r>
  <r>
    <n v="1316"/>
    <s v="CA-2016-145919"/>
    <d v="2016-12-18T00:00:00"/>
    <x v="0"/>
    <s v="Q4"/>
    <x v="5"/>
    <d v="2016-12-23T00:00:00"/>
    <s v="Standard Class"/>
    <x v="428"/>
    <x v="428"/>
    <s v="Corporate"/>
    <s v="United States"/>
    <s v="Los Angeles"/>
    <x v="1"/>
    <n v="90032"/>
    <x v="1"/>
    <x v="935"/>
    <x v="0"/>
    <x v="5"/>
    <x v="928"/>
    <n v="183.84"/>
    <s v="High"/>
    <n v="8"/>
    <n v="0"/>
    <x v="0"/>
    <x v="0"/>
    <n v="62.505600000000001"/>
    <n v="0.34"/>
    <n v="0"/>
  </r>
  <r>
    <n v="1317"/>
    <s v="CA-2016-145919"/>
    <d v="2016-12-18T00:00:00"/>
    <x v="0"/>
    <s v="Q4"/>
    <x v="5"/>
    <d v="2016-12-23T00:00:00"/>
    <s v="Standard Class"/>
    <x v="428"/>
    <x v="428"/>
    <s v="Corporate"/>
    <s v="United States"/>
    <s v="Los Angeles"/>
    <x v="1"/>
    <n v="90032"/>
    <x v="1"/>
    <x v="413"/>
    <x v="1"/>
    <x v="14"/>
    <x v="413"/>
    <n v="579.29999999999995"/>
    <s v="High"/>
    <n v="5"/>
    <n v="0"/>
    <x v="0"/>
    <x v="0"/>
    <n v="28.965"/>
    <n v="0.05"/>
    <n v="0"/>
  </r>
  <r>
    <n v="1318"/>
    <s v="CA-2017-157651"/>
    <d v="2017-12-10T00:00:00"/>
    <x v="3"/>
    <s v="Q4"/>
    <x v="22"/>
    <d v="2017-12-14T00:00:00"/>
    <s v="Standard Class"/>
    <x v="66"/>
    <x v="66"/>
    <s v="Consumer"/>
    <s v="United States"/>
    <s v="Philadelphia"/>
    <x v="9"/>
    <n v="19120"/>
    <x v="3"/>
    <x v="936"/>
    <x v="2"/>
    <x v="11"/>
    <x v="929"/>
    <n v="14.2"/>
    <s v="Low"/>
    <n v="1"/>
    <n v="0.2"/>
    <x v="2"/>
    <x v="2"/>
    <n v="3.3725000000000001"/>
    <n v="0.23750000000000002"/>
    <n v="0"/>
  </r>
  <r>
    <n v="1319"/>
    <s v="CA-2014-160773"/>
    <d v="2014-07-01T00:00:00"/>
    <x v="2"/>
    <s v="Q3"/>
    <x v="39"/>
    <d v="2014-07-05T00:00:00"/>
    <s v="Standard Class"/>
    <x v="429"/>
    <x v="429"/>
    <s v="Corporate"/>
    <s v="United States"/>
    <s v="Deltona"/>
    <x v="2"/>
    <n v="32725"/>
    <x v="0"/>
    <x v="907"/>
    <x v="2"/>
    <x v="7"/>
    <x v="899"/>
    <n v="575.91999999999996"/>
    <s v="High"/>
    <n v="2"/>
    <n v="0.2"/>
    <x v="2"/>
    <x v="2"/>
    <n v="71.989999999999995"/>
    <n v="0.125"/>
    <n v="0"/>
  </r>
  <r>
    <n v="1320"/>
    <s v="CA-2014-160773"/>
    <d v="2014-07-01T00:00:00"/>
    <x v="2"/>
    <s v="Q3"/>
    <x v="39"/>
    <d v="2014-07-05T00:00:00"/>
    <s v="Standard Class"/>
    <x v="429"/>
    <x v="429"/>
    <s v="Corporate"/>
    <s v="United States"/>
    <s v="Deltona"/>
    <x v="2"/>
    <n v="32725"/>
    <x v="0"/>
    <x v="614"/>
    <x v="1"/>
    <x v="8"/>
    <x v="614"/>
    <n v="5.1840000000000002"/>
    <s v="Low"/>
    <n v="6"/>
    <n v="0.7"/>
    <x v="1"/>
    <x v="5"/>
    <n v="-3.6288"/>
    <n v="-0.7"/>
    <n v="1"/>
  </r>
  <r>
    <n v="1321"/>
    <s v="CA-2017-167703"/>
    <d v="2017-02-03T00:00:00"/>
    <x v="3"/>
    <s v="Q1"/>
    <x v="31"/>
    <d v="2017-02-08T00:00:00"/>
    <s v="Standard Class"/>
    <x v="430"/>
    <x v="430"/>
    <s v="Consumer"/>
    <s v="United States"/>
    <s v="Cincinnati"/>
    <x v="24"/>
    <n v="45231"/>
    <x v="3"/>
    <x v="699"/>
    <x v="1"/>
    <x v="8"/>
    <x v="699"/>
    <n v="5.2290000000000001"/>
    <s v="Low"/>
    <n v="3"/>
    <n v="0.7"/>
    <x v="1"/>
    <x v="5"/>
    <n v="-4.1832000000000003"/>
    <n v="-0.8"/>
    <n v="1"/>
  </r>
  <r>
    <n v="1322"/>
    <s v="CA-2017-167703"/>
    <d v="2017-02-03T00:00:00"/>
    <x v="3"/>
    <s v="Q1"/>
    <x v="31"/>
    <d v="2017-02-08T00:00:00"/>
    <s v="Standard Class"/>
    <x v="430"/>
    <x v="430"/>
    <s v="Consumer"/>
    <s v="United States"/>
    <s v="Cincinnati"/>
    <x v="24"/>
    <n v="45231"/>
    <x v="3"/>
    <x v="518"/>
    <x v="1"/>
    <x v="4"/>
    <x v="518"/>
    <n v="285.55200000000002"/>
    <s v="High"/>
    <n v="2"/>
    <n v="0.2"/>
    <x v="2"/>
    <x v="2"/>
    <n v="35.694000000000003"/>
    <n v="0.125"/>
    <n v="0"/>
  </r>
  <r>
    <n v="1323"/>
    <s v="CA-2017-121804"/>
    <d v="2017-03-03T00:00:00"/>
    <x v="3"/>
    <s v="Q1"/>
    <x v="42"/>
    <d v="2017-03-08T00:00:00"/>
    <s v="Standard Class"/>
    <x v="431"/>
    <x v="431"/>
    <s v="Consumer"/>
    <s v="United States"/>
    <s v="Murray"/>
    <x v="0"/>
    <n v="42071"/>
    <x v="0"/>
    <x v="937"/>
    <x v="1"/>
    <x v="9"/>
    <x v="930"/>
    <n v="72.8"/>
    <s v="Medium"/>
    <n v="5"/>
    <n v="0"/>
    <x v="0"/>
    <x v="0"/>
    <n v="19.655999999999999"/>
    <n v="0.27"/>
    <n v="0"/>
  </r>
  <r>
    <n v="1324"/>
    <s v="CA-2017-162635"/>
    <d v="2017-10-09T00:00:00"/>
    <x v="3"/>
    <s v="Q4"/>
    <x v="13"/>
    <d v="2017-10-10T00:00:00"/>
    <s v="First Class"/>
    <x v="432"/>
    <x v="432"/>
    <s v="Consumer"/>
    <s v="United States"/>
    <s v="Wilmington"/>
    <x v="3"/>
    <n v="28403"/>
    <x v="0"/>
    <x v="938"/>
    <x v="1"/>
    <x v="10"/>
    <x v="931"/>
    <n v="10.816000000000001"/>
    <s v="Low"/>
    <n v="4"/>
    <n v="0.2"/>
    <x v="2"/>
    <x v="2"/>
    <n v="3.5152000000000001"/>
    <n v="0.32500000000000001"/>
    <n v="0"/>
  </r>
  <r>
    <n v="1325"/>
    <s v="CA-2014-107153"/>
    <d v="2014-09-28T00:00:00"/>
    <x v="2"/>
    <s v="Q3"/>
    <x v="30"/>
    <d v="2014-10-03T00:00:00"/>
    <s v="Standard Class"/>
    <x v="433"/>
    <x v="433"/>
    <s v="Corporate"/>
    <s v="United States"/>
    <s v="Lawrence"/>
    <x v="31"/>
    <n v="1841"/>
    <x v="3"/>
    <x v="421"/>
    <x v="1"/>
    <x v="4"/>
    <x v="421"/>
    <n v="46.26"/>
    <s v="Medium"/>
    <n v="3"/>
    <n v="0"/>
    <x v="0"/>
    <x v="0"/>
    <n v="12.4902"/>
    <n v="0.27"/>
    <n v="0"/>
  </r>
  <r>
    <n v="1326"/>
    <s v="US-2014-117058"/>
    <d v="2014-05-27T00:00:00"/>
    <x v="2"/>
    <s v="Q2"/>
    <x v="8"/>
    <d v="2014-05-30T00:00:00"/>
    <s v="First Class"/>
    <x v="97"/>
    <x v="97"/>
    <s v="Consumer"/>
    <s v="United States"/>
    <s v="Chicago"/>
    <x v="10"/>
    <n v="60653"/>
    <x v="2"/>
    <x v="939"/>
    <x v="1"/>
    <x v="8"/>
    <x v="932"/>
    <n v="17.46"/>
    <s v="Low"/>
    <n v="6"/>
    <n v="0.8"/>
    <x v="1"/>
    <x v="3"/>
    <n v="-30.555"/>
    <n v="-1.75"/>
    <n v="1"/>
  </r>
  <r>
    <n v="1327"/>
    <s v="CA-2015-120439"/>
    <d v="2015-06-14T00:00:00"/>
    <x v="1"/>
    <s v="Q2"/>
    <x v="40"/>
    <d v="2015-06-18T00:00:00"/>
    <s v="Standard Class"/>
    <x v="57"/>
    <x v="57"/>
    <s v="Home Office"/>
    <s v="United States"/>
    <s v="Philadelphia"/>
    <x v="9"/>
    <n v="19120"/>
    <x v="3"/>
    <x v="882"/>
    <x v="0"/>
    <x v="5"/>
    <x v="876"/>
    <n v="51.072000000000003"/>
    <s v="Medium"/>
    <n v="6"/>
    <n v="0.2"/>
    <x v="2"/>
    <x v="2"/>
    <n v="5.1071999999999997"/>
    <n v="9.9999999999999992E-2"/>
    <n v="0"/>
  </r>
  <r>
    <n v="1328"/>
    <s v="CA-2016-128258"/>
    <d v="2016-03-30T00:00:00"/>
    <x v="0"/>
    <s v="Q1"/>
    <x v="17"/>
    <d v="2016-04-01T00:00:00"/>
    <s v="First Class"/>
    <x v="434"/>
    <x v="434"/>
    <s v="Corporate"/>
    <s v="United States"/>
    <s v="Norwich"/>
    <x v="29"/>
    <n v="6360"/>
    <x v="3"/>
    <x v="752"/>
    <x v="1"/>
    <x v="10"/>
    <x v="750"/>
    <n v="11.34"/>
    <s v="Low"/>
    <n v="1"/>
    <n v="0"/>
    <x v="0"/>
    <x v="0"/>
    <n v="5.5566000000000004"/>
    <n v="0.49000000000000005"/>
    <n v="0"/>
  </r>
  <r>
    <n v="1329"/>
    <s v="CA-2017-106033"/>
    <d v="2017-10-15T00:00:00"/>
    <x v="3"/>
    <s v="Q4"/>
    <x v="13"/>
    <d v="2017-10-18T00:00:00"/>
    <s v="Second Class"/>
    <x v="435"/>
    <x v="435"/>
    <s v="Home Office"/>
    <s v="United States"/>
    <s v="San Francisco"/>
    <x v="1"/>
    <n v="94110"/>
    <x v="1"/>
    <x v="940"/>
    <x v="1"/>
    <x v="6"/>
    <x v="933"/>
    <n v="87.92"/>
    <s v="Medium"/>
    <n v="4"/>
    <n v="0"/>
    <x v="0"/>
    <x v="0"/>
    <n v="26.376000000000001"/>
    <n v="0.3"/>
    <n v="0"/>
  </r>
  <r>
    <n v="1330"/>
    <s v="CA-2016-142762"/>
    <d v="2016-05-23T00:00:00"/>
    <x v="0"/>
    <s v="Q2"/>
    <x v="35"/>
    <d v="2016-05-27T00:00:00"/>
    <s v="Standard Class"/>
    <x v="436"/>
    <x v="436"/>
    <s v="Consumer"/>
    <s v="United States"/>
    <s v="San Francisco"/>
    <x v="1"/>
    <n v="94109"/>
    <x v="1"/>
    <x v="893"/>
    <x v="0"/>
    <x v="5"/>
    <x v="886"/>
    <n v="37.049999999999997"/>
    <s v="Medium"/>
    <n v="3"/>
    <n v="0"/>
    <x v="0"/>
    <x v="0"/>
    <n v="16.302"/>
    <n v="0.44"/>
    <n v="0"/>
  </r>
  <r>
    <n v="1331"/>
    <s v="CA-2017-127705"/>
    <d v="2017-06-02T00:00:00"/>
    <x v="3"/>
    <s v="Q2"/>
    <x v="27"/>
    <d v="2017-06-06T00:00:00"/>
    <s v="Standard Class"/>
    <x v="437"/>
    <x v="437"/>
    <s v="Home Office"/>
    <s v="United States"/>
    <s v="Lorain"/>
    <x v="24"/>
    <n v="44052"/>
    <x v="3"/>
    <x v="500"/>
    <x v="2"/>
    <x v="7"/>
    <x v="500"/>
    <n v="2.97"/>
    <s v="Low"/>
    <n v="1"/>
    <n v="0.4"/>
    <x v="1"/>
    <x v="7"/>
    <n v="-0.64349999999999996"/>
    <n v="-0.21666666666666665"/>
    <n v="1"/>
  </r>
  <r>
    <n v="1332"/>
    <s v="CA-2017-127705"/>
    <d v="2017-06-02T00:00:00"/>
    <x v="3"/>
    <s v="Q2"/>
    <x v="27"/>
    <d v="2017-06-06T00:00:00"/>
    <s v="Standard Class"/>
    <x v="437"/>
    <x v="437"/>
    <s v="Home Office"/>
    <s v="United States"/>
    <s v="Lorain"/>
    <x v="24"/>
    <n v="44052"/>
    <x v="3"/>
    <x v="456"/>
    <x v="1"/>
    <x v="4"/>
    <x v="457"/>
    <n v="27.44"/>
    <s v="Medium"/>
    <n v="2"/>
    <n v="0.2"/>
    <x v="2"/>
    <x v="2"/>
    <n v="2.4009999999999998"/>
    <n v="8.7499999999999994E-2"/>
    <n v="0"/>
  </r>
  <r>
    <n v="1333"/>
    <s v="CA-2014-122567"/>
    <d v="2014-02-16T00:00:00"/>
    <x v="2"/>
    <s v="Q1"/>
    <x v="45"/>
    <d v="2014-02-21T00:00:00"/>
    <s v="Standard Class"/>
    <x v="438"/>
    <x v="438"/>
    <s v="Consumer"/>
    <s v="United States"/>
    <s v="Dallas"/>
    <x v="5"/>
    <n v="75220"/>
    <x v="2"/>
    <x v="751"/>
    <x v="1"/>
    <x v="8"/>
    <x v="749"/>
    <n v="1.08"/>
    <s v="Low"/>
    <n v="3"/>
    <n v="0.8"/>
    <x v="1"/>
    <x v="3"/>
    <n v="-1.728"/>
    <n v="-1.5999999999999999"/>
    <n v="1"/>
  </r>
  <r>
    <n v="1334"/>
    <s v="CA-2014-122567"/>
    <d v="2014-02-16T00:00:00"/>
    <x v="2"/>
    <s v="Q1"/>
    <x v="45"/>
    <d v="2014-02-21T00:00:00"/>
    <s v="Standard Class"/>
    <x v="438"/>
    <x v="438"/>
    <s v="Consumer"/>
    <s v="United States"/>
    <s v="Dallas"/>
    <x v="5"/>
    <n v="75220"/>
    <x v="2"/>
    <x v="941"/>
    <x v="1"/>
    <x v="9"/>
    <x v="934"/>
    <n v="7.96"/>
    <s v="Low"/>
    <n v="2"/>
    <n v="0.8"/>
    <x v="1"/>
    <x v="3"/>
    <n v="-13.93"/>
    <n v="-1.75"/>
    <n v="1"/>
  </r>
  <r>
    <n v="1335"/>
    <s v="CA-2014-121664"/>
    <d v="2014-05-06T00:00:00"/>
    <x v="2"/>
    <s v="Q2"/>
    <x v="8"/>
    <d v="2014-05-10T00:00:00"/>
    <s v="Standard Class"/>
    <x v="6"/>
    <x v="6"/>
    <s v="Home Office"/>
    <s v="United States"/>
    <s v="Los Angeles"/>
    <x v="1"/>
    <n v="90049"/>
    <x v="1"/>
    <x v="715"/>
    <x v="1"/>
    <x v="8"/>
    <x v="714"/>
    <n v="140.73599999999999"/>
    <s v="High"/>
    <n v="8"/>
    <n v="0.2"/>
    <x v="2"/>
    <x v="2"/>
    <n v="52.776000000000003"/>
    <n v="0.37500000000000006"/>
    <n v="0"/>
  </r>
  <r>
    <n v="1336"/>
    <s v="CA-2016-122133"/>
    <d v="2016-05-16T00:00:00"/>
    <x v="0"/>
    <s v="Q2"/>
    <x v="35"/>
    <d v="2016-05-23T00:00:00"/>
    <s v="Standard Class"/>
    <x v="439"/>
    <x v="439"/>
    <s v="Consumer"/>
    <s v="United States"/>
    <s v="Middletown"/>
    <x v="29"/>
    <n v="6457"/>
    <x v="3"/>
    <x v="942"/>
    <x v="1"/>
    <x v="4"/>
    <x v="935"/>
    <n v="552.55999999999995"/>
    <s v="High"/>
    <n v="4"/>
    <n v="0"/>
    <x v="0"/>
    <x v="0"/>
    <n v="0"/>
    <n v="0"/>
    <n v="0"/>
  </r>
  <r>
    <n v="1337"/>
    <s v="US-2017-123281"/>
    <d v="2017-04-02T00:00:00"/>
    <x v="3"/>
    <s v="Q2"/>
    <x v="4"/>
    <d v="2017-04-07T00:00:00"/>
    <s v="Standard Class"/>
    <x v="440"/>
    <x v="440"/>
    <s v="Consumer"/>
    <s v="United States"/>
    <s v="Los Angeles"/>
    <x v="1"/>
    <n v="90008"/>
    <x v="1"/>
    <x v="904"/>
    <x v="0"/>
    <x v="5"/>
    <x v="896"/>
    <n v="25.11"/>
    <s v="Medium"/>
    <n v="3"/>
    <n v="0"/>
    <x v="0"/>
    <x v="0"/>
    <n v="6.5286"/>
    <n v="0.26"/>
    <n v="0"/>
  </r>
  <r>
    <n v="1338"/>
    <s v="CA-2017-100524"/>
    <d v="2017-03-31T00:00:00"/>
    <x v="3"/>
    <s v="Q1"/>
    <x v="42"/>
    <d v="2017-04-02T00:00:00"/>
    <s v="Second Class"/>
    <x v="441"/>
    <x v="441"/>
    <s v="Consumer"/>
    <s v="United States"/>
    <s v="New York City"/>
    <x v="15"/>
    <n v="10011"/>
    <x v="3"/>
    <x v="943"/>
    <x v="0"/>
    <x v="5"/>
    <x v="936"/>
    <n v="29.78"/>
    <s v="Medium"/>
    <n v="2"/>
    <n v="0"/>
    <x v="0"/>
    <x v="0"/>
    <n v="8.0405999999999995"/>
    <n v="0.26999999999999996"/>
    <n v="0"/>
  </r>
  <r>
    <n v="1339"/>
    <s v="CA-2017-100524"/>
    <d v="2017-03-31T00:00:00"/>
    <x v="3"/>
    <s v="Q1"/>
    <x v="42"/>
    <d v="2017-04-02T00:00:00"/>
    <s v="Second Class"/>
    <x v="441"/>
    <x v="441"/>
    <s v="Consumer"/>
    <s v="United States"/>
    <s v="New York City"/>
    <x v="15"/>
    <n v="10011"/>
    <x v="3"/>
    <x v="944"/>
    <x v="2"/>
    <x v="7"/>
    <x v="937"/>
    <n v="677.58"/>
    <s v="High"/>
    <n v="3"/>
    <n v="0"/>
    <x v="0"/>
    <x v="0"/>
    <n v="176.17080000000001"/>
    <n v="0.26"/>
    <n v="0"/>
  </r>
  <r>
    <n v="1340"/>
    <s v="CA-2017-100524"/>
    <d v="2017-03-31T00:00:00"/>
    <x v="3"/>
    <s v="Q1"/>
    <x v="42"/>
    <d v="2017-04-02T00:00:00"/>
    <s v="Second Class"/>
    <x v="441"/>
    <x v="441"/>
    <s v="Consumer"/>
    <s v="United States"/>
    <s v="New York City"/>
    <x v="15"/>
    <n v="10011"/>
    <x v="3"/>
    <x v="945"/>
    <x v="1"/>
    <x v="10"/>
    <x v="938"/>
    <n v="75.040000000000006"/>
    <s v="Medium"/>
    <n v="8"/>
    <n v="0"/>
    <x v="0"/>
    <x v="0"/>
    <n v="36.019199999999998"/>
    <n v="0.47999999999999993"/>
    <n v="0"/>
  </r>
  <r>
    <n v="1341"/>
    <s v="CA-2017-113481"/>
    <d v="2017-01-02T00:00:00"/>
    <x v="3"/>
    <s v="Q1"/>
    <x v="44"/>
    <d v="2017-01-04T00:00:00"/>
    <s v="First Class"/>
    <x v="442"/>
    <x v="442"/>
    <s v="Corporate"/>
    <s v="United States"/>
    <s v="Jacksonville"/>
    <x v="3"/>
    <n v="28540"/>
    <x v="0"/>
    <x v="946"/>
    <x v="2"/>
    <x v="15"/>
    <x v="939"/>
    <n v="695.7"/>
    <s v="High"/>
    <n v="2"/>
    <n v="0.5"/>
    <x v="1"/>
    <x v="1"/>
    <n v="-27.827999999999999"/>
    <n v="-3.9999999999999994E-2"/>
    <n v="1"/>
  </r>
  <r>
    <n v="1342"/>
    <s v="CA-2017-113481"/>
    <d v="2017-01-02T00:00:00"/>
    <x v="3"/>
    <s v="Q1"/>
    <x v="44"/>
    <d v="2017-01-04T00:00:00"/>
    <s v="First Class"/>
    <x v="442"/>
    <x v="442"/>
    <s v="Corporate"/>
    <s v="United States"/>
    <s v="Jacksonville"/>
    <x v="3"/>
    <n v="28540"/>
    <x v="0"/>
    <x v="864"/>
    <x v="1"/>
    <x v="8"/>
    <x v="858"/>
    <n v="15.66"/>
    <s v="Low"/>
    <n v="5"/>
    <n v="0.7"/>
    <x v="1"/>
    <x v="5"/>
    <n v="-12.528"/>
    <n v="-0.8"/>
    <n v="1"/>
  </r>
  <r>
    <n v="1343"/>
    <s v="CA-2017-113481"/>
    <d v="2017-01-02T00:00:00"/>
    <x v="3"/>
    <s v="Q1"/>
    <x v="44"/>
    <d v="2017-01-04T00:00:00"/>
    <s v="First Class"/>
    <x v="442"/>
    <x v="442"/>
    <s v="Corporate"/>
    <s v="United States"/>
    <s v="Jacksonville"/>
    <x v="3"/>
    <n v="28540"/>
    <x v="0"/>
    <x v="27"/>
    <x v="1"/>
    <x v="8"/>
    <x v="27"/>
    <n v="28.853999999999999"/>
    <s v="Medium"/>
    <n v="6"/>
    <n v="0.7"/>
    <x v="1"/>
    <x v="5"/>
    <n v="-21.159600000000001"/>
    <n v="-0.73333333333333339"/>
    <n v="1"/>
  </r>
  <r>
    <n v="1344"/>
    <s v="CA-2015-131758"/>
    <d v="2015-05-28T00:00:00"/>
    <x v="1"/>
    <s v="Q2"/>
    <x v="33"/>
    <d v="2015-06-01T00:00:00"/>
    <s v="Standard Class"/>
    <x v="41"/>
    <x v="41"/>
    <s v="Consumer"/>
    <s v="United States"/>
    <s v="Freeport"/>
    <x v="15"/>
    <n v="11520"/>
    <x v="3"/>
    <x v="947"/>
    <x v="1"/>
    <x v="6"/>
    <x v="940"/>
    <n v="47.82"/>
    <s v="Medium"/>
    <n v="3"/>
    <n v="0"/>
    <x v="0"/>
    <x v="0"/>
    <n v="14.346"/>
    <n v="0.3"/>
    <n v="0"/>
  </r>
  <r>
    <n v="1345"/>
    <s v="CA-2015-131758"/>
    <d v="2015-05-28T00:00:00"/>
    <x v="1"/>
    <s v="Q2"/>
    <x v="33"/>
    <d v="2015-06-01T00:00:00"/>
    <s v="Standard Class"/>
    <x v="41"/>
    <x v="41"/>
    <s v="Consumer"/>
    <s v="United States"/>
    <s v="Freeport"/>
    <x v="15"/>
    <n v="11520"/>
    <x v="3"/>
    <x v="948"/>
    <x v="1"/>
    <x v="2"/>
    <x v="941"/>
    <n v="13.05"/>
    <s v="Low"/>
    <n v="5"/>
    <n v="0"/>
    <x v="0"/>
    <x v="0"/>
    <n v="6.0030000000000001"/>
    <n v="0.45999999999999996"/>
    <n v="0"/>
  </r>
  <r>
    <n v="1346"/>
    <s v="CA-2014-118339"/>
    <d v="2014-03-17T00:00:00"/>
    <x v="2"/>
    <s v="Q1"/>
    <x v="34"/>
    <d v="2014-03-24T00:00:00"/>
    <s v="Standard Class"/>
    <x v="202"/>
    <x v="202"/>
    <s v="Consumer"/>
    <s v="United States"/>
    <s v="Lakeville"/>
    <x v="11"/>
    <n v="55044"/>
    <x v="2"/>
    <x v="589"/>
    <x v="1"/>
    <x v="9"/>
    <x v="589"/>
    <n v="93.78"/>
    <s v="Medium"/>
    <n v="2"/>
    <n v="0"/>
    <x v="0"/>
    <x v="0"/>
    <n v="36.574199999999998"/>
    <n v="0.38999999999999996"/>
    <n v="0"/>
  </r>
  <r>
    <n v="1347"/>
    <s v="CA-2014-118339"/>
    <d v="2014-03-17T00:00:00"/>
    <x v="2"/>
    <s v="Q1"/>
    <x v="34"/>
    <d v="2014-03-24T00:00:00"/>
    <s v="Standard Class"/>
    <x v="202"/>
    <x v="202"/>
    <s v="Consumer"/>
    <s v="United States"/>
    <s v="Lakeville"/>
    <x v="11"/>
    <n v="55044"/>
    <x v="2"/>
    <x v="949"/>
    <x v="1"/>
    <x v="10"/>
    <x v="942"/>
    <n v="47.18"/>
    <s v="Medium"/>
    <n v="7"/>
    <n v="0"/>
    <x v="0"/>
    <x v="0"/>
    <n v="23.59"/>
    <n v="0.5"/>
    <n v="0"/>
  </r>
  <r>
    <n v="1348"/>
    <s v="CA-2014-118339"/>
    <d v="2014-03-17T00:00:00"/>
    <x v="2"/>
    <s v="Q1"/>
    <x v="34"/>
    <d v="2014-03-24T00:00:00"/>
    <s v="Standard Class"/>
    <x v="202"/>
    <x v="202"/>
    <s v="Consumer"/>
    <s v="United States"/>
    <s v="Lakeville"/>
    <x v="11"/>
    <n v="55044"/>
    <x v="2"/>
    <x v="950"/>
    <x v="1"/>
    <x v="6"/>
    <x v="943"/>
    <n v="19.68"/>
    <s v="Low"/>
    <n v="6"/>
    <n v="0"/>
    <x v="0"/>
    <x v="0"/>
    <n v="5.7072000000000003"/>
    <n v="0.29000000000000004"/>
    <n v="0"/>
  </r>
  <r>
    <n v="1349"/>
    <s v="CA-2014-118339"/>
    <d v="2014-03-17T00:00:00"/>
    <x v="2"/>
    <s v="Q1"/>
    <x v="34"/>
    <d v="2014-03-24T00:00:00"/>
    <s v="Standard Class"/>
    <x v="202"/>
    <x v="202"/>
    <s v="Consumer"/>
    <s v="United States"/>
    <s v="Lakeville"/>
    <x v="11"/>
    <n v="55044"/>
    <x v="2"/>
    <x v="951"/>
    <x v="1"/>
    <x v="8"/>
    <x v="944"/>
    <n v="53.4"/>
    <s v="Medium"/>
    <n v="10"/>
    <n v="0"/>
    <x v="0"/>
    <x v="0"/>
    <n v="25.097999999999999"/>
    <n v="0.47"/>
    <n v="0"/>
  </r>
  <r>
    <n v="1350"/>
    <s v="CA-2014-118339"/>
    <d v="2014-03-17T00:00:00"/>
    <x v="2"/>
    <s v="Q1"/>
    <x v="34"/>
    <d v="2014-03-24T00:00:00"/>
    <s v="Standard Class"/>
    <x v="202"/>
    <x v="202"/>
    <s v="Consumer"/>
    <s v="United States"/>
    <s v="Lakeville"/>
    <x v="11"/>
    <n v="55044"/>
    <x v="2"/>
    <x v="952"/>
    <x v="1"/>
    <x v="8"/>
    <x v="945"/>
    <n v="35.880000000000003"/>
    <s v="Medium"/>
    <n v="6"/>
    <n v="0"/>
    <x v="0"/>
    <x v="0"/>
    <n v="17.2224"/>
    <n v="0.48"/>
    <n v="0"/>
  </r>
  <r>
    <n v="1351"/>
    <s v="CA-2014-153976"/>
    <d v="2014-10-03T00:00:00"/>
    <x v="2"/>
    <s v="Q4"/>
    <x v="18"/>
    <d v="2014-10-08T00:00:00"/>
    <s v="Second Class"/>
    <x v="443"/>
    <x v="443"/>
    <s v="Consumer"/>
    <s v="United States"/>
    <s v="Evanston"/>
    <x v="10"/>
    <n v="60201"/>
    <x v="2"/>
    <x v="812"/>
    <x v="0"/>
    <x v="1"/>
    <x v="809"/>
    <n v="258.279"/>
    <s v="High"/>
    <n v="3"/>
    <n v="0.3"/>
    <x v="1"/>
    <x v="4"/>
    <n v="-70.104299999999995"/>
    <n v="-0.27142857142857141"/>
    <n v="1"/>
  </r>
  <r>
    <n v="1352"/>
    <s v="CA-2016-162901"/>
    <d v="2016-03-28T00:00:00"/>
    <x v="0"/>
    <s v="Q1"/>
    <x v="17"/>
    <d v="2016-03-31T00:00:00"/>
    <s v="First Class"/>
    <x v="442"/>
    <x v="442"/>
    <s v="Corporate"/>
    <s v="United States"/>
    <s v="Arlington"/>
    <x v="17"/>
    <n v="22204"/>
    <x v="0"/>
    <x v="953"/>
    <x v="1"/>
    <x v="4"/>
    <x v="946"/>
    <n v="31.4"/>
    <s v="Medium"/>
    <n v="2"/>
    <n v="0"/>
    <x v="0"/>
    <x v="0"/>
    <n v="7.85"/>
    <n v="0.25"/>
    <n v="0"/>
  </r>
  <r>
    <n v="1353"/>
    <s v="CA-2017-162978"/>
    <d v="2017-05-04T00:00:00"/>
    <x v="3"/>
    <s v="Q2"/>
    <x v="24"/>
    <d v="2017-05-09T00:00:00"/>
    <s v="Standard Class"/>
    <x v="352"/>
    <x v="352"/>
    <s v="Corporate"/>
    <s v="United States"/>
    <s v="San Francisco"/>
    <x v="1"/>
    <n v="94109"/>
    <x v="1"/>
    <x v="521"/>
    <x v="2"/>
    <x v="7"/>
    <x v="521"/>
    <n v="183.96"/>
    <s v="High"/>
    <n v="5"/>
    <n v="0.2"/>
    <x v="2"/>
    <x v="2"/>
    <n v="20.695499999999999"/>
    <n v="0.11249999999999999"/>
    <n v="0"/>
  </r>
  <r>
    <n v="1354"/>
    <s v="CA-2017-162978"/>
    <d v="2017-05-04T00:00:00"/>
    <x v="3"/>
    <s v="Q2"/>
    <x v="24"/>
    <d v="2017-05-09T00:00:00"/>
    <s v="Standard Class"/>
    <x v="352"/>
    <x v="352"/>
    <s v="Corporate"/>
    <s v="United States"/>
    <s v="San Francisco"/>
    <x v="1"/>
    <n v="94109"/>
    <x v="1"/>
    <x v="707"/>
    <x v="1"/>
    <x v="10"/>
    <x v="706"/>
    <n v="17.61"/>
    <s v="Low"/>
    <n v="3"/>
    <n v="0"/>
    <x v="0"/>
    <x v="0"/>
    <n v="8.4527999999999999"/>
    <n v="0.48"/>
    <n v="0"/>
  </r>
  <r>
    <n v="1355"/>
    <s v="CA-2017-162978"/>
    <d v="2017-05-04T00:00:00"/>
    <x v="3"/>
    <s v="Q2"/>
    <x v="24"/>
    <d v="2017-05-09T00:00:00"/>
    <s v="Standard Class"/>
    <x v="352"/>
    <x v="352"/>
    <s v="Corporate"/>
    <s v="United States"/>
    <s v="San Francisco"/>
    <x v="1"/>
    <n v="94109"/>
    <x v="1"/>
    <x v="215"/>
    <x v="0"/>
    <x v="3"/>
    <x v="216"/>
    <n v="300.904"/>
    <s v="High"/>
    <n v="1"/>
    <n v="0.2"/>
    <x v="2"/>
    <x v="2"/>
    <n v="11.283899999999999"/>
    <n v="3.7499999999999999E-2"/>
    <n v="0"/>
  </r>
  <r>
    <n v="1356"/>
    <s v="US-2014-160444"/>
    <d v="2014-07-05T00:00:00"/>
    <x v="2"/>
    <s v="Q3"/>
    <x v="39"/>
    <d v="2014-07-05T00:00:00"/>
    <s v="Same Day"/>
    <x v="419"/>
    <x v="419"/>
    <s v="Consumer"/>
    <s v="United States"/>
    <s v="Houston"/>
    <x v="5"/>
    <n v="77036"/>
    <x v="2"/>
    <x v="196"/>
    <x v="1"/>
    <x v="4"/>
    <x v="197"/>
    <n v="220.77600000000001"/>
    <s v="High"/>
    <n v="3"/>
    <n v="0.2"/>
    <x v="2"/>
    <x v="2"/>
    <n v="-44.155200000000001"/>
    <n v="-0.19999999999999998"/>
    <n v="1"/>
  </r>
  <r>
    <n v="1357"/>
    <s v="US-2014-160444"/>
    <d v="2014-07-05T00:00:00"/>
    <x v="2"/>
    <s v="Q3"/>
    <x v="39"/>
    <d v="2014-07-05T00:00:00"/>
    <s v="Same Day"/>
    <x v="419"/>
    <x v="419"/>
    <s v="Consumer"/>
    <s v="United States"/>
    <s v="Houston"/>
    <x v="5"/>
    <n v="77036"/>
    <x v="2"/>
    <x v="911"/>
    <x v="1"/>
    <x v="4"/>
    <x v="903"/>
    <n v="281.42399999999998"/>
    <s v="High"/>
    <n v="11"/>
    <n v="0.2"/>
    <x v="2"/>
    <x v="2"/>
    <n v="-35.177999999999997"/>
    <n v="-0.125"/>
    <n v="1"/>
  </r>
  <r>
    <n v="1358"/>
    <s v="CA-2016-145247"/>
    <d v="2016-05-05T00:00:00"/>
    <x v="0"/>
    <s v="Q2"/>
    <x v="35"/>
    <d v="2016-05-07T00:00:00"/>
    <s v="First Class"/>
    <x v="444"/>
    <x v="444"/>
    <s v="Consumer"/>
    <s v="United States"/>
    <s v="Louisville"/>
    <x v="0"/>
    <n v="40214"/>
    <x v="0"/>
    <x v="954"/>
    <x v="1"/>
    <x v="10"/>
    <x v="947"/>
    <n v="79.14"/>
    <s v="Medium"/>
    <n v="3"/>
    <n v="0"/>
    <x v="0"/>
    <x v="0"/>
    <n v="36.404400000000003"/>
    <n v="0.46"/>
    <n v="0"/>
  </r>
  <r>
    <n v="1359"/>
    <s v="CA-2017-160045"/>
    <d v="2017-04-26T00:00:00"/>
    <x v="3"/>
    <s v="Q2"/>
    <x v="4"/>
    <d v="2017-04-27T00:00:00"/>
    <s v="First Class"/>
    <x v="445"/>
    <x v="445"/>
    <s v="Consumer"/>
    <s v="United States"/>
    <s v="Fort Worth"/>
    <x v="5"/>
    <n v="76106"/>
    <x v="2"/>
    <x v="527"/>
    <x v="0"/>
    <x v="5"/>
    <x v="527"/>
    <n v="1.988"/>
    <s v="Low"/>
    <n v="1"/>
    <n v="0.6"/>
    <x v="1"/>
    <x v="6"/>
    <n v="-1.4413"/>
    <n v="-0.72499999999999998"/>
    <n v="1"/>
  </r>
  <r>
    <n v="1360"/>
    <s v="US-2014-151925"/>
    <d v="2014-09-26T00:00:00"/>
    <x v="2"/>
    <s v="Q3"/>
    <x v="30"/>
    <d v="2014-10-01T00:00:00"/>
    <s v="Second Class"/>
    <x v="446"/>
    <x v="446"/>
    <s v="Consumer"/>
    <s v="United States"/>
    <s v="Los Angeles"/>
    <x v="1"/>
    <n v="90049"/>
    <x v="1"/>
    <x v="955"/>
    <x v="0"/>
    <x v="1"/>
    <x v="948"/>
    <n v="145.56800000000001"/>
    <s v="High"/>
    <n v="2"/>
    <n v="0.2"/>
    <x v="2"/>
    <x v="2"/>
    <n v="0"/>
    <n v="0"/>
    <n v="0"/>
  </r>
  <r>
    <n v="1361"/>
    <s v="CA-2017-125199"/>
    <d v="2017-10-19T00:00:00"/>
    <x v="3"/>
    <s v="Q4"/>
    <x v="13"/>
    <d v="2017-10-25T00:00:00"/>
    <s v="Standard Class"/>
    <x v="447"/>
    <x v="447"/>
    <s v="Corporate"/>
    <s v="United States"/>
    <s v="Philadelphia"/>
    <x v="9"/>
    <n v="19120"/>
    <x v="3"/>
    <x v="666"/>
    <x v="1"/>
    <x v="6"/>
    <x v="666"/>
    <n v="123.256"/>
    <s v="High"/>
    <n v="7"/>
    <n v="0.2"/>
    <x v="2"/>
    <x v="2"/>
    <n v="9.2441999999999993"/>
    <n v="7.4999999999999997E-2"/>
    <n v="0"/>
  </r>
  <r>
    <n v="1362"/>
    <s v="CA-2017-125199"/>
    <d v="2017-10-19T00:00:00"/>
    <x v="3"/>
    <s v="Q4"/>
    <x v="13"/>
    <d v="2017-10-25T00:00:00"/>
    <s v="Standard Class"/>
    <x v="447"/>
    <x v="447"/>
    <s v="Corporate"/>
    <s v="United States"/>
    <s v="Philadelphia"/>
    <x v="9"/>
    <n v="19120"/>
    <x v="3"/>
    <x v="956"/>
    <x v="1"/>
    <x v="10"/>
    <x v="949"/>
    <n v="23.68"/>
    <s v="Low"/>
    <n v="4"/>
    <n v="0.2"/>
    <x v="2"/>
    <x v="2"/>
    <n v="7.4"/>
    <n v="0.3125"/>
    <n v="0"/>
  </r>
  <r>
    <n v="1363"/>
    <s v="CA-2017-125199"/>
    <d v="2017-10-19T00:00:00"/>
    <x v="3"/>
    <s v="Q4"/>
    <x v="13"/>
    <d v="2017-10-25T00:00:00"/>
    <s v="Standard Class"/>
    <x v="447"/>
    <x v="447"/>
    <s v="Corporate"/>
    <s v="United States"/>
    <s v="Philadelphia"/>
    <x v="9"/>
    <n v="19120"/>
    <x v="3"/>
    <x v="957"/>
    <x v="2"/>
    <x v="7"/>
    <x v="950"/>
    <n v="309.57600000000002"/>
    <s v="High"/>
    <n v="4"/>
    <n v="0.4"/>
    <x v="1"/>
    <x v="7"/>
    <n v="-56.755600000000001"/>
    <n v="-0.18333333333333332"/>
    <n v="1"/>
  </r>
  <r>
    <n v="1364"/>
    <s v="US-2017-155425"/>
    <d v="2017-11-10T00:00:00"/>
    <x v="3"/>
    <s v="Q4"/>
    <x v="23"/>
    <d v="2017-11-11T00:00:00"/>
    <s v="First Class"/>
    <x v="448"/>
    <x v="448"/>
    <s v="Corporate"/>
    <s v="United States"/>
    <s v="Tucson"/>
    <x v="16"/>
    <n v="85705"/>
    <x v="1"/>
    <x v="624"/>
    <x v="1"/>
    <x v="8"/>
    <x v="624"/>
    <n v="38.387999999999998"/>
    <s v="Medium"/>
    <n v="14"/>
    <n v="0.7"/>
    <x v="1"/>
    <x v="5"/>
    <n v="-25.591999999999999"/>
    <n v="-0.66666666666666663"/>
    <n v="1"/>
  </r>
  <r>
    <n v="1365"/>
    <s v="US-2017-155425"/>
    <d v="2017-11-10T00:00:00"/>
    <x v="3"/>
    <s v="Q4"/>
    <x v="23"/>
    <d v="2017-11-11T00:00:00"/>
    <s v="First Class"/>
    <x v="448"/>
    <x v="448"/>
    <s v="Corporate"/>
    <s v="United States"/>
    <s v="Tucson"/>
    <x v="16"/>
    <n v="85705"/>
    <x v="1"/>
    <x v="958"/>
    <x v="2"/>
    <x v="15"/>
    <x v="951"/>
    <n v="95.994"/>
    <s v="Medium"/>
    <n v="2"/>
    <n v="0.7"/>
    <x v="1"/>
    <x v="5"/>
    <n v="-63.996000000000002"/>
    <n v="-0.66666666666666674"/>
    <n v="1"/>
  </r>
  <r>
    <n v="1366"/>
    <s v="US-2017-155425"/>
    <d v="2017-11-10T00:00:00"/>
    <x v="3"/>
    <s v="Q4"/>
    <x v="23"/>
    <d v="2017-11-11T00:00:00"/>
    <s v="First Class"/>
    <x v="448"/>
    <x v="448"/>
    <s v="Corporate"/>
    <s v="United States"/>
    <s v="Tucson"/>
    <x v="16"/>
    <n v="85705"/>
    <x v="1"/>
    <x v="959"/>
    <x v="2"/>
    <x v="11"/>
    <x v="952"/>
    <n v="239.952"/>
    <s v="High"/>
    <n v="6"/>
    <n v="0.2"/>
    <x v="2"/>
    <x v="2"/>
    <n v="-35.992800000000003"/>
    <n v="-0.15000000000000002"/>
    <n v="1"/>
  </r>
  <r>
    <n v="1367"/>
    <s v="US-2017-155425"/>
    <d v="2017-11-10T00:00:00"/>
    <x v="3"/>
    <s v="Q4"/>
    <x v="23"/>
    <d v="2017-11-11T00:00:00"/>
    <s v="First Class"/>
    <x v="448"/>
    <x v="448"/>
    <s v="Corporate"/>
    <s v="United States"/>
    <s v="Tucson"/>
    <x v="16"/>
    <n v="85705"/>
    <x v="1"/>
    <x v="202"/>
    <x v="2"/>
    <x v="7"/>
    <x v="203"/>
    <n v="201.584"/>
    <s v="High"/>
    <n v="2"/>
    <n v="0.2"/>
    <x v="2"/>
    <x v="2"/>
    <n v="15.1188"/>
    <n v="7.4999999999999997E-2"/>
    <n v="0"/>
  </r>
  <r>
    <n v="1368"/>
    <s v="US-2017-155425"/>
    <d v="2017-11-10T00:00:00"/>
    <x v="3"/>
    <s v="Q4"/>
    <x v="23"/>
    <d v="2017-11-11T00:00:00"/>
    <s v="First Class"/>
    <x v="448"/>
    <x v="448"/>
    <s v="Corporate"/>
    <s v="United States"/>
    <s v="Tucson"/>
    <x v="16"/>
    <n v="85705"/>
    <x v="1"/>
    <x v="299"/>
    <x v="0"/>
    <x v="1"/>
    <x v="299"/>
    <n v="899.13599999999997"/>
    <s v="High"/>
    <n v="4"/>
    <n v="0.2"/>
    <x v="2"/>
    <x v="2"/>
    <n v="-146.1096"/>
    <n v="-0.16250000000000001"/>
    <n v="1"/>
  </r>
  <r>
    <n v="1369"/>
    <s v="CA-2017-133249"/>
    <d v="2017-07-08T00:00:00"/>
    <x v="3"/>
    <s v="Q3"/>
    <x v="10"/>
    <d v="2017-07-11T00:00:00"/>
    <s v="First Class"/>
    <x v="449"/>
    <x v="449"/>
    <s v="Home Office"/>
    <s v="United States"/>
    <s v="Pico Rivera"/>
    <x v="1"/>
    <n v="90660"/>
    <x v="1"/>
    <x v="287"/>
    <x v="0"/>
    <x v="5"/>
    <x v="287"/>
    <n v="145.9"/>
    <s v="High"/>
    <n v="5"/>
    <n v="0"/>
    <x v="0"/>
    <x v="0"/>
    <n v="62.737000000000002"/>
    <n v="0.43"/>
    <n v="0"/>
  </r>
  <r>
    <n v="1370"/>
    <s v="US-2015-103471"/>
    <d v="2015-12-24T00:00:00"/>
    <x v="1"/>
    <s v="Q4"/>
    <x v="14"/>
    <d v="2015-12-28T00:00:00"/>
    <s v="Standard Class"/>
    <x v="439"/>
    <x v="439"/>
    <s v="Consumer"/>
    <s v="United States"/>
    <s v="Colorado Springs"/>
    <x v="22"/>
    <n v="80906"/>
    <x v="1"/>
    <x v="178"/>
    <x v="0"/>
    <x v="0"/>
    <x v="179"/>
    <n v="590.05799999999999"/>
    <s v="High"/>
    <n v="7"/>
    <n v="0.7"/>
    <x v="1"/>
    <x v="5"/>
    <n v="-786.74400000000003"/>
    <n v="-1.3333333333333335"/>
    <n v="1"/>
  </r>
  <r>
    <n v="1371"/>
    <s v="US-2015-103471"/>
    <d v="2015-12-24T00:00:00"/>
    <x v="1"/>
    <s v="Q4"/>
    <x v="14"/>
    <d v="2015-12-28T00:00:00"/>
    <s v="Standard Class"/>
    <x v="439"/>
    <x v="439"/>
    <s v="Consumer"/>
    <s v="United States"/>
    <s v="Colorado Springs"/>
    <x v="22"/>
    <n v="80906"/>
    <x v="1"/>
    <x v="628"/>
    <x v="1"/>
    <x v="6"/>
    <x v="628"/>
    <n v="14.04"/>
    <s v="Low"/>
    <n v="3"/>
    <n v="0.2"/>
    <x v="2"/>
    <x v="2"/>
    <n v="1.5794999999999999"/>
    <n v="0.1125"/>
    <n v="0"/>
  </r>
  <r>
    <n v="1372"/>
    <s v="CA-2017-136672"/>
    <d v="2017-03-07T00:00:00"/>
    <x v="3"/>
    <s v="Q1"/>
    <x v="42"/>
    <d v="2017-03-12T00:00:00"/>
    <s v="Standard Class"/>
    <x v="450"/>
    <x v="450"/>
    <s v="Home Office"/>
    <s v="United States"/>
    <s v="Clinton"/>
    <x v="39"/>
    <n v="20735"/>
    <x v="3"/>
    <x v="960"/>
    <x v="2"/>
    <x v="11"/>
    <x v="953"/>
    <n v="49.08"/>
    <s v="Medium"/>
    <n v="3"/>
    <n v="0"/>
    <x v="0"/>
    <x v="0"/>
    <n v="4.9080000000000004"/>
    <n v="0.1"/>
    <n v="0"/>
  </r>
  <r>
    <n v="1373"/>
    <s v="US-2014-157021"/>
    <d v="2014-04-01T00:00:00"/>
    <x v="2"/>
    <s v="Q2"/>
    <x v="41"/>
    <d v="2014-04-06T00:00:00"/>
    <s v="Second Class"/>
    <x v="27"/>
    <x v="27"/>
    <s v="Consumer"/>
    <s v="United States"/>
    <s v="Vallejo"/>
    <x v="1"/>
    <n v="94591"/>
    <x v="1"/>
    <x v="579"/>
    <x v="1"/>
    <x v="2"/>
    <x v="579"/>
    <n v="29.6"/>
    <s v="Medium"/>
    <n v="2"/>
    <n v="0"/>
    <x v="0"/>
    <x v="0"/>
    <n v="14.8"/>
    <n v="0.5"/>
    <n v="0"/>
  </r>
  <r>
    <n v="1374"/>
    <s v="US-2014-157021"/>
    <d v="2014-04-01T00:00:00"/>
    <x v="2"/>
    <s v="Q2"/>
    <x v="41"/>
    <d v="2014-04-06T00:00:00"/>
    <s v="Second Class"/>
    <x v="27"/>
    <x v="27"/>
    <s v="Consumer"/>
    <s v="United States"/>
    <s v="Vallejo"/>
    <x v="1"/>
    <n v="94591"/>
    <x v="1"/>
    <x v="961"/>
    <x v="1"/>
    <x v="8"/>
    <x v="954"/>
    <n v="17.088000000000001"/>
    <s v="Low"/>
    <n v="4"/>
    <n v="0.2"/>
    <x v="2"/>
    <x v="2"/>
    <n v="5.5536000000000003"/>
    <n v="0.32500000000000001"/>
    <n v="0"/>
  </r>
  <r>
    <n v="1375"/>
    <s v="CA-2015-120362"/>
    <d v="2015-09-14T00:00:00"/>
    <x v="1"/>
    <s v="Q3"/>
    <x v="11"/>
    <d v="2015-09-19T00:00:00"/>
    <s v="Standard Class"/>
    <x v="244"/>
    <x v="244"/>
    <s v="Consumer"/>
    <s v="United States"/>
    <s v="Provo"/>
    <x v="7"/>
    <n v="84604"/>
    <x v="1"/>
    <x v="962"/>
    <x v="0"/>
    <x v="3"/>
    <x v="955"/>
    <n v="912.75"/>
    <s v="High"/>
    <n v="5"/>
    <n v="0"/>
    <x v="0"/>
    <x v="0"/>
    <n v="118.6575"/>
    <n v="0.13"/>
    <n v="0"/>
  </r>
  <r>
    <n v="1376"/>
    <s v="CA-2014-126361"/>
    <d v="2014-08-04T00:00:00"/>
    <x v="2"/>
    <s v="Q3"/>
    <x v="9"/>
    <d v="2014-08-09T00:00:00"/>
    <s v="Second Class"/>
    <x v="104"/>
    <x v="104"/>
    <s v="Consumer"/>
    <s v="United States"/>
    <s v="Pleasant Grove"/>
    <x v="7"/>
    <n v="84062"/>
    <x v="1"/>
    <x v="963"/>
    <x v="1"/>
    <x v="9"/>
    <x v="956"/>
    <n v="1089.75"/>
    <s v="High"/>
    <n v="3"/>
    <n v="0"/>
    <x v="0"/>
    <x v="0"/>
    <n v="305.13"/>
    <n v="0.27999999999999997"/>
    <n v="0"/>
  </r>
  <r>
    <n v="1377"/>
    <s v="CA-2014-126361"/>
    <d v="2014-08-04T00:00:00"/>
    <x v="2"/>
    <s v="Q3"/>
    <x v="9"/>
    <d v="2014-08-09T00:00:00"/>
    <s v="Second Class"/>
    <x v="104"/>
    <x v="104"/>
    <s v="Consumer"/>
    <s v="United States"/>
    <s v="Pleasant Grove"/>
    <x v="7"/>
    <n v="84062"/>
    <x v="1"/>
    <x v="964"/>
    <x v="1"/>
    <x v="10"/>
    <x v="957"/>
    <n v="447.84"/>
    <s v="High"/>
    <n v="8"/>
    <n v="0"/>
    <x v="0"/>
    <x v="0"/>
    <n v="219.44159999999999"/>
    <n v="0.49"/>
    <n v="0"/>
  </r>
  <r>
    <n v="1378"/>
    <s v="CA-2014-126361"/>
    <d v="2014-08-04T00:00:00"/>
    <x v="2"/>
    <s v="Q3"/>
    <x v="9"/>
    <d v="2014-08-09T00:00:00"/>
    <s v="Second Class"/>
    <x v="104"/>
    <x v="104"/>
    <s v="Consumer"/>
    <s v="United States"/>
    <s v="Pleasant Grove"/>
    <x v="7"/>
    <n v="84062"/>
    <x v="1"/>
    <x v="965"/>
    <x v="1"/>
    <x v="6"/>
    <x v="958"/>
    <n v="16.399999999999999"/>
    <s v="Low"/>
    <n v="5"/>
    <n v="0"/>
    <x v="0"/>
    <x v="0"/>
    <n v="4.2640000000000002"/>
    <n v="0.26000000000000006"/>
    <n v="0"/>
  </r>
  <r>
    <n v="1379"/>
    <s v="CA-2014-126361"/>
    <d v="2014-08-04T00:00:00"/>
    <x v="2"/>
    <s v="Q3"/>
    <x v="9"/>
    <d v="2014-08-09T00:00:00"/>
    <s v="Second Class"/>
    <x v="104"/>
    <x v="104"/>
    <s v="Consumer"/>
    <s v="United States"/>
    <s v="Pleasant Grove"/>
    <x v="7"/>
    <n v="84062"/>
    <x v="1"/>
    <x v="966"/>
    <x v="2"/>
    <x v="7"/>
    <x v="959"/>
    <n v="399.96"/>
    <s v="High"/>
    <n v="5"/>
    <n v="0.2"/>
    <x v="2"/>
    <x v="2"/>
    <n v="34.996499999999997"/>
    <n v="8.7499999999999994E-2"/>
    <n v="0"/>
  </r>
  <r>
    <n v="1380"/>
    <s v="CA-2014-126361"/>
    <d v="2014-08-04T00:00:00"/>
    <x v="2"/>
    <s v="Q3"/>
    <x v="9"/>
    <d v="2014-08-09T00:00:00"/>
    <s v="Second Class"/>
    <x v="104"/>
    <x v="104"/>
    <s v="Consumer"/>
    <s v="United States"/>
    <s v="Pleasant Grove"/>
    <x v="7"/>
    <n v="84062"/>
    <x v="1"/>
    <x v="967"/>
    <x v="1"/>
    <x v="4"/>
    <x v="960"/>
    <n v="158.9"/>
    <s v="High"/>
    <n v="5"/>
    <n v="0"/>
    <x v="0"/>
    <x v="0"/>
    <n v="7.9450000000000003"/>
    <n v="0.05"/>
    <n v="0"/>
  </r>
  <r>
    <n v="1381"/>
    <s v="CA-2014-126361"/>
    <d v="2014-08-04T00:00:00"/>
    <x v="2"/>
    <s v="Q3"/>
    <x v="9"/>
    <d v="2014-08-09T00:00:00"/>
    <s v="Second Class"/>
    <x v="104"/>
    <x v="104"/>
    <s v="Consumer"/>
    <s v="United States"/>
    <s v="Pleasant Grove"/>
    <x v="7"/>
    <n v="84062"/>
    <x v="1"/>
    <x v="91"/>
    <x v="1"/>
    <x v="8"/>
    <x v="91"/>
    <n v="13.183999999999999"/>
    <s v="Low"/>
    <n v="1"/>
    <n v="0.2"/>
    <x v="2"/>
    <x v="2"/>
    <n v="4.7792000000000003"/>
    <n v="0.36250000000000004"/>
    <n v="0"/>
  </r>
  <r>
    <n v="1382"/>
    <s v="US-2016-100566"/>
    <d v="2016-09-03T00:00:00"/>
    <x v="0"/>
    <s v="Q3"/>
    <x v="21"/>
    <d v="2016-09-09T00:00:00"/>
    <s v="Standard Class"/>
    <x v="451"/>
    <x v="451"/>
    <s v="Home Office"/>
    <s v="United States"/>
    <s v="Aurora"/>
    <x v="10"/>
    <n v="60505"/>
    <x v="2"/>
    <x v="583"/>
    <x v="0"/>
    <x v="5"/>
    <x v="583"/>
    <n v="83.951999999999998"/>
    <s v="Medium"/>
    <n v="3"/>
    <n v="0.6"/>
    <x v="1"/>
    <x v="6"/>
    <n v="-90.248400000000004"/>
    <n v="-1.0750000000000002"/>
    <n v="1"/>
  </r>
  <r>
    <n v="1383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871"/>
    <x v="1"/>
    <x v="4"/>
    <x v="865"/>
    <n v="80.98"/>
    <s v="Medium"/>
    <n v="1"/>
    <n v="0"/>
    <x v="0"/>
    <x v="0"/>
    <n v="1.6195999999999999"/>
    <n v="1.9999999999999997E-2"/>
    <n v="0"/>
  </r>
  <r>
    <n v="1384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968"/>
    <x v="1"/>
    <x v="10"/>
    <x v="961"/>
    <n v="348.84"/>
    <s v="High"/>
    <n v="9"/>
    <n v="0"/>
    <x v="0"/>
    <x v="0"/>
    <n v="170.9316"/>
    <n v="0.49000000000000005"/>
    <n v="0"/>
  </r>
  <r>
    <n v="1385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969"/>
    <x v="1"/>
    <x v="13"/>
    <x v="962"/>
    <n v="9.4499999999999993"/>
    <s v="Low"/>
    <n v="5"/>
    <n v="0"/>
    <x v="0"/>
    <x v="0"/>
    <n v="0.189"/>
    <n v="0.02"/>
    <n v="0"/>
  </r>
  <r>
    <n v="1386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267"/>
    <x v="0"/>
    <x v="5"/>
    <x v="963"/>
    <n v="18.84"/>
    <s v="Low"/>
    <n v="3"/>
    <n v="0"/>
    <x v="0"/>
    <x v="0"/>
    <n v="7.1592000000000002"/>
    <n v="0.38"/>
    <n v="0"/>
  </r>
  <r>
    <n v="1387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574"/>
    <x v="0"/>
    <x v="0"/>
    <x v="574"/>
    <n v="239.98"/>
    <s v="High"/>
    <n v="2"/>
    <n v="0"/>
    <x v="0"/>
    <x v="0"/>
    <n v="52.7956"/>
    <n v="0.22"/>
    <n v="0"/>
  </r>
  <r>
    <n v="1388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970"/>
    <x v="1"/>
    <x v="12"/>
    <x v="964"/>
    <n v="167.96"/>
    <s v="High"/>
    <n v="2"/>
    <n v="0"/>
    <x v="0"/>
    <x v="0"/>
    <n v="78.941199999999995"/>
    <n v="0.47"/>
    <n v="0"/>
  </r>
  <r>
    <n v="1389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139"/>
    <x v="2"/>
    <x v="7"/>
    <x v="140"/>
    <n v="104.85"/>
    <s v="Medium"/>
    <n v="3"/>
    <n v="0"/>
    <x v="0"/>
    <x v="0"/>
    <n v="28.3095"/>
    <n v="0.27"/>
    <n v="0"/>
  </r>
  <r>
    <n v="1390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297"/>
    <x v="2"/>
    <x v="7"/>
    <x v="297"/>
    <n v="484.83"/>
    <s v="High"/>
    <n v="3"/>
    <n v="0"/>
    <x v="0"/>
    <x v="0"/>
    <n v="126.0558"/>
    <n v="0.26"/>
    <n v="0"/>
  </r>
  <r>
    <n v="1391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447"/>
    <x v="1"/>
    <x v="10"/>
    <x v="447"/>
    <n v="122.97"/>
    <s v="High"/>
    <n v="3"/>
    <n v="0"/>
    <x v="0"/>
    <x v="0"/>
    <n v="60.255299999999998"/>
    <n v="0.49"/>
    <n v="0"/>
  </r>
  <r>
    <n v="1392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232"/>
    <x v="1"/>
    <x v="4"/>
    <x v="233"/>
    <n v="154.44"/>
    <s v="High"/>
    <n v="3"/>
    <n v="0"/>
    <x v="0"/>
    <x v="0"/>
    <n v="1.5444"/>
    <n v="0.01"/>
    <n v="0"/>
  </r>
  <r>
    <n v="1393"/>
    <s v="US-2016-108504"/>
    <d v="2016-02-05T00:00:00"/>
    <x v="0"/>
    <s v="Q1"/>
    <x v="47"/>
    <d v="2016-02-05T00:00:00"/>
    <s v="Same Day"/>
    <x v="452"/>
    <x v="452"/>
    <s v="Home Office"/>
    <s v="United States"/>
    <s v="Smyrna"/>
    <x v="32"/>
    <n v="30080"/>
    <x v="0"/>
    <x v="62"/>
    <x v="1"/>
    <x v="10"/>
    <x v="62"/>
    <n v="342.37"/>
    <s v="High"/>
    <n v="7"/>
    <n v="0"/>
    <x v="0"/>
    <x v="0"/>
    <n v="160.91390000000001"/>
    <n v="0.47000000000000003"/>
    <n v="0"/>
  </r>
  <r>
    <n v="1394"/>
    <s v="CA-2017-124828"/>
    <d v="2017-07-03T00:00:00"/>
    <x v="3"/>
    <s v="Q3"/>
    <x v="10"/>
    <d v="2017-07-04T00:00:00"/>
    <s v="First Class"/>
    <x v="453"/>
    <x v="453"/>
    <s v="Corporate"/>
    <s v="United States"/>
    <s v="Burlington"/>
    <x v="3"/>
    <n v="27217"/>
    <x v="0"/>
    <x v="181"/>
    <x v="1"/>
    <x v="6"/>
    <x v="182"/>
    <n v="9.5519999999999996"/>
    <s v="Low"/>
    <n v="3"/>
    <n v="0.2"/>
    <x v="2"/>
    <x v="2"/>
    <n v="1.5522"/>
    <n v="0.16250000000000001"/>
    <n v="0"/>
  </r>
  <r>
    <n v="1395"/>
    <s v="US-2017-117247"/>
    <d v="2017-10-09T00:00:00"/>
    <x v="3"/>
    <s v="Q4"/>
    <x v="13"/>
    <d v="2017-10-14T00:00:00"/>
    <s v="Standard Class"/>
    <x v="316"/>
    <x v="316"/>
    <s v="Corporate"/>
    <s v="United States"/>
    <s v="Aurora"/>
    <x v="10"/>
    <n v="60505"/>
    <x v="2"/>
    <x v="971"/>
    <x v="0"/>
    <x v="3"/>
    <x v="965"/>
    <n v="652.45000000000005"/>
    <s v="High"/>
    <n v="5"/>
    <n v="0.5"/>
    <x v="1"/>
    <x v="1"/>
    <n v="-430.61700000000002"/>
    <n v="-0.66"/>
    <n v="1"/>
  </r>
  <r>
    <n v="1396"/>
    <s v="US-2017-117247"/>
    <d v="2017-10-09T00:00:00"/>
    <x v="3"/>
    <s v="Q4"/>
    <x v="13"/>
    <d v="2017-10-14T00:00:00"/>
    <s v="Standard Class"/>
    <x v="316"/>
    <x v="316"/>
    <s v="Corporate"/>
    <s v="United States"/>
    <s v="Aurora"/>
    <x v="10"/>
    <n v="60505"/>
    <x v="2"/>
    <x v="972"/>
    <x v="0"/>
    <x v="3"/>
    <x v="966"/>
    <n v="66.644999999999996"/>
    <s v="Medium"/>
    <n v="3"/>
    <n v="0.5"/>
    <x v="1"/>
    <x v="1"/>
    <n v="-42.652799999999999"/>
    <n v="-0.64"/>
    <n v="1"/>
  </r>
  <r>
    <n v="1397"/>
    <s v="CA-2016-124485"/>
    <d v="2016-11-24T00:00:00"/>
    <x v="0"/>
    <s v="Q4"/>
    <x v="0"/>
    <d v="2016-11-26T00:00:00"/>
    <s v="First Class"/>
    <x v="396"/>
    <x v="396"/>
    <s v="Consumer"/>
    <s v="United States"/>
    <s v="New York City"/>
    <x v="15"/>
    <n v="10035"/>
    <x v="3"/>
    <x v="973"/>
    <x v="1"/>
    <x v="8"/>
    <x v="967"/>
    <n v="17.216000000000001"/>
    <s v="Low"/>
    <n v="4"/>
    <n v="0.2"/>
    <x v="2"/>
    <x v="2"/>
    <n v="6.0255999999999998"/>
    <n v="0.35"/>
    <n v="0"/>
  </r>
  <r>
    <n v="1398"/>
    <s v="CA-2016-124485"/>
    <d v="2016-11-24T00:00:00"/>
    <x v="0"/>
    <s v="Q4"/>
    <x v="0"/>
    <d v="2016-11-26T00:00:00"/>
    <s v="First Class"/>
    <x v="396"/>
    <x v="396"/>
    <s v="Consumer"/>
    <s v="United States"/>
    <s v="New York City"/>
    <x v="15"/>
    <n v="10035"/>
    <x v="3"/>
    <x v="609"/>
    <x v="1"/>
    <x v="10"/>
    <x v="609"/>
    <n v="11.56"/>
    <s v="Low"/>
    <n v="2"/>
    <n v="0"/>
    <x v="0"/>
    <x v="0"/>
    <n v="5.6643999999999997"/>
    <n v="0.48999999999999994"/>
    <n v="0"/>
  </r>
  <r>
    <n v="1399"/>
    <s v="CA-2016-124485"/>
    <d v="2016-11-24T00:00:00"/>
    <x v="0"/>
    <s v="Q4"/>
    <x v="0"/>
    <d v="2016-11-26T00:00:00"/>
    <s v="First Class"/>
    <x v="396"/>
    <x v="396"/>
    <s v="Consumer"/>
    <s v="United States"/>
    <s v="New York City"/>
    <x v="15"/>
    <n v="10035"/>
    <x v="3"/>
    <x v="176"/>
    <x v="2"/>
    <x v="11"/>
    <x v="177"/>
    <n v="88.4"/>
    <s v="Medium"/>
    <n v="4"/>
    <n v="0"/>
    <x v="0"/>
    <x v="0"/>
    <n v="11.492000000000001"/>
    <n v="0.13"/>
    <n v="0"/>
  </r>
  <r>
    <n v="1400"/>
    <s v="CA-2016-124485"/>
    <d v="2016-11-24T00:00:00"/>
    <x v="0"/>
    <s v="Q4"/>
    <x v="0"/>
    <d v="2016-11-26T00:00:00"/>
    <s v="First Class"/>
    <x v="396"/>
    <x v="396"/>
    <s v="Consumer"/>
    <s v="United States"/>
    <s v="New York City"/>
    <x v="15"/>
    <n v="10035"/>
    <x v="3"/>
    <x v="974"/>
    <x v="1"/>
    <x v="10"/>
    <x v="968"/>
    <n v="6.48"/>
    <s v="Low"/>
    <n v="1"/>
    <n v="0"/>
    <x v="0"/>
    <x v="0"/>
    <n v="3.1103999999999998"/>
    <n v="0.47999999999999993"/>
    <n v="0"/>
  </r>
  <r>
    <n v="1401"/>
    <s v="CA-2016-159212"/>
    <d v="2016-11-01T00:00:00"/>
    <x v="0"/>
    <s v="Q4"/>
    <x v="0"/>
    <d v="2016-11-05T00:00:00"/>
    <s v="Standard Class"/>
    <x v="454"/>
    <x v="454"/>
    <s v="Home Office"/>
    <s v="United States"/>
    <s v="Salem"/>
    <x v="17"/>
    <n v="24153"/>
    <x v="0"/>
    <x v="47"/>
    <x v="2"/>
    <x v="7"/>
    <x v="47"/>
    <n v="21.8"/>
    <s v="Low"/>
    <n v="2"/>
    <n v="0"/>
    <x v="0"/>
    <x v="0"/>
    <n v="6.1040000000000001"/>
    <n v="0.27999999999999997"/>
    <n v="0"/>
  </r>
  <r>
    <n v="1402"/>
    <s v="CA-2016-159212"/>
    <d v="2016-11-01T00:00:00"/>
    <x v="0"/>
    <s v="Q4"/>
    <x v="0"/>
    <d v="2016-11-05T00:00:00"/>
    <s v="Standard Class"/>
    <x v="454"/>
    <x v="454"/>
    <s v="Home Office"/>
    <s v="United States"/>
    <s v="Salem"/>
    <x v="17"/>
    <n v="24153"/>
    <x v="0"/>
    <x v="556"/>
    <x v="1"/>
    <x v="12"/>
    <x v="555"/>
    <n v="251.79"/>
    <s v="High"/>
    <n v="3"/>
    <n v="0"/>
    <x v="0"/>
    <x v="0"/>
    <n v="118.3413"/>
    <n v="0.47000000000000003"/>
    <n v="0"/>
  </r>
  <r>
    <n v="1403"/>
    <s v="US-2016-161396"/>
    <d v="2016-04-19T00:00:00"/>
    <x v="0"/>
    <s v="Q2"/>
    <x v="25"/>
    <d v="2016-04-25T00:00:00"/>
    <s v="Standard Class"/>
    <x v="39"/>
    <x v="39"/>
    <s v="Home Office"/>
    <s v="United States"/>
    <s v="Columbus"/>
    <x v="24"/>
    <n v="43229"/>
    <x v="3"/>
    <x v="975"/>
    <x v="0"/>
    <x v="3"/>
    <x v="969"/>
    <n v="205.17599999999999"/>
    <s v="High"/>
    <n v="2"/>
    <n v="0.4"/>
    <x v="1"/>
    <x v="7"/>
    <n v="-58.133200000000002"/>
    <n v="-0.28333333333333338"/>
    <n v="1"/>
  </r>
  <r>
    <n v="1404"/>
    <s v="US-2016-161396"/>
    <d v="2016-04-19T00:00:00"/>
    <x v="0"/>
    <s v="Q2"/>
    <x v="25"/>
    <d v="2016-04-25T00:00:00"/>
    <s v="Standard Class"/>
    <x v="39"/>
    <x v="39"/>
    <s v="Home Office"/>
    <s v="United States"/>
    <s v="Columbus"/>
    <x v="24"/>
    <n v="43229"/>
    <x v="3"/>
    <x v="976"/>
    <x v="1"/>
    <x v="10"/>
    <x v="970"/>
    <n v="419.4"/>
    <s v="High"/>
    <n v="5"/>
    <n v="0.2"/>
    <x v="2"/>
    <x v="2"/>
    <n v="146.79"/>
    <n v="0.35"/>
    <n v="0"/>
  </r>
  <r>
    <n v="1405"/>
    <s v="US-2014-118486"/>
    <d v="2014-04-06T00:00:00"/>
    <x v="2"/>
    <s v="Q2"/>
    <x v="41"/>
    <d v="2014-04-08T00:00:00"/>
    <s v="First Class"/>
    <x v="174"/>
    <x v="174"/>
    <s v="Home Office"/>
    <s v="United States"/>
    <s v="Philadelphia"/>
    <x v="9"/>
    <n v="19143"/>
    <x v="3"/>
    <x v="505"/>
    <x v="1"/>
    <x v="14"/>
    <x v="505"/>
    <n v="10.304"/>
    <s v="Low"/>
    <n v="1"/>
    <n v="0.2"/>
    <x v="2"/>
    <x v="2"/>
    <n v="-2.1896"/>
    <n v="-0.21249999999999999"/>
    <n v="1"/>
  </r>
  <r>
    <n v="1406"/>
    <s v="US-2014-118486"/>
    <d v="2014-04-06T00:00:00"/>
    <x v="2"/>
    <s v="Q2"/>
    <x v="41"/>
    <d v="2014-04-08T00:00:00"/>
    <s v="First Class"/>
    <x v="174"/>
    <x v="174"/>
    <s v="Home Office"/>
    <s v="United States"/>
    <s v="Philadelphia"/>
    <x v="9"/>
    <n v="19143"/>
    <x v="3"/>
    <x v="977"/>
    <x v="0"/>
    <x v="3"/>
    <x v="832"/>
    <n v="154.76400000000001"/>
    <s v="High"/>
    <n v="3"/>
    <n v="0.4"/>
    <x v="1"/>
    <x v="7"/>
    <n v="-36.111600000000003"/>
    <n v="-0.23333333333333334"/>
    <n v="1"/>
  </r>
  <r>
    <n v="1407"/>
    <s v="US-2014-118486"/>
    <d v="2014-04-06T00:00:00"/>
    <x v="2"/>
    <s v="Q2"/>
    <x v="41"/>
    <d v="2014-04-08T00:00:00"/>
    <s v="First Class"/>
    <x v="174"/>
    <x v="174"/>
    <s v="Home Office"/>
    <s v="United States"/>
    <s v="Philadelphia"/>
    <x v="9"/>
    <n v="19143"/>
    <x v="3"/>
    <x v="171"/>
    <x v="2"/>
    <x v="11"/>
    <x v="172"/>
    <n v="116.78400000000001"/>
    <s v="Medium"/>
    <n v="2"/>
    <n v="0.2"/>
    <x v="2"/>
    <x v="2"/>
    <n v="21.896999999999998"/>
    <n v="0.18749999999999997"/>
    <n v="0"/>
  </r>
  <r>
    <n v="1408"/>
    <s v="CA-2016-130407"/>
    <d v="2016-09-02T00:00:00"/>
    <x v="0"/>
    <s v="Q3"/>
    <x v="21"/>
    <d v="2016-09-06T00:00:00"/>
    <s v="Standard Class"/>
    <x v="30"/>
    <x v="30"/>
    <s v="Consumer"/>
    <s v="United States"/>
    <s v="New York City"/>
    <x v="15"/>
    <n v="10024"/>
    <x v="3"/>
    <x v="978"/>
    <x v="1"/>
    <x v="6"/>
    <x v="971"/>
    <n v="75.48"/>
    <s v="Medium"/>
    <n v="2"/>
    <n v="0"/>
    <x v="0"/>
    <x v="0"/>
    <n v="19.6248"/>
    <n v="0.26"/>
    <n v="0"/>
  </r>
  <r>
    <n v="1409"/>
    <s v="CA-2016-130407"/>
    <d v="2016-09-02T00:00:00"/>
    <x v="0"/>
    <s v="Q3"/>
    <x v="21"/>
    <d v="2016-09-06T00:00:00"/>
    <s v="Standard Class"/>
    <x v="30"/>
    <x v="30"/>
    <s v="Consumer"/>
    <s v="United States"/>
    <s v="New York City"/>
    <x v="15"/>
    <n v="10024"/>
    <x v="3"/>
    <x v="296"/>
    <x v="0"/>
    <x v="5"/>
    <x v="296"/>
    <n v="39.979999999999997"/>
    <s v="Medium"/>
    <n v="2"/>
    <n v="0"/>
    <x v="0"/>
    <x v="0"/>
    <n v="9.9949999999999992"/>
    <n v="0.25"/>
    <n v="0"/>
  </r>
  <r>
    <n v="1410"/>
    <s v="US-2016-122245"/>
    <d v="2016-09-25T00:00:00"/>
    <x v="0"/>
    <s v="Q3"/>
    <x v="21"/>
    <d v="2016-09-30T00:00:00"/>
    <s v="Standard Class"/>
    <x v="455"/>
    <x v="455"/>
    <s v="Consumer"/>
    <s v="United States"/>
    <s v="Phoenix"/>
    <x v="16"/>
    <n v="85023"/>
    <x v="1"/>
    <x v="736"/>
    <x v="0"/>
    <x v="3"/>
    <x v="735"/>
    <n v="393.16500000000002"/>
    <s v="High"/>
    <n v="3"/>
    <n v="0.5"/>
    <x v="1"/>
    <x v="1"/>
    <n v="-204.44579999999999"/>
    <n v="-0.51999999999999991"/>
    <n v="1"/>
  </r>
  <r>
    <n v="1411"/>
    <s v="CA-2017-105144"/>
    <d v="2017-11-04T00:00:00"/>
    <x v="3"/>
    <s v="Q4"/>
    <x v="23"/>
    <d v="2017-11-11T00:00:00"/>
    <s v="Standard Class"/>
    <x v="449"/>
    <x v="449"/>
    <s v="Home Office"/>
    <s v="United States"/>
    <s v="Grand Prairie"/>
    <x v="5"/>
    <n v="75051"/>
    <x v="2"/>
    <x v="429"/>
    <x v="1"/>
    <x v="2"/>
    <x v="429"/>
    <n v="23.68"/>
    <s v="Low"/>
    <n v="2"/>
    <n v="0.2"/>
    <x v="2"/>
    <x v="2"/>
    <n v="8.8800000000000008"/>
    <n v="0.37500000000000006"/>
    <n v="0"/>
  </r>
  <r>
    <n v="1412"/>
    <s v="CA-2016-136329"/>
    <d v="2016-07-09T00:00:00"/>
    <x v="0"/>
    <s v="Q3"/>
    <x v="16"/>
    <d v="2016-07-13T00:00:00"/>
    <s v="Standard Class"/>
    <x v="63"/>
    <x v="63"/>
    <s v="Corporate"/>
    <s v="United States"/>
    <s v="New York City"/>
    <x v="15"/>
    <n v="10035"/>
    <x v="3"/>
    <x v="629"/>
    <x v="0"/>
    <x v="1"/>
    <x v="629"/>
    <n v="408.00599999999997"/>
    <s v="High"/>
    <n v="2"/>
    <n v="0.1"/>
    <x v="3"/>
    <x v="8"/>
    <n v="72.534400000000005"/>
    <n v="0.17777777777777781"/>
    <n v="0"/>
  </r>
  <r>
    <n v="1413"/>
    <s v="CA-2016-136329"/>
    <d v="2016-07-09T00:00:00"/>
    <x v="0"/>
    <s v="Q3"/>
    <x v="16"/>
    <d v="2016-07-13T00:00:00"/>
    <s v="Standard Class"/>
    <x v="63"/>
    <x v="63"/>
    <s v="Corporate"/>
    <s v="United States"/>
    <s v="New York City"/>
    <x v="15"/>
    <n v="10035"/>
    <x v="3"/>
    <x v="479"/>
    <x v="0"/>
    <x v="5"/>
    <x v="480"/>
    <n v="165.28"/>
    <s v="High"/>
    <n v="4"/>
    <n v="0"/>
    <x v="0"/>
    <x v="0"/>
    <n v="14.8752"/>
    <n v="0.09"/>
    <n v="0"/>
  </r>
  <r>
    <n v="1414"/>
    <s v="CA-2014-146640"/>
    <d v="2014-06-30T00:00:00"/>
    <x v="2"/>
    <s v="Q2"/>
    <x v="3"/>
    <d v="2014-07-05T00:00:00"/>
    <s v="Standard Class"/>
    <x v="456"/>
    <x v="456"/>
    <s v="Consumer"/>
    <s v="United States"/>
    <s v="New York City"/>
    <x v="15"/>
    <n v="10024"/>
    <x v="3"/>
    <x v="979"/>
    <x v="1"/>
    <x v="8"/>
    <x v="972"/>
    <n v="334.76799999999997"/>
    <s v="High"/>
    <n v="7"/>
    <n v="0.2"/>
    <x v="2"/>
    <x v="2"/>
    <n v="108.7996"/>
    <n v="0.32500000000000001"/>
    <n v="0"/>
  </r>
  <r>
    <n v="1415"/>
    <s v="CA-2017-115994"/>
    <d v="2017-01-28T00:00:00"/>
    <x v="3"/>
    <s v="Q1"/>
    <x v="44"/>
    <d v="2017-01-31T00:00:00"/>
    <s v="Second Class"/>
    <x v="457"/>
    <x v="457"/>
    <s v="Home Office"/>
    <s v="United States"/>
    <s v="Costa Mesa"/>
    <x v="1"/>
    <n v="92627"/>
    <x v="1"/>
    <x v="914"/>
    <x v="2"/>
    <x v="11"/>
    <x v="906"/>
    <n v="239.97"/>
    <s v="High"/>
    <n v="3"/>
    <n v="0"/>
    <x v="0"/>
    <x v="0"/>
    <n v="26.396699999999999"/>
    <n v="0.11"/>
    <n v="0"/>
  </r>
  <r>
    <n v="1416"/>
    <s v="CA-2017-115994"/>
    <d v="2017-01-28T00:00:00"/>
    <x v="3"/>
    <s v="Q1"/>
    <x v="44"/>
    <d v="2017-01-31T00:00:00"/>
    <s v="Second Class"/>
    <x v="457"/>
    <x v="457"/>
    <s v="Home Office"/>
    <s v="United States"/>
    <s v="Costa Mesa"/>
    <x v="1"/>
    <n v="92627"/>
    <x v="1"/>
    <x v="980"/>
    <x v="0"/>
    <x v="5"/>
    <x v="973"/>
    <n v="37.74"/>
    <s v="Medium"/>
    <n v="3"/>
    <n v="0"/>
    <x v="0"/>
    <x v="0"/>
    <n v="12.8316"/>
    <n v="0.33999999999999997"/>
    <n v="0"/>
  </r>
  <r>
    <n v="1417"/>
    <s v="CA-2015-126697"/>
    <d v="2015-09-21T00:00:00"/>
    <x v="1"/>
    <s v="Q3"/>
    <x v="11"/>
    <d v="2015-09-24T00:00:00"/>
    <s v="First Class"/>
    <x v="458"/>
    <x v="458"/>
    <s v="Corporate"/>
    <s v="United States"/>
    <s v="Houston"/>
    <x v="5"/>
    <n v="77041"/>
    <x v="2"/>
    <x v="981"/>
    <x v="2"/>
    <x v="7"/>
    <x v="974"/>
    <n v="946.34400000000005"/>
    <s v="High"/>
    <n v="7"/>
    <n v="0.2"/>
    <x v="2"/>
    <x v="2"/>
    <n v="118.29300000000001"/>
    <n v="0.125"/>
    <n v="0"/>
  </r>
  <r>
    <n v="1418"/>
    <s v="CA-2015-126697"/>
    <d v="2015-09-21T00:00:00"/>
    <x v="1"/>
    <s v="Q3"/>
    <x v="11"/>
    <d v="2015-09-24T00:00:00"/>
    <s v="First Class"/>
    <x v="458"/>
    <x v="458"/>
    <s v="Corporate"/>
    <s v="United States"/>
    <s v="Houston"/>
    <x v="5"/>
    <n v="77041"/>
    <x v="2"/>
    <x v="725"/>
    <x v="2"/>
    <x v="11"/>
    <x v="724"/>
    <n v="151.19999999999999"/>
    <s v="High"/>
    <n v="3"/>
    <n v="0.2"/>
    <x v="2"/>
    <x v="2"/>
    <n v="32.130000000000003"/>
    <n v="0.21250000000000002"/>
    <n v="0"/>
  </r>
  <r>
    <n v="1419"/>
    <s v="CA-2015-126697"/>
    <d v="2015-09-21T00:00:00"/>
    <x v="1"/>
    <s v="Q3"/>
    <x v="11"/>
    <d v="2015-09-24T00:00:00"/>
    <s v="First Class"/>
    <x v="458"/>
    <x v="458"/>
    <s v="Corporate"/>
    <s v="United States"/>
    <s v="Houston"/>
    <x v="5"/>
    <n v="77041"/>
    <x v="2"/>
    <x v="50"/>
    <x v="0"/>
    <x v="5"/>
    <x v="50"/>
    <n v="4.9279999999999999"/>
    <s v="Low"/>
    <n v="4"/>
    <n v="0.6"/>
    <x v="1"/>
    <x v="6"/>
    <n v="-1.4783999999999999"/>
    <n v="-0.3"/>
    <n v="1"/>
  </r>
  <r>
    <n v="1420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982"/>
    <x v="1"/>
    <x v="10"/>
    <x v="975"/>
    <n v="86.272000000000006"/>
    <s v="Medium"/>
    <n v="4"/>
    <n v="0.2"/>
    <x v="2"/>
    <x v="2"/>
    <n v="31.273599999999998"/>
    <n v="0.36249999999999993"/>
    <n v="0"/>
  </r>
  <r>
    <n v="1421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261"/>
    <x v="1"/>
    <x v="8"/>
    <x v="261"/>
    <n v="72.587999999999994"/>
    <s v="Medium"/>
    <n v="2"/>
    <n v="0.7"/>
    <x v="1"/>
    <x v="5"/>
    <n v="-48.392000000000003"/>
    <n v="-0.66666666666666674"/>
    <n v="1"/>
  </r>
  <r>
    <n v="1422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983"/>
    <x v="1"/>
    <x v="9"/>
    <x v="976"/>
    <n v="60.671999999999997"/>
    <s v="Medium"/>
    <n v="2"/>
    <n v="0.2"/>
    <x v="2"/>
    <x v="2"/>
    <n v="14.409599999999999"/>
    <n v="0.23749999999999999"/>
    <n v="0"/>
  </r>
  <r>
    <n v="1423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697"/>
    <x v="1"/>
    <x v="8"/>
    <x v="697"/>
    <n v="77.031000000000006"/>
    <s v="Medium"/>
    <n v="9"/>
    <n v="0.7"/>
    <x v="1"/>
    <x v="5"/>
    <n v="-59.057099999999998"/>
    <n v="-0.76666666666666661"/>
    <n v="1"/>
  </r>
  <r>
    <n v="1424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352"/>
    <x v="1"/>
    <x v="4"/>
    <x v="352"/>
    <n v="119.904"/>
    <s v="Medium"/>
    <n v="6"/>
    <n v="0.2"/>
    <x v="2"/>
    <x v="2"/>
    <n v="-1.4987999999999999"/>
    <n v="-1.2499999999999999E-2"/>
    <n v="1"/>
  </r>
  <r>
    <n v="1425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984"/>
    <x v="2"/>
    <x v="7"/>
    <x v="977"/>
    <n v="263.95999999999998"/>
    <s v="High"/>
    <n v="5"/>
    <n v="0.2"/>
    <x v="2"/>
    <x v="2"/>
    <n v="23.096499999999999"/>
    <n v="8.7500000000000008E-2"/>
    <n v="0"/>
  </r>
  <r>
    <n v="1426"/>
    <s v="CA-2015-124800"/>
    <d v="2015-09-26T00:00:00"/>
    <x v="1"/>
    <s v="Q3"/>
    <x v="11"/>
    <d v="2015-09-30T00:00:00"/>
    <s v="Standard Class"/>
    <x v="459"/>
    <x v="459"/>
    <s v="Corporate"/>
    <s v="United States"/>
    <s v="Mesa"/>
    <x v="16"/>
    <n v="85204"/>
    <x v="1"/>
    <x v="418"/>
    <x v="1"/>
    <x v="4"/>
    <x v="418"/>
    <n v="363.64800000000002"/>
    <s v="High"/>
    <n v="4"/>
    <n v="0.2"/>
    <x v="2"/>
    <x v="2"/>
    <n v="-86.366399999999999"/>
    <n v="-0.23749999999999999"/>
    <n v="1"/>
  </r>
  <r>
    <n v="1427"/>
    <s v="US-2015-164448"/>
    <d v="2015-10-31T00:00:00"/>
    <x v="1"/>
    <s v="Q4"/>
    <x v="2"/>
    <d v="2015-11-04T00:00:00"/>
    <s v="Second Class"/>
    <x v="460"/>
    <x v="460"/>
    <s v="Corporate"/>
    <s v="United States"/>
    <s v="Salinas"/>
    <x v="1"/>
    <n v="93905"/>
    <x v="1"/>
    <x v="525"/>
    <x v="1"/>
    <x v="8"/>
    <x v="525"/>
    <n v="9.7279999999999998"/>
    <s v="Low"/>
    <n v="2"/>
    <n v="0.2"/>
    <x v="2"/>
    <x v="2"/>
    <n v="3.2831999999999999"/>
    <n v="0.33750000000000002"/>
    <n v="0"/>
  </r>
  <r>
    <n v="1428"/>
    <s v="US-2015-164448"/>
    <d v="2015-10-31T00:00:00"/>
    <x v="1"/>
    <s v="Q4"/>
    <x v="2"/>
    <d v="2015-11-04T00:00:00"/>
    <s v="Second Class"/>
    <x v="460"/>
    <x v="460"/>
    <s v="Corporate"/>
    <s v="United States"/>
    <s v="Salinas"/>
    <x v="1"/>
    <n v="93905"/>
    <x v="1"/>
    <x v="111"/>
    <x v="1"/>
    <x v="12"/>
    <x v="111"/>
    <n v="14.75"/>
    <s v="Low"/>
    <n v="5"/>
    <n v="0"/>
    <x v="0"/>
    <x v="0"/>
    <n v="7.08"/>
    <n v="0.48"/>
    <n v="0"/>
  </r>
  <r>
    <n v="1429"/>
    <s v="US-2015-164448"/>
    <d v="2015-10-31T00:00:00"/>
    <x v="1"/>
    <s v="Q4"/>
    <x v="2"/>
    <d v="2015-11-04T00:00:00"/>
    <s v="Second Class"/>
    <x v="460"/>
    <x v="460"/>
    <s v="Corporate"/>
    <s v="United States"/>
    <s v="Salinas"/>
    <x v="1"/>
    <n v="93905"/>
    <x v="1"/>
    <x v="985"/>
    <x v="1"/>
    <x v="8"/>
    <x v="978"/>
    <n v="29.8"/>
    <s v="Medium"/>
    <n v="5"/>
    <n v="0.2"/>
    <x v="2"/>
    <x v="2"/>
    <n v="9.3125"/>
    <n v="0.3125"/>
    <n v="0"/>
  </r>
  <r>
    <n v="1430"/>
    <s v="US-2015-164448"/>
    <d v="2015-10-31T00:00:00"/>
    <x v="1"/>
    <s v="Q4"/>
    <x v="2"/>
    <d v="2015-11-04T00:00:00"/>
    <s v="Second Class"/>
    <x v="460"/>
    <x v="460"/>
    <s v="Corporate"/>
    <s v="United States"/>
    <s v="Salinas"/>
    <x v="1"/>
    <n v="93905"/>
    <x v="1"/>
    <x v="580"/>
    <x v="1"/>
    <x v="2"/>
    <x v="580"/>
    <n v="427.42"/>
    <s v="High"/>
    <n v="14"/>
    <n v="0"/>
    <x v="0"/>
    <x v="0"/>
    <n v="196.61320000000001"/>
    <n v="0.46"/>
    <n v="0"/>
  </r>
  <r>
    <n v="1431"/>
    <s v="CA-2017-122700"/>
    <d v="2017-11-26T00:00:00"/>
    <x v="3"/>
    <s v="Q4"/>
    <x v="23"/>
    <d v="2017-11-30T00:00:00"/>
    <s v="Standard Class"/>
    <x v="299"/>
    <x v="299"/>
    <s v="Consumer"/>
    <s v="United States"/>
    <s v="Columbus"/>
    <x v="24"/>
    <n v="43229"/>
    <x v="3"/>
    <x v="521"/>
    <x v="2"/>
    <x v="7"/>
    <x v="521"/>
    <n v="220.75200000000001"/>
    <s v="High"/>
    <n v="8"/>
    <n v="0.4"/>
    <x v="1"/>
    <x v="7"/>
    <n v="-40.471200000000003"/>
    <n v="-0.18333333333333335"/>
    <n v="1"/>
  </r>
  <r>
    <n v="1432"/>
    <s v="CA-2014-120768"/>
    <d v="2014-12-19T00:00:00"/>
    <x v="2"/>
    <s v="Q4"/>
    <x v="20"/>
    <d v="2014-12-21T00:00:00"/>
    <s v="Second Class"/>
    <x v="5"/>
    <x v="5"/>
    <s v="Consumer"/>
    <s v="United States"/>
    <s v="Florence"/>
    <x v="19"/>
    <n v="35630"/>
    <x v="0"/>
    <x v="986"/>
    <x v="1"/>
    <x v="8"/>
    <x v="979"/>
    <n v="152.76"/>
    <s v="High"/>
    <n v="6"/>
    <n v="0"/>
    <x v="0"/>
    <x v="0"/>
    <n v="74.852400000000003"/>
    <n v="0.49000000000000005"/>
    <n v="0"/>
  </r>
  <r>
    <n v="1433"/>
    <s v="CA-2014-120768"/>
    <d v="2014-12-19T00:00:00"/>
    <x v="2"/>
    <s v="Q4"/>
    <x v="20"/>
    <d v="2014-12-21T00:00:00"/>
    <s v="Second Class"/>
    <x v="5"/>
    <x v="5"/>
    <s v="Consumer"/>
    <s v="United States"/>
    <s v="Florence"/>
    <x v="19"/>
    <n v="35630"/>
    <x v="0"/>
    <x v="515"/>
    <x v="1"/>
    <x v="14"/>
    <x v="515"/>
    <n v="7.27"/>
    <s v="Low"/>
    <n v="1"/>
    <n v="0"/>
    <x v="0"/>
    <x v="0"/>
    <n v="1.9629000000000001"/>
    <n v="0.27"/>
    <n v="0"/>
  </r>
  <r>
    <n v="1434"/>
    <s v="CA-2014-120768"/>
    <d v="2014-12-19T00:00:00"/>
    <x v="2"/>
    <s v="Q4"/>
    <x v="20"/>
    <d v="2014-12-21T00:00:00"/>
    <s v="Second Class"/>
    <x v="5"/>
    <x v="5"/>
    <s v="Consumer"/>
    <s v="United States"/>
    <s v="Florence"/>
    <x v="19"/>
    <n v="35630"/>
    <x v="0"/>
    <x v="70"/>
    <x v="0"/>
    <x v="1"/>
    <x v="70"/>
    <n v="1819.86"/>
    <s v="High"/>
    <n v="14"/>
    <n v="0"/>
    <x v="0"/>
    <x v="0"/>
    <n v="163.78739999999999"/>
    <n v="0.09"/>
    <n v="0"/>
  </r>
  <r>
    <n v="1435"/>
    <s v="US-2016-153129"/>
    <d v="2016-12-26T00:00:00"/>
    <x v="0"/>
    <s v="Q4"/>
    <x v="5"/>
    <d v="2016-12-30T00:00:00"/>
    <s v="Standard Class"/>
    <x v="224"/>
    <x v="224"/>
    <s v="Consumer"/>
    <s v="United States"/>
    <s v="Seattle"/>
    <x v="4"/>
    <n v="98105"/>
    <x v="1"/>
    <x v="987"/>
    <x v="1"/>
    <x v="10"/>
    <x v="980"/>
    <n v="33.9"/>
    <s v="Medium"/>
    <n v="5"/>
    <n v="0"/>
    <x v="0"/>
    <x v="0"/>
    <n v="15.593999999999999"/>
    <n v="0.46"/>
    <n v="0"/>
  </r>
  <r>
    <n v="1436"/>
    <s v="CA-2017-106852"/>
    <d v="2017-06-20T00:00:00"/>
    <x v="3"/>
    <s v="Q2"/>
    <x v="27"/>
    <d v="2017-06-27T00:00:00"/>
    <s v="Standard Class"/>
    <x v="461"/>
    <x v="461"/>
    <s v="Consumer"/>
    <s v="United States"/>
    <s v="Parma"/>
    <x v="24"/>
    <n v="44134"/>
    <x v="3"/>
    <x v="988"/>
    <x v="1"/>
    <x v="10"/>
    <x v="981"/>
    <n v="31.103999999999999"/>
    <s v="Medium"/>
    <n v="6"/>
    <n v="0.2"/>
    <x v="2"/>
    <x v="2"/>
    <n v="10.8864"/>
    <n v="0.35000000000000003"/>
    <n v="0"/>
  </r>
  <r>
    <n v="1437"/>
    <s v="CA-2017-106852"/>
    <d v="2017-06-20T00:00:00"/>
    <x v="3"/>
    <s v="Q2"/>
    <x v="27"/>
    <d v="2017-06-27T00:00:00"/>
    <s v="Standard Class"/>
    <x v="461"/>
    <x v="461"/>
    <s v="Consumer"/>
    <s v="United States"/>
    <s v="Parma"/>
    <x v="24"/>
    <n v="44134"/>
    <x v="3"/>
    <x v="950"/>
    <x v="1"/>
    <x v="6"/>
    <x v="943"/>
    <n v="5.2480000000000002"/>
    <s v="Low"/>
    <n v="2"/>
    <n v="0.2"/>
    <x v="2"/>
    <x v="2"/>
    <n v="0.59040000000000004"/>
    <n v="0.1125"/>
    <n v="0"/>
  </r>
  <r>
    <n v="1438"/>
    <s v="CA-2015-139731"/>
    <d v="2015-10-15T00:00:00"/>
    <x v="1"/>
    <s v="Q4"/>
    <x v="2"/>
    <d v="2015-10-15T00:00:00"/>
    <s v="Same Day"/>
    <x v="32"/>
    <x v="32"/>
    <s v="Consumer"/>
    <s v="United States"/>
    <s v="Amarillo"/>
    <x v="5"/>
    <n v="79109"/>
    <x v="2"/>
    <x v="989"/>
    <x v="2"/>
    <x v="11"/>
    <x v="982"/>
    <n v="263.88"/>
    <s v="High"/>
    <n v="3"/>
    <n v="0.2"/>
    <x v="2"/>
    <x v="2"/>
    <n v="42.880499999999998"/>
    <n v="0.16250000000000001"/>
    <n v="0"/>
  </r>
  <r>
    <n v="1439"/>
    <s v="CA-2015-139731"/>
    <d v="2015-10-15T00:00:00"/>
    <x v="1"/>
    <s v="Q4"/>
    <x v="2"/>
    <d v="2015-10-15T00:00:00"/>
    <s v="Same Day"/>
    <x v="32"/>
    <x v="32"/>
    <s v="Consumer"/>
    <s v="United States"/>
    <s v="Amarillo"/>
    <x v="5"/>
    <n v="79109"/>
    <x v="2"/>
    <x v="483"/>
    <x v="0"/>
    <x v="1"/>
    <x v="483"/>
    <n v="2453.4299999999998"/>
    <s v="High"/>
    <n v="5"/>
    <n v="0.3"/>
    <x v="1"/>
    <x v="4"/>
    <n v="-350.49"/>
    <n v="-0.14285714285714288"/>
    <n v="1"/>
  </r>
  <r>
    <n v="1440"/>
    <s v="CA-2017-122735"/>
    <d v="2017-04-12T00:00:00"/>
    <x v="3"/>
    <s v="Q2"/>
    <x v="4"/>
    <d v="2017-04-15T00:00:00"/>
    <s v="Second Class"/>
    <x v="217"/>
    <x v="217"/>
    <s v="Consumer"/>
    <s v="United States"/>
    <s v="Providence"/>
    <x v="34"/>
    <n v="2908"/>
    <x v="3"/>
    <x v="990"/>
    <x v="1"/>
    <x v="8"/>
    <x v="305"/>
    <n v="29.7"/>
    <s v="Medium"/>
    <n v="5"/>
    <n v="0"/>
    <x v="0"/>
    <x v="0"/>
    <n v="13.365"/>
    <n v="0.45"/>
    <n v="0"/>
  </r>
  <r>
    <n v="1441"/>
    <s v="CA-2017-122735"/>
    <d v="2017-04-12T00:00:00"/>
    <x v="3"/>
    <s v="Q2"/>
    <x v="4"/>
    <d v="2017-04-15T00:00:00"/>
    <s v="Second Class"/>
    <x v="217"/>
    <x v="217"/>
    <s v="Consumer"/>
    <s v="United States"/>
    <s v="Providence"/>
    <x v="34"/>
    <n v="2908"/>
    <x v="3"/>
    <x v="991"/>
    <x v="1"/>
    <x v="10"/>
    <x v="983"/>
    <n v="39.96"/>
    <s v="Medium"/>
    <n v="4"/>
    <n v="0"/>
    <x v="0"/>
    <x v="0"/>
    <n v="17.981999999999999"/>
    <n v="0.44999999999999996"/>
    <n v="0"/>
  </r>
  <r>
    <n v="1442"/>
    <s v="CA-2017-128160"/>
    <d v="2017-12-19T00:00:00"/>
    <x v="3"/>
    <s v="Q4"/>
    <x v="22"/>
    <d v="2017-12-24T00:00:00"/>
    <s v="Second Class"/>
    <x v="462"/>
    <x v="462"/>
    <s v="Consumer"/>
    <s v="United States"/>
    <s v="San Francisco"/>
    <x v="1"/>
    <n v="94110"/>
    <x v="1"/>
    <x v="710"/>
    <x v="1"/>
    <x v="8"/>
    <x v="709"/>
    <n v="36.671999999999997"/>
    <s v="Medium"/>
    <n v="2"/>
    <n v="0.2"/>
    <x v="2"/>
    <x v="2"/>
    <n v="11.46"/>
    <n v="0.31250000000000006"/>
    <n v="0"/>
  </r>
  <r>
    <n v="1443"/>
    <s v="CA-2017-117695"/>
    <d v="2017-08-05T00:00:00"/>
    <x v="3"/>
    <s v="Q3"/>
    <x v="43"/>
    <d v="2017-08-08T00:00:00"/>
    <s v="First Class"/>
    <x v="463"/>
    <x v="463"/>
    <s v="Corporate"/>
    <s v="United States"/>
    <s v="Richmond"/>
    <x v="0"/>
    <n v="40475"/>
    <x v="0"/>
    <x v="320"/>
    <x v="1"/>
    <x v="10"/>
    <x v="320"/>
    <n v="13.76"/>
    <s v="Low"/>
    <n v="2"/>
    <n v="0"/>
    <x v="0"/>
    <x v="0"/>
    <n v="6.3296000000000001"/>
    <n v="0.46"/>
    <n v="0"/>
  </r>
  <r>
    <n v="1444"/>
    <s v="CA-2015-166135"/>
    <d v="2015-10-01T00:00:00"/>
    <x v="1"/>
    <s v="Q4"/>
    <x v="2"/>
    <d v="2015-10-06T00:00:00"/>
    <s v="Standard Class"/>
    <x v="464"/>
    <x v="464"/>
    <s v="Corporate"/>
    <s v="United States"/>
    <s v="Aurora"/>
    <x v="22"/>
    <n v="80013"/>
    <x v="1"/>
    <x v="123"/>
    <x v="1"/>
    <x v="4"/>
    <x v="123"/>
    <n v="139.42400000000001"/>
    <s v="High"/>
    <n v="4"/>
    <n v="0.2"/>
    <x v="2"/>
    <x v="2"/>
    <n v="17.428000000000001"/>
    <n v="0.125"/>
    <n v="0"/>
  </r>
  <r>
    <n v="1445"/>
    <s v="CA-2016-133725"/>
    <d v="2016-05-23T00:00:00"/>
    <x v="0"/>
    <s v="Q2"/>
    <x v="35"/>
    <d v="2016-05-28T00:00:00"/>
    <s v="Standard Class"/>
    <x v="107"/>
    <x v="107"/>
    <s v="Consumer"/>
    <s v="United States"/>
    <s v="Chicago"/>
    <x v="10"/>
    <n v="60623"/>
    <x v="2"/>
    <x v="903"/>
    <x v="2"/>
    <x v="7"/>
    <x v="895"/>
    <n v="1979.9280000000001"/>
    <s v="High"/>
    <n v="9"/>
    <n v="0.2"/>
    <x v="2"/>
    <x v="2"/>
    <n v="148.49459999999999"/>
    <n v="7.4999999999999997E-2"/>
    <n v="0"/>
  </r>
  <r>
    <n v="1446"/>
    <s v="CA-2017-102337"/>
    <d v="2017-06-13T00:00:00"/>
    <x v="3"/>
    <s v="Q2"/>
    <x v="27"/>
    <d v="2017-06-16T00:00:00"/>
    <s v="First Class"/>
    <x v="174"/>
    <x v="174"/>
    <s v="Home Office"/>
    <s v="United States"/>
    <s v="Chicago"/>
    <x v="10"/>
    <n v="60653"/>
    <x v="2"/>
    <x v="232"/>
    <x v="1"/>
    <x v="4"/>
    <x v="233"/>
    <n v="164.73599999999999"/>
    <s v="High"/>
    <n v="4"/>
    <n v="0.2"/>
    <x v="2"/>
    <x v="2"/>
    <n v="-39.1248"/>
    <n v="-0.23750000000000002"/>
    <n v="1"/>
  </r>
  <r>
    <n v="1447"/>
    <s v="CA-2017-102337"/>
    <d v="2017-06-13T00:00:00"/>
    <x v="3"/>
    <s v="Q2"/>
    <x v="27"/>
    <d v="2017-06-16T00:00:00"/>
    <s v="First Class"/>
    <x v="174"/>
    <x v="174"/>
    <s v="Home Office"/>
    <s v="United States"/>
    <s v="Chicago"/>
    <x v="10"/>
    <n v="60653"/>
    <x v="2"/>
    <x v="992"/>
    <x v="0"/>
    <x v="1"/>
    <x v="984"/>
    <n v="470.30200000000002"/>
    <s v="High"/>
    <n v="7"/>
    <n v="0.3"/>
    <x v="1"/>
    <x v="4"/>
    <n v="-87.341800000000006"/>
    <n v="-0.18571428571428572"/>
    <n v="1"/>
  </r>
  <r>
    <n v="1448"/>
    <s v="CA-2017-102337"/>
    <d v="2017-06-13T00:00:00"/>
    <x v="3"/>
    <s v="Q2"/>
    <x v="27"/>
    <d v="2017-06-16T00:00:00"/>
    <s v="First Class"/>
    <x v="174"/>
    <x v="174"/>
    <s v="Home Office"/>
    <s v="United States"/>
    <s v="Chicago"/>
    <x v="10"/>
    <n v="60653"/>
    <x v="2"/>
    <x v="993"/>
    <x v="2"/>
    <x v="7"/>
    <x v="985"/>
    <n v="47.984000000000002"/>
    <s v="Medium"/>
    <n v="2"/>
    <n v="0.2"/>
    <x v="2"/>
    <x v="2"/>
    <n v="5.9980000000000002"/>
    <n v="0.125"/>
    <n v="0"/>
  </r>
  <r>
    <n v="1449"/>
    <s v="US-2014-112564"/>
    <d v="2014-04-23T00:00:00"/>
    <x v="2"/>
    <s v="Q2"/>
    <x v="41"/>
    <d v="2014-04-24T00:00:00"/>
    <s v="First Class"/>
    <x v="378"/>
    <x v="378"/>
    <s v="Corporate"/>
    <s v="United States"/>
    <s v="Philadelphia"/>
    <x v="9"/>
    <n v="19134"/>
    <x v="3"/>
    <x v="994"/>
    <x v="1"/>
    <x v="8"/>
    <x v="986"/>
    <n v="2.5019999999999998"/>
    <s v="Low"/>
    <n v="3"/>
    <n v="0.7"/>
    <x v="1"/>
    <x v="5"/>
    <n v="-1.7514000000000001"/>
    <n v="-0.70000000000000007"/>
    <n v="1"/>
  </r>
  <r>
    <n v="1450"/>
    <s v="CA-2015-145821"/>
    <d v="2015-05-01T00:00:00"/>
    <x v="1"/>
    <s v="Q2"/>
    <x v="33"/>
    <d v="2015-05-07T00:00:00"/>
    <s v="Standard Class"/>
    <x v="80"/>
    <x v="80"/>
    <s v="Corporate"/>
    <s v="United States"/>
    <s v="Los Angeles"/>
    <x v="1"/>
    <n v="90008"/>
    <x v="1"/>
    <x v="995"/>
    <x v="2"/>
    <x v="7"/>
    <x v="987"/>
    <n v="88.751999999999995"/>
    <s v="Medium"/>
    <n v="3"/>
    <n v="0.2"/>
    <x v="2"/>
    <x v="2"/>
    <n v="11.093999999999999"/>
    <n v="0.125"/>
    <n v="0"/>
  </r>
  <r>
    <n v="1451"/>
    <s v="US-2015-160150"/>
    <d v="2015-07-19T00:00:00"/>
    <x v="1"/>
    <s v="Q3"/>
    <x v="38"/>
    <d v="2015-07-20T00:00:00"/>
    <s v="First Class"/>
    <x v="465"/>
    <x v="465"/>
    <s v="Consumer"/>
    <s v="United States"/>
    <s v="Phoenix"/>
    <x v="16"/>
    <n v="85023"/>
    <x v="1"/>
    <x v="996"/>
    <x v="1"/>
    <x v="8"/>
    <x v="988"/>
    <n v="2.0249999999999999"/>
    <s v="Low"/>
    <n v="1"/>
    <n v="0.7"/>
    <x v="1"/>
    <x v="5"/>
    <n v="-1.35"/>
    <n v="-0.66666666666666674"/>
    <n v="1"/>
  </r>
  <r>
    <n v="1452"/>
    <s v="CA-2016-133711"/>
    <d v="2016-11-26T00:00:00"/>
    <x v="0"/>
    <s v="Q4"/>
    <x v="0"/>
    <d v="2016-11-29T00:00:00"/>
    <s v="First Class"/>
    <x v="466"/>
    <x v="466"/>
    <s v="Corporate"/>
    <s v="United States"/>
    <s v="Mobile"/>
    <x v="19"/>
    <n v="36608"/>
    <x v="0"/>
    <x v="885"/>
    <x v="1"/>
    <x v="10"/>
    <x v="33"/>
    <n v="70.98"/>
    <s v="Medium"/>
    <n v="7"/>
    <n v="0"/>
    <x v="0"/>
    <x v="0"/>
    <n v="34.780200000000001"/>
    <n v="0.49"/>
    <n v="0"/>
  </r>
  <r>
    <n v="1453"/>
    <s v="CA-2016-133711"/>
    <d v="2016-11-26T00:00:00"/>
    <x v="0"/>
    <s v="Q4"/>
    <x v="0"/>
    <d v="2016-11-29T00:00:00"/>
    <s v="First Class"/>
    <x v="466"/>
    <x v="466"/>
    <s v="Corporate"/>
    <s v="United States"/>
    <s v="Mobile"/>
    <x v="19"/>
    <n v="36608"/>
    <x v="0"/>
    <x v="997"/>
    <x v="1"/>
    <x v="8"/>
    <x v="989"/>
    <n v="91.68"/>
    <s v="Medium"/>
    <n v="3"/>
    <n v="0"/>
    <x v="0"/>
    <x v="0"/>
    <n v="45.84"/>
    <n v="0.5"/>
    <n v="0"/>
  </r>
  <r>
    <n v="1454"/>
    <s v="CA-2016-133711"/>
    <d v="2016-11-26T00:00:00"/>
    <x v="0"/>
    <s v="Q4"/>
    <x v="0"/>
    <d v="2016-11-29T00:00:00"/>
    <s v="First Class"/>
    <x v="466"/>
    <x v="466"/>
    <s v="Corporate"/>
    <s v="United States"/>
    <s v="Mobile"/>
    <x v="19"/>
    <n v="36608"/>
    <x v="0"/>
    <x v="996"/>
    <x v="1"/>
    <x v="8"/>
    <x v="988"/>
    <n v="33.75"/>
    <s v="Medium"/>
    <n v="5"/>
    <n v="0"/>
    <x v="0"/>
    <x v="0"/>
    <n v="16.875"/>
    <n v="0.5"/>
    <n v="0"/>
  </r>
  <r>
    <n v="1455"/>
    <s v="CA-2016-133711"/>
    <d v="2016-11-26T00:00:00"/>
    <x v="0"/>
    <s v="Q4"/>
    <x v="0"/>
    <d v="2016-11-29T00:00:00"/>
    <s v="First Class"/>
    <x v="466"/>
    <x v="466"/>
    <s v="Corporate"/>
    <s v="United States"/>
    <s v="Mobile"/>
    <x v="19"/>
    <n v="36608"/>
    <x v="0"/>
    <x v="998"/>
    <x v="2"/>
    <x v="15"/>
    <x v="990"/>
    <n v="3040"/>
    <s v="High"/>
    <n v="8"/>
    <n v="0"/>
    <x v="0"/>
    <x v="0"/>
    <n v="1459.2"/>
    <n v="0.48000000000000004"/>
    <n v="0"/>
  </r>
  <r>
    <n v="1456"/>
    <s v="CA-2017-148474"/>
    <d v="2017-06-12T00:00:00"/>
    <x v="3"/>
    <s v="Q2"/>
    <x v="27"/>
    <d v="2017-06-19T00:00:00"/>
    <s v="Standard Class"/>
    <x v="467"/>
    <x v="467"/>
    <s v="Home Office"/>
    <s v="United States"/>
    <s v="Columbus"/>
    <x v="32"/>
    <n v="31907"/>
    <x v="0"/>
    <x v="999"/>
    <x v="1"/>
    <x v="8"/>
    <x v="991"/>
    <n v="91.2"/>
    <s v="Medium"/>
    <n v="3"/>
    <n v="0"/>
    <x v="0"/>
    <x v="0"/>
    <n v="41.951999999999998"/>
    <n v="0.45999999999999996"/>
    <n v="0"/>
  </r>
  <r>
    <n v="1457"/>
    <s v="CA-2017-148474"/>
    <d v="2017-06-12T00:00:00"/>
    <x v="3"/>
    <s v="Q2"/>
    <x v="27"/>
    <d v="2017-06-19T00:00:00"/>
    <s v="Standard Class"/>
    <x v="467"/>
    <x v="467"/>
    <s v="Home Office"/>
    <s v="United States"/>
    <s v="Columbus"/>
    <x v="32"/>
    <n v="31907"/>
    <x v="0"/>
    <x v="1000"/>
    <x v="0"/>
    <x v="3"/>
    <x v="992"/>
    <n v="452.94"/>
    <s v="High"/>
    <n v="3"/>
    <n v="0"/>
    <x v="0"/>
    <x v="0"/>
    <n v="67.941000000000003"/>
    <n v="0.15"/>
    <n v="0"/>
  </r>
  <r>
    <n v="1458"/>
    <s v="CA-2015-111297"/>
    <d v="2015-08-17T00:00:00"/>
    <x v="1"/>
    <s v="Q3"/>
    <x v="37"/>
    <d v="2015-08-21T00:00:00"/>
    <s v="Standard Class"/>
    <x v="464"/>
    <x v="464"/>
    <s v="Corporate"/>
    <s v="United States"/>
    <s v="New Bedford"/>
    <x v="31"/>
    <n v="2740"/>
    <x v="3"/>
    <x v="326"/>
    <x v="1"/>
    <x v="8"/>
    <x v="326"/>
    <n v="52.2"/>
    <s v="Medium"/>
    <n v="9"/>
    <n v="0"/>
    <x v="0"/>
    <x v="0"/>
    <n v="23.49"/>
    <n v="0.44999999999999996"/>
    <n v="0"/>
  </r>
  <r>
    <n v="1459"/>
    <s v="CA-2016-123722"/>
    <d v="2016-09-25T00:00:00"/>
    <x v="0"/>
    <s v="Q3"/>
    <x v="21"/>
    <d v="2016-10-01T00:00:00"/>
    <s v="Standard Class"/>
    <x v="468"/>
    <x v="468"/>
    <s v="Corporate"/>
    <s v="United States"/>
    <s v="Irving"/>
    <x v="5"/>
    <n v="75061"/>
    <x v="2"/>
    <x v="639"/>
    <x v="1"/>
    <x v="2"/>
    <x v="639"/>
    <n v="15.936"/>
    <s v="Low"/>
    <n v="4"/>
    <n v="0.2"/>
    <x v="2"/>
    <x v="2"/>
    <n v="5.1791999999999998"/>
    <n v="0.32500000000000001"/>
    <n v="0"/>
  </r>
  <r>
    <n v="1460"/>
    <s v="CA-2014-155271"/>
    <d v="2014-05-04T00:00:00"/>
    <x v="2"/>
    <s v="Q2"/>
    <x v="8"/>
    <d v="2014-05-04T00:00:00"/>
    <s v="Same Day"/>
    <x v="4"/>
    <x v="4"/>
    <s v="Consumer"/>
    <s v="United States"/>
    <s v="Middletown"/>
    <x v="29"/>
    <n v="6457"/>
    <x v="3"/>
    <x v="1001"/>
    <x v="0"/>
    <x v="5"/>
    <x v="993"/>
    <n v="27.46"/>
    <s v="Medium"/>
    <n v="2"/>
    <n v="0"/>
    <x v="0"/>
    <x v="0"/>
    <n v="9.8856000000000002"/>
    <n v="0.36"/>
    <n v="0"/>
  </r>
  <r>
    <n v="1461"/>
    <s v="CA-2015-119907"/>
    <d v="2015-12-01T00:00:00"/>
    <x v="1"/>
    <s v="Q4"/>
    <x v="14"/>
    <d v="2015-12-08T00:00:00"/>
    <s v="Standard Class"/>
    <x v="95"/>
    <x v="95"/>
    <s v="Consumer"/>
    <s v="United States"/>
    <s v="Seattle"/>
    <x v="4"/>
    <n v="98103"/>
    <x v="1"/>
    <x v="1002"/>
    <x v="1"/>
    <x v="8"/>
    <x v="994"/>
    <n v="55.423999999999999"/>
    <s v="Medium"/>
    <n v="2"/>
    <n v="0.2"/>
    <x v="2"/>
    <x v="2"/>
    <n v="19.398399999999999"/>
    <n v="0.35"/>
    <n v="0"/>
  </r>
  <r>
    <n v="1462"/>
    <s v="US-2016-128902"/>
    <d v="2016-03-11T00:00:00"/>
    <x v="0"/>
    <s v="Q1"/>
    <x v="17"/>
    <d v="2016-03-15T00:00:00"/>
    <s v="Standard Class"/>
    <x v="469"/>
    <x v="469"/>
    <s v="Consumer"/>
    <s v="United States"/>
    <s v="Vineland"/>
    <x v="30"/>
    <n v="8360"/>
    <x v="3"/>
    <x v="616"/>
    <x v="0"/>
    <x v="3"/>
    <x v="616"/>
    <n v="244.006"/>
    <s v="High"/>
    <n v="2"/>
    <n v="0.3"/>
    <x v="1"/>
    <x v="4"/>
    <n v="-31.372199999999999"/>
    <n v="-0.12857142857142856"/>
    <n v="1"/>
  </r>
  <r>
    <n v="1463"/>
    <s v="CA-2016-152289"/>
    <d v="2016-08-26T00:00:00"/>
    <x v="0"/>
    <s v="Q3"/>
    <x v="28"/>
    <d v="2016-08-28T00:00:00"/>
    <s v="First Class"/>
    <x v="18"/>
    <x v="18"/>
    <s v="Corporate"/>
    <s v="United States"/>
    <s v="Pasadena"/>
    <x v="5"/>
    <n v="77506"/>
    <x v="2"/>
    <x v="409"/>
    <x v="2"/>
    <x v="11"/>
    <x v="409"/>
    <n v="159.98400000000001"/>
    <s v="High"/>
    <n v="2"/>
    <n v="0.2"/>
    <x v="2"/>
    <x v="2"/>
    <n v="43.995600000000003"/>
    <n v="0.27500000000000002"/>
    <n v="0"/>
  </r>
  <r>
    <n v="1464"/>
    <s v="CA-2016-152289"/>
    <d v="2016-08-26T00:00:00"/>
    <x v="0"/>
    <s v="Q3"/>
    <x v="28"/>
    <d v="2016-08-28T00:00:00"/>
    <s v="First Class"/>
    <x v="18"/>
    <x v="18"/>
    <s v="Corporate"/>
    <s v="United States"/>
    <s v="Pasadena"/>
    <x v="5"/>
    <n v="77506"/>
    <x v="2"/>
    <x v="856"/>
    <x v="0"/>
    <x v="1"/>
    <x v="849"/>
    <n v="1024.7159999999999"/>
    <s v="High"/>
    <n v="6"/>
    <n v="0.3"/>
    <x v="1"/>
    <x v="4"/>
    <n v="-29.2776"/>
    <n v="-2.8571428571428574E-2"/>
    <n v="1"/>
  </r>
  <r>
    <n v="1465"/>
    <s v="US-2016-104794"/>
    <d v="2016-12-16T00:00:00"/>
    <x v="0"/>
    <s v="Q4"/>
    <x v="5"/>
    <d v="2016-12-19T00:00:00"/>
    <s v="First Class"/>
    <x v="470"/>
    <x v="470"/>
    <s v="Corporate"/>
    <s v="United States"/>
    <s v="New York City"/>
    <x v="15"/>
    <n v="10009"/>
    <x v="3"/>
    <x v="801"/>
    <x v="1"/>
    <x v="13"/>
    <x v="799"/>
    <n v="3.68"/>
    <s v="Low"/>
    <n v="2"/>
    <n v="0"/>
    <x v="0"/>
    <x v="0"/>
    <n v="1.8031999999999999"/>
    <n v="0.48999999999999994"/>
    <n v="0"/>
  </r>
  <r>
    <n v="1466"/>
    <s v="CA-2014-151708"/>
    <d v="2014-08-08T00:00:00"/>
    <x v="2"/>
    <s v="Q3"/>
    <x v="9"/>
    <d v="2014-08-14T00:00:00"/>
    <s v="Standard Class"/>
    <x v="93"/>
    <x v="93"/>
    <s v="Consumer"/>
    <s v="United States"/>
    <s v="Glendale"/>
    <x v="16"/>
    <n v="85301"/>
    <x v="1"/>
    <x v="767"/>
    <x v="0"/>
    <x v="5"/>
    <x v="766"/>
    <n v="121.376"/>
    <s v="Medium"/>
    <n v="4"/>
    <n v="0.2"/>
    <x v="2"/>
    <x v="2"/>
    <n v="-3.0344000000000002"/>
    <n v="-2.5000000000000001E-2"/>
    <n v="1"/>
  </r>
  <r>
    <n v="1467"/>
    <s v="CA-2014-151708"/>
    <d v="2014-08-08T00:00:00"/>
    <x v="2"/>
    <s v="Q3"/>
    <x v="9"/>
    <d v="2014-08-14T00:00:00"/>
    <s v="Standard Class"/>
    <x v="93"/>
    <x v="93"/>
    <s v="Consumer"/>
    <s v="United States"/>
    <s v="Glendale"/>
    <x v="16"/>
    <n v="85301"/>
    <x v="1"/>
    <x v="97"/>
    <x v="2"/>
    <x v="11"/>
    <x v="97"/>
    <n v="95.975999999999999"/>
    <s v="Medium"/>
    <n v="3"/>
    <n v="0.2"/>
    <x v="2"/>
    <x v="2"/>
    <n v="-10.7973"/>
    <n v="-0.1125"/>
    <n v="1"/>
  </r>
  <r>
    <n v="1468"/>
    <s v="CA-2015-100769"/>
    <d v="2015-05-16T00:00:00"/>
    <x v="1"/>
    <s v="Q2"/>
    <x v="33"/>
    <d v="2015-05-16T00:00:00"/>
    <s v="Same Day"/>
    <x v="274"/>
    <x v="274"/>
    <s v="Home Office"/>
    <s v="United States"/>
    <s v="Jacksonville"/>
    <x v="2"/>
    <n v="32216"/>
    <x v="0"/>
    <x v="657"/>
    <x v="2"/>
    <x v="11"/>
    <x v="657"/>
    <n v="255.96799999999999"/>
    <s v="High"/>
    <n v="4"/>
    <n v="0.2"/>
    <x v="2"/>
    <x v="2"/>
    <n v="31.995999999999999"/>
    <n v="0.125"/>
    <n v="0"/>
  </r>
  <r>
    <n v="1469"/>
    <s v="CA-2017-139199"/>
    <d v="2017-12-09T00:00:00"/>
    <x v="3"/>
    <s v="Q4"/>
    <x v="22"/>
    <d v="2017-12-13T00:00:00"/>
    <s v="Standard Class"/>
    <x v="460"/>
    <x v="460"/>
    <s v="Corporate"/>
    <s v="United States"/>
    <s v="Detroit"/>
    <x v="12"/>
    <n v="48234"/>
    <x v="2"/>
    <x v="1003"/>
    <x v="0"/>
    <x v="1"/>
    <x v="995"/>
    <n v="872.94"/>
    <s v="High"/>
    <n v="3"/>
    <n v="0"/>
    <x v="0"/>
    <x v="0"/>
    <n v="226.96440000000001"/>
    <n v="0.26"/>
    <n v="0"/>
  </r>
  <r>
    <n v="1470"/>
    <s v="CA-2017-139199"/>
    <d v="2017-12-09T00:00:00"/>
    <x v="3"/>
    <s v="Q4"/>
    <x v="22"/>
    <d v="2017-12-13T00:00:00"/>
    <s v="Standard Class"/>
    <x v="460"/>
    <x v="460"/>
    <s v="Corporate"/>
    <s v="United States"/>
    <s v="Detroit"/>
    <x v="12"/>
    <n v="48234"/>
    <x v="2"/>
    <x v="350"/>
    <x v="1"/>
    <x v="8"/>
    <x v="350"/>
    <n v="41.54"/>
    <s v="Medium"/>
    <n v="2"/>
    <n v="0"/>
    <x v="0"/>
    <x v="0"/>
    <n v="19.523800000000001"/>
    <n v="0.47000000000000003"/>
    <n v="0"/>
  </r>
  <r>
    <n v="1471"/>
    <s v="CA-2017-139199"/>
    <d v="2017-12-09T00:00:00"/>
    <x v="3"/>
    <s v="Q4"/>
    <x v="22"/>
    <d v="2017-12-13T00:00:00"/>
    <s v="Standard Class"/>
    <x v="460"/>
    <x v="460"/>
    <s v="Corporate"/>
    <s v="United States"/>
    <s v="Detroit"/>
    <x v="12"/>
    <n v="48234"/>
    <x v="2"/>
    <x v="1004"/>
    <x v="1"/>
    <x v="10"/>
    <x v="996"/>
    <n v="12.96"/>
    <s v="Low"/>
    <n v="2"/>
    <n v="0"/>
    <x v="0"/>
    <x v="0"/>
    <n v="6.2207999999999997"/>
    <n v="0.47999999999999993"/>
    <n v="0"/>
  </r>
  <r>
    <n v="1472"/>
    <s v="US-2015-161466"/>
    <d v="2015-09-24T00:00:00"/>
    <x v="1"/>
    <s v="Q3"/>
    <x v="11"/>
    <d v="2015-09-27T00:00:00"/>
    <s v="Second Class"/>
    <x v="21"/>
    <x v="21"/>
    <s v="Corporate"/>
    <s v="United States"/>
    <s v="Philadelphia"/>
    <x v="9"/>
    <n v="19120"/>
    <x v="3"/>
    <x v="1005"/>
    <x v="1"/>
    <x v="6"/>
    <x v="997"/>
    <n v="6.8479999999999999"/>
    <s v="Low"/>
    <n v="2"/>
    <n v="0.2"/>
    <x v="2"/>
    <x v="2"/>
    <n v="0.59919999999999995"/>
    <n v="8.7499999999999994E-2"/>
    <n v="0"/>
  </r>
  <r>
    <n v="1473"/>
    <s v="CA-2017-164959"/>
    <d v="2017-07-11T00:00:00"/>
    <x v="3"/>
    <s v="Q3"/>
    <x v="10"/>
    <d v="2017-07-15T00:00:00"/>
    <s v="Standard Class"/>
    <x v="471"/>
    <x v="471"/>
    <s v="Corporate"/>
    <s v="United States"/>
    <s v="Los Angeles"/>
    <x v="1"/>
    <n v="90004"/>
    <x v="1"/>
    <x v="688"/>
    <x v="1"/>
    <x v="2"/>
    <x v="688"/>
    <n v="8.67"/>
    <s v="Low"/>
    <n v="3"/>
    <n v="0"/>
    <x v="0"/>
    <x v="0"/>
    <n v="4.0749000000000004"/>
    <n v="0.47000000000000003"/>
    <n v="0"/>
  </r>
  <r>
    <n v="1474"/>
    <s v="US-2015-105676"/>
    <d v="2015-12-01T00:00:00"/>
    <x v="1"/>
    <s v="Q4"/>
    <x v="14"/>
    <d v="2015-12-02T00:00:00"/>
    <s v="Same Day"/>
    <x v="392"/>
    <x v="392"/>
    <s v="Consumer"/>
    <s v="United States"/>
    <s v="Houston"/>
    <x v="5"/>
    <n v="77036"/>
    <x v="2"/>
    <x v="1006"/>
    <x v="0"/>
    <x v="5"/>
    <x v="998"/>
    <n v="6.6879999999999997"/>
    <s v="Low"/>
    <n v="4"/>
    <n v="0.6"/>
    <x v="1"/>
    <x v="6"/>
    <n v="-4.0128000000000004"/>
    <n v="-0.60000000000000009"/>
    <n v="1"/>
  </r>
  <r>
    <n v="1475"/>
    <s v="CA-2016-113138"/>
    <d v="2016-11-19T00:00:00"/>
    <x v="0"/>
    <s v="Q4"/>
    <x v="0"/>
    <d v="2016-11-25T00:00:00"/>
    <s v="Standard Class"/>
    <x v="472"/>
    <x v="472"/>
    <s v="Home Office"/>
    <s v="United States"/>
    <s v="Niagara Falls"/>
    <x v="15"/>
    <n v="14304"/>
    <x v="3"/>
    <x v="1007"/>
    <x v="1"/>
    <x v="6"/>
    <x v="999"/>
    <n v="17.28"/>
    <s v="Low"/>
    <n v="6"/>
    <n v="0"/>
    <x v="0"/>
    <x v="0"/>
    <n v="5.0111999999999997"/>
    <n v="0.28999999999999998"/>
    <n v="0"/>
  </r>
  <r>
    <n v="1476"/>
    <s v="CA-2016-113138"/>
    <d v="2016-11-19T00:00:00"/>
    <x v="0"/>
    <s v="Q4"/>
    <x v="0"/>
    <d v="2016-11-25T00:00:00"/>
    <s v="Standard Class"/>
    <x v="472"/>
    <x v="472"/>
    <s v="Home Office"/>
    <s v="United States"/>
    <s v="Niagara Falls"/>
    <x v="15"/>
    <n v="14304"/>
    <x v="3"/>
    <x v="777"/>
    <x v="1"/>
    <x v="8"/>
    <x v="776"/>
    <n v="17.712"/>
    <s v="Low"/>
    <n v="3"/>
    <n v="0.2"/>
    <x v="2"/>
    <x v="2"/>
    <n v="6.4206000000000003"/>
    <n v="0.36250000000000004"/>
    <n v="0"/>
  </r>
  <r>
    <n v="1477"/>
    <s v="US-2017-104955"/>
    <d v="2017-03-19T00:00:00"/>
    <x v="3"/>
    <s v="Q1"/>
    <x v="42"/>
    <d v="2017-03-24T00:00:00"/>
    <s v="Standard Class"/>
    <x v="344"/>
    <x v="344"/>
    <s v="Home Office"/>
    <s v="United States"/>
    <s v="New York City"/>
    <x v="15"/>
    <n v="10024"/>
    <x v="3"/>
    <x v="1008"/>
    <x v="1"/>
    <x v="2"/>
    <x v="1000"/>
    <n v="28.91"/>
    <s v="Medium"/>
    <n v="7"/>
    <n v="0"/>
    <x v="0"/>
    <x v="0"/>
    <n v="13.2986"/>
    <n v="0.46"/>
    <n v="0"/>
  </r>
  <r>
    <n v="1478"/>
    <s v="CA-2016-121958"/>
    <d v="2016-11-13T00:00:00"/>
    <x v="0"/>
    <s v="Q4"/>
    <x v="0"/>
    <d v="2016-11-17T00:00:00"/>
    <s v="Standard Class"/>
    <x v="473"/>
    <x v="473"/>
    <s v="Consumer"/>
    <s v="United States"/>
    <s v="Thomasville"/>
    <x v="3"/>
    <n v="27360"/>
    <x v="0"/>
    <x v="660"/>
    <x v="1"/>
    <x v="14"/>
    <x v="660"/>
    <n v="52.136000000000003"/>
    <s v="Medium"/>
    <n v="7"/>
    <n v="0.2"/>
    <x v="2"/>
    <x v="2"/>
    <n v="5.8653000000000004"/>
    <n v="0.1125"/>
    <n v="0"/>
  </r>
  <r>
    <n v="1479"/>
    <s v="CA-2017-121468"/>
    <d v="2017-11-19T00:00:00"/>
    <x v="3"/>
    <s v="Q4"/>
    <x v="23"/>
    <d v="2017-11-20T00:00:00"/>
    <s v="First Class"/>
    <x v="44"/>
    <x v="44"/>
    <s v="Consumer"/>
    <s v="United States"/>
    <s v="Westminster"/>
    <x v="1"/>
    <n v="92683"/>
    <x v="1"/>
    <x v="433"/>
    <x v="2"/>
    <x v="7"/>
    <x v="433"/>
    <n v="31.968"/>
    <s v="Medium"/>
    <n v="4"/>
    <n v="0.2"/>
    <x v="2"/>
    <x v="2"/>
    <n v="2.3976000000000002"/>
    <n v="7.5000000000000011E-2"/>
    <n v="0"/>
  </r>
  <r>
    <n v="1480"/>
    <s v="US-2016-108455"/>
    <d v="2016-12-02T00:00:00"/>
    <x v="0"/>
    <s v="Q4"/>
    <x v="5"/>
    <d v="2016-12-08T00:00:00"/>
    <s v="Standard Class"/>
    <x v="177"/>
    <x v="177"/>
    <s v="Consumer"/>
    <s v="United States"/>
    <s v="San Francisco"/>
    <x v="1"/>
    <n v="94122"/>
    <x v="1"/>
    <x v="1009"/>
    <x v="1"/>
    <x v="10"/>
    <x v="1001"/>
    <n v="25.92"/>
    <s v="Medium"/>
    <n v="4"/>
    <n v="0"/>
    <x v="0"/>
    <x v="0"/>
    <n v="12.441599999999999"/>
    <n v="0.47999999999999993"/>
    <n v="0"/>
  </r>
  <r>
    <n v="1481"/>
    <s v="US-2016-108455"/>
    <d v="2016-12-02T00:00:00"/>
    <x v="0"/>
    <s v="Q4"/>
    <x v="5"/>
    <d v="2016-12-08T00:00:00"/>
    <s v="Standard Class"/>
    <x v="177"/>
    <x v="177"/>
    <s v="Consumer"/>
    <s v="United States"/>
    <s v="San Francisco"/>
    <x v="1"/>
    <n v="94122"/>
    <x v="1"/>
    <x v="1010"/>
    <x v="1"/>
    <x v="10"/>
    <x v="1002"/>
    <n v="40.46"/>
    <s v="Medium"/>
    <n v="7"/>
    <n v="0"/>
    <x v="0"/>
    <x v="0"/>
    <n v="19.825399999999998"/>
    <n v="0.48999999999999994"/>
    <n v="0"/>
  </r>
  <r>
    <n v="1482"/>
    <s v="US-2016-108455"/>
    <d v="2016-12-02T00:00:00"/>
    <x v="0"/>
    <s v="Q4"/>
    <x v="5"/>
    <d v="2016-12-08T00:00:00"/>
    <s v="Standard Class"/>
    <x v="177"/>
    <x v="177"/>
    <s v="Consumer"/>
    <s v="United States"/>
    <s v="San Francisco"/>
    <x v="1"/>
    <n v="94122"/>
    <x v="1"/>
    <x v="1011"/>
    <x v="1"/>
    <x v="4"/>
    <x v="1003"/>
    <n v="33.869999999999997"/>
    <s v="Medium"/>
    <n v="3"/>
    <n v="0"/>
    <x v="0"/>
    <x v="0"/>
    <n v="8.8062000000000005"/>
    <n v="0.26"/>
    <n v="0"/>
  </r>
  <r>
    <n v="1483"/>
    <s v="CA-2017-101210"/>
    <d v="2017-08-25T00:00:00"/>
    <x v="3"/>
    <s v="Q3"/>
    <x v="43"/>
    <d v="2017-08-28T00:00:00"/>
    <s v="Second Class"/>
    <x v="386"/>
    <x v="386"/>
    <s v="Consumer"/>
    <s v="United States"/>
    <s v="Jackson"/>
    <x v="18"/>
    <n v="38301"/>
    <x v="0"/>
    <x v="487"/>
    <x v="1"/>
    <x v="6"/>
    <x v="487"/>
    <n v="9.7279999999999998"/>
    <s v="Low"/>
    <n v="2"/>
    <n v="0.2"/>
    <x v="2"/>
    <x v="2"/>
    <n v="1.7023999999999999"/>
    <n v="0.17499999999999999"/>
    <n v="0"/>
  </r>
  <r>
    <n v="1484"/>
    <s v="CA-2017-101210"/>
    <d v="2017-08-25T00:00:00"/>
    <x v="3"/>
    <s v="Q3"/>
    <x v="43"/>
    <d v="2017-08-28T00:00:00"/>
    <s v="Second Class"/>
    <x v="386"/>
    <x v="386"/>
    <s v="Consumer"/>
    <s v="United States"/>
    <s v="Jackson"/>
    <x v="18"/>
    <n v="38301"/>
    <x v="0"/>
    <x v="1012"/>
    <x v="1"/>
    <x v="10"/>
    <x v="1004"/>
    <n v="3.4239999999999999"/>
    <s v="Low"/>
    <n v="1"/>
    <n v="0.2"/>
    <x v="2"/>
    <x v="2"/>
    <n v="1.07"/>
    <n v="0.3125"/>
    <n v="0"/>
  </r>
  <r>
    <n v="1485"/>
    <s v="US-2016-108098"/>
    <d v="2016-10-14T00:00:00"/>
    <x v="0"/>
    <s v="Q4"/>
    <x v="32"/>
    <d v="2016-10-18T00:00:00"/>
    <s v="Standard Class"/>
    <x v="291"/>
    <x v="291"/>
    <s v="Corporate"/>
    <s v="United States"/>
    <s v="Seattle"/>
    <x v="4"/>
    <n v="98115"/>
    <x v="1"/>
    <x v="1013"/>
    <x v="2"/>
    <x v="11"/>
    <x v="1005"/>
    <n v="177"/>
    <s v="High"/>
    <n v="3"/>
    <n v="0"/>
    <x v="0"/>
    <x v="0"/>
    <n v="30.09"/>
    <n v="0.17"/>
    <n v="0"/>
  </r>
  <r>
    <n v="1486"/>
    <s v="CA-2014-119032"/>
    <d v="2014-11-27T00:00:00"/>
    <x v="2"/>
    <s v="Q4"/>
    <x v="7"/>
    <d v="2014-12-03T00:00:00"/>
    <s v="Standard Class"/>
    <x v="474"/>
    <x v="474"/>
    <s v="Consumer"/>
    <s v="United States"/>
    <s v="New York City"/>
    <x v="15"/>
    <n v="10035"/>
    <x v="3"/>
    <x v="1014"/>
    <x v="1"/>
    <x v="13"/>
    <x v="128"/>
    <n v="3.76"/>
    <s v="Low"/>
    <n v="2"/>
    <n v="0"/>
    <x v="0"/>
    <x v="0"/>
    <n v="1.3160000000000001"/>
    <n v="0.35000000000000003"/>
    <n v="0"/>
  </r>
  <r>
    <n v="1487"/>
    <s v="CA-2015-140410"/>
    <d v="2015-11-03T00:00:00"/>
    <x v="1"/>
    <s v="Q4"/>
    <x v="6"/>
    <d v="2015-11-07T00:00:00"/>
    <s v="Standard Class"/>
    <x v="475"/>
    <x v="475"/>
    <s v="Home Office"/>
    <s v="United States"/>
    <s v="Los Angeles"/>
    <x v="1"/>
    <n v="90008"/>
    <x v="1"/>
    <x v="1015"/>
    <x v="2"/>
    <x v="7"/>
    <x v="1006"/>
    <n v="1212.848"/>
    <s v="High"/>
    <n v="7"/>
    <n v="0.2"/>
    <x v="2"/>
    <x v="2"/>
    <n v="106.1242"/>
    <n v="8.7500000000000008E-2"/>
    <n v="0"/>
  </r>
  <r>
    <n v="1488"/>
    <s v="CA-2015-140410"/>
    <d v="2015-11-03T00:00:00"/>
    <x v="1"/>
    <s v="Q4"/>
    <x v="6"/>
    <d v="2015-11-07T00:00:00"/>
    <s v="Standard Class"/>
    <x v="475"/>
    <x v="475"/>
    <s v="Home Office"/>
    <s v="United States"/>
    <s v="Los Angeles"/>
    <x v="1"/>
    <n v="90008"/>
    <x v="1"/>
    <x v="1016"/>
    <x v="2"/>
    <x v="11"/>
    <x v="1007"/>
    <n v="89.97"/>
    <s v="Medium"/>
    <n v="3"/>
    <n v="0"/>
    <x v="0"/>
    <x v="0"/>
    <n v="37.787399999999998"/>
    <n v="0.42"/>
    <n v="0"/>
  </r>
  <r>
    <n v="1489"/>
    <s v="CA-2015-140410"/>
    <d v="2015-11-03T00:00:00"/>
    <x v="1"/>
    <s v="Q4"/>
    <x v="6"/>
    <d v="2015-11-07T00:00:00"/>
    <s v="Standard Class"/>
    <x v="475"/>
    <x v="475"/>
    <s v="Home Office"/>
    <s v="United States"/>
    <s v="Los Angeles"/>
    <x v="1"/>
    <n v="90008"/>
    <x v="1"/>
    <x v="378"/>
    <x v="0"/>
    <x v="5"/>
    <x v="379"/>
    <n v="42.6"/>
    <s v="Medium"/>
    <n v="3"/>
    <n v="0"/>
    <x v="0"/>
    <x v="0"/>
    <n v="16.614000000000001"/>
    <n v="0.39"/>
    <n v="0"/>
  </r>
  <r>
    <n v="1490"/>
    <s v="CA-2014-136280"/>
    <d v="2014-11-29T00:00:00"/>
    <x v="2"/>
    <s v="Q4"/>
    <x v="7"/>
    <d v="2014-12-06T00:00:00"/>
    <s v="Standard Class"/>
    <x v="476"/>
    <x v="476"/>
    <s v="Consumer"/>
    <s v="United States"/>
    <s v="Philadelphia"/>
    <x v="9"/>
    <n v="19143"/>
    <x v="3"/>
    <x v="816"/>
    <x v="1"/>
    <x v="2"/>
    <x v="812"/>
    <n v="5.04"/>
    <s v="Low"/>
    <n v="2"/>
    <n v="0.2"/>
    <x v="2"/>
    <x v="2"/>
    <n v="1.764"/>
    <n v="0.35"/>
    <n v="0"/>
  </r>
  <r>
    <n v="1491"/>
    <s v="CA-2017-151911"/>
    <d v="2017-04-30T00:00:00"/>
    <x v="3"/>
    <s v="Q2"/>
    <x v="4"/>
    <d v="2017-05-05T00:00:00"/>
    <s v="Second Class"/>
    <x v="393"/>
    <x v="393"/>
    <s v="Corporate"/>
    <s v="United States"/>
    <s v="New York City"/>
    <x v="15"/>
    <n v="10024"/>
    <x v="3"/>
    <x v="36"/>
    <x v="1"/>
    <x v="12"/>
    <x v="36"/>
    <n v="62.96"/>
    <s v="Medium"/>
    <n v="4"/>
    <n v="0"/>
    <x v="0"/>
    <x v="0"/>
    <n v="28.332000000000001"/>
    <n v="0.45"/>
    <n v="0"/>
  </r>
  <r>
    <n v="1492"/>
    <s v="CA-2017-166436"/>
    <d v="2017-11-24T00:00:00"/>
    <x v="3"/>
    <s v="Q4"/>
    <x v="23"/>
    <d v="2017-11-28T00:00:00"/>
    <s v="Standard Class"/>
    <x v="477"/>
    <x v="477"/>
    <s v="Corporate"/>
    <s v="United States"/>
    <s v="New York City"/>
    <x v="15"/>
    <n v="10035"/>
    <x v="3"/>
    <x v="1017"/>
    <x v="1"/>
    <x v="10"/>
    <x v="1008"/>
    <n v="5.88"/>
    <s v="Low"/>
    <n v="1"/>
    <n v="0"/>
    <x v="0"/>
    <x v="0"/>
    <n v="2.8812000000000002"/>
    <n v="0.49000000000000005"/>
    <n v="0"/>
  </r>
  <r>
    <n v="1493"/>
    <s v="CA-2017-166436"/>
    <d v="2017-11-24T00:00:00"/>
    <x v="3"/>
    <s v="Q4"/>
    <x v="23"/>
    <d v="2017-11-28T00:00:00"/>
    <s v="Standard Class"/>
    <x v="477"/>
    <x v="477"/>
    <s v="Corporate"/>
    <s v="United States"/>
    <s v="New York City"/>
    <x v="15"/>
    <n v="10035"/>
    <x v="3"/>
    <x v="323"/>
    <x v="0"/>
    <x v="1"/>
    <x v="323"/>
    <n v="977.29200000000003"/>
    <s v="High"/>
    <n v="6"/>
    <n v="0.1"/>
    <x v="3"/>
    <x v="8"/>
    <n v="173.74080000000001"/>
    <n v="0.17777777777777778"/>
    <n v="0"/>
  </r>
  <r>
    <n v="1494"/>
    <s v="CA-2017-139661"/>
    <d v="2017-10-30T00:00:00"/>
    <x v="3"/>
    <s v="Q4"/>
    <x v="13"/>
    <d v="2017-11-03T00:00:00"/>
    <s v="Standard Class"/>
    <x v="478"/>
    <x v="478"/>
    <s v="Corporate"/>
    <s v="United States"/>
    <s v="Vancouver"/>
    <x v="4"/>
    <n v="98661"/>
    <x v="1"/>
    <x v="763"/>
    <x v="0"/>
    <x v="5"/>
    <x v="762"/>
    <n v="9.64"/>
    <s v="Low"/>
    <n v="2"/>
    <n v="0"/>
    <x v="0"/>
    <x v="0"/>
    <n v="3.6631999999999998"/>
    <n v="0.37999999999999995"/>
    <n v="0"/>
  </r>
  <r>
    <n v="1495"/>
    <s v="CA-2014-123925"/>
    <d v="2014-12-17T00:00:00"/>
    <x v="2"/>
    <s v="Q4"/>
    <x v="20"/>
    <d v="2014-12-19T00:00:00"/>
    <s v="Second Class"/>
    <x v="167"/>
    <x v="167"/>
    <s v="Consumer"/>
    <s v="United States"/>
    <s v="Columbus"/>
    <x v="32"/>
    <n v="31907"/>
    <x v="0"/>
    <x v="818"/>
    <x v="1"/>
    <x v="6"/>
    <x v="814"/>
    <n v="40.049999999999997"/>
    <s v="Medium"/>
    <n v="3"/>
    <n v="0"/>
    <x v="0"/>
    <x v="0"/>
    <n v="11.214"/>
    <n v="0.28000000000000003"/>
    <n v="0"/>
  </r>
  <r>
    <n v="1496"/>
    <s v="CA-2017-152485"/>
    <d v="2017-09-04T00:00:00"/>
    <x v="3"/>
    <s v="Q3"/>
    <x v="15"/>
    <d v="2017-09-08T00:00:00"/>
    <s v="Standard Class"/>
    <x v="479"/>
    <x v="479"/>
    <s v="Consumer"/>
    <s v="United States"/>
    <s v="Coppell"/>
    <x v="5"/>
    <n v="75019"/>
    <x v="2"/>
    <x v="853"/>
    <x v="1"/>
    <x v="6"/>
    <x v="846"/>
    <n v="10.192"/>
    <s v="Low"/>
    <n v="7"/>
    <n v="0.2"/>
    <x v="2"/>
    <x v="2"/>
    <n v="3.1850000000000001"/>
    <n v="0.3125"/>
    <n v="0"/>
  </r>
  <r>
    <n v="1497"/>
    <s v="CA-2017-152485"/>
    <d v="2017-09-04T00:00:00"/>
    <x v="3"/>
    <s v="Q3"/>
    <x v="15"/>
    <d v="2017-09-08T00:00:00"/>
    <s v="Standard Class"/>
    <x v="479"/>
    <x v="479"/>
    <s v="Consumer"/>
    <s v="United States"/>
    <s v="Coppell"/>
    <x v="5"/>
    <n v="75019"/>
    <x v="2"/>
    <x v="1018"/>
    <x v="1"/>
    <x v="4"/>
    <x v="1009"/>
    <n v="16.783999999999999"/>
    <s v="Low"/>
    <n v="1"/>
    <n v="0.2"/>
    <x v="2"/>
    <x v="2"/>
    <n v="-0.20979999999999999"/>
    <n v="-1.2500000000000001E-2"/>
    <n v="1"/>
  </r>
  <r>
    <n v="1498"/>
    <s v="CA-2017-152485"/>
    <d v="2017-09-04T00:00:00"/>
    <x v="3"/>
    <s v="Q3"/>
    <x v="15"/>
    <d v="2017-09-08T00:00:00"/>
    <s v="Standard Class"/>
    <x v="479"/>
    <x v="479"/>
    <s v="Consumer"/>
    <s v="United States"/>
    <s v="Coppell"/>
    <x v="5"/>
    <n v="75019"/>
    <x v="2"/>
    <x v="169"/>
    <x v="1"/>
    <x v="6"/>
    <x v="170"/>
    <n v="13.12"/>
    <s v="Low"/>
    <n v="5"/>
    <n v="0.2"/>
    <x v="2"/>
    <x v="2"/>
    <n v="3.7719999999999998"/>
    <n v="0.28749999999999998"/>
    <n v="0"/>
  </r>
  <r>
    <n v="1499"/>
    <s v="CA-2016-141586"/>
    <d v="2016-10-17T00:00:00"/>
    <x v="0"/>
    <s v="Q4"/>
    <x v="32"/>
    <d v="2016-10-20T00:00:00"/>
    <s v="First Class"/>
    <x v="71"/>
    <x v="71"/>
    <s v="Home Office"/>
    <s v="United States"/>
    <s v="San Francisco"/>
    <x v="1"/>
    <n v="94122"/>
    <x v="1"/>
    <x v="109"/>
    <x v="1"/>
    <x v="8"/>
    <x v="109"/>
    <n v="18.16"/>
    <s v="Low"/>
    <n v="5"/>
    <n v="0.2"/>
    <x v="2"/>
    <x v="2"/>
    <n v="6.5830000000000002"/>
    <n v="0.36249999999999999"/>
    <n v="0"/>
  </r>
  <r>
    <n v="1500"/>
    <s v="CA-2017-130386"/>
    <d v="2017-11-12T00:00:00"/>
    <x v="3"/>
    <s v="Q4"/>
    <x v="23"/>
    <d v="2017-11-18T00:00:00"/>
    <s v="Standard Class"/>
    <x v="159"/>
    <x v="159"/>
    <s v="Consumer"/>
    <s v="United States"/>
    <s v="Austin"/>
    <x v="5"/>
    <n v="78745"/>
    <x v="2"/>
    <x v="186"/>
    <x v="1"/>
    <x v="10"/>
    <x v="187"/>
    <n v="16.056000000000001"/>
    <s v="Low"/>
    <n v="3"/>
    <n v="0.2"/>
    <x v="2"/>
    <x v="2"/>
    <n v="5.8202999999999996"/>
    <n v="0.36249999999999993"/>
    <n v="0"/>
  </r>
  <r>
    <n v="1501"/>
    <s v="CA-2017-130386"/>
    <d v="2017-11-12T00:00:00"/>
    <x v="3"/>
    <s v="Q4"/>
    <x v="23"/>
    <d v="2017-11-18T00:00:00"/>
    <s v="Standard Class"/>
    <x v="159"/>
    <x v="159"/>
    <s v="Consumer"/>
    <s v="United States"/>
    <s v="Austin"/>
    <x v="5"/>
    <n v="78745"/>
    <x v="2"/>
    <x v="1019"/>
    <x v="1"/>
    <x v="10"/>
    <x v="1010"/>
    <n v="223.05600000000001"/>
    <s v="High"/>
    <n v="9"/>
    <n v="0.2"/>
    <x v="2"/>
    <x v="2"/>
    <n v="69.704999999999998"/>
    <n v="0.3125"/>
    <n v="0"/>
  </r>
  <r>
    <n v="1502"/>
    <s v="CA-2017-130386"/>
    <d v="2017-11-12T00:00:00"/>
    <x v="3"/>
    <s v="Q4"/>
    <x v="23"/>
    <d v="2017-11-18T00:00:00"/>
    <s v="Standard Class"/>
    <x v="159"/>
    <x v="159"/>
    <s v="Consumer"/>
    <s v="United States"/>
    <s v="Austin"/>
    <x v="5"/>
    <n v="78745"/>
    <x v="2"/>
    <x v="906"/>
    <x v="1"/>
    <x v="4"/>
    <x v="898"/>
    <n v="540.048"/>
    <s v="High"/>
    <n v="3"/>
    <n v="0.2"/>
    <x v="2"/>
    <x v="2"/>
    <n v="-47.254199999999997"/>
    <n v="-8.7499999999999994E-2"/>
    <n v="1"/>
  </r>
  <r>
    <n v="1503"/>
    <s v="CA-2016-100468"/>
    <d v="2016-11-24T00:00:00"/>
    <x v="0"/>
    <s v="Q4"/>
    <x v="0"/>
    <d v="2016-12-01T00:00:00"/>
    <s v="Standard Class"/>
    <x v="401"/>
    <x v="401"/>
    <s v="Home Office"/>
    <s v="United States"/>
    <s v="Los Angeles"/>
    <x v="1"/>
    <n v="90045"/>
    <x v="1"/>
    <x v="1020"/>
    <x v="2"/>
    <x v="7"/>
    <x v="1011"/>
    <n v="33.520000000000003"/>
    <s v="Medium"/>
    <n v="2"/>
    <n v="0.2"/>
    <x v="2"/>
    <x v="2"/>
    <n v="3.3519999999999999"/>
    <n v="9.9999999999999992E-2"/>
    <n v="0"/>
  </r>
  <r>
    <n v="1504"/>
    <s v="CA-2016-100468"/>
    <d v="2016-11-24T00:00:00"/>
    <x v="0"/>
    <s v="Q4"/>
    <x v="0"/>
    <d v="2016-12-01T00:00:00"/>
    <s v="Standard Class"/>
    <x v="401"/>
    <x v="401"/>
    <s v="Home Office"/>
    <s v="United States"/>
    <s v="Los Angeles"/>
    <x v="1"/>
    <n v="90045"/>
    <x v="1"/>
    <x v="527"/>
    <x v="0"/>
    <x v="5"/>
    <x v="527"/>
    <n v="9.94"/>
    <s v="Low"/>
    <n v="2"/>
    <n v="0"/>
    <x v="0"/>
    <x v="0"/>
    <n v="3.0813999999999999"/>
    <n v="0.31"/>
    <n v="0"/>
  </r>
  <r>
    <n v="1505"/>
    <s v="CA-2015-153388"/>
    <d v="2015-08-01T00:00:00"/>
    <x v="1"/>
    <s v="Q3"/>
    <x v="37"/>
    <d v="2015-08-07T00:00:00"/>
    <s v="Standard Class"/>
    <x v="480"/>
    <x v="480"/>
    <s v="Home Office"/>
    <s v="United States"/>
    <s v="Los Angeles"/>
    <x v="1"/>
    <n v="90004"/>
    <x v="1"/>
    <x v="59"/>
    <x v="1"/>
    <x v="6"/>
    <x v="59"/>
    <n v="6.72"/>
    <s v="Low"/>
    <n v="4"/>
    <n v="0"/>
    <x v="0"/>
    <x v="0"/>
    <n v="3.36"/>
    <n v="0.5"/>
    <n v="0"/>
  </r>
  <r>
    <n v="1506"/>
    <s v="CA-2015-153388"/>
    <d v="2015-08-01T00:00:00"/>
    <x v="1"/>
    <s v="Q3"/>
    <x v="37"/>
    <d v="2015-08-07T00:00:00"/>
    <s v="Standard Class"/>
    <x v="480"/>
    <x v="480"/>
    <s v="Home Office"/>
    <s v="United States"/>
    <s v="Los Angeles"/>
    <x v="1"/>
    <n v="90004"/>
    <x v="1"/>
    <x v="1021"/>
    <x v="0"/>
    <x v="3"/>
    <x v="1012"/>
    <n v="1004.976"/>
    <s v="High"/>
    <n v="6"/>
    <n v="0.2"/>
    <x v="2"/>
    <x v="2"/>
    <n v="-175.8708"/>
    <n v="-0.17500000000000002"/>
    <n v="1"/>
  </r>
  <r>
    <n v="1507"/>
    <s v="CA-2017-154935"/>
    <d v="2017-12-24T00:00:00"/>
    <x v="3"/>
    <s v="Q4"/>
    <x v="22"/>
    <d v="2017-12-29T00:00:00"/>
    <s v="Standard Class"/>
    <x v="481"/>
    <x v="481"/>
    <s v="Consumer"/>
    <s v="United States"/>
    <s v="New York City"/>
    <x v="15"/>
    <n v="10024"/>
    <x v="3"/>
    <x v="985"/>
    <x v="1"/>
    <x v="8"/>
    <x v="978"/>
    <n v="17.88"/>
    <s v="Low"/>
    <n v="3"/>
    <n v="0.2"/>
    <x v="2"/>
    <x v="2"/>
    <n v="5.5875000000000004"/>
    <n v="0.31250000000000006"/>
    <n v="0"/>
  </r>
  <r>
    <n v="1508"/>
    <s v="CA-2016-134208"/>
    <d v="2016-09-17T00:00:00"/>
    <x v="0"/>
    <s v="Q3"/>
    <x v="21"/>
    <d v="2016-09-23T00:00:00"/>
    <s v="Standard Class"/>
    <x v="473"/>
    <x v="473"/>
    <s v="Consumer"/>
    <s v="United States"/>
    <s v="Columbus"/>
    <x v="32"/>
    <n v="31907"/>
    <x v="0"/>
    <x v="1022"/>
    <x v="2"/>
    <x v="15"/>
    <x v="1013"/>
    <n v="396"/>
    <s v="High"/>
    <n v="4"/>
    <n v="0"/>
    <x v="0"/>
    <x v="0"/>
    <n v="190.08"/>
    <n v="0.48000000000000004"/>
    <n v="0"/>
  </r>
  <r>
    <n v="1509"/>
    <s v="CA-2017-108294"/>
    <d v="2017-12-10T00:00:00"/>
    <x v="3"/>
    <s v="Q4"/>
    <x v="22"/>
    <d v="2017-12-10T00:00:00"/>
    <s v="Same Day"/>
    <x v="60"/>
    <x v="60"/>
    <s v="Home Office"/>
    <s v="United States"/>
    <s v="Omaha"/>
    <x v="8"/>
    <n v="68104"/>
    <x v="2"/>
    <x v="1023"/>
    <x v="1"/>
    <x v="8"/>
    <x v="1014"/>
    <n v="34.5"/>
    <s v="Medium"/>
    <n v="3"/>
    <n v="0"/>
    <x v="0"/>
    <x v="0"/>
    <n v="15.525"/>
    <n v="0.45"/>
    <n v="0"/>
  </r>
  <r>
    <n v="1510"/>
    <s v="CA-2017-103611"/>
    <d v="2017-09-12T00:00:00"/>
    <x v="3"/>
    <s v="Q3"/>
    <x v="15"/>
    <d v="2017-09-15T00:00:00"/>
    <s v="First Class"/>
    <x v="341"/>
    <x v="341"/>
    <s v="Consumer"/>
    <s v="United States"/>
    <s v="Los Angeles"/>
    <x v="1"/>
    <n v="90036"/>
    <x v="1"/>
    <x v="1006"/>
    <x v="0"/>
    <x v="5"/>
    <x v="998"/>
    <n v="8.36"/>
    <s v="Low"/>
    <n v="2"/>
    <n v="0"/>
    <x v="0"/>
    <x v="0"/>
    <n v="3.0095999999999998"/>
    <n v="0.36"/>
    <n v="0"/>
  </r>
  <r>
    <n v="1511"/>
    <s v="CA-2017-100384"/>
    <d v="2017-06-24T00:00:00"/>
    <x v="3"/>
    <s v="Q2"/>
    <x v="27"/>
    <d v="2017-07-01T00:00:00"/>
    <s v="Standard Class"/>
    <x v="468"/>
    <x v="468"/>
    <s v="Corporate"/>
    <s v="United States"/>
    <s v="Pomona"/>
    <x v="1"/>
    <n v="91767"/>
    <x v="1"/>
    <x v="281"/>
    <x v="1"/>
    <x v="6"/>
    <x v="281"/>
    <n v="385.6"/>
    <s v="High"/>
    <n v="8"/>
    <n v="0"/>
    <x v="0"/>
    <x v="0"/>
    <n v="111.824"/>
    <n v="0.28999999999999998"/>
    <n v="0"/>
  </r>
  <r>
    <n v="1512"/>
    <s v="CA-2017-100384"/>
    <d v="2017-06-24T00:00:00"/>
    <x v="3"/>
    <s v="Q2"/>
    <x v="27"/>
    <d v="2017-07-01T00:00:00"/>
    <s v="Standard Class"/>
    <x v="468"/>
    <x v="468"/>
    <s v="Corporate"/>
    <s v="United States"/>
    <s v="Pomona"/>
    <x v="1"/>
    <n v="91767"/>
    <x v="1"/>
    <x v="181"/>
    <x v="1"/>
    <x v="6"/>
    <x v="182"/>
    <n v="35.82"/>
    <s v="Medium"/>
    <n v="9"/>
    <n v="0"/>
    <x v="0"/>
    <x v="0"/>
    <n v="11.820600000000001"/>
    <n v="0.33"/>
    <n v="0"/>
  </r>
  <r>
    <n v="1513"/>
    <s v="CA-2017-112809"/>
    <d v="2017-08-18T00:00:00"/>
    <x v="3"/>
    <s v="Q3"/>
    <x v="43"/>
    <d v="2017-08-22T00:00:00"/>
    <s v="Standard Class"/>
    <x v="154"/>
    <x v="154"/>
    <s v="Consumer"/>
    <s v="United States"/>
    <s v="Dallas"/>
    <x v="5"/>
    <n v="75220"/>
    <x v="2"/>
    <x v="225"/>
    <x v="1"/>
    <x v="4"/>
    <x v="226"/>
    <n v="200.06399999999999"/>
    <s v="High"/>
    <n v="3"/>
    <n v="0.2"/>
    <x v="2"/>
    <x v="2"/>
    <n v="12.504"/>
    <n v="6.25E-2"/>
    <n v="0"/>
  </r>
  <r>
    <n v="1514"/>
    <s v="CA-2017-112809"/>
    <d v="2017-08-18T00:00:00"/>
    <x v="3"/>
    <s v="Q3"/>
    <x v="43"/>
    <d v="2017-08-22T00:00:00"/>
    <s v="Standard Class"/>
    <x v="154"/>
    <x v="154"/>
    <s v="Consumer"/>
    <s v="United States"/>
    <s v="Dallas"/>
    <x v="5"/>
    <n v="75220"/>
    <x v="2"/>
    <x v="410"/>
    <x v="1"/>
    <x v="8"/>
    <x v="410"/>
    <n v="21.38"/>
    <s v="Low"/>
    <n v="5"/>
    <n v="0.8"/>
    <x v="1"/>
    <x v="3"/>
    <n v="-33.139000000000003"/>
    <n v="-1.5500000000000003"/>
    <n v="1"/>
  </r>
  <r>
    <n v="1515"/>
    <s v="CA-2017-112809"/>
    <d v="2017-08-18T00:00:00"/>
    <x v="3"/>
    <s v="Q3"/>
    <x v="43"/>
    <d v="2017-08-22T00:00:00"/>
    <s v="Standard Class"/>
    <x v="154"/>
    <x v="154"/>
    <s v="Consumer"/>
    <s v="United States"/>
    <s v="Dallas"/>
    <x v="5"/>
    <n v="75220"/>
    <x v="2"/>
    <x v="674"/>
    <x v="1"/>
    <x v="8"/>
    <x v="674"/>
    <n v="6.7439999999999998"/>
    <s v="Low"/>
    <n v="4"/>
    <n v="0.8"/>
    <x v="1"/>
    <x v="3"/>
    <n v="-11.4648"/>
    <n v="-1.7000000000000002"/>
    <n v="1"/>
  </r>
  <r>
    <n v="1516"/>
    <s v="US-2017-160759"/>
    <d v="2017-12-11T00:00:00"/>
    <x v="3"/>
    <s v="Q4"/>
    <x v="22"/>
    <d v="2017-12-17T00:00:00"/>
    <s v="Standard Class"/>
    <x v="482"/>
    <x v="482"/>
    <s v="Consumer"/>
    <s v="United States"/>
    <s v="Philadelphia"/>
    <x v="9"/>
    <n v="19120"/>
    <x v="3"/>
    <x v="955"/>
    <x v="0"/>
    <x v="1"/>
    <x v="948"/>
    <n v="63.686"/>
    <s v="Medium"/>
    <n v="1"/>
    <n v="0.3"/>
    <x v="1"/>
    <x v="4"/>
    <n v="-9.0980000000000008"/>
    <n v="-0.14285714285714288"/>
    <n v="1"/>
  </r>
  <r>
    <n v="1517"/>
    <s v="CA-2017-148446"/>
    <d v="2017-12-10T00:00:00"/>
    <x v="3"/>
    <s v="Q4"/>
    <x v="22"/>
    <d v="2017-12-14T00:00:00"/>
    <s v="Second Class"/>
    <x v="266"/>
    <x v="266"/>
    <s v="Consumer"/>
    <s v="United States"/>
    <s v="North Las Vegas"/>
    <x v="33"/>
    <n v="89031"/>
    <x v="1"/>
    <x v="489"/>
    <x v="0"/>
    <x v="3"/>
    <x v="489"/>
    <n v="1669.6"/>
    <s v="High"/>
    <n v="4"/>
    <n v="0"/>
    <x v="0"/>
    <x v="0"/>
    <n v="116.872"/>
    <n v="7.0000000000000007E-2"/>
    <n v="0"/>
  </r>
  <r>
    <n v="1518"/>
    <s v="CA-2014-111059"/>
    <d v="2014-02-03T00:00:00"/>
    <x v="2"/>
    <s v="Q1"/>
    <x v="45"/>
    <d v="2014-02-06T00:00:00"/>
    <s v="Second Class"/>
    <x v="483"/>
    <x v="483"/>
    <s v="Consumer"/>
    <s v="United States"/>
    <s v="Seattle"/>
    <x v="4"/>
    <n v="98105"/>
    <x v="1"/>
    <x v="270"/>
    <x v="1"/>
    <x v="8"/>
    <x v="270"/>
    <n v="83.84"/>
    <s v="Medium"/>
    <n v="2"/>
    <n v="0.2"/>
    <x v="2"/>
    <x v="2"/>
    <n v="27.248000000000001"/>
    <n v="0.32500000000000001"/>
    <n v="0"/>
  </r>
  <r>
    <n v="1519"/>
    <s v="CA-2014-111059"/>
    <d v="2014-02-03T00:00:00"/>
    <x v="2"/>
    <s v="Q1"/>
    <x v="45"/>
    <d v="2014-02-06T00:00:00"/>
    <s v="Second Class"/>
    <x v="483"/>
    <x v="483"/>
    <s v="Consumer"/>
    <s v="United States"/>
    <s v="Seattle"/>
    <x v="4"/>
    <n v="98105"/>
    <x v="1"/>
    <x v="555"/>
    <x v="1"/>
    <x v="8"/>
    <x v="554"/>
    <n v="13.272"/>
    <s v="Low"/>
    <n v="3"/>
    <n v="0.2"/>
    <x v="2"/>
    <x v="2"/>
    <n v="4.3133999999999997"/>
    <n v="0.32499999999999996"/>
    <n v="0"/>
  </r>
  <r>
    <n v="1520"/>
    <s v="CA-2017-116204"/>
    <d v="2017-02-11T00:00:00"/>
    <x v="3"/>
    <s v="Q1"/>
    <x v="31"/>
    <d v="2017-02-14T00:00:00"/>
    <s v="Second Class"/>
    <x v="100"/>
    <x v="100"/>
    <s v="Corporate"/>
    <s v="United States"/>
    <s v="San Francisco"/>
    <x v="1"/>
    <n v="94110"/>
    <x v="1"/>
    <x v="733"/>
    <x v="1"/>
    <x v="8"/>
    <x v="732"/>
    <n v="21.335999999999999"/>
    <s v="Low"/>
    <n v="7"/>
    <n v="0.2"/>
    <x v="2"/>
    <x v="2"/>
    <n v="7.7343000000000002"/>
    <n v="0.36250000000000004"/>
    <n v="0"/>
  </r>
  <r>
    <n v="1521"/>
    <s v="CA-2017-109946"/>
    <d v="2017-04-16T00:00:00"/>
    <x v="3"/>
    <s v="Q2"/>
    <x v="4"/>
    <d v="2017-04-21T00:00:00"/>
    <s v="Standard Class"/>
    <x v="484"/>
    <x v="484"/>
    <s v="Home Office"/>
    <s v="United States"/>
    <s v="Chicago"/>
    <x v="10"/>
    <n v="60610"/>
    <x v="2"/>
    <x v="1024"/>
    <x v="1"/>
    <x v="6"/>
    <x v="1015"/>
    <n v="16.52"/>
    <s v="Low"/>
    <n v="5"/>
    <n v="0.2"/>
    <x v="2"/>
    <x v="2"/>
    <n v="2.0649999999999999"/>
    <n v="0.125"/>
    <n v="0"/>
  </r>
  <r>
    <n v="1522"/>
    <s v="CA-2015-144806"/>
    <d v="2015-12-06T00:00:00"/>
    <x v="1"/>
    <s v="Q4"/>
    <x v="14"/>
    <d v="2015-12-11T00:00:00"/>
    <s v="Standard Class"/>
    <x v="485"/>
    <x v="485"/>
    <s v="Consumer"/>
    <s v="United States"/>
    <s v="Tucson"/>
    <x v="16"/>
    <n v="85705"/>
    <x v="1"/>
    <x v="592"/>
    <x v="0"/>
    <x v="5"/>
    <x v="592"/>
    <n v="206.11199999999999"/>
    <s v="High"/>
    <n v="6"/>
    <n v="0.2"/>
    <x v="2"/>
    <x v="2"/>
    <n v="48.951599999999999"/>
    <n v="0.23749999999999999"/>
    <n v="0"/>
  </r>
  <r>
    <n v="1523"/>
    <s v="CA-2015-144806"/>
    <d v="2015-12-06T00:00:00"/>
    <x v="1"/>
    <s v="Q4"/>
    <x v="14"/>
    <d v="2015-12-11T00:00:00"/>
    <s v="Standard Class"/>
    <x v="485"/>
    <x v="485"/>
    <s v="Consumer"/>
    <s v="United States"/>
    <s v="Tucson"/>
    <x v="16"/>
    <n v="85705"/>
    <x v="1"/>
    <x v="1025"/>
    <x v="1"/>
    <x v="10"/>
    <x v="1016"/>
    <n v="19.920000000000002"/>
    <s v="Low"/>
    <n v="5"/>
    <n v="0.2"/>
    <x v="2"/>
    <x v="2"/>
    <n v="6.7229999999999999"/>
    <n v="0.33749999999999997"/>
    <n v="0"/>
  </r>
  <r>
    <n v="1524"/>
    <s v="CA-2015-144806"/>
    <d v="2015-12-06T00:00:00"/>
    <x v="1"/>
    <s v="Q4"/>
    <x v="14"/>
    <d v="2015-12-11T00:00:00"/>
    <s v="Standard Class"/>
    <x v="485"/>
    <x v="485"/>
    <s v="Consumer"/>
    <s v="United States"/>
    <s v="Tucson"/>
    <x v="16"/>
    <n v="85705"/>
    <x v="1"/>
    <x v="334"/>
    <x v="1"/>
    <x v="10"/>
    <x v="334"/>
    <n v="198.27199999999999"/>
    <s v="High"/>
    <n v="8"/>
    <n v="0.2"/>
    <x v="2"/>
    <x v="2"/>
    <n v="61.96"/>
    <n v="0.3125"/>
    <n v="0"/>
  </r>
  <r>
    <n v="1525"/>
    <s v="CA-2015-144806"/>
    <d v="2015-12-06T00:00:00"/>
    <x v="1"/>
    <s v="Q4"/>
    <x v="14"/>
    <d v="2015-12-11T00:00:00"/>
    <s v="Standard Class"/>
    <x v="485"/>
    <x v="485"/>
    <s v="Consumer"/>
    <s v="United States"/>
    <s v="Tucson"/>
    <x v="16"/>
    <n v="85705"/>
    <x v="1"/>
    <x v="232"/>
    <x v="1"/>
    <x v="4"/>
    <x v="233"/>
    <n v="247.10400000000001"/>
    <s v="High"/>
    <n v="6"/>
    <n v="0.2"/>
    <x v="2"/>
    <x v="2"/>
    <n v="-58.687199999999997"/>
    <n v="-0.23749999999999999"/>
    <n v="1"/>
  </r>
  <r>
    <n v="1526"/>
    <s v="CA-2015-144806"/>
    <d v="2015-12-06T00:00:00"/>
    <x v="1"/>
    <s v="Q4"/>
    <x v="14"/>
    <d v="2015-12-11T00:00:00"/>
    <s v="Standard Class"/>
    <x v="485"/>
    <x v="485"/>
    <s v="Consumer"/>
    <s v="United States"/>
    <s v="Tucson"/>
    <x v="16"/>
    <n v="85705"/>
    <x v="1"/>
    <x v="30"/>
    <x v="1"/>
    <x v="6"/>
    <x v="30"/>
    <n v="86.304000000000002"/>
    <s v="Medium"/>
    <n v="6"/>
    <n v="0.2"/>
    <x v="2"/>
    <x v="2"/>
    <n v="9.7091999999999992"/>
    <n v="0.11249999999999999"/>
    <n v="0"/>
  </r>
  <r>
    <n v="1527"/>
    <s v="CA-2016-122392"/>
    <d v="2016-07-22T00:00:00"/>
    <x v="0"/>
    <s v="Q3"/>
    <x v="16"/>
    <d v="2016-07-27T00:00:00"/>
    <s v="Standard Class"/>
    <x v="170"/>
    <x v="170"/>
    <s v="Consumer"/>
    <s v="United States"/>
    <s v="Allentown"/>
    <x v="9"/>
    <n v="18103"/>
    <x v="3"/>
    <x v="1026"/>
    <x v="1"/>
    <x v="6"/>
    <x v="1017"/>
    <n v="4.16"/>
    <s v="Low"/>
    <n v="2"/>
    <n v="0.2"/>
    <x v="2"/>
    <x v="2"/>
    <n v="0.36399999999999999"/>
    <n v="8.7499999999999994E-2"/>
    <n v="0"/>
  </r>
  <r>
    <n v="1528"/>
    <s v="CA-2016-122392"/>
    <d v="2016-07-22T00:00:00"/>
    <x v="0"/>
    <s v="Q3"/>
    <x v="16"/>
    <d v="2016-07-27T00:00:00"/>
    <s v="Standard Class"/>
    <x v="170"/>
    <x v="170"/>
    <s v="Consumer"/>
    <s v="United States"/>
    <s v="Allentown"/>
    <x v="9"/>
    <n v="18103"/>
    <x v="3"/>
    <x v="1027"/>
    <x v="0"/>
    <x v="5"/>
    <x v="1018"/>
    <n v="11.648"/>
    <s v="Low"/>
    <n v="2"/>
    <n v="0.2"/>
    <x v="2"/>
    <x v="2"/>
    <n v="3.3488000000000002"/>
    <n v="0.28750000000000003"/>
    <n v="0"/>
  </r>
  <r>
    <n v="1529"/>
    <s v="CA-2015-148432"/>
    <d v="2015-11-07T00:00:00"/>
    <x v="1"/>
    <s v="Q4"/>
    <x v="6"/>
    <d v="2015-11-10T00:00:00"/>
    <s v="Second Class"/>
    <x v="305"/>
    <x v="305"/>
    <s v="Corporate"/>
    <s v="United States"/>
    <s v="Newark"/>
    <x v="13"/>
    <n v="19711"/>
    <x v="3"/>
    <x v="1028"/>
    <x v="1"/>
    <x v="13"/>
    <x v="1019"/>
    <n v="26.18"/>
    <s v="Medium"/>
    <n v="7"/>
    <n v="0"/>
    <x v="0"/>
    <x v="0"/>
    <n v="0.52359999999999995"/>
    <n v="1.9999999999999997E-2"/>
    <n v="0"/>
  </r>
  <r>
    <n v="1530"/>
    <s v="CA-2015-148432"/>
    <d v="2015-11-07T00:00:00"/>
    <x v="1"/>
    <s v="Q4"/>
    <x v="6"/>
    <d v="2015-11-10T00:00:00"/>
    <s v="Second Class"/>
    <x v="305"/>
    <x v="305"/>
    <s v="Corporate"/>
    <s v="United States"/>
    <s v="Newark"/>
    <x v="13"/>
    <n v="19711"/>
    <x v="3"/>
    <x v="1029"/>
    <x v="1"/>
    <x v="10"/>
    <x v="1020"/>
    <n v="7.3"/>
    <s v="Low"/>
    <n v="2"/>
    <n v="0"/>
    <x v="0"/>
    <x v="0"/>
    <n v="3.431"/>
    <n v="0.47000000000000003"/>
    <n v="0"/>
  </r>
  <r>
    <n v="1531"/>
    <s v="CA-2015-103793"/>
    <d v="2015-03-26T00:00:00"/>
    <x v="1"/>
    <s v="Q1"/>
    <x v="29"/>
    <d v="2015-03-31T00:00:00"/>
    <s v="Standard Class"/>
    <x v="296"/>
    <x v="296"/>
    <s v="Corporate"/>
    <s v="United States"/>
    <s v="Miami"/>
    <x v="2"/>
    <n v="33142"/>
    <x v="0"/>
    <x v="1030"/>
    <x v="1"/>
    <x v="10"/>
    <x v="1021"/>
    <n v="74.352000000000004"/>
    <s v="Medium"/>
    <n v="3"/>
    <n v="0.2"/>
    <x v="2"/>
    <x v="2"/>
    <n v="23.234999999999999"/>
    <n v="0.3125"/>
    <n v="0"/>
  </r>
  <r>
    <n v="1532"/>
    <s v="CA-2017-159884"/>
    <d v="2017-08-31T00:00:00"/>
    <x v="3"/>
    <s v="Q3"/>
    <x v="43"/>
    <d v="2017-09-05T00:00:00"/>
    <s v="Standard Class"/>
    <x v="223"/>
    <x v="223"/>
    <s v="Consumer"/>
    <s v="United States"/>
    <s v="Tempe"/>
    <x v="16"/>
    <n v="85281"/>
    <x v="1"/>
    <x v="1031"/>
    <x v="1"/>
    <x v="4"/>
    <x v="1022"/>
    <n v="10.744"/>
    <s v="Low"/>
    <n v="1"/>
    <n v="0.2"/>
    <x v="2"/>
    <x v="2"/>
    <n v="0.80579999999999996"/>
    <n v="7.4999999999999997E-2"/>
    <n v="0"/>
  </r>
  <r>
    <n v="1533"/>
    <s v="CA-2017-159884"/>
    <d v="2017-08-31T00:00:00"/>
    <x v="3"/>
    <s v="Q3"/>
    <x v="43"/>
    <d v="2017-09-05T00:00:00"/>
    <s v="Standard Class"/>
    <x v="223"/>
    <x v="223"/>
    <s v="Consumer"/>
    <s v="United States"/>
    <s v="Tempe"/>
    <x v="16"/>
    <n v="85281"/>
    <x v="1"/>
    <x v="203"/>
    <x v="1"/>
    <x v="13"/>
    <x v="204"/>
    <n v="8.3759999999999994"/>
    <s v="Low"/>
    <n v="3"/>
    <n v="0.2"/>
    <x v="2"/>
    <x v="2"/>
    <n v="2.7222"/>
    <n v="0.32500000000000001"/>
    <n v="0"/>
  </r>
  <r>
    <n v="1534"/>
    <s v="CA-2016-139885"/>
    <d v="2016-12-04T00:00:00"/>
    <x v="0"/>
    <s v="Q4"/>
    <x v="5"/>
    <d v="2016-12-08T00:00:00"/>
    <s v="Standard Class"/>
    <x v="225"/>
    <x v="225"/>
    <s v="Corporate"/>
    <s v="United States"/>
    <s v="New York City"/>
    <x v="15"/>
    <n v="10035"/>
    <x v="3"/>
    <x v="1032"/>
    <x v="1"/>
    <x v="4"/>
    <x v="1023"/>
    <n v="212.88"/>
    <s v="High"/>
    <n v="6"/>
    <n v="0"/>
    <x v="0"/>
    <x v="0"/>
    <n v="0"/>
    <n v="0"/>
    <n v="0"/>
  </r>
  <r>
    <n v="1535"/>
    <s v="CA-2017-124086"/>
    <d v="2017-02-10T00:00:00"/>
    <x v="3"/>
    <s v="Q1"/>
    <x v="31"/>
    <d v="2017-02-14T00:00:00"/>
    <s v="Standard Class"/>
    <x v="486"/>
    <x v="486"/>
    <s v="Home Office"/>
    <s v="United States"/>
    <s v="Laguna Niguel"/>
    <x v="1"/>
    <n v="92677"/>
    <x v="1"/>
    <x v="574"/>
    <x v="0"/>
    <x v="0"/>
    <x v="574"/>
    <n v="203.983"/>
    <s v="High"/>
    <n v="2"/>
    <n v="0.15"/>
    <x v="2"/>
    <x v="2"/>
    <n v="16.7986"/>
    <n v="8.2352941176470587E-2"/>
    <n v="0"/>
  </r>
  <r>
    <n v="1536"/>
    <s v="CA-2016-112389"/>
    <d v="2016-10-29T00:00:00"/>
    <x v="0"/>
    <s v="Q4"/>
    <x v="32"/>
    <d v="2016-11-02T00:00:00"/>
    <s v="Standard Class"/>
    <x v="487"/>
    <x v="487"/>
    <s v="Corporate"/>
    <s v="United States"/>
    <s v="Bridgeton"/>
    <x v="30"/>
    <n v="8302"/>
    <x v="3"/>
    <x v="1033"/>
    <x v="1"/>
    <x v="4"/>
    <x v="1024"/>
    <n v="40.74"/>
    <s v="Medium"/>
    <n v="3"/>
    <n v="0"/>
    <x v="0"/>
    <x v="0"/>
    <n v="0.40739999999999998"/>
    <n v="9.9999999999999985E-3"/>
    <n v="0"/>
  </r>
  <r>
    <n v="1537"/>
    <s v="CA-2016-112389"/>
    <d v="2016-10-29T00:00:00"/>
    <x v="0"/>
    <s v="Q4"/>
    <x v="32"/>
    <d v="2016-11-02T00:00:00"/>
    <s v="Standard Class"/>
    <x v="487"/>
    <x v="487"/>
    <s v="Corporate"/>
    <s v="United States"/>
    <s v="Bridgeton"/>
    <x v="30"/>
    <n v="8302"/>
    <x v="3"/>
    <x v="1034"/>
    <x v="1"/>
    <x v="9"/>
    <x v="1025"/>
    <n v="11.67"/>
    <s v="Low"/>
    <n v="3"/>
    <n v="0"/>
    <x v="0"/>
    <x v="0"/>
    <n v="3.0341999999999998"/>
    <n v="0.26"/>
    <n v="0"/>
  </r>
  <r>
    <n v="1538"/>
    <s v="CA-2017-121888"/>
    <d v="2017-09-15T00:00:00"/>
    <x v="3"/>
    <s v="Q3"/>
    <x v="15"/>
    <d v="2017-09-17T00:00:00"/>
    <s v="Second Class"/>
    <x v="488"/>
    <x v="488"/>
    <s v="Consumer"/>
    <s v="United States"/>
    <s v="Everett"/>
    <x v="31"/>
    <n v="2149"/>
    <x v="3"/>
    <x v="884"/>
    <x v="2"/>
    <x v="7"/>
    <x v="878"/>
    <n v="39.99"/>
    <s v="Medium"/>
    <n v="1"/>
    <n v="0"/>
    <x v="0"/>
    <x v="0"/>
    <n v="11.597099999999999"/>
    <n v="0.28999999999999998"/>
    <n v="0"/>
  </r>
  <r>
    <n v="1539"/>
    <s v="CA-2017-121888"/>
    <d v="2017-09-15T00:00:00"/>
    <x v="3"/>
    <s v="Q3"/>
    <x v="15"/>
    <d v="2017-09-17T00:00:00"/>
    <s v="Second Class"/>
    <x v="488"/>
    <x v="488"/>
    <s v="Consumer"/>
    <s v="United States"/>
    <s v="Everett"/>
    <x v="31"/>
    <n v="2149"/>
    <x v="3"/>
    <x v="359"/>
    <x v="1"/>
    <x v="6"/>
    <x v="359"/>
    <n v="16.28"/>
    <s v="Low"/>
    <n v="2"/>
    <n v="0"/>
    <x v="0"/>
    <x v="0"/>
    <n v="6.5119999999999996"/>
    <n v="0.39999999999999997"/>
    <n v="0"/>
  </r>
  <r>
    <n v="1540"/>
    <s v="CA-2017-121888"/>
    <d v="2017-09-15T00:00:00"/>
    <x v="3"/>
    <s v="Q3"/>
    <x v="15"/>
    <d v="2017-09-17T00:00:00"/>
    <s v="Second Class"/>
    <x v="488"/>
    <x v="488"/>
    <s v="Consumer"/>
    <s v="United States"/>
    <s v="Everett"/>
    <x v="31"/>
    <n v="2149"/>
    <x v="3"/>
    <x v="37"/>
    <x v="0"/>
    <x v="0"/>
    <x v="37"/>
    <n v="782.94"/>
    <s v="High"/>
    <n v="3"/>
    <n v="0"/>
    <x v="0"/>
    <x v="0"/>
    <n v="203.56440000000001"/>
    <n v="0.26"/>
    <n v="0"/>
  </r>
  <r>
    <n v="1541"/>
    <s v="CA-2017-121888"/>
    <d v="2017-09-15T00:00:00"/>
    <x v="3"/>
    <s v="Q3"/>
    <x v="15"/>
    <d v="2017-09-17T00:00:00"/>
    <s v="Second Class"/>
    <x v="488"/>
    <x v="488"/>
    <s v="Consumer"/>
    <s v="United States"/>
    <s v="Everett"/>
    <x v="31"/>
    <n v="2149"/>
    <x v="3"/>
    <x v="1002"/>
    <x v="1"/>
    <x v="8"/>
    <x v="994"/>
    <n v="242.48"/>
    <s v="High"/>
    <n v="7"/>
    <n v="0"/>
    <x v="0"/>
    <x v="0"/>
    <n v="116.3904"/>
    <n v="0.48000000000000004"/>
    <n v="0"/>
  </r>
  <r>
    <n v="1542"/>
    <s v="CA-2014-166884"/>
    <d v="2014-03-11T00:00:00"/>
    <x v="2"/>
    <s v="Q1"/>
    <x v="34"/>
    <d v="2014-03-16T00:00:00"/>
    <s v="Second Class"/>
    <x v="237"/>
    <x v="237"/>
    <s v="Consumer"/>
    <s v="United States"/>
    <s v="Columbus"/>
    <x v="24"/>
    <n v="43229"/>
    <x v="3"/>
    <x v="1035"/>
    <x v="0"/>
    <x v="5"/>
    <x v="325"/>
    <n v="8.32"/>
    <s v="Low"/>
    <n v="5"/>
    <n v="0.2"/>
    <x v="2"/>
    <x v="2"/>
    <n v="2.2879999999999998"/>
    <n v="0.27499999999999997"/>
    <n v="0"/>
  </r>
  <r>
    <n v="1543"/>
    <s v="CA-2014-166884"/>
    <d v="2014-03-11T00:00:00"/>
    <x v="2"/>
    <s v="Q1"/>
    <x v="34"/>
    <d v="2014-03-16T00:00:00"/>
    <s v="Second Class"/>
    <x v="237"/>
    <x v="237"/>
    <s v="Consumer"/>
    <s v="United States"/>
    <s v="Columbus"/>
    <x v="24"/>
    <n v="43229"/>
    <x v="3"/>
    <x v="845"/>
    <x v="1"/>
    <x v="13"/>
    <x v="839"/>
    <n v="10.464"/>
    <s v="Low"/>
    <n v="6"/>
    <n v="0.2"/>
    <x v="2"/>
    <x v="2"/>
    <n v="1.7003999999999999"/>
    <n v="0.16249999999999998"/>
    <n v="0"/>
  </r>
  <r>
    <n v="1544"/>
    <s v="CA-2014-107181"/>
    <d v="2014-02-04T00:00:00"/>
    <x v="2"/>
    <s v="Q1"/>
    <x v="45"/>
    <d v="2014-02-08T00:00:00"/>
    <s v="Standard Class"/>
    <x v="489"/>
    <x v="489"/>
    <s v="Home Office"/>
    <s v="United States"/>
    <s v="San Diego"/>
    <x v="1"/>
    <n v="92024"/>
    <x v="1"/>
    <x v="655"/>
    <x v="1"/>
    <x v="8"/>
    <x v="655"/>
    <n v="82.896000000000001"/>
    <s v="Medium"/>
    <n v="3"/>
    <n v="0.2"/>
    <x v="2"/>
    <x v="2"/>
    <n v="29.0136"/>
    <n v="0.35"/>
    <n v="0"/>
  </r>
  <r>
    <n v="1545"/>
    <s v="CA-2014-107181"/>
    <d v="2014-02-04T00:00:00"/>
    <x v="2"/>
    <s v="Q1"/>
    <x v="45"/>
    <d v="2014-02-08T00:00:00"/>
    <s v="Standard Class"/>
    <x v="489"/>
    <x v="489"/>
    <s v="Home Office"/>
    <s v="United States"/>
    <s v="San Diego"/>
    <x v="1"/>
    <n v="92024"/>
    <x v="1"/>
    <x v="732"/>
    <x v="1"/>
    <x v="10"/>
    <x v="731"/>
    <n v="34.24"/>
    <s v="Medium"/>
    <n v="4"/>
    <n v="0"/>
    <x v="0"/>
    <x v="0"/>
    <n v="16.0928"/>
    <n v="0.47"/>
    <n v="0"/>
  </r>
  <r>
    <n v="1546"/>
    <s v="CA-2014-150245"/>
    <d v="2014-12-31T00:00:00"/>
    <x v="2"/>
    <s v="Q4"/>
    <x v="20"/>
    <d v="2015-01-04T00:00:00"/>
    <s v="Second Class"/>
    <x v="331"/>
    <x v="331"/>
    <s v="Corporate"/>
    <s v="United States"/>
    <s v="Watertown"/>
    <x v="15"/>
    <n v="13601"/>
    <x v="3"/>
    <x v="178"/>
    <x v="0"/>
    <x v="0"/>
    <x v="179"/>
    <n v="1573.4880000000001"/>
    <s v="High"/>
    <n v="7"/>
    <n v="0.2"/>
    <x v="2"/>
    <x v="2"/>
    <n v="196.68600000000001"/>
    <n v="0.125"/>
    <n v="0"/>
  </r>
  <r>
    <n v="1547"/>
    <s v="CA-2015-111395"/>
    <d v="2015-11-23T00:00:00"/>
    <x v="1"/>
    <s v="Q4"/>
    <x v="6"/>
    <d v="2015-11-27T00:00:00"/>
    <s v="Standard Class"/>
    <x v="146"/>
    <x v="146"/>
    <s v="Corporate"/>
    <s v="United States"/>
    <s v="San Antonio"/>
    <x v="5"/>
    <n v="78207"/>
    <x v="2"/>
    <x v="921"/>
    <x v="1"/>
    <x v="10"/>
    <x v="913"/>
    <n v="335.52"/>
    <s v="High"/>
    <n v="4"/>
    <n v="0.2"/>
    <x v="2"/>
    <x v="2"/>
    <n v="117.432"/>
    <n v="0.35000000000000003"/>
    <n v="0"/>
  </r>
  <r>
    <n v="1548"/>
    <s v="CA-2015-111395"/>
    <d v="2015-11-23T00:00:00"/>
    <x v="1"/>
    <s v="Q4"/>
    <x v="6"/>
    <d v="2015-11-27T00:00:00"/>
    <s v="Standard Class"/>
    <x v="146"/>
    <x v="146"/>
    <s v="Corporate"/>
    <s v="United States"/>
    <s v="San Antonio"/>
    <x v="5"/>
    <n v="78207"/>
    <x v="2"/>
    <x v="979"/>
    <x v="1"/>
    <x v="8"/>
    <x v="972"/>
    <n v="23.911999999999999"/>
    <s v="Low"/>
    <n v="2"/>
    <n v="0.8"/>
    <x v="1"/>
    <x v="3"/>
    <n v="-40.650399999999998"/>
    <n v="-1.7"/>
    <n v="1"/>
  </r>
  <r>
    <n v="1549"/>
    <s v="CA-2015-111395"/>
    <d v="2015-11-23T00:00:00"/>
    <x v="1"/>
    <s v="Q4"/>
    <x v="6"/>
    <d v="2015-11-27T00:00:00"/>
    <s v="Standard Class"/>
    <x v="146"/>
    <x v="146"/>
    <s v="Corporate"/>
    <s v="United States"/>
    <s v="San Antonio"/>
    <x v="5"/>
    <n v="78207"/>
    <x v="2"/>
    <x v="1036"/>
    <x v="1"/>
    <x v="4"/>
    <x v="1026"/>
    <n v="27.056000000000001"/>
    <s v="Medium"/>
    <n v="2"/>
    <n v="0.2"/>
    <x v="2"/>
    <x v="2"/>
    <n v="2.3673999999999999"/>
    <n v="8.7499999999999994E-2"/>
    <n v="0"/>
  </r>
  <r>
    <n v="1550"/>
    <s v="CA-2014-134278"/>
    <d v="2014-07-06T00:00:00"/>
    <x v="2"/>
    <s v="Q3"/>
    <x v="39"/>
    <d v="2014-07-08T00:00:00"/>
    <s v="First Class"/>
    <x v="212"/>
    <x v="212"/>
    <s v="Consumer"/>
    <s v="United States"/>
    <s v="New York City"/>
    <x v="15"/>
    <n v="10011"/>
    <x v="3"/>
    <x v="890"/>
    <x v="2"/>
    <x v="16"/>
    <x v="883"/>
    <n v="559.99199999999996"/>
    <s v="High"/>
    <n v="1"/>
    <n v="0.2"/>
    <x v="2"/>
    <x v="2"/>
    <n v="174.9975"/>
    <n v="0.3125"/>
    <n v="0"/>
  </r>
  <r>
    <n v="1551"/>
    <s v="US-2017-124926"/>
    <d v="2017-11-13T00:00:00"/>
    <x v="3"/>
    <s v="Q4"/>
    <x v="23"/>
    <d v="2017-11-18T00:00:00"/>
    <s v="Second Class"/>
    <x v="467"/>
    <x v="467"/>
    <s v="Home Office"/>
    <s v="United States"/>
    <s v="Houston"/>
    <x v="5"/>
    <n v="77095"/>
    <x v="2"/>
    <x v="1037"/>
    <x v="1"/>
    <x v="9"/>
    <x v="1027"/>
    <n v="9.3239999999999998"/>
    <s v="Low"/>
    <n v="6"/>
    <n v="0.8"/>
    <x v="1"/>
    <x v="3"/>
    <n v="-24.708600000000001"/>
    <n v="-2.65"/>
    <n v="1"/>
  </r>
  <r>
    <n v="1552"/>
    <s v="CA-2016-159345"/>
    <d v="2016-06-17T00:00:00"/>
    <x v="0"/>
    <s v="Q2"/>
    <x v="1"/>
    <d v="2016-06-22T00:00:00"/>
    <s v="Standard Class"/>
    <x v="490"/>
    <x v="490"/>
    <s v="Consumer"/>
    <s v="United States"/>
    <s v="San Diego"/>
    <x v="1"/>
    <n v="92024"/>
    <x v="1"/>
    <x v="964"/>
    <x v="1"/>
    <x v="10"/>
    <x v="957"/>
    <n v="111.96"/>
    <s v="Medium"/>
    <n v="2"/>
    <n v="0"/>
    <x v="0"/>
    <x v="0"/>
    <n v="54.860399999999998"/>
    <n v="0.49"/>
    <n v="0"/>
  </r>
  <r>
    <n v="1553"/>
    <s v="CA-2014-130274"/>
    <d v="2014-05-03T00:00:00"/>
    <x v="2"/>
    <s v="Q2"/>
    <x v="8"/>
    <d v="2014-05-05T00:00:00"/>
    <s v="First Class"/>
    <x v="185"/>
    <x v="185"/>
    <s v="Home Office"/>
    <s v="United States"/>
    <s v="Appleton"/>
    <x v="6"/>
    <n v="54915"/>
    <x v="2"/>
    <x v="1038"/>
    <x v="1"/>
    <x v="2"/>
    <x v="1028"/>
    <n v="21.56"/>
    <s v="Low"/>
    <n v="7"/>
    <n v="0"/>
    <x v="0"/>
    <x v="0"/>
    <n v="10.348800000000001"/>
    <n v="0.48000000000000004"/>
    <n v="0"/>
  </r>
  <r>
    <n v="1554"/>
    <s v="CA-2017-158386"/>
    <d v="2017-10-16T00:00:00"/>
    <x v="3"/>
    <s v="Q4"/>
    <x v="13"/>
    <d v="2017-10-21T00:00:00"/>
    <s v="Standard Class"/>
    <x v="491"/>
    <x v="491"/>
    <s v="Consumer"/>
    <s v="United States"/>
    <s v="Richmond"/>
    <x v="0"/>
    <n v="40475"/>
    <x v="0"/>
    <x v="691"/>
    <x v="1"/>
    <x v="8"/>
    <x v="691"/>
    <n v="124.75"/>
    <s v="High"/>
    <n v="5"/>
    <n v="0"/>
    <x v="0"/>
    <x v="0"/>
    <n v="57.384999999999998"/>
    <n v="0.45999999999999996"/>
    <n v="0"/>
  </r>
  <r>
    <n v="1555"/>
    <s v="CA-2015-111507"/>
    <d v="2015-02-06T00:00:00"/>
    <x v="1"/>
    <s v="Q1"/>
    <x v="36"/>
    <d v="2015-02-13T00:00:00"/>
    <s v="Standard Class"/>
    <x v="100"/>
    <x v="100"/>
    <s v="Corporate"/>
    <s v="United States"/>
    <s v="Bellevue"/>
    <x v="4"/>
    <n v="98006"/>
    <x v="1"/>
    <x v="1039"/>
    <x v="1"/>
    <x v="6"/>
    <x v="1029"/>
    <n v="5.28"/>
    <s v="Low"/>
    <n v="3"/>
    <n v="0"/>
    <x v="0"/>
    <x v="0"/>
    <n v="1.5311999999999999"/>
    <n v="0.28999999999999998"/>
    <n v="0"/>
  </r>
  <r>
    <n v="1556"/>
    <s v="CA-2017-120761"/>
    <d v="2017-09-04T00:00:00"/>
    <x v="3"/>
    <s v="Q3"/>
    <x v="15"/>
    <d v="2017-09-08T00:00:00"/>
    <s v="Standard Class"/>
    <x v="492"/>
    <x v="492"/>
    <s v="Consumer"/>
    <s v="United States"/>
    <s v="Long Beach"/>
    <x v="15"/>
    <n v="11561"/>
    <x v="3"/>
    <x v="43"/>
    <x v="2"/>
    <x v="11"/>
    <x v="43"/>
    <n v="91.96"/>
    <s v="Medium"/>
    <n v="4"/>
    <n v="0"/>
    <x v="0"/>
    <x v="0"/>
    <n v="39.5428"/>
    <n v="0.43000000000000005"/>
    <n v="0"/>
  </r>
  <r>
    <n v="1557"/>
    <s v="CA-2016-109176"/>
    <d v="2016-05-09T00:00:00"/>
    <x v="0"/>
    <s v="Q2"/>
    <x v="35"/>
    <d v="2016-05-15T00:00:00"/>
    <s v="Standard Class"/>
    <x v="493"/>
    <x v="493"/>
    <s v="Consumer"/>
    <s v="United States"/>
    <s v="Philadelphia"/>
    <x v="9"/>
    <n v="19140"/>
    <x v="3"/>
    <x v="1040"/>
    <x v="1"/>
    <x v="12"/>
    <x v="153"/>
    <n v="9.3439999999999994"/>
    <s v="Low"/>
    <n v="1"/>
    <n v="0.2"/>
    <x v="2"/>
    <x v="2"/>
    <n v="3.504"/>
    <n v="0.375"/>
    <n v="0"/>
  </r>
  <r>
    <n v="1558"/>
    <s v="CA-2016-109176"/>
    <d v="2016-05-09T00:00:00"/>
    <x v="0"/>
    <s v="Q2"/>
    <x v="35"/>
    <d v="2016-05-15T00:00:00"/>
    <s v="Standard Class"/>
    <x v="493"/>
    <x v="493"/>
    <s v="Consumer"/>
    <s v="United States"/>
    <s v="Philadelphia"/>
    <x v="9"/>
    <n v="19140"/>
    <x v="3"/>
    <x v="1041"/>
    <x v="1"/>
    <x v="6"/>
    <x v="1030"/>
    <n v="79.36"/>
    <s v="Medium"/>
    <n v="5"/>
    <n v="0.2"/>
    <x v="2"/>
    <x v="2"/>
    <n v="9.92"/>
    <n v="0.125"/>
    <n v="0"/>
  </r>
  <r>
    <n v="1559"/>
    <s v="CA-2015-112116"/>
    <d v="2015-03-16T00:00:00"/>
    <x v="1"/>
    <s v="Q1"/>
    <x v="29"/>
    <d v="2015-03-18T00:00:00"/>
    <s v="Second Class"/>
    <x v="188"/>
    <x v="188"/>
    <s v="Consumer"/>
    <s v="United States"/>
    <s v="Seattle"/>
    <x v="4"/>
    <n v="98103"/>
    <x v="1"/>
    <x v="977"/>
    <x v="0"/>
    <x v="3"/>
    <x v="832"/>
    <n v="171.96"/>
    <s v="High"/>
    <n v="2"/>
    <n v="0"/>
    <x v="0"/>
    <x v="0"/>
    <n v="44.709600000000002"/>
    <n v="0.26"/>
    <n v="0"/>
  </r>
  <r>
    <n v="1560"/>
    <s v="CA-2016-126809"/>
    <d v="2016-04-09T00:00:00"/>
    <x v="0"/>
    <s v="Q2"/>
    <x v="25"/>
    <d v="2016-04-13T00:00:00"/>
    <s v="Standard Class"/>
    <x v="494"/>
    <x v="494"/>
    <s v="Corporate"/>
    <s v="United States"/>
    <s v="Seattle"/>
    <x v="4"/>
    <n v="98103"/>
    <x v="1"/>
    <x v="696"/>
    <x v="1"/>
    <x v="8"/>
    <x v="696"/>
    <n v="35.351999999999997"/>
    <s v="Medium"/>
    <n v="9"/>
    <n v="0.2"/>
    <x v="2"/>
    <x v="2"/>
    <n v="12.815099999999999"/>
    <n v="0.36249999999999999"/>
    <n v="0"/>
  </r>
  <r>
    <n v="1561"/>
    <s v="CA-2014-105172"/>
    <d v="2014-04-04T00:00:00"/>
    <x v="2"/>
    <s v="Q2"/>
    <x v="41"/>
    <d v="2014-04-09T00:00:00"/>
    <s v="Standard Class"/>
    <x v="324"/>
    <x v="324"/>
    <s v="Home Office"/>
    <s v="United States"/>
    <s v="San Francisco"/>
    <x v="1"/>
    <n v="94109"/>
    <x v="1"/>
    <x v="1042"/>
    <x v="1"/>
    <x v="2"/>
    <x v="1031"/>
    <n v="18.899999999999999"/>
    <s v="Low"/>
    <n v="6"/>
    <n v="0"/>
    <x v="0"/>
    <x v="0"/>
    <n v="9.0719999999999992"/>
    <n v="0.48"/>
    <n v="0"/>
  </r>
  <r>
    <n v="1562"/>
    <s v="CA-2017-107293"/>
    <d v="2017-09-05T00:00:00"/>
    <x v="3"/>
    <s v="Q3"/>
    <x v="15"/>
    <d v="2017-09-06T00:00:00"/>
    <s v="First Class"/>
    <x v="37"/>
    <x v="37"/>
    <s v="Home Office"/>
    <s v="United States"/>
    <s v="Seattle"/>
    <x v="4"/>
    <n v="98115"/>
    <x v="1"/>
    <x v="324"/>
    <x v="1"/>
    <x v="6"/>
    <x v="324"/>
    <n v="2.78"/>
    <s v="Low"/>
    <n v="1"/>
    <n v="0"/>
    <x v="0"/>
    <x v="0"/>
    <n v="0.7228"/>
    <n v="0.26"/>
    <n v="0"/>
  </r>
  <r>
    <n v="1563"/>
    <s v="US-2017-102890"/>
    <d v="2017-06-30T00:00:00"/>
    <x v="3"/>
    <s v="Q2"/>
    <x v="27"/>
    <d v="2017-06-30T00:00:00"/>
    <s v="Same Day"/>
    <x v="495"/>
    <x v="495"/>
    <s v="Consumer"/>
    <s v="United States"/>
    <s v="New York City"/>
    <x v="15"/>
    <n v="10011"/>
    <x v="3"/>
    <x v="3"/>
    <x v="0"/>
    <x v="3"/>
    <x v="3"/>
    <n v="1044.6300000000001"/>
    <s v="High"/>
    <n v="5"/>
    <n v="0.4"/>
    <x v="1"/>
    <x v="7"/>
    <n v="-295.9785"/>
    <n v="-0.28333333333333333"/>
    <n v="1"/>
  </r>
  <r>
    <n v="1564"/>
    <s v="CA-2015-158554"/>
    <d v="2015-11-09T00:00:00"/>
    <x v="1"/>
    <s v="Q4"/>
    <x v="6"/>
    <d v="2015-11-09T00:00:00"/>
    <s v="Same Day"/>
    <x v="496"/>
    <x v="496"/>
    <s v="Consumer"/>
    <s v="United States"/>
    <s v="Philadelphia"/>
    <x v="9"/>
    <n v="19134"/>
    <x v="3"/>
    <x v="204"/>
    <x v="1"/>
    <x v="10"/>
    <x v="205"/>
    <n v="11.352"/>
    <s v="Low"/>
    <n v="3"/>
    <n v="0.2"/>
    <x v="2"/>
    <x v="2"/>
    <n v="4.1151"/>
    <n v="0.36249999999999999"/>
    <n v="0"/>
  </r>
  <r>
    <n v="1565"/>
    <s v="CA-2014-116239"/>
    <d v="2014-03-04T00:00:00"/>
    <x v="2"/>
    <s v="Q1"/>
    <x v="34"/>
    <d v="2014-03-04T00:00:00"/>
    <s v="Same Day"/>
    <x v="52"/>
    <x v="52"/>
    <s v="Consumer"/>
    <s v="United States"/>
    <s v="Columbia"/>
    <x v="20"/>
    <n v="29203"/>
    <x v="0"/>
    <x v="1043"/>
    <x v="1"/>
    <x v="4"/>
    <x v="1032"/>
    <n v="354.9"/>
    <s v="High"/>
    <n v="5"/>
    <n v="0"/>
    <x v="0"/>
    <x v="0"/>
    <n v="17.745000000000001"/>
    <n v="0.05"/>
    <n v="0"/>
  </r>
  <r>
    <n v="1566"/>
    <s v="CA-2015-132101"/>
    <d v="2015-03-19T00:00:00"/>
    <x v="1"/>
    <s v="Q1"/>
    <x v="29"/>
    <d v="2015-03-25T00:00:00"/>
    <s v="Standard Class"/>
    <x v="270"/>
    <x v="270"/>
    <s v="Home Office"/>
    <s v="United States"/>
    <s v="Seattle"/>
    <x v="4"/>
    <n v="98105"/>
    <x v="1"/>
    <x v="867"/>
    <x v="2"/>
    <x v="7"/>
    <x v="861"/>
    <n v="453.57600000000002"/>
    <s v="High"/>
    <n v="3"/>
    <n v="0.2"/>
    <x v="2"/>
    <x v="2"/>
    <n v="39.687899999999999"/>
    <n v="8.7499999999999994E-2"/>
    <n v="0"/>
  </r>
  <r>
    <n v="1567"/>
    <s v="CA-2015-129112"/>
    <d v="2015-11-29T00:00:00"/>
    <x v="1"/>
    <s v="Q4"/>
    <x v="6"/>
    <d v="2015-11-30T00:00:00"/>
    <s v="First Class"/>
    <x v="497"/>
    <x v="497"/>
    <s v="Consumer"/>
    <s v="United States"/>
    <s v="Allen"/>
    <x v="5"/>
    <n v="75002"/>
    <x v="2"/>
    <x v="1044"/>
    <x v="2"/>
    <x v="11"/>
    <x v="1033"/>
    <n v="21.48"/>
    <s v="Low"/>
    <n v="3"/>
    <n v="0.2"/>
    <x v="2"/>
    <x v="2"/>
    <n v="-0.26850000000000002"/>
    <n v="-1.2500000000000001E-2"/>
    <n v="1"/>
  </r>
  <r>
    <n v="1568"/>
    <s v="CA-2015-129112"/>
    <d v="2015-11-29T00:00:00"/>
    <x v="1"/>
    <s v="Q4"/>
    <x v="6"/>
    <d v="2015-11-30T00:00:00"/>
    <s v="First Class"/>
    <x v="497"/>
    <x v="497"/>
    <s v="Consumer"/>
    <s v="United States"/>
    <s v="Allen"/>
    <x v="5"/>
    <n v="75002"/>
    <x v="2"/>
    <x v="1045"/>
    <x v="1"/>
    <x v="8"/>
    <x v="1034"/>
    <n v="8.7840000000000007"/>
    <s v="Low"/>
    <n v="4"/>
    <n v="0.8"/>
    <x v="1"/>
    <x v="3"/>
    <n v="-13.6152"/>
    <n v="-1.5499999999999998"/>
    <n v="1"/>
  </r>
  <r>
    <n v="1569"/>
    <s v="US-2017-152002"/>
    <d v="2017-06-11T00:00:00"/>
    <x v="3"/>
    <s v="Q2"/>
    <x v="27"/>
    <d v="2017-06-11T00:00:00"/>
    <s v="Same Day"/>
    <x v="231"/>
    <x v="231"/>
    <s v="Consumer"/>
    <s v="United States"/>
    <s v="Los Angeles"/>
    <x v="1"/>
    <n v="90004"/>
    <x v="1"/>
    <x v="447"/>
    <x v="1"/>
    <x v="10"/>
    <x v="447"/>
    <n v="122.97"/>
    <s v="High"/>
    <n v="3"/>
    <n v="0"/>
    <x v="0"/>
    <x v="0"/>
    <n v="60.255299999999998"/>
    <n v="0.49"/>
    <n v="0"/>
  </r>
  <r>
    <n v="1570"/>
    <s v="CA-2017-165029"/>
    <d v="2017-11-26T00:00:00"/>
    <x v="3"/>
    <s v="Q4"/>
    <x v="23"/>
    <d v="2017-11-30T00:00:00"/>
    <s v="Standard Class"/>
    <x v="340"/>
    <x v="340"/>
    <s v="Corporate"/>
    <s v="United States"/>
    <s v="Atlanta"/>
    <x v="32"/>
    <n v="30318"/>
    <x v="0"/>
    <x v="1046"/>
    <x v="1"/>
    <x v="6"/>
    <x v="1035"/>
    <n v="12.84"/>
    <s v="Low"/>
    <n v="3"/>
    <n v="0"/>
    <x v="0"/>
    <x v="0"/>
    <n v="3.7235999999999998"/>
    <n v="0.28999999999999998"/>
    <n v="0"/>
  </r>
  <r>
    <n v="1571"/>
    <s v="US-2014-157385"/>
    <d v="2014-11-23T00:00:00"/>
    <x v="2"/>
    <s v="Q4"/>
    <x v="7"/>
    <d v="2014-11-25T00:00:00"/>
    <s v="First Class"/>
    <x v="183"/>
    <x v="183"/>
    <s v="Consumer"/>
    <s v="United States"/>
    <s v="Los Angeles"/>
    <x v="1"/>
    <n v="90004"/>
    <x v="1"/>
    <x v="83"/>
    <x v="0"/>
    <x v="1"/>
    <x v="83"/>
    <n v="603.91999999999996"/>
    <s v="High"/>
    <n v="5"/>
    <n v="0.2"/>
    <x v="2"/>
    <x v="2"/>
    <n v="-67.941000000000003"/>
    <n v="-0.11250000000000002"/>
    <n v="1"/>
  </r>
  <r>
    <n v="1572"/>
    <s v="US-2014-157385"/>
    <d v="2014-11-23T00:00:00"/>
    <x v="2"/>
    <s v="Q4"/>
    <x v="7"/>
    <d v="2014-11-25T00:00:00"/>
    <s v="First Class"/>
    <x v="183"/>
    <x v="183"/>
    <s v="Consumer"/>
    <s v="United States"/>
    <s v="Los Angeles"/>
    <x v="1"/>
    <n v="90004"/>
    <x v="1"/>
    <x v="1047"/>
    <x v="1"/>
    <x v="12"/>
    <x v="1036"/>
    <n v="21.84"/>
    <s v="Low"/>
    <n v="3"/>
    <n v="0"/>
    <x v="0"/>
    <x v="0"/>
    <n v="10.4832"/>
    <n v="0.48"/>
    <n v="0"/>
  </r>
  <r>
    <n v="1573"/>
    <s v="US-2014-157385"/>
    <d v="2014-11-23T00:00:00"/>
    <x v="2"/>
    <s v="Q4"/>
    <x v="7"/>
    <d v="2014-11-25T00:00:00"/>
    <s v="First Class"/>
    <x v="183"/>
    <x v="183"/>
    <s v="Consumer"/>
    <s v="United States"/>
    <s v="Los Angeles"/>
    <x v="1"/>
    <n v="90004"/>
    <x v="1"/>
    <x v="1048"/>
    <x v="2"/>
    <x v="11"/>
    <x v="1037"/>
    <n v="29.99"/>
    <s v="Medium"/>
    <n v="1"/>
    <n v="0"/>
    <x v="0"/>
    <x v="0"/>
    <n v="6.2979000000000003"/>
    <n v="0.21000000000000002"/>
    <n v="0"/>
  </r>
  <r>
    <n v="1574"/>
    <s v="US-2014-157385"/>
    <d v="2014-11-23T00:00:00"/>
    <x v="2"/>
    <s v="Q4"/>
    <x v="7"/>
    <d v="2014-11-25T00:00:00"/>
    <s v="First Class"/>
    <x v="183"/>
    <x v="183"/>
    <s v="Consumer"/>
    <s v="United States"/>
    <s v="Los Angeles"/>
    <x v="1"/>
    <n v="90004"/>
    <x v="1"/>
    <x v="467"/>
    <x v="0"/>
    <x v="1"/>
    <x v="468"/>
    <n v="381.44"/>
    <s v="High"/>
    <n v="2"/>
    <n v="0.2"/>
    <x v="2"/>
    <x v="2"/>
    <n v="23.84"/>
    <n v="6.25E-2"/>
    <n v="0"/>
  </r>
  <r>
    <n v="1575"/>
    <s v="CA-2014-101602"/>
    <d v="2014-12-15T00:00:00"/>
    <x v="2"/>
    <s v="Q4"/>
    <x v="20"/>
    <d v="2014-12-18T00:00:00"/>
    <s v="First Class"/>
    <x v="498"/>
    <x v="498"/>
    <s v="Consumer"/>
    <s v="United States"/>
    <s v="El Paso"/>
    <x v="5"/>
    <n v="79907"/>
    <x v="2"/>
    <x v="1049"/>
    <x v="2"/>
    <x v="7"/>
    <x v="1038"/>
    <n v="40.68"/>
    <s v="Medium"/>
    <n v="3"/>
    <n v="0.2"/>
    <x v="2"/>
    <x v="2"/>
    <n v="-9.1530000000000005"/>
    <n v="-0.22500000000000001"/>
    <n v="1"/>
  </r>
  <r>
    <n v="1576"/>
    <s v="CA-2014-101602"/>
    <d v="2014-12-15T00:00:00"/>
    <x v="2"/>
    <s v="Q4"/>
    <x v="20"/>
    <d v="2014-12-18T00:00:00"/>
    <s v="First Class"/>
    <x v="498"/>
    <x v="498"/>
    <s v="Consumer"/>
    <s v="United States"/>
    <s v="El Paso"/>
    <x v="5"/>
    <n v="79907"/>
    <x v="2"/>
    <x v="635"/>
    <x v="0"/>
    <x v="1"/>
    <x v="635"/>
    <n v="763.28"/>
    <s v="High"/>
    <n v="5"/>
    <n v="0.3"/>
    <x v="1"/>
    <x v="4"/>
    <n v="-21.808"/>
    <n v="-2.8571428571428571E-2"/>
    <n v="1"/>
  </r>
  <r>
    <n v="1577"/>
    <s v="CA-2016-109057"/>
    <d v="2016-04-22T00:00:00"/>
    <x v="0"/>
    <s v="Q2"/>
    <x v="25"/>
    <d v="2016-04-27T00:00:00"/>
    <s v="Standard Class"/>
    <x v="499"/>
    <x v="499"/>
    <s v="Home Office"/>
    <s v="United States"/>
    <s v="Aurora"/>
    <x v="10"/>
    <n v="60505"/>
    <x v="2"/>
    <x v="328"/>
    <x v="1"/>
    <x v="4"/>
    <x v="328"/>
    <n v="23.952000000000002"/>
    <s v="Low"/>
    <n v="2"/>
    <n v="0.2"/>
    <x v="2"/>
    <x v="2"/>
    <n v="2.3952"/>
    <n v="9.9999999999999992E-2"/>
    <n v="0"/>
  </r>
  <r>
    <n v="1578"/>
    <s v="CA-2016-154403"/>
    <d v="2016-05-23T00:00:00"/>
    <x v="0"/>
    <s v="Q2"/>
    <x v="35"/>
    <d v="2016-05-27T00:00:00"/>
    <s v="Standard Class"/>
    <x v="399"/>
    <x v="399"/>
    <s v="Home Office"/>
    <s v="United States"/>
    <s v="Florence"/>
    <x v="19"/>
    <n v="35630"/>
    <x v="0"/>
    <x v="1050"/>
    <x v="1"/>
    <x v="10"/>
    <x v="1039"/>
    <n v="4.9800000000000004"/>
    <s v="Low"/>
    <n v="1"/>
    <n v="0"/>
    <x v="0"/>
    <x v="0"/>
    <n v="2.4401999999999999"/>
    <n v="0.48999999999999994"/>
    <n v="0"/>
  </r>
  <r>
    <n v="1579"/>
    <s v="CA-2016-102456"/>
    <d v="2016-02-27T00:00:00"/>
    <x v="0"/>
    <s v="Q1"/>
    <x v="47"/>
    <d v="2016-03-01T00:00:00"/>
    <s v="First Class"/>
    <x v="297"/>
    <x v="297"/>
    <s v="Consumer"/>
    <s v="United States"/>
    <s v="New York City"/>
    <x v="15"/>
    <n v="10011"/>
    <x v="3"/>
    <x v="1051"/>
    <x v="1"/>
    <x v="9"/>
    <x v="1040"/>
    <n v="170.88"/>
    <s v="High"/>
    <n v="3"/>
    <n v="0"/>
    <x v="0"/>
    <x v="0"/>
    <n v="49.555199999999999"/>
    <n v="0.28999999999999998"/>
    <n v="0"/>
  </r>
  <r>
    <n v="1580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348"/>
    <x v="2"/>
    <x v="7"/>
    <x v="348"/>
    <n v="307.98"/>
    <s v="High"/>
    <n v="2"/>
    <n v="0"/>
    <x v="0"/>
    <x v="0"/>
    <n v="89.3142"/>
    <n v="0.28999999999999998"/>
    <n v="0"/>
  </r>
  <r>
    <n v="1581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223"/>
    <x v="0"/>
    <x v="3"/>
    <x v="224"/>
    <n v="382.80599999999998"/>
    <s v="High"/>
    <n v="9"/>
    <n v="0.4"/>
    <x v="1"/>
    <x v="7"/>
    <n v="-153.1224"/>
    <n v="-0.4"/>
    <n v="1"/>
  </r>
  <r>
    <n v="1582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193"/>
    <x v="1"/>
    <x v="4"/>
    <x v="194"/>
    <n v="41.96"/>
    <s v="Medium"/>
    <n v="2"/>
    <n v="0"/>
    <x v="0"/>
    <x v="0"/>
    <n v="2.9371999999999998"/>
    <n v="6.9999999999999993E-2"/>
    <n v="0"/>
  </r>
  <r>
    <n v="1583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692"/>
    <x v="1"/>
    <x v="8"/>
    <x v="692"/>
    <n v="1217.568"/>
    <s v="High"/>
    <n v="2"/>
    <n v="0.2"/>
    <x v="2"/>
    <x v="2"/>
    <n v="456.58800000000002"/>
    <n v="0.375"/>
    <n v="0"/>
  </r>
  <r>
    <n v="1584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116"/>
    <x v="0"/>
    <x v="5"/>
    <x v="116"/>
    <n v="47.04"/>
    <s v="Medium"/>
    <n v="3"/>
    <n v="0"/>
    <x v="0"/>
    <x v="0"/>
    <n v="18.345600000000001"/>
    <n v="0.39"/>
    <n v="0"/>
  </r>
  <r>
    <n v="1585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50"/>
    <x v="0"/>
    <x v="5"/>
    <x v="50"/>
    <n v="6.16"/>
    <s v="Low"/>
    <n v="2"/>
    <n v="0"/>
    <x v="0"/>
    <x v="0"/>
    <n v="2.9567999999999999"/>
    <n v="0.48"/>
    <n v="0"/>
  </r>
  <r>
    <n v="1586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469"/>
    <x v="2"/>
    <x v="7"/>
    <x v="470"/>
    <n v="979.95"/>
    <s v="High"/>
    <n v="5"/>
    <n v="0"/>
    <x v="0"/>
    <x v="0"/>
    <n v="274.38600000000002"/>
    <n v="0.28000000000000003"/>
    <n v="0"/>
  </r>
  <r>
    <n v="1587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1052"/>
    <x v="1"/>
    <x v="10"/>
    <x v="1041"/>
    <n v="143.69999999999999"/>
    <s v="High"/>
    <n v="3"/>
    <n v="0"/>
    <x v="0"/>
    <x v="0"/>
    <n v="68.975999999999999"/>
    <n v="0.48000000000000004"/>
    <n v="0"/>
  </r>
  <r>
    <n v="1588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1053"/>
    <x v="1"/>
    <x v="13"/>
    <x v="1042"/>
    <n v="10.65"/>
    <s v="Low"/>
    <n v="3"/>
    <n v="0"/>
    <x v="0"/>
    <x v="0"/>
    <n v="5.0054999999999996"/>
    <n v="0.47"/>
    <n v="0"/>
  </r>
  <r>
    <n v="1589"/>
    <s v="CA-2015-131338"/>
    <d v="2015-08-09T00:00:00"/>
    <x v="1"/>
    <s v="Q3"/>
    <x v="37"/>
    <d v="2015-08-12T00:00:00"/>
    <s v="First Class"/>
    <x v="268"/>
    <x v="268"/>
    <s v="Consumer"/>
    <s v="United States"/>
    <s v="New York City"/>
    <x v="15"/>
    <n v="10024"/>
    <x v="3"/>
    <x v="386"/>
    <x v="2"/>
    <x v="11"/>
    <x v="387"/>
    <n v="247.8"/>
    <s v="High"/>
    <n v="4"/>
    <n v="0"/>
    <x v="0"/>
    <x v="0"/>
    <n v="34.692"/>
    <n v="0.13999999999999999"/>
    <n v="0"/>
  </r>
  <r>
    <n v="1590"/>
    <s v="CA-2016-109911"/>
    <d v="2016-05-12T00:00:00"/>
    <x v="0"/>
    <s v="Q2"/>
    <x v="35"/>
    <d v="2016-05-16T00:00:00"/>
    <s v="Standard Class"/>
    <x v="500"/>
    <x v="500"/>
    <s v="Corporate"/>
    <s v="United States"/>
    <s v="Virginia Beach"/>
    <x v="17"/>
    <n v="23464"/>
    <x v="0"/>
    <x v="448"/>
    <x v="1"/>
    <x v="6"/>
    <x v="448"/>
    <n v="10.96"/>
    <s v="Low"/>
    <n v="4"/>
    <n v="0"/>
    <x v="0"/>
    <x v="0"/>
    <n v="2.9592000000000001"/>
    <n v="0.26999999999999996"/>
    <n v="0"/>
  </r>
  <r>
    <n v="1591"/>
    <s v="US-2016-132423"/>
    <d v="2016-04-15T00:00:00"/>
    <x v="0"/>
    <s v="Q2"/>
    <x v="25"/>
    <d v="2016-04-19T00:00:00"/>
    <s v="Standard Class"/>
    <x v="501"/>
    <x v="501"/>
    <s v="Corporate"/>
    <s v="United States"/>
    <s v="Grapevine"/>
    <x v="5"/>
    <n v="76051"/>
    <x v="2"/>
    <x v="1054"/>
    <x v="1"/>
    <x v="6"/>
    <x v="1043"/>
    <n v="33.488"/>
    <s v="Medium"/>
    <n v="7"/>
    <n v="0.2"/>
    <x v="2"/>
    <x v="2"/>
    <n v="5.8604000000000003"/>
    <n v="0.17500000000000002"/>
    <n v="0"/>
  </r>
  <r>
    <n v="1592"/>
    <s v="US-2016-132423"/>
    <d v="2016-04-15T00:00:00"/>
    <x v="0"/>
    <s v="Q2"/>
    <x v="25"/>
    <d v="2016-04-19T00:00:00"/>
    <s v="Standard Class"/>
    <x v="501"/>
    <x v="501"/>
    <s v="Corporate"/>
    <s v="United States"/>
    <s v="Grapevine"/>
    <x v="5"/>
    <n v="76051"/>
    <x v="2"/>
    <x v="131"/>
    <x v="1"/>
    <x v="13"/>
    <x v="132"/>
    <n v="8.0399999999999991"/>
    <s v="Low"/>
    <n v="5"/>
    <n v="0.2"/>
    <x v="2"/>
    <x v="2"/>
    <n v="2.9144999999999999"/>
    <n v="0.36250000000000004"/>
    <n v="0"/>
  </r>
  <r>
    <n v="1593"/>
    <s v="CA-2015-122826"/>
    <d v="2015-06-23T00:00:00"/>
    <x v="1"/>
    <s v="Q2"/>
    <x v="40"/>
    <d v="2015-06-25T00:00:00"/>
    <s v="Second Class"/>
    <x v="502"/>
    <x v="502"/>
    <s v="Consumer"/>
    <s v="United States"/>
    <s v="Olympia"/>
    <x v="4"/>
    <n v="98502"/>
    <x v="1"/>
    <x v="1055"/>
    <x v="2"/>
    <x v="7"/>
    <x v="1044"/>
    <n v="201.56800000000001"/>
    <s v="High"/>
    <n v="4"/>
    <n v="0.2"/>
    <x v="2"/>
    <x v="2"/>
    <n v="22.676400000000001"/>
    <n v="0.1125"/>
    <n v="0"/>
  </r>
  <r>
    <n v="1594"/>
    <s v="CA-2014-117317"/>
    <d v="2014-10-19T00:00:00"/>
    <x v="2"/>
    <s v="Q4"/>
    <x v="18"/>
    <d v="2014-10-19T00:00:00"/>
    <s v="Same Day"/>
    <x v="223"/>
    <x v="223"/>
    <s v="Consumer"/>
    <s v="United States"/>
    <s v="Los Angeles"/>
    <x v="1"/>
    <n v="90032"/>
    <x v="1"/>
    <x v="1056"/>
    <x v="1"/>
    <x v="10"/>
    <x v="1045"/>
    <n v="13.44"/>
    <s v="Low"/>
    <n v="3"/>
    <n v="0"/>
    <x v="0"/>
    <x v="0"/>
    <n v="6.5856000000000003"/>
    <n v="0.49000000000000005"/>
    <n v="0"/>
  </r>
  <r>
    <n v="1595"/>
    <s v="CA-2015-118423"/>
    <d v="2015-03-24T00:00:00"/>
    <x v="1"/>
    <s v="Q1"/>
    <x v="29"/>
    <d v="2015-03-27T00:00:00"/>
    <s v="First Class"/>
    <x v="503"/>
    <x v="503"/>
    <s v="Home Office"/>
    <s v="United States"/>
    <s v="Peoria"/>
    <x v="10"/>
    <n v="61604"/>
    <x v="2"/>
    <x v="1057"/>
    <x v="0"/>
    <x v="0"/>
    <x v="1046"/>
    <n v="359.05799999999999"/>
    <s v="High"/>
    <n v="3"/>
    <n v="0.3"/>
    <x v="1"/>
    <x v="4"/>
    <n v="-35.905799999999999"/>
    <n v="-0.1"/>
    <n v="1"/>
  </r>
  <r>
    <n v="1596"/>
    <s v="CA-2017-149181"/>
    <d v="2017-05-08T00:00:00"/>
    <x v="3"/>
    <s v="Q2"/>
    <x v="24"/>
    <d v="2017-05-12T00:00:00"/>
    <s v="Standard Class"/>
    <x v="198"/>
    <x v="198"/>
    <s v="Consumer"/>
    <s v="United States"/>
    <s v="Columbus"/>
    <x v="24"/>
    <n v="43229"/>
    <x v="3"/>
    <x v="877"/>
    <x v="0"/>
    <x v="1"/>
    <x v="871"/>
    <n v="47.991999999999997"/>
    <s v="Medium"/>
    <n v="2"/>
    <n v="0.3"/>
    <x v="1"/>
    <x v="4"/>
    <n v="-2.0568"/>
    <n v="-4.2857142857142858E-2"/>
    <n v="1"/>
  </r>
  <r>
    <n v="1597"/>
    <s v="CA-2017-132234"/>
    <d v="2017-10-16T00:00:00"/>
    <x v="3"/>
    <s v="Q4"/>
    <x v="13"/>
    <d v="2017-10-18T00:00:00"/>
    <s v="First Class"/>
    <x v="199"/>
    <x v="199"/>
    <s v="Corporate"/>
    <s v="United States"/>
    <s v="New York City"/>
    <x v="15"/>
    <n v="10011"/>
    <x v="3"/>
    <x v="451"/>
    <x v="0"/>
    <x v="5"/>
    <x v="452"/>
    <n v="547.29999999999995"/>
    <s v="High"/>
    <n v="13"/>
    <n v="0"/>
    <x v="0"/>
    <x v="0"/>
    <n v="175.136"/>
    <n v="0.32"/>
    <n v="0"/>
  </r>
  <r>
    <n v="1598"/>
    <s v="CA-2017-158876"/>
    <d v="2017-11-19T00:00:00"/>
    <x v="3"/>
    <s v="Q4"/>
    <x v="23"/>
    <d v="2017-11-21T00:00:00"/>
    <s v="Second Class"/>
    <x v="492"/>
    <x v="492"/>
    <s v="Consumer"/>
    <s v="United States"/>
    <s v="Carrollton"/>
    <x v="5"/>
    <n v="75007"/>
    <x v="2"/>
    <x v="1058"/>
    <x v="1"/>
    <x v="10"/>
    <x v="1047"/>
    <n v="16.896000000000001"/>
    <s v="Low"/>
    <n v="4"/>
    <n v="0.2"/>
    <x v="2"/>
    <x v="2"/>
    <n v="5.28"/>
    <n v="0.3125"/>
    <n v="0"/>
  </r>
  <r>
    <n v="1599"/>
    <s v="CA-2017-158876"/>
    <d v="2017-11-19T00:00:00"/>
    <x v="3"/>
    <s v="Q4"/>
    <x v="23"/>
    <d v="2017-11-21T00:00:00"/>
    <s v="Second Class"/>
    <x v="492"/>
    <x v="492"/>
    <s v="Consumer"/>
    <s v="United States"/>
    <s v="Carrollton"/>
    <x v="5"/>
    <n v="75007"/>
    <x v="2"/>
    <x v="1059"/>
    <x v="1"/>
    <x v="14"/>
    <x v="1048"/>
    <n v="6.6719999999999997"/>
    <s v="Low"/>
    <n v="1"/>
    <n v="0.2"/>
    <x v="2"/>
    <x v="2"/>
    <n v="0.50039999999999996"/>
    <n v="7.4999999999999997E-2"/>
    <n v="0"/>
  </r>
  <r>
    <n v="1600"/>
    <s v="CA-2017-158876"/>
    <d v="2017-11-19T00:00:00"/>
    <x v="3"/>
    <s v="Q4"/>
    <x v="23"/>
    <d v="2017-11-21T00:00:00"/>
    <s v="Second Class"/>
    <x v="492"/>
    <x v="492"/>
    <s v="Consumer"/>
    <s v="United States"/>
    <s v="Carrollton"/>
    <x v="5"/>
    <n v="75007"/>
    <x v="2"/>
    <x v="290"/>
    <x v="1"/>
    <x v="6"/>
    <x v="290"/>
    <n v="99.135999999999996"/>
    <s v="Medium"/>
    <n v="4"/>
    <n v="0.2"/>
    <x v="2"/>
    <x v="2"/>
    <n v="8.6744000000000003"/>
    <n v="8.7500000000000008E-2"/>
    <n v="0"/>
  </r>
  <r>
    <n v="1601"/>
    <s v="CA-2017-158876"/>
    <d v="2017-11-19T00:00:00"/>
    <x v="3"/>
    <s v="Q4"/>
    <x v="23"/>
    <d v="2017-11-21T00:00:00"/>
    <s v="Second Class"/>
    <x v="492"/>
    <x v="492"/>
    <s v="Consumer"/>
    <s v="United States"/>
    <s v="Carrollton"/>
    <x v="5"/>
    <n v="75007"/>
    <x v="2"/>
    <x v="296"/>
    <x v="0"/>
    <x v="5"/>
    <x v="296"/>
    <n v="15.992000000000001"/>
    <s v="Low"/>
    <n v="2"/>
    <n v="0.6"/>
    <x v="1"/>
    <x v="6"/>
    <n v="-13.993"/>
    <n v="-0.875"/>
    <n v="1"/>
  </r>
  <r>
    <n v="1602"/>
    <s v="CA-2016-164672"/>
    <d v="2016-05-08T00:00:00"/>
    <x v="0"/>
    <s v="Q2"/>
    <x v="35"/>
    <d v="2016-05-13T00:00:00"/>
    <s v="Second Class"/>
    <x v="334"/>
    <x v="334"/>
    <s v="Corporate"/>
    <s v="United States"/>
    <s v="Dover"/>
    <x v="13"/>
    <n v="19901"/>
    <x v="3"/>
    <x v="1060"/>
    <x v="0"/>
    <x v="5"/>
    <x v="1049"/>
    <n v="211.96"/>
    <s v="High"/>
    <n v="2"/>
    <n v="0"/>
    <x v="0"/>
    <x v="0"/>
    <n v="42.392000000000003"/>
    <n v="0.2"/>
    <n v="0"/>
  </r>
  <r>
    <n v="1603"/>
    <s v="US-2016-132857"/>
    <d v="2016-12-11T00:00:00"/>
    <x v="0"/>
    <s v="Q4"/>
    <x v="5"/>
    <d v="2016-12-17T00:00:00"/>
    <s v="Standard Class"/>
    <x v="222"/>
    <x v="222"/>
    <s v="Consumer"/>
    <s v="United States"/>
    <s v="Smyrna"/>
    <x v="18"/>
    <n v="37167"/>
    <x v="0"/>
    <x v="1061"/>
    <x v="1"/>
    <x v="6"/>
    <x v="1050"/>
    <n v="6.6719999999999997"/>
    <s v="Low"/>
    <n v="3"/>
    <n v="0.2"/>
    <x v="2"/>
    <x v="2"/>
    <n v="1.6679999999999999"/>
    <n v="0.25"/>
    <n v="0"/>
  </r>
  <r>
    <n v="1604"/>
    <s v="CA-2017-116645"/>
    <d v="2017-11-30T00:00:00"/>
    <x v="3"/>
    <s v="Q4"/>
    <x v="23"/>
    <d v="2017-12-04T00:00:00"/>
    <s v="Standard Class"/>
    <x v="250"/>
    <x v="250"/>
    <s v="Consumer"/>
    <s v="United States"/>
    <s v="Newark"/>
    <x v="13"/>
    <n v="19711"/>
    <x v="3"/>
    <x v="1062"/>
    <x v="1"/>
    <x v="6"/>
    <x v="1051"/>
    <n v="155.94"/>
    <s v="High"/>
    <n v="6"/>
    <n v="0"/>
    <x v="0"/>
    <x v="0"/>
    <n v="45.2226"/>
    <n v="0.28999999999999998"/>
    <n v="0"/>
  </r>
  <r>
    <n v="1605"/>
    <s v="US-2016-115819"/>
    <d v="2016-04-19T00:00:00"/>
    <x v="0"/>
    <s v="Q2"/>
    <x v="25"/>
    <d v="2016-04-24T00:00:00"/>
    <s v="Second Class"/>
    <x v="123"/>
    <x v="123"/>
    <s v="Consumer"/>
    <s v="United States"/>
    <s v="Los Angeles"/>
    <x v="1"/>
    <n v="90049"/>
    <x v="1"/>
    <x v="857"/>
    <x v="2"/>
    <x v="7"/>
    <x v="851"/>
    <n v="39.96"/>
    <s v="Medium"/>
    <n v="5"/>
    <n v="0.2"/>
    <x v="2"/>
    <x v="2"/>
    <n v="12.987"/>
    <n v="0.32500000000000001"/>
    <n v="0"/>
  </r>
  <r>
    <n v="1606"/>
    <s v="US-2016-115819"/>
    <d v="2016-04-19T00:00:00"/>
    <x v="0"/>
    <s v="Q2"/>
    <x v="25"/>
    <d v="2016-04-24T00:00:00"/>
    <s v="Second Class"/>
    <x v="123"/>
    <x v="123"/>
    <s v="Consumer"/>
    <s v="United States"/>
    <s v="Los Angeles"/>
    <x v="1"/>
    <n v="90049"/>
    <x v="1"/>
    <x v="1063"/>
    <x v="1"/>
    <x v="6"/>
    <x v="1052"/>
    <n v="5.46"/>
    <s v="Low"/>
    <n v="3"/>
    <n v="0"/>
    <x v="0"/>
    <x v="0"/>
    <n v="1.5287999999999999"/>
    <n v="0.27999999999999997"/>
    <n v="0"/>
  </r>
  <r>
    <n v="1607"/>
    <s v="US-2016-115819"/>
    <d v="2016-04-19T00:00:00"/>
    <x v="0"/>
    <s v="Q2"/>
    <x v="25"/>
    <d v="2016-04-24T00:00:00"/>
    <s v="Second Class"/>
    <x v="123"/>
    <x v="123"/>
    <s v="Consumer"/>
    <s v="United States"/>
    <s v="Los Angeles"/>
    <x v="1"/>
    <n v="90049"/>
    <x v="1"/>
    <x v="1064"/>
    <x v="1"/>
    <x v="6"/>
    <x v="1053"/>
    <n v="73.2"/>
    <s v="Medium"/>
    <n v="5"/>
    <n v="0"/>
    <x v="0"/>
    <x v="0"/>
    <n v="21.228000000000002"/>
    <n v="0.29000000000000004"/>
    <n v="0"/>
  </r>
  <r>
    <n v="1608"/>
    <s v="US-2016-115819"/>
    <d v="2016-04-19T00:00:00"/>
    <x v="0"/>
    <s v="Q2"/>
    <x v="25"/>
    <d v="2016-04-24T00:00:00"/>
    <s v="Second Class"/>
    <x v="123"/>
    <x v="123"/>
    <s v="Consumer"/>
    <s v="United States"/>
    <s v="Los Angeles"/>
    <x v="1"/>
    <n v="90049"/>
    <x v="1"/>
    <x v="347"/>
    <x v="1"/>
    <x v="8"/>
    <x v="347"/>
    <n v="5.84"/>
    <s v="Low"/>
    <n v="1"/>
    <n v="0.2"/>
    <x v="2"/>
    <x v="2"/>
    <n v="1.9710000000000001"/>
    <n v="0.33750000000000002"/>
    <n v="0"/>
  </r>
  <r>
    <n v="1609"/>
    <s v="US-2016-115819"/>
    <d v="2016-04-19T00:00:00"/>
    <x v="0"/>
    <s v="Q2"/>
    <x v="25"/>
    <d v="2016-04-24T00:00:00"/>
    <s v="Second Class"/>
    <x v="123"/>
    <x v="123"/>
    <s v="Consumer"/>
    <s v="United States"/>
    <s v="Los Angeles"/>
    <x v="1"/>
    <n v="90049"/>
    <x v="1"/>
    <x v="126"/>
    <x v="1"/>
    <x v="10"/>
    <x v="562"/>
    <n v="22.72"/>
    <s v="Low"/>
    <n v="4"/>
    <n v="0"/>
    <x v="0"/>
    <x v="0"/>
    <n v="10.224"/>
    <n v="0.45"/>
    <n v="0"/>
  </r>
  <r>
    <n v="1610"/>
    <s v="US-2016-115819"/>
    <d v="2016-04-19T00:00:00"/>
    <x v="0"/>
    <s v="Q2"/>
    <x v="25"/>
    <d v="2016-04-24T00:00:00"/>
    <s v="Second Class"/>
    <x v="123"/>
    <x v="123"/>
    <s v="Consumer"/>
    <s v="United States"/>
    <s v="Los Angeles"/>
    <x v="1"/>
    <n v="90049"/>
    <x v="1"/>
    <x v="1065"/>
    <x v="1"/>
    <x v="8"/>
    <x v="1054"/>
    <n v="9.3360000000000003"/>
    <s v="Low"/>
    <n v="3"/>
    <n v="0.2"/>
    <x v="2"/>
    <x v="2"/>
    <n v="3.2675999999999998"/>
    <n v="0.35"/>
    <n v="0"/>
  </r>
  <r>
    <n v="1611"/>
    <s v="CA-2014-156349"/>
    <d v="2014-05-26T00:00:00"/>
    <x v="2"/>
    <s v="Q2"/>
    <x v="8"/>
    <d v="2014-05-30T00:00:00"/>
    <s v="Standard Class"/>
    <x v="504"/>
    <x v="504"/>
    <s v="Corporate"/>
    <s v="United States"/>
    <s v="Los Angeles"/>
    <x v="1"/>
    <n v="90008"/>
    <x v="1"/>
    <x v="1057"/>
    <x v="0"/>
    <x v="0"/>
    <x v="1046"/>
    <n v="290.666"/>
    <s v="High"/>
    <n v="2"/>
    <n v="0.15"/>
    <x v="2"/>
    <x v="2"/>
    <n v="27.3568"/>
    <n v="9.4117647058823528E-2"/>
    <n v="0"/>
  </r>
  <r>
    <n v="1612"/>
    <s v="CA-2014-156349"/>
    <d v="2014-05-26T00:00:00"/>
    <x v="2"/>
    <s v="Q2"/>
    <x v="8"/>
    <d v="2014-05-30T00:00:00"/>
    <s v="Standard Class"/>
    <x v="504"/>
    <x v="504"/>
    <s v="Corporate"/>
    <s v="United States"/>
    <s v="Los Angeles"/>
    <x v="1"/>
    <n v="90008"/>
    <x v="1"/>
    <x v="1066"/>
    <x v="2"/>
    <x v="7"/>
    <x v="1055"/>
    <n v="201.584"/>
    <s v="High"/>
    <n v="2"/>
    <n v="0.2"/>
    <x v="2"/>
    <x v="2"/>
    <n v="20.1584"/>
    <n v="0.1"/>
    <n v="0"/>
  </r>
  <r>
    <n v="1613"/>
    <s v="CA-2014-156349"/>
    <d v="2014-05-26T00:00:00"/>
    <x v="2"/>
    <s v="Q2"/>
    <x v="8"/>
    <d v="2014-05-30T00:00:00"/>
    <s v="Standard Class"/>
    <x v="504"/>
    <x v="504"/>
    <s v="Corporate"/>
    <s v="United States"/>
    <s v="Los Angeles"/>
    <x v="1"/>
    <n v="90008"/>
    <x v="1"/>
    <x v="66"/>
    <x v="2"/>
    <x v="7"/>
    <x v="66"/>
    <n v="83.983999999999995"/>
    <s v="Medium"/>
    <n v="2"/>
    <n v="0.2"/>
    <x v="2"/>
    <x v="2"/>
    <n v="31.494"/>
    <n v="0.375"/>
    <n v="0"/>
  </r>
  <r>
    <n v="1614"/>
    <s v="CA-2017-138380"/>
    <d v="2017-12-21T00:00:00"/>
    <x v="3"/>
    <s v="Q4"/>
    <x v="22"/>
    <d v="2017-12-25T00:00:00"/>
    <s v="Standard Class"/>
    <x v="453"/>
    <x v="453"/>
    <s v="Corporate"/>
    <s v="United States"/>
    <s v="Oakland"/>
    <x v="1"/>
    <n v="94601"/>
    <x v="1"/>
    <x v="384"/>
    <x v="1"/>
    <x v="4"/>
    <x v="385"/>
    <n v="1000.02"/>
    <s v="High"/>
    <n v="7"/>
    <n v="0"/>
    <x v="0"/>
    <x v="0"/>
    <n v="290.00580000000002"/>
    <n v="0.29000000000000004"/>
    <n v="0"/>
  </r>
  <r>
    <n v="1615"/>
    <s v="US-2016-113509"/>
    <d v="2016-03-15T00:00:00"/>
    <x v="0"/>
    <s v="Q1"/>
    <x v="17"/>
    <d v="2016-03-19T00:00:00"/>
    <s v="Standard Class"/>
    <x v="484"/>
    <x v="484"/>
    <s v="Home Office"/>
    <s v="United States"/>
    <s v="Philadelphia"/>
    <x v="9"/>
    <n v="19143"/>
    <x v="3"/>
    <x v="1067"/>
    <x v="2"/>
    <x v="11"/>
    <x v="1056"/>
    <n v="83.975999999999999"/>
    <s v="Medium"/>
    <n v="3"/>
    <n v="0.2"/>
    <x v="2"/>
    <x v="2"/>
    <n v="-13.646100000000001"/>
    <n v="-0.16250000000000001"/>
    <n v="1"/>
  </r>
  <r>
    <n v="1616"/>
    <s v="CA-2015-130022"/>
    <d v="2015-08-10T00:00:00"/>
    <x v="1"/>
    <s v="Q3"/>
    <x v="37"/>
    <d v="2015-08-16T00:00:00"/>
    <s v="Standard Class"/>
    <x v="451"/>
    <x v="451"/>
    <s v="Home Office"/>
    <s v="United States"/>
    <s v="Eagan"/>
    <x v="11"/>
    <n v="55122"/>
    <x v="2"/>
    <x v="547"/>
    <x v="1"/>
    <x v="2"/>
    <x v="547"/>
    <n v="3.75"/>
    <s v="Low"/>
    <n v="1"/>
    <n v="0"/>
    <x v="0"/>
    <x v="0"/>
    <n v="1.8"/>
    <n v="0.48000000000000004"/>
    <n v="0"/>
  </r>
  <r>
    <n v="1617"/>
    <s v="CA-2015-130022"/>
    <d v="2015-08-10T00:00:00"/>
    <x v="1"/>
    <s v="Q3"/>
    <x v="37"/>
    <d v="2015-08-16T00:00:00"/>
    <s v="Standard Class"/>
    <x v="451"/>
    <x v="451"/>
    <s v="Home Office"/>
    <s v="United States"/>
    <s v="Eagan"/>
    <x v="11"/>
    <n v="55122"/>
    <x v="2"/>
    <x v="254"/>
    <x v="1"/>
    <x v="2"/>
    <x v="255"/>
    <n v="41.4"/>
    <s v="Medium"/>
    <n v="4"/>
    <n v="0"/>
    <x v="0"/>
    <x v="0"/>
    <n v="19.872"/>
    <n v="0.48000000000000004"/>
    <n v="0"/>
  </r>
  <r>
    <n v="1618"/>
    <s v="CA-2015-130022"/>
    <d v="2015-08-10T00:00:00"/>
    <x v="1"/>
    <s v="Q3"/>
    <x v="37"/>
    <d v="2015-08-16T00:00:00"/>
    <s v="Standard Class"/>
    <x v="451"/>
    <x v="451"/>
    <s v="Home Office"/>
    <s v="United States"/>
    <s v="Eagan"/>
    <x v="11"/>
    <n v="55122"/>
    <x v="2"/>
    <x v="1068"/>
    <x v="1"/>
    <x v="6"/>
    <x v="1057"/>
    <n v="29.79"/>
    <s v="Medium"/>
    <n v="3"/>
    <n v="0"/>
    <x v="0"/>
    <x v="0"/>
    <n v="12.511799999999999"/>
    <n v="0.42"/>
    <n v="0"/>
  </r>
  <r>
    <n v="1619"/>
    <s v="US-2016-118780"/>
    <d v="2016-09-10T00:00:00"/>
    <x v="0"/>
    <s v="Q3"/>
    <x v="21"/>
    <d v="2016-09-14T00:00:00"/>
    <s v="Second Class"/>
    <x v="43"/>
    <x v="43"/>
    <s v="Home Office"/>
    <s v="United States"/>
    <s v="New York City"/>
    <x v="15"/>
    <n v="10011"/>
    <x v="3"/>
    <x v="1069"/>
    <x v="1"/>
    <x v="4"/>
    <x v="1058"/>
    <n v="59.48"/>
    <s v="Medium"/>
    <n v="2"/>
    <n v="0"/>
    <x v="0"/>
    <x v="0"/>
    <n v="8.9220000000000006"/>
    <n v="0.15000000000000002"/>
    <n v="0"/>
  </r>
  <r>
    <n v="1620"/>
    <s v="US-2016-118780"/>
    <d v="2016-09-10T00:00:00"/>
    <x v="0"/>
    <s v="Q3"/>
    <x v="21"/>
    <d v="2016-09-14T00:00:00"/>
    <s v="Second Class"/>
    <x v="43"/>
    <x v="43"/>
    <s v="Home Office"/>
    <s v="United States"/>
    <s v="New York City"/>
    <x v="15"/>
    <n v="10011"/>
    <x v="3"/>
    <x v="1070"/>
    <x v="1"/>
    <x v="10"/>
    <x v="1059"/>
    <n v="6.69"/>
    <s v="Low"/>
    <n v="1"/>
    <n v="0"/>
    <x v="0"/>
    <x v="0"/>
    <n v="3.0773999999999999"/>
    <n v="0.45999999999999996"/>
    <n v="0"/>
  </r>
  <r>
    <n v="1621"/>
    <s v="CA-2017-108560"/>
    <d v="2017-07-08T00:00:00"/>
    <x v="3"/>
    <s v="Q3"/>
    <x v="10"/>
    <d v="2017-07-15T00:00:00"/>
    <s v="Standard Class"/>
    <x v="505"/>
    <x v="505"/>
    <s v="Consumer"/>
    <s v="United States"/>
    <s v="Kent"/>
    <x v="4"/>
    <n v="98031"/>
    <x v="1"/>
    <x v="1071"/>
    <x v="0"/>
    <x v="5"/>
    <x v="1060"/>
    <n v="198.46"/>
    <s v="High"/>
    <n v="2"/>
    <n v="0"/>
    <x v="0"/>
    <x v="0"/>
    <n v="99.23"/>
    <n v="0.5"/>
    <n v="0"/>
  </r>
  <r>
    <n v="1622"/>
    <s v="CA-2017-108560"/>
    <d v="2017-07-08T00:00:00"/>
    <x v="3"/>
    <s v="Q3"/>
    <x v="10"/>
    <d v="2017-07-15T00:00:00"/>
    <s v="Standard Class"/>
    <x v="505"/>
    <x v="505"/>
    <s v="Consumer"/>
    <s v="United States"/>
    <s v="Kent"/>
    <x v="4"/>
    <n v="98031"/>
    <x v="1"/>
    <x v="508"/>
    <x v="1"/>
    <x v="2"/>
    <x v="508"/>
    <n v="786.48"/>
    <s v="High"/>
    <n v="8"/>
    <n v="0"/>
    <x v="0"/>
    <x v="0"/>
    <n v="385.37520000000001"/>
    <n v="0.49"/>
    <n v="0"/>
  </r>
  <r>
    <n v="1623"/>
    <s v="CA-2017-108560"/>
    <d v="2017-07-08T00:00:00"/>
    <x v="3"/>
    <s v="Q3"/>
    <x v="10"/>
    <d v="2017-07-15T00:00:00"/>
    <s v="Standard Class"/>
    <x v="505"/>
    <x v="505"/>
    <s v="Consumer"/>
    <s v="United States"/>
    <s v="Kent"/>
    <x v="4"/>
    <n v="98031"/>
    <x v="1"/>
    <x v="497"/>
    <x v="1"/>
    <x v="8"/>
    <x v="497"/>
    <n v="23.167999999999999"/>
    <s v="Low"/>
    <n v="2"/>
    <n v="0.2"/>
    <x v="2"/>
    <x v="2"/>
    <n v="7.8192000000000004"/>
    <n v="0.33750000000000002"/>
    <n v="0"/>
  </r>
  <r>
    <n v="1624"/>
    <s v="CA-2017-108560"/>
    <d v="2017-07-08T00:00:00"/>
    <x v="3"/>
    <s v="Q3"/>
    <x v="10"/>
    <d v="2017-07-15T00:00:00"/>
    <s v="Standard Class"/>
    <x v="505"/>
    <x v="505"/>
    <s v="Consumer"/>
    <s v="United States"/>
    <s v="Kent"/>
    <x v="4"/>
    <n v="98031"/>
    <x v="1"/>
    <x v="1072"/>
    <x v="2"/>
    <x v="11"/>
    <x v="1061"/>
    <n v="50"/>
    <s v="Medium"/>
    <n v="2"/>
    <n v="0"/>
    <x v="0"/>
    <x v="0"/>
    <n v="10.5"/>
    <n v="0.21"/>
    <n v="0"/>
  </r>
  <r>
    <n v="1625"/>
    <s v="CA-2015-157084"/>
    <d v="2015-12-19T00:00:00"/>
    <x v="1"/>
    <s v="Q4"/>
    <x v="14"/>
    <d v="2015-12-24T00:00:00"/>
    <s v="Standard Class"/>
    <x v="506"/>
    <x v="506"/>
    <s v="Consumer"/>
    <s v="United States"/>
    <s v="Los Angeles"/>
    <x v="1"/>
    <n v="90049"/>
    <x v="1"/>
    <x v="981"/>
    <x v="2"/>
    <x v="7"/>
    <x v="974"/>
    <n v="675.96"/>
    <s v="High"/>
    <n v="5"/>
    <n v="0.2"/>
    <x v="2"/>
    <x v="2"/>
    <n v="84.495000000000005"/>
    <n v="0.125"/>
    <n v="0"/>
  </r>
  <r>
    <n v="1626"/>
    <s v="CA-2015-157084"/>
    <d v="2015-12-19T00:00:00"/>
    <x v="1"/>
    <s v="Q4"/>
    <x v="14"/>
    <d v="2015-12-24T00:00:00"/>
    <s v="Standard Class"/>
    <x v="506"/>
    <x v="506"/>
    <s v="Consumer"/>
    <s v="United States"/>
    <s v="Los Angeles"/>
    <x v="1"/>
    <n v="90049"/>
    <x v="1"/>
    <x v="695"/>
    <x v="2"/>
    <x v="11"/>
    <x v="1062"/>
    <n v="1265.8499999999999"/>
    <s v="High"/>
    <n v="3"/>
    <n v="0"/>
    <x v="0"/>
    <x v="0"/>
    <n v="556.97400000000005"/>
    <n v="0.44000000000000006"/>
    <n v="0"/>
  </r>
  <r>
    <n v="1627"/>
    <s v="CA-2015-164539"/>
    <d v="2015-11-16T00:00:00"/>
    <x v="1"/>
    <s v="Q4"/>
    <x v="6"/>
    <d v="2015-11-22T00:00:00"/>
    <s v="Standard Class"/>
    <x v="178"/>
    <x v="178"/>
    <s v="Home Office"/>
    <s v="United States"/>
    <s v="New York City"/>
    <x v="15"/>
    <n v="10011"/>
    <x v="3"/>
    <x v="549"/>
    <x v="1"/>
    <x v="9"/>
    <x v="549"/>
    <n v="523.25"/>
    <s v="High"/>
    <n v="5"/>
    <n v="0"/>
    <x v="0"/>
    <x v="0"/>
    <n v="141.2775"/>
    <n v="0.27"/>
    <n v="0"/>
  </r>
  <r>
    <n v="1628"/>
    <s v="CA-2015-143119"/>
    <d v="2015-09-24T00:00:00"/>
    <x v="1"/>
    <s v="Q3"/>
    <x v="11"/>
    <d v="2015-09-30T00:00:00"/>
    <s v="Standard Class"/>
    <x v="507"/>
    <x v="507"/>
    <s v="Consumer"/>
    <s v="United States"/>
    <s v="Lafayette"/>
    <x v="28"/>
    <n v="70506"/>
    <x v="0"/>
    <x v="866"/>
    <x v="0"/>
    <x v="1"/>
    <x v="860"/>
    <n v="517.5"/>
    <s v="High"/>
    <n v="6"/>
    <n v="0"/>
    <x v="0"/>
    <x v="0"/>
    <n v="155.25"/>
    <n v="0.3"/>
    <n v="0"/>
  </r>
  <r>
    <n v="1629"/>
    <s v="CA-2017-101049"/>
    <d v="2017-06-21T00:00:00"/>
    <x v="3"/>
    <s v="Q2"/>
    <x v="27"/>
    <d v="2017-06-25T00:00:00"/>
    <s v="Second Class"/>
    <x v="238"/>
    <x v="238"/>
    <s v="Consumer"/>
    <s v="United States"/>
    <s v="Cleveland"/>
    <x v="24"/>
    <n v="44105"/>
    <x v="3"/>
    <x v="1073"/>
    <x v="0"/>
    <x v="5"/>
    <x v="1063"/>
    <n v="17.920000000000002"/>
    <s v="Low"/>
    <n v="5"/>
    <n v="0.2"/>
    <x v="2"/>
    <x v="2"/>
    <n v="2.464"/>
    <n v="0.13749999999999998"/>
    <n v="0"/>
  </r>
  <r>
    <n v="1630"/>
    <s v="CA-2017-101049"/>
    <d v="2017-06-21T00:00:00"/>
    <x v="3"/>
    <s v="Q2"/>
    <x v="27"/>
    <d v="2017-06-25T00:00:00"/>
    <s v="Second Class"/>
    <x v="238"/>
    <x v="238"/>
    <s v="Consumer"/>
    <s v="United States"/>
    <s v="Cleveland"/>
    <x v="24"/>
    <n v="44105"/>
    <x v="3"/>
    <x v="710"/>
    <x v="1"/>
    <x v="8"/>
    <x v="709"/>
    <n v="41.256"/>
    <s v="Medium"/>
    <n v="6"/>
    <n v="0.7"/>
    <x v="1"/>
    <x v="5"/>
    <n v="-34.380000000000003"/>
    <n v="-0.83333333333333337"/>
    <n v="1"/>
  </r>
  <r>
    <n v="1631"/>
    <s v="CA-2016-106530"/>
    <d v="2016-05-08T00:00:00"/>
    <x v="0"/>
    <s v="Q2"/>
    <x v="35"/>
    <d v="2016-05-08T00:00:00"/>
    <s v="Same Day"/>
    <x v="52"/>
    <x v="52"/>
    <s v="Consumer"/>
    <s v="United States"/>
    <s v="Cleveland"/>
    <x v="24"/>
    <n v="44105"/>
    <x v="3"/>
    <x v="1074"/>
    <x v="1"/>
    <x v="4"/>
    <x v="1064"/>
    <n v="1006.056"/>
    <s v="High"/>
    <n v="3"/>
    <n v="0.2"/>
    <x v="2"/>
    <x v="2"/>
    <n v="88.029899999999998"/>
    <n v="8.7499999999999994E-2"/>
    <n v="0"/>
  </r>
  <r>
    <n v="1632"/>
    <s v="CA-2016-106530"/>
    <d v="2016-05-08T00:00:00"/>
    <x v="0"/>
    <s v="Q2"/>
    <x v="35"/>
    <d v="2016-05-08T00:00:00"/>
    <s v="Same Day"/>
    <x v="52"/>
    <x v="52"/>
    <s v="Consumer"/>
    <s v="United States"/>
    <s v="Cleveland"/>
    <x v="24"/>
    <n v="44105"/>
    <x v="3"/>
    <x v="481"/>
    <x v="1"/>
    <x v="10"/>
    <x v="482"/>
    <n v="10.688000000000001"/>
    <s v="Low"/>
    <n v="2"/>
    <n v="0.2"/>
    <x v="2"/>
    <x v="2"/>
    <n v="3.7408000000000001"/>
    <n v="0.35"/>
    <n v="0"/>
  </r>
  <r>
    <n v="1633"/>
    <s v="CA-2016-106530"/>
    <d v="2016-05-08T00:00:00"/>
    <x v="0"/>
    <s v="Q2"/>
    <x v="35"/>
    <d v="2016-05-08T00:00:00"/>
    <s v="Same Day"/>
    <x v="52"/>
    <x v="52"/>
    <s v="Consumer"/>
    <s v="United States"/>
    <s v="Cleveland"/>
    <x v="24"/>
    <n v="44105"/>
    <x v="3"/>
    <x v="498"/>
    <x v="1"/>
    <x v="10"/>
    <x v="498"/>
    <n v="10.368"/>
    <s v="Low"/>
    <n v="2"/>
    <n v="0.2"/>
    <x v="2"/>
    <x v="2"/>
    <n v="3.6288"/>
    <n v="0.35"/>
    <n v="0"/>
  </r>
  <r>
    <n v="1634"/>
    <s v="CA-2016-106530"/>
    <d v="2016-05-08T00:00:00"/>
    <x v="0"/>
    <s v="Q2"/>
    <x v="35"/>
    <d v="2016-05-08T00:00:00"/>
    <s v="Same Day"/>
    <x v="52"/>
    <x v="52"/>
    <s v="Consumer"/>
    <s v="United States"/>
    <s v="Cleveland"/>
    <x v="24"/>
    <n v="44105"/>
    <x v="3"/>
    <x v="953"/>
    <x v="1"/>
    <x v="4"/>
    <x v="946"/>
    <n v="25.12"/>
    <s v="Medium"/>
    <n v="2"/>
    <n v="0.2"/>
    <x v="2"/>
    <x v="2"/>
    <n v="1.57"/>
    <n v="6.25E-2"/>
    <n v="0"/>
  </r>
  <r>
    <n v="1635"/>
    <s v="CA-2016-106530"/>
    <d v="2016-05-08T00:00:00"/>
    <x v="0"/>
    <s v="Q2"/>
    <x v="35"/>
    <d v="2016-05-08T00:00:00"/>
    <s v="Same Day"/>
    <x v="52"/>
    <x v="52"/>
    <s v="Consumer"/>
    <s v="United States"/>
    <s v="Cleveland"/>
    <x v="24"/>
    <n v="44105"/>
    <x v="3"/>
    <x v="477"/>
    <x v="2"/>
    <x v="11"/>
    <x v="478"/>
    <n v="58.112000000000002"/>
    <s v="Medium"/>
    <n v="2"/>
    <n v="0.2"/>
    <x v="2"/>
    <x v="2"/>
    <n v="7.2640000000000002"/>
    <n v="0.125"/>
    <n v="0"/>
  </r>
  <r>
    <n v="1636"/>
    <s v="CA-2014-168984"/>
    <d v="2014-11-26T00:00:00"/>
    <x v="2"/>
    <s v="Q4"/>
    <x v="7"/>
    <d v="2014-12-02T00:00:00"/>
    <s v="Standard Class"/>
    <x v="508"/>
    <x v="508"/>
    <s v="Consumer"/>
    <s v="United States"/>
    <s v="Tigard"/>
    <x v="21"/>
    <n v="97224"/>
    <x v="1"/>
    <x v="778"/>
    <x v="1"/>
    <x v="10"/>
    <x v="777"/>
    <n v="15.552"/>
    <s v="Low"/>
    <n v="3"/>
    <n v="0.2"/>
    <x v="2"/>
    <x v="2"/>
    <n v="5.4432"/>
    <n v="0.35000000000000003"/>
    <n v="0"/>
  </r>
  <r>
    <n v="1637"/>
    <s v="CA-2014-168984"/>
    <d v="2014-11-26T00:00:00"/>
    <x v="2"/>
    <s v="Q4"/>
    <x v="7"/>
    <d v="2014-12-02T00:00:00"/>
    <s v="Standard Class"/>
    <x v="508"/>
    <x v="508"/>
    <s v="Consumer"/>
    <s v="United States"/>
    <s v="Tigard"/>
    <x v="21"/>
    <n v="97224"/>
    <x v="1"/>
    <x v="749"/>
    <x v="1"/>
    <x v="4"/>
    <x v="747"/>
    <n v="669.08"/>
    <s v="High"/>
    <n v="5"/>
    <n v="0.2"/>
    <x v="2"/>
    <x v="2"/>
    <n v="-167.27"/>
    <n v="-0.25"/>
    <n v="1"/>
  </r>
  <r>
    <n v="1638"/>
    <s v="CA-2014-168984"/>
    <d v="2014-11-26T00:00:00"/>
    <x v="2"/>
    <s v="Q4"/>
    <x v="7"/>
    <d v="2014-12-02T00:00:00"/>
    <s v="Standard Class"/>
    <x v="508"/>
    <x v="508"/>
    <s v="Consumer"/>
    <s v="United States"/>
    <s v="Tigard"/>
    <x v="21"/>
    <n v="97224"/>
    <x v="1"/>
    <x v="1075"/>
    <x v="2"/>
    <x v="7"/>
    <x v="1065"/>
    <n v="438.33600000000001"/>
    <s v="High"/>
    <n v="4"/>
    <n v="0.2"/>
    <x v="2"/>
    <x v="2"/>
    <n v="-87.667199999999994"/>
    <n v="-0.19999999999999998"/>
    <n v="1"/>
  </r>
  <r>
    <n v="1639"/>
    <s v="CA-2016-157266"/>
    <d v="2016-05-26T00:00:00"/>
    <x v="0"/>
    <s v="Q2"/>
    <x v="35"/>
    <d v="2016-06-01T00:00:00"/>
    <s v="Standard Class"/>
    <x v="509"/>
    <x v="509"/>
    <s v="Consumer"/>
    <s v="United States"/>
    <s v="Washington"/>
    <x v="40"/>
    <n v="20016"/>
    <x v="3"/>
    <x v="1076"/>
    <x v="1"/>
    <x v="10"/>
    <x v="1066"/>
    <n v="19.440000000000001"/>
    <s v="Low"/>
    <n v="3"/>
    <n v="0"/>
    <x v="0"/>
    <x v="0"/>
    <n v="9.3312000000000008"/>
    <n v="0.48000000000000004"/>
    <n v="0"/>
  </r>
  <r>
    <n v="1640"/>
    <s v="CA-2016-157266"/>
    <d v="2016-05-26T00:00:00"/>
    <x v="0"/>
    <s v="Q2"/>
    <x v="35"/>
    <d v="2016-06-01T00:00:00"/>
    <s v="Standard Class"/>
    <x v="509"/>
    <x v="509"/>
    <s v="Consumer"/>
    <s v="United States"/>
    <s v="Washington"/>
    <x v="40"/>
    <n v="20016"/>
    <x v="3"/>
    <x v="544"/>
    <x v="1"/>
    <x v="8"/>
    <x v="544"/>
    <n v="9.64"/>
    <s v="Low"/>
    <n v="2"/>
    <n v="0"/>
    <x v="0"/>
    <x v="0"/>
    <n v="4.4344000000000001"/>
    <n v="0.45999999999999996"/>
    <n v="0"/>
  </r>
  <r>
    <n v="1641"/>
    <s v="CA-2016-157266"/>
    <d v="2016-05-26T00:00:00"/>
    <x v="0"/>
    <s v="Q2"/>
    <x v="35"/>
    <d v="2016-06-01T00:00:00"/>
    <s v="Standard Class"/>
    <x v="509"/>
    <x v="509"/>
    <s v="Consumer"/>
    <s v="United States"/>
    <s v="Washington"/>
    <x v="40"/>
    <n v="20016"/>
    <x v="3"/>
    <x v="69"/>
    <x v="1"/>
    <x v="10"/>
    <x v="69"/>
    <n v="12.7"/>
    <s v="Low"/>
    <n v="2"/>
    <n v="0"/>
    <x v="0"/>
    <x v="0"/>
    <n v="5.8419999999999996"/>
    <n v="0.46"/>
    <n v="0"/>
  </r>
  <r>
    <n v="1642"/>
    <s v="CA-2016-157266"/>
    <d v="2016-05-26T00:00:00"/>
    <x v="0"/>
    <s v="Q2"/>
    <x v="35"/>
    <d v="2016-06-01T00:00:00"/>
    <s v="Standard Class"/>
    <x v="509"/>
    <x v="509"/>
    <s v="Consumer"/>
    <s v="United States"/>
    <s v="Washington"/>
    <x v="40"/>
    <n v="20016"/>
    <x v="3"/>
    <x v="93"/>
    <x v="0"/>
    <x v="5"/>
    <x v="93"/>
    <n v="41.37"/>
    <s v="Medium"/>
    <n v="3"/>
    <n v="0"/>
    <x v="0"/>
    <x v="0"/>
    <n v="17.375399999999999"/>
    <n v="0.42"/>
    <n v="0"/>
  </r>
  <r>
    <n v="1643"/>
    <s v="US-2014-134712"/>
    <d v="2014-11-29T00:00:00"/>
    <x v="2"/>
    <s v="Q4"/>
    <x v="7"/>
    <d v="2014-12-04T00:00:00"/>
    <s v="Standard Class"/>
    <x v="510"/>
    <x v="510"/>
    <s v="Corporate"/>
    <s v="United States"/>
    <s v="Skokie"/>
    <x v="10"/>
    <n v="60076"/>
    <x v="2"/>
    <x v="550"/>
    <x v="1"/>
    <x v="13"/>
    <x v="128"/>
    <n v="12.624000000000001"/>
    <s v="Low"/>
    <n v="2"/>
    <n v="0.2"/>
    <x v="2"/>
    <x v="2"/>
    <n v="3.9449999999999998"/>
    <n v="0.3125"/>
    <n v="0"/>
  </r>
  <r>
    <n v="1644"/>
    <s v="CA-2015-111829"/>
    <d v="2015-03-19T00:00:00"/>
    <x v="1"/>
    <s v="Q1"/>
    <x v="29"/>
    <d v="2015-03-20T00:00:00"/>
    <s v="First Class"/>
    <x v="92"/>
    <x v="92"/>
    <s v="Corporate"/>
    <s v="United States"/>
    <s v="Seattle"/>
    <x v="4"/>
    <n v="98115"/>
    <x v="1"/>
    <x v="403"/>
    <x v="1"/>
    <x v="4"/>
    <x v="404"/>
    <n v="1247.6400000000001"/>
    <s v="High"/>
    <n v="3"/>
    <n v="0"/>
    <x v="0"/>
    <x v="0"/>
    <n v="349.33920000000001"/>
    <n v="0.27999999999999997"/>
    <n v="0"/>
  </r>
  <r>
    <n v="1645"/>
    <s v="CA-2015-111829"/>
    <d v="2015-03-19T00:00:00"/>
    <x v="1"/>
    <s v="Q1"/>
    <x v="29"/>
    <d v="2015-03-20T00:00:00"/>
    <s v="First Class"/>
    <x v="92"/>
    <x v="92"/>
    <s v="Corporate"/>
    <s v="United States"/>
    <s v="Seattle"/>
    <x v="4"/>
    <n v="98115"/>
    <x v="1"/>
    <x v="1077"/>
    <x v="2"/>
    <x v="16"/>
    <x v="1067"/>
    <n v="3149.93"/>
    <s v="High"/>
    <n v="7"/>
    <n v="0"/>
    <x v="0"/>
    <x v="0"/>
    <n v="1480.4671000000001"/>
    <n v="0.47000000000000003"/>
    <n v="0"/>
  </r>
  <r>
    <n v="1646"/>
    <s v="CA-2015-111829"/>
    <d v="2015-03-19T00:00:00"/>
    <x v="1"/>
    <s v="Q1"/>
    <x v="29"/>
    <d v="2015-03-20T00:00:00"/>
    <s v="First Class"/>
    <x v="92"/>
    <x v="92"/>
    <s v="Corporate"/>
    <s v="United States"/>
    <s v="Seattle"/>
    <x v="4"/>
    <n v="98115"/>
    <x v="1"/>
    <x v="1078"/>
    <x v="1"/>
    <x v="10"/>
    <x v="1068"/>
    <n v="209.7"/>
    <s v="High"/>
    <n v="2"/>
    <n v="0"/>
    <x v="0"/>
    <x v="0"/>
    <n v="100.65600000000001"/>
    <n v="0.48000000000000004"/>
    <n v="0"/>
  </r>
  <r>
    <n v="1647"/>
    <s v="CA-2015-105221"/>
    <d v="2015-11-01T00:00:00"/>
    <x v="1"/>
    <s v="Q4"/>
    <x v="6"/>
    <d v="2015-11-03T00:00:00"/>
    <s v="First Class"/>
    <x v="91"/>
    <x v="91"/>
    <s v="Home Office"/>
    <s v="United States"/>
    <s v="Philadelphia"/>
    <x v="9"/>
    <n v="19140"/>
    <x v="3"/>
    <x v="176"/>
    <x v="2"/>
    <x v="11"/>
    <x v="177"/>
    <n v="35.36"/>
    <s v="Medium"/>
    <n v="2"/>
    <n v="0.2"/>
    <x v="2"/>
    <x v="2"/>
    <n v="-3.0939999999999999"/>
    <n v="-8.7499999999999994E-2"/>
    <n v="1"/>
  </r>
  <r>
    <n v="1648"/>
    <s v="CA-2015-105221"/>
    <d v="2015-11-01T00:00:00"/>
    <x v="1"/>
    <s v="Q4"/>
    <x v="6"/>
    <d v="2015-11-03T00:00:00"/>
    <s v="First Class"/>
    <x v="91"/>
    <x v="91"/>
    <s v="Home Office"/>
    <s v="United States"/>
    <s v="Philadelphia"/>
    <x v="9"/>
    <n v="19140"/>
    <x v="3"/>
    <x v="1079"/>
    <x v="1"/>
    <x v="13"/>
    <x v="1069"/>
    <n v="3.1680000000000001"/>
    <s v="Low"/>
    <n v="2"/>
    <n v="0.2"/>
    <x v="2"/>
    <x v="2"/>
    <n v="-0.71279999999999999"/>
    <n v="-0.22499999999999998"/>
    <n v="1"/>
  </r>
  <r>
    <n v="1649"/>
    <s v="CA-2015-120341"/>
    <d v="2015-09-26T00:00:00"/>
    <x v="1"/>
    <s v="Q3"/>
    <x v="11"/>
    <d v="2015-09-29T00:00:00"/>
    <s v="Second Class"/>
    <x v="227"/>
    <x v="227"/>
    <s v="Consumer"/>
    <s v="United States"/>
    <s v="Philadelphia"/>
    <x v="9"/>
    <n v="19143"/>
    <x v="3"/>
    <x v="1080"/>
    <x v="1"/>
    <x v="8"/>
    <x v="1070"/>
    <n v="121.104"/>
    <s v="Medium"/>
    <n v="6"/>
    <n v="0.7"/>
    <x v="1"/>
    <x v="5"/>
    <n v="-100.92"/>
    <n v="-0.83333333333333337"/>
    <n v="1"/>
  </r>
  <r>
    <n v="1650"/>
    <s v="CA-2015-120341"/>
    <d v="2015-09-26T00:00:00"/>
    <x v="1"/>
    <s v="Q3"/>
    <x v="11"/>
    <d v="2015-09-29T00:00:00"/>
    <s v="Second Class"/>
    <x v="227"/>
    <x v="227"/>
    <s v="Consumer"/>
    <s v="United States"/>
    <s v="Philadelphia"/>
    <x v="9"/>
    <n v="19143"/>
    <x v="3"/>
    <x v="1081"/>
    <x v="2"/>
    <x v="7"/>
    <x v="1071"/>
    <n v="45.893999999999998"/>
    <s v="Medium"/>
    <n v="1"/>
    <n v="0.4"/>
    <x v="1"/>
    <x v="7"/>
    <n v="-9.1788000000000007"/>
    <n v="-0.2"/>
    <n v="1"/>
  </r>
  <r>
    <n v="1651"/>
    <s v="CA-2014-135699"/>
    <d v="2014-08-29T00:00:00"/>
    <x v="2"/>
    <s v="Q3"/>
    <x v="9"/>
    <d v="2014-08-29T00:00:00"/>
    <s v="Same Day"/>
    <x v="511"/>
    <x v="511"/>
    <s v="Corporate"/>
    <s v="United States"/>
    <s v="San Francisco"/>
    <x v="1"/>
    <n v="94110"/>
    <x v="1"/>
    <x v="1082"/>
    <x v="1"/>
    <x v="10"/>
    <x v="1072"/>
    <n v="109.92"/>
    <s v="Medium"/>
    <n v="2"/>
    <n v="0"/>
    <x v="0"/>
    <x v="0"/>
    <n v="53.860799999999998"/>
    <n v="0.49"/>
    <n v="0"/>
  </r>
  <r>
    <n v="1652"/>
    <s v="CA-2014-135699"/>
    <d v="2014-08-29T00:00:00"/>
    <x v="2"/>
    <s v="Q3"/>
    <x v="9"/>
    <d v="2014-08-29T00:00:00"/>
    <s v="Same Day"/>
    <x v="511"/>
    <x v="511"/>
    <s v="Corporate"/>
    <s v="United States"/>
    <s v="San Francisco"/>
    <x v="1"/>
    <n v="94110"/>
    <x v="1"/>
    <x v="1083"/>
    <x v="1"/>
    <x v="10"/>
    <x v="1073"/>
    <n v="13.36"/>
    <s v="Low"/>
    <n v="2"/>
    <n v="0"/>
    <x v="0"/>
    <x v="0"/>
    <n v="6.4127999999999998"/>
    <n v="0.48"/>
    <n v="0"/>
  </r>
  <r>
    <n v="1653"/>
    <s v="US-2017-132444"/>
    <d v="2017-11-18T00:00:00"/>
    <x v="3"/>
    <s v="Q4"/>
    <x v="23"/>
    <d v="2017-11-21T00:00:00"/>
    <s v="First Class"/>
    <x v="512"/>
    <x v="512"/>
    <s v="Consumer"/>
    <s v="United States"/>
    <s v="Seattle"/>
    <x v="4"/>
    <n v="98105"/>
    <x v="1"/>
    <x v="86"/>
    <x v="1"/>
    <x v="4"/>
    <x v="86"/>
    <n v="169.68"/>
    <s v="High"/>
    <n v="6"/>
    <n v="0"/>
    <x v="0"/>
    <x v="0"/>
    <n v="45.813600000000001"/>
    <n v="0.27"/>
    <n v="0"/>
  </r>
  <r>
    <n v="1654"/>
    <s v="US-2017-132444"/>
    <d v="2017-11-18T00:00:00"/>
    <x v="3"/>
    <s v="Q4"/>
    <x v="23"/>
    <d v="2017-11-21T00:00:00"/>
    <s v="First Class"/>
    <x v="512"/>
    <x v="512"/>
    <s v="Consumer"/>
    <s v="United States"/>
    <s v="Seattle"/>
    <x v="4"/>
    <n v="98105"/>
    <x v="1"/>
    <x v="217"/>
    <x v="2"/>
    <x v="11"/>
    <x v="463"/>
    <n v="132.52000000000001"/>
    <s v="High"/>
    <n v="4"/>
    <n v="0"/>
    <x v="0"/>
    <x v="0"/>
    <n v="54.333199999999998"/>
    <n v="0.41"/>
    <n v="0"/>
  </r>
  <r>
    <n v="1655"/>
    <s v="US-2017-132444"/>
    <d v="2017-11-18T00:00:00"/>
    <x v="3"/>
    <s v="Q4"/>
    <x v="23"/>
    <d v="2017-11-21T00:00:00"/>
    <s v="First Class"/>
    <x v="512"/>
    <x v="512"/>
    <s v="Consumer"/>
    <s v="United States"/>
    <s v="Seattle"/>
    <x v="4"/>
    <n v="98105"/>
    <x v="1"/>
    <x v="1084"/>
    <x v="1"/>
    <x v="13"/>
    <x v="1074"/>
    <n v="2.96"/>
    <s v="Low"/>
    <n v="2"/>
    <n v="0"/>
    <x v="0"/>
    <x v="0"/>
    <n v="1.4208000000000001"/>
    <n v="0.48000000000000004"/>
    <n v="0"/>
  </r>
  <r>
    <n v="1656"/>
    <s v="US-2017-132444"/>
    <d v="2017-11-18T00:00:00"/>
    <x v="3"/>
    <s v="Q4"/>
    <x v="23"/>
    <d v="2017-11-21T00:00:00"/>
    <s v="First Class"/>
    <x v="512"/>
    <x v="512"/>
    <s v="Consumer"/>
    <s v="United States"/>
    <s v="Seattle"/>
    <x v="4"/>
    <n v="98105"/>
    <x v="1"/>
    <x v="1085"/>
    <x v="1"/>
    <x v="8"/>
    <x v="1075"/>
    <n v="8.4480000000000004"/>
    <s v="Low"/>
    <n v="2"/>
    <n v="0.2"/>
    <x v="2"/>
    <x v="2"/>
    <n v="2.9567999999999999"/>
    <n v="0.35"/>
    <n v="0"/>
  </r>
  <r>
    <n v="1657"/>
    <s v="US-2017-132444"/>
    <d v="2017-11-18T00:00:00"/>
    <x v="3"/>
    <s v="Q4"/>
    <x v="23"/>
    <d v="2017-11-21T00:00:00"/>
    <s v="First Class"/>
    <x v="512"/>
    <x v="512"/>
    <s v="Consumer"/>
    <s v="United States"/>
    <s v="Seattle"/>
    <x v="4"/>
    <n v="98105"/>
    <x v="1"/>
    <x v="911"/>
    <x v="1"/>
    <x v="4"/>
    <x v="903"/>
    <n v="95.94"/>
    <s v="Medium"/>
    <n v="3"/>
    <n v="0"/>
    <x v="0"/>
    <x v="0"/>
    <n v="9.5939999999999994"/>
    <n v="9.9999999999999992E-2"/>
    <n v="0"/>
  </r>
  <r>
    <n v="1658"/>
    <s v="CA-2014-127159"/>
    <d v="2014-05-12T00:00:00"/>
    <x v="2"/>
    <s v="Q2"/>
    <x v="8"/>
    <d v="2014-05-15T00:00:00"/>
    <s v="First Class"/>
    <x v="332"/>
    <x v="332"/>
    <s v="Consumer"/>
    <s v="United States"/>
    <s v="Milwaukee"/>
    <x v="6"/>
    <n v="53209"/>
    <x v="2"/>
    <x v="527"/>
    <x v="0"/>
    <x v="5"/>
    <x v="527"/>
    <n v="34.79"/>
    <s v="Medium"/>
    <n v="7"/>
    <n v="0"/>
    <x v="0"/>
    <x v="0"/>
    <n v="10.7849"/>
    <n v="0.31"/>
    <n v="0"/>
  </r>
  <r>
    <n v="1659"/>
    <s v="CA-2017-161809"/>
    <d v="2017-01-20T00:00:00"/>
    <x v="3"/>
    <s v="Q1"/>
    <x v="44"/>
    <d v="2017-01-26T00:00:00"/>
    <s v="Standard Class"/>
    <x v="513"/>
    <x v="513"/>
    <s v="Consumer"/>
    <s v="United States"/>
    <s v="Los Angeles"/>
    <x v="1"/>
    <n v="90045"/>
    <x v="1"/>
    <x v="1086"/>
    <x v="2"/>
    <x v="7"/>
    <x v="1076"/>
    <n v="160.77600000000001"/>
    <s v="High"/>
    <n v="3"/>
    <n v="0.2"/>
    <x v="2"/>
    <x v="2"/>
    <n v="10.048500000000001"/>
    <n v="6.25E-2"/>
    <n v="0"/>
  </r>
  <r>
    <n v="1660"/>
    <s v="CA-2017-127285"/>
    <d v="2017-10-30T00:00:00"/>
    <x v="3"/>
    <s v="Q4"/>
    <x v="13"/>
    <d v="2017-11-06T00:00:00"/>
    <s v="Standard Class"/>
    <x v="514"/>
    <x v="514"/>
    <s v="Consumer"/>
    <s v="United States"/>
    <s v="Seattle"/>
    <x v="4"/>
    <n v="98115"/>
    <x v="1"/>
    <x v="805"/>
    <x v="1"/>
    <x v="8"/>
    <x v="803"/>
    <n v="88.751999999999995"/>
    <s v="Medium"/>
    <n v="3"/>
    <n v="0.2"/>
    <x v="2"/>
    <x v="2"/>
    <n v="27.734999999999999"/>
    <n v="0.3125"/>
    <n v="0"/>
  </r>
  <r>
    <n v="1661"/>
    <s v="CA-2017-127285"/>
    <d v="2017-10-30T00:00:00"/>
    <x v="3"/>
    <s v="Q4"/>
    <x v="13"/>
    <d v="2017-11-06T00:00:00"/>
    <s v="Standard Class"/>
    <x v="514"/>
    <x v="514"/>
    <s v="Consumer"/>
    <s v="United States"/>
    <s v="Seattle"/>
    <x v="4"/>
    <n v="98115"/>
    <x v="1"/>
    <x v="844"/>
    <x v="1"/>
    <x v="8"/>
    <x v="838"/>
    <n v="13.904"/>
    <s v="Low"/>
    <n v="2"/>
    <n v="0.2"/>
    <x v="2"/>
    <x v="2"/>
    <n v="5.2140000000000004"/>
    <n v="0.37500000000000006"/>
    <n v="0"/>
  </r>
  <r>
    <n v="1662"/>
    <s v="CA-2017-144526"/>
    <d v="2017-04-30T00:00:00"/>
    <x v="3"/>
    <s v="Q2"/>
    <x v="4"/>
    <d v="2017-05-06T00:00:00"/>
    <s v="Standard Class"/>
    <x v="425"/>
    <x v="425"/>
    <s v="Corporate"/>
    <s v="United States"/>
    <s v="Philadelphia"/>
    <x v="9"/>
    <n v="19143"/>
    <x v="3"/>
    <x v="944"/>
    <x v="2"/>
    <x v="7"/>
    <x v="937"/>
    <n v="677.58"/>
    <s v="High"/>
    <n v="5"/>
    <n v="0.4"/>
    <x v="1"/>
    <x v="7"/>
    <n v="-158.102"/>
    <n v="-0.23333333333333334"/>
    <n v="1"/>
  </r>
  <r>
    <n v="1663"/>
    <s v="CA-2017-144526"/>
    <d v="2017-04-30T00:00:00"/>
    <x v="3"/>
    <s v="Q2"/>
    <x v="4"/>
    <d v="2017-05-06T00:00:00"/>
    <s v="Standard Class"/>
    <x v="425"/>
    <x v="425"/>
    <s v="Corporate"/>
    <s v="United States"/>
    <s v="Philadelphia"/>
    <x v="9"/>
    <n v="19143"/>
    <x v="3"/>
    <x v="1087"/>
    <x v="1"/>
    <x v="8"/>
    <x v="1077"/>
    <n v="13.896000000000001"/>
    <s v="Low"/>
    <n v="3"/>
    <n v="0.7"/>
    <x v="1"/>
    <x v="5"/>
    <n v="-9.2639999999999993"/>
    <n v="-0.66666666666666663"/>
    <n v="1"/>
  </r>
  <r>
    <n v="1664"/>
    <s v="CA-2016-128531"/>
    <d v="2016-11-24T00:00:00"/>
    <x v="0"/>
    <s v="Q4"/>
    <x v="0"/>
    <d v="2016-11-26T00:00:00"/>
    <s v="Second Class"/>
    <x v="515"/>
    <x v="515"/>
    <s v="Consumer"/>
    <s v="United States"/>
    <s v="Dallas"/>
    <x v="5"/>
    <n v="75217"/>
    <x v="2"/>
    <x v="470"/>
    <x v="1"/>
    <x v="4"/>
    <x v="471"/>
    <n v="41.92"/>
    <s v="Medium"/>
    <n v="5"/>
    <n v="0.2"/>
    <x v="2"/>
    <x v="2"/>
    <n v="3.6680000000000001"/>
    <n v="8.7499999999999994E-2"/>
    <n v="0"/>
  </r>
  <r>
    <n v="1665"/>
    <s v="CA-2016-128531"/>
    <d v="2016-11-24T00:00:00"/>
    <x v="0"/>
    <s v="Q4"/>
    <x v="0"/>
    <d v="2016-11-26T00:00:00"/>
    <s v="Second Class"/>
    <x v="515"/>
    <x v="515"/>
    <s v="Consumer"/>
    <s v="United States"/>
    <s v="Dallas"/>
    <x v="5"/>
    <n v="75217"/>
    <x v="2"/>
    <x v="695"/>
    <x v="2"/>
    <x v="11"/>
    <x v="695"/>
    <n v="297.57600000000002"/>
    <s v="High"/>
    <n v="3"/>
    <n v="0.2"/>
    <x v="2"/>
    <x v="2"/>
    <n v="-7.4394"/>
    <n v="-2.4999999999999998E-2"/>
    <n v="1"/>
  </r>
  <r>
    <n v="1666"/>
    <s v="CA-2016-128531"/>
    <d v="2016-11-24T00:00:00"/>
    <x v="0"/>
    <s v="Q4"/>
    <x v="0"/>
    <d v="2016-11-26T00:00:00"/>
    <s v="Second Class"/>
    <x v="515"/>
    <x v="515"/>
    <s v="Consumer"/>
    <s v="United States"/>
    <s v="Dallas"/>
    <x v="5"/>
    <n v="75217"/>
    <x v="2"/>
    <x v="1088"/>
    <x v="1"/>
    <x v="13"/>
    <x v="1078"/>
    <n v="4.3440000000000003"/>
    <s v="Low"/>
    <n v="3"/>
    <n v="0.2"/>
    <x v="2"/>
    <x v="2"/>
    <n v="0.86880000000000002"/>
    <n v="0.19999999999999998"/>
    <n v="0"/>
  </r>
  <r>
    <n v="1667"/>
    <s v="CA-2016-128531"/>
    <d v="2016-11-24T00:00:00"/>
    <x v="0"/>
    <s v="Q4"/>
    <x v="0"/>
    <d v="2016-11-26T00:00:00"/>
    <s v="Second Class"/>
    <x v="515"/>
    <x v="515"/>
    <s v="Consumer"/>
    <s v="United States"/>
    <s v="Dallas"/>
    <x v="5"/>
    <n v="75217"/>
    <x v="2"/>
    <x v="1089"/>
    <x v="2"/>
    <x v="11"/>
    <x v="1079"/>
    <n v="94.992000000000004"/>
    <s v="Medium"/>
    <n v="2"/>
    <n v="0.2"/>
    <x v="2"/>
    <x v="2"/>
    <n v="-2.3748"/>
    <n v="-2.4999999999999998E-2"/>
    <n v="1"/>
  </r>
  <r>
    <n v="1668"/>
    <s v="CA-2016-128531"/>
    <d v="2016-11-24T00:00:00"/>
    <x v="0"/>
    <s v="Q4"/>
    <x v="0"/>
    <d v="2016-11-26T00:00:00"/>
    <s v="Second Class"/>
    <x v="515"/>
    <x v="515"/>
    <s v="Consumer"/>
    <s v="United States"/>
    <s v="Dallas"/>
    <x v="5"/>
    <n v="75217"/>
    <x v="2"/>
    <x v="1090"/>
    <x v="1"/>
    <x v="10"/>
    <x v="1080"/>
    <n v="74.352000000000004"/>
    <s v="Medium"/>
    <n v="3"/>
    <n v="0.2"/>
    <x v="2"/>
    <x v="2"/>
    <n v="23.234999999999999"/>
    <n v="0.3125"/>
    <n v="0"/>
  </r>
  <r>
    <n v="1669"/>
    <s v="CA-2016-128531"/>
    <d v="2016-11-24T00:00:00"/>
    <x v="0"/>
    <s v="Q4"/>
    <x v="0"/>
    <d v="2016-11-26T00:00:00"/>
    <s v="Second Class"/>
    <x v="515"/>
    <x v="515"/>
    <s v="Consumer"/>
    <s v="United States"/>
    <s v="Dallas"/>
    <x v="5"/>
    <n v="75217"/>
    <x v="2"/>
    <x v="628"/>
    <x v="1"/>
    <x v="6"/>
    <x v="628"/>
    <n v="14.04"/>
    <s v="Low"/>
    <n v="3"/>
    <n v="0.2"/>
    <x v="2"/>
    <x v="2"/>
    <n v="1.5794999999999999"/>
    <n v="0.1125"/>
    <n v="0"/>
  </r>
  <r>
    <n v="1670"/>
    <s v="US-2015-157154"/>
    <d v="2015-01-10T00:00:00"/>
    <x v="1"/>
    <s v="Q1"/>
    <x v="26"/>
    <d v="2015-01-15T00:00:00"/>
    <s v="Standard Class"/>
    <x v="462"/>
    <x v="462"/>
    <s v="Consumer"/>
    <s v="United States"/>
    <s v="New York City"/>
    <x v="15"/>
    <n v="10011"/>
    <x v="3"/>
    <x v="411"/>
    <x v="0"/>
    <x v="3"/>
    <x v="411"/>
    <n v="1018.104"/>
    <s v="High"/>
    <n v="4"/>
    <n v="0.4"/>
    <x v="1"/>
    <x v="7"/>
    <n v="-373.3048"/>
    <n v="-0.36666666666666664"/>
    <n v="1"/>
  </r>
  <r>
    <n v="1671"/>
    <s v="CA-2017-159457"/>
    <d v="2017-10-19T00:00:00"/>
    <x v="3"/>
    <s v="Q4"/>
    <x v="13"/>
    <d v="2017-10-26T00:00:00"/>
    <s v="Standard Class"/>
    <x v="502"/>
    <x v="502"/>
    <s v="Consumer"/>
    <s v="United States"/>
    <s v="Houston"/>
    <x v="5"/>
    <n v="77095"/>
    <x v="2"/>
    <x v="1091"/>
    <x v="2"/>
    <x v="7"/>
    <x v="1081"/>
    <n v="16.68"/>
    <s v="Low"/>
    <n v="3"/>
    <n v="0.2"/>
    <x v="2"/>
    <x v="2"/>
    <n v="5.2125000000000004"/>
    <n v="0.3125"/>
    <n v="0"/>
  </r>
  <r>
    <n v="1672"/>
    <s v="CA-2016-107615"/>
    <d v="2016-03-22T00:00:00"/>
    <x v="0"/>
    <s v="Q1"/>
    <x v="17"/>
    <d v="2016-03-25T00:00:00"/>
    <s v="First Class"/>
    <x v="516"/>
    <x v="516"/>
    <s v="Corporate"/>
    <s v="United States"/>
    <s v="North Las Vegas"/>
    <x v="33"/>
    <n v="89031"/>
    <x v="1"/>
    <x v="825"/>
    <x v="2"/>
    <x v="11"/>
    <x v="821"/>
    <n v="58.58"/>
    <s v="Medium"/>
    <n v="2"/>
    <n v="0"/>
    <x v="0"/>
    <x v="0"/>
    <n v="19.331399999999999"/>
    <n v="0.32999999999999996"/>
    <n v="0"/>
  </r>
  <r>
    <n v="1673"/>
    <s v="CA-2017-111647"/>
    <d v="2017-07-03T00:00:00"/>
    <x v="3"/>
    <s v="Q3"/>
    <x v="10"/>
    <d v="2017-07-07T00:00:00"/>
    <s v="Standard Class"/>
    <x v="361"/>
    <x v="361"/>
    <s v="Consumer"/>
    <s v="United States"/>
    <s v="Plano"/>
    <x v="5"/>
    <n v="75023"/>
    <x v="2"/>
    <x v="66"/>
    <x v="2"/>
    <x v="7"/>
    <x v="66"/>
    <n v="167.96799999999999"/>
    <s v="High"/>
    <n v="4"/>
    <n v="0.2"/>
    <x v="2"/>
    <x v="2"/>
    <n v="62.988"/>
    <n v="0.375"/>
    <n v="0"/>
  </r>
  <r>
    <n v="1674"/>
    <s v="CA-2015-150560"/>
    <d v="2015-12-11T00:00:00"/>
    <x v="1"/>
    <s v="Q4"/>
    <x v="14"/>
    <d v="2015-12-12T00:00:00"/>
    <s v="First Class"/>
    <x v="517"/>
    <x v="517"/>
    <s v="Consumer"/>
    <s v="United States"/>
    <s v="Suffolk"/>
    <x v="17"/>
    <n v="23434"/>
    <x v="0"/>
    <x v="508"/>
    <x v="1"/>
    <x v="2"/>
    <x v="508"/>
    <n v="196.62"/>
    <s v="High"/>
    <n v="2"/>
    <n v="0"/>
    <x v="0"/>
    <x v="0"/>
    <n v="96.343800000000002"/>
    <n v="0.49"/>
    <n v="0"/>
  </r>
  <r>
    <n v="1675"/>
    <s v="CA-2015-143077"/>
    <d v="2015-09-17T00:00:00"/>
    <x v="1"/>
    <s v="Q3"/>
    <x v="11"/>
    <d v="2015-09-21T00:00:00"/>
    <s v="Standard Class"/>
    <x v="245"/>
    <x v="245"/>
    <s v="Corporate"/>
    <s v="United States"/>
    <s v="Houston"/>
    <x v="5"/>
    <n v="77041"/>
    <x v="2"/>
    <x v="905"/>
    <x v="0"/>
    <x v="5"/>
    <x v="897"/>
    <n v="21.936"/>
    <s v="Low"/>
    <n v="2"/>
    <n v="0.6"/>
    <x v="1"/>
    <x v="6"/>
    <n v="-10.419600000000001"/>
    <n v="-0.47500000000000003"/>
    <n v="1"/>
  </r>
  <r>
    <n v="1676"/>
    <s v="CA-2015-143077"/>
    <d v="2015-09-17T00:00:00"/>
    <x v="1"/>
    <s v="Q3"/>
    <x v="11"/>
    <d v="2015-09-21T00:00:00"/>
    <s v="Standard Class"/>
    <x v="245"/>
    <x v="245"/>
    <s v="Corporate"/>
    <s v="United States"/>
    <s v="Houston"/>
    <x v="5"/>
    <n v="77041"/>
    <x v="2"/>
    <x v="1045"/>
    <x v="1"/>
    <x v="8"/>
    <x v="1034"/>
    <n v="6.5880000000000001"/>
    <s v="Low"/>
    <n v="3"/>
    <n v="0.8"/>
    <x v="1"/>
    <x v="3"/>
    <n v="-10.211399999999999"/>
    <n v="-1.5499999999999998"/>
    <n v="1"/>
  </r>
  <r>
    <n v="1677"/>
    <s v="CA-2016-122728"/>
    <d v="2016-05-18T00:00:00"/>
    <x v="0"/>
    <s v="Q2"/>
    <x v="35"/>
    <d v="2016-05-24T00:00:00"/>
    <s v="Standard Class"/>
    <x v="518"/>
    <x v="518"/>
    <s v="Consumer"/>
    <s v="United States"/>
    <s v="San Francisco"/>
    <x v="1"/>
    <n v="94110"/>
    <x v="1"/>
    <x v="54"/>
    <x v="1"/>
    <x v="4"/>
    <x v="54"/>
    <n v="104.28"/>
    <s v="Medium"/>
    <n v="3"/>
    <n v="0"/>
    <x v="0"/>
    <x v="0"/>
    <n v="26.07"/>
    <n v="0.25"/>
    <n v="0"/>
  </r>
  <r>
    <n v="1678"/>
    <s v="CA-2016-122728"/>
    <d v="2016-05-18T00:00:00"/>
    <x v="0"/>
    <s v="Q2"/>
    <x v="35"/>
    <d v="2016-05-24T00:00:00"/>
    <s v="Standard Class"/>
    <x v="518"/>
    <x v="518"/>
    <s v="Consumer"/>
    <s v="United States"/>
    <s v="San Francisco"/>
    <x v="1"/>
    <n v="94110"/>
    <x v="1"/>
    <x v="99"/>
    <x v="1"/>
    <x v="10"/>
    <x v="99"/>
    <n v="17.940000000000001"/>
    <s v="Low"/>
    <n v="3"/>
    <n v="0"/>
    <x v="0"/>
    <x v="0"/>
    <n v="8.7905999999999995"/>
    <n v="0.48999999999999994"/>
    <n v="0"/>
  </r>
  <r>
    <n v="1679"/>
    <s v="CA-2014-122882"/>
    <d v="2014-09-07T00:00:00"/>
    <x v="2"/>
    <s v="Q3"/>
    <x v="30"/>
    <d v="2014-09-13T00:00:00"/>
    <s v="Standard Class"/>
    <x v="115"/>
    <x v="115"/>
    <s v="Corporate"/>
    <s v="United States"/>
    <s v="Philadelphia"/>
    <x v="9"/>
    <n v="19134"/>
    <x v="3"/>
    <x v="871"/>
    <x v="1"/>
    <x v="4"/>
    <x v="865"/>
    <n v="64.784000000000006"/>
    <s v="Medium"/>
    <n v="1"/>
    <n v="0.2"/>
    <x v="2"/>
    <x v="2"/>
    <n v="-14.5764"/>
    <n v="-0.22499999999999998"/>
    <n v="1"/>
  </r>
  <r>
    <n v="1680"/>
    <s v="CA-2014-122882"/>
    <d v="2014-09-07T00:00:00"/>
    <x v="2"/>
    <s v="Q3"/>
    <x v="30"/>
    <d v="2014-09-13T00:00:00"/>
    <s v="Standard Class"/>
    <x v="115"/>
    <x v="115"/>
    <s v="Corporate"/>
    <s v="United States"/>
    <s v="Philadelphia"/>
    <x v="9"/>
    <n v="19134"/>
    <x v="3"/>
    <x v="831"/>
    <x v="2"/>
    <x v="7"/>
    <x v="826"/>
    <n v="32.381999999999998"/>
    <s v="Medium"/>
    <n v="3"/>
    <n v="0.4"/>
    <x v="1"/>
    <x v="7"/>
    <n v="4.3175999999999997"/>
    <n v="0.13333333333333333"/>
    <n v="0"/>
  </r>
  <r>
    <n v="1681"/>
    <s v="CA-2014-122882"/>
    <d v="2014-09-07T00:00:00"/>
    <x v="2"/>
    <s v="Q3"/>
    <x v="30"/>
    <d v="2014-09-13T00:00:00"/>
    <s v="Standard Class"/>
    <x v="115"/>
    <x v="115"/>
    <s v="Corporate"/>
    <s v="United States"/>
    <s v="Philadelphia"/>
    <x v="9"/>
    <n v="19134"/>
    <x v="3"/>
    <x v="1092"/>
    <x v="0"/>
    <x v="5"/>
    <x v="1082"/>
    <n v="42.368000000000002"/>
    <s v="Medium"/>
    <n v="2"/>
    <n v="0.2"/>
    <x v="2"/>
    <x v="2"/>
    <n v="8.4735999999999994"/>
    <n v="0.19999999999999998"/>
    <n v="0"/>
  </r>
  <r>
    <n v="1682"/>
    <s v="CA-2014-122882"/>
    <d v="2014-09-07T00:00:00"/>
    <x v="2"/>
    <s v="Q3"/>
    <x v="30"/>
    <d v="2014-09-13T00:00:00"/>
    <s v="Standard Class"/>
    <x v="115"/>
    <x v="115"/>
    <s v="Corporate"/>
    <s v="United States"/>
    <s v="Philadelphia"/>
    <x v="9"/>
    <n v="19134"/>
    <x v="3"/>
    <x v="1093"/>
    <x v="2"/>
    <x v="15"/>
    <x v="1083"/>
    <n v="399.54"/>
    <s v="High"/>
    <n v="4"/>
    <n v="0.7"/>
    <x v="1"/>
    <x v="5"/>
    <n v="-559.35599999999999"/>
    <n v="-1.4"/>
    <n v="1"/>
  </r>
  <r>
    <n v="1683"/>
    <s v="US-2016-101497"/>
    <d v="2016-09-29T00:00:00"/>
    <x v="0"/>
    <s v="Q3"/>
    <x v="21"/>
    <d v="2016-10-01T00:00:00"/>
    <s v="Second Class"/>
    <x v="519"/>
    <x v="519"/>
    <s v="Consumer"/>
    <s v="United States"/>
    <s v="Los Angeles"/>
    <x v="1"/>
    <n v="90008"/>
    <x v="1"/>
    <x v="640"/>
    <x v="1"/>
    <x v="10"/>
    <x v="640"/>
    <n v="18.97"/>
    <s v="Low"/>
    <n v="1"/>
    <n v="0"/>
    <x v="0"/>
    <x v="0"/>
    <n v="9.1056000000000008"/>
    <n v="0.48000000000000009"/>
    <n v="0"/>
  </r>
  <r>
    <n v="1684"/>
    <s v="CA-2016-147585"/>
    <d v="2016-11-07T00:00:00"/>
    <x v="0"/>
    <s v="Q4"/>
    <x v="0"/>
    <d v="2016-11-12T00:00:00"/>
    <s v="Standard Class"/>
    <x v="118"/>
    <x v="118"/>
    <s v="Corporate"/>
    <s v="United States"/>
    <s v="San Francisco"/>
    <x v="1"/>
    <n v="94110"/>
    <x v="1"/>
    <x v="627"/>
    <x v="0"/>
    <x v="5"/>
    <x v="627"/>
    <n v="14.82"/>
    <s v="Low"/>
    <n v="3"/>
    <n v="0"/>
    <x v="0"/>
    <x v="0"/>
    <n v="6.2244000000000002"/>
    <n v="0.42"/>
    <n v="0"/>
  </r>
  <r>
    <n v="1685"/>
    <s v="CA-2017-149489"/>
    <d v="2017-04-24T00:00:00"/>
    <x v="3"/>
    <s v="Q2"/>
    <x v="4"/>
    <d v="2017-04-27T00:00:00"/>
    <s v="First Class"/>
    <x v="460"/>
    <x v="460"/>
    <s v="Corporate"/>
    <s v="United States"/>
    <s v="Philadelphia"/>
    <x v="9"/>
    <n v="19143"/>
    <x v="3"/>
    <x v="1094"/>
    <x v="1"/>
    <x v="9"/>
    <x v="1084"/>
    <n v="99.28"/>
    <s v="Medium"/>
    <n v="2"/>
    <n v="0.2"/>
    <x v="2"/>
    <x v="2"/>
    <n v="12.41"/>
    <n v="0.125"/>
    <n v="0"/>
  </r>
  <r>
    <n v="1686"/>
    <s v="CA-2017-149489"/>
    <d v="2017-04-24T00:00:00"/>
    <x v="3"/>
    <s v="Q2"/>
    <x v="4"/>
    <d v="2017-04-27T00:00:00"/>
    <s v="First Class"/>
    <x v="460"/>
    <x v="460"/>
    <s v="Corporate"/>
    <s v="United States"/>
    <s v="Philadelphia"/>
    <x v="9"/>
    <n v="19143"/>
    <x v="3"/>
    <x v="922"/>
    <x v="1"/>
    <x v="8"/>
    <x v="914"/>
    <n v="1.1879999999999999"/>
    <s v="Low"/>
    <n v="2"/>
    <n v="0.7"/>
    <x v="1"/>
    <x v="5"/>
    <n v="-0.99"/>
    <n v="-0.83333333333333337"/>
    <n v="1"/>
  </r>
  <r>
    <n v="1687"/>
    <s v="CA-2017-149489"/>
    <d v="2017-04-24T00:00:00"/>
    <x v="3"/>
    <s v="Q2"/>
    <x v="4"/>
    <d v="2017-04-27T00:00:00"/>
    <s v="First Class"/>
    <x v="460"/>
    <x v="460"/>
    <s v="Corporate"/>
    <s v="United States"/>
    <s v="Philadelphia"/>
    <x v="9"/>
    <n v="19143"/>
    <x v="3"/>
    <x v="1095"/>
    <x v="1"/>
    <x v="8"/>
    <x v="1085"/>
    <n v="7.5179999999999998"/>
    <s v="Low"/>
    <n v="2"/>
    <n v="0.7"/>
    <x v="1"/>
    <x v="5"/>
    <n v="-5.7637999999999998"/>
    <n v="-0.76666666666666661"/>
    <n v="1"/>
  </r>
  <r>
    <n v="1688"/>
    <s v="CA-2017-143798"/>
    <d v="2017-12-10T00:00:00"/>
    <x v="3"/>
    <s v="Q4"/>
    <x v="22"/>
    <d v="2017-12-12T00:00:00"/>
    <s v="First Class"/>
    <x v="497"/>
    <x v="497"/>
    <s v="Consumer"/>
    <s v="United States"/>
    <s v="Philadelphia"/>
    <x v="9"/>
    <n v="19140"/>
    <x v="3"/>
    <x v="739"/>
    <x v="1"/>
    <x v="10"/>
    <x v="738"/>
    <n v="10.368"/>
    <s v="Low"/>
    <n v="2"/>
    <n v="0.2"/>
    <x v="2"/>
    <x v="2"/>
    <n v="3.6288"/>
    <n v="0.35"/>
    <n v="0"/>
  </r>
  <r>
    <n v="1689"/>
    <s v="CA-2017-143798"/>
    <d v="2017-12-10T00:00:00"/>
    <x v="3"/>
    <s v="Q4"/>
    <x v="22"/>
    <d v="2017-12-12T00:00:00"/>
    <s v="First Class"/>
    <x v="497"/>
    <x v="497"/>
    <s v="Consumer"/>
    <s v="United States"/>
    <s v="Philadelphia"/>
    <x v="9"/>
    <n v="19140"/>
    <x v="3"/>
    <x v="622"/>
    <x v="0"/>
    <x v="5"/>
    <x v="622"/>
    <n v="310.88"/>
    <s v="High"/>
    <n v="2"/>
    <n v="0.2"/>
    <x v="2"/>
    <x v="2"/>
    <n v="23.315999999999999"/>
    <n v="7.4999999999999997E-2"/>
    <n v="0"/>
  </r>
  <r>
    <n v="1690"/>
    <s v="CA-2014-142839"/>
    <d v="2014-08-16T00:00:00"/>
    <x v="2"/>
    <s v="Q3"/>
    <x v="9"/>
    <d v="2014-08-20T00:00:00"/>
    <s v="Standard Class"/>
    <x v="59"/>
    <x v="59"/>
    <s v="Consumer"/>
    <s v="United States"/>
    <s v="Philadelphia"/>
    <x v="9"/>
    <n v="19143"/>
    <x v="3"/>
    <x v="10"/>
    <x v="0"/>
    <x v="3"/>
    <x v="10"/>
    <n v="853.09199999999998"/>
    <s v="High"/>
    <n v="6"/>
    <n v="0.4"/>
    <x v="1"/>
    <x v="7"/>
    <n v="-227.49119999999999"/>
    <n v="-0.26666666666666666"/>
    <n v="1"/>
  </r>
  <r>
    <n v="1691"/>
    <s v="CA-2017-129833"/>
    <d v="2017-12-09T00:00:00"/>
    <x v="3"/>
    <s v="Q4"/>
    <x v="22"/>
    <d v="2017-12-15T00:00:00"/>
    <s v="Standard Class"/>
    <x v="520"/>
    <x v="520"/>
    <s v="Consumer"/>
    <s v="United States"/>
    <s v="Indianapolis"/>
    <x v="14"/>
    <n v="46203"/>
    <x v="2"/>
    <x v="1070"/>
    <x v="1"/>
    <x v="10"/>
    <x v="1059"/>
    <n v="33.450000000000003"/>
    <s v="Medium"/>
    <n v="5"/>
    <n v="0"/>
    <x v="0"/>
    <x v="0"/>
    <n v="15.387"/>
    <n v="0.45999999999999996"/>
    <n v="0"/>
  </r>
  <r>
    <n v="1692"/>
    <s v="CA-2017-129833"/>
    <d v="2017-12-09T00:00:00"/>
    <x v="3"/>
    <s v="Q4"/>
    <x v="22"/>
    <d v="2017-12-15T00:00:00"/>
    <s v="Standard Class"/>
    <x v="520"/>
    <x v="520"/>
    <s v="Consumer"/>
    <s v="United States"/>
    <s v="Indianapolis"/>
    <x v="14"/>
    <n v="46203"/>
    <x v="2"/>
    <x v="73"/>
    <x v="1"/>
    <x v="8"/>
    <x v="73"/>
    <n v="10.4"/>
    <s v="Low"/>
    <n v="5"/>
    <n v="0"/>
    <x v="0"/>
    <x v="0"/>
    <n v="5.0960000000000001"/>
    <n v="0.49"/>
    <n v="0"/>
  </r>
  <r>
    <n v="1693"/>
    <s v="US-2016-154361"/>
    <d v="2016-03-14T00:00:00"/>
    <x v="0"/>
    <s v="Q1"/>
    <x v="17"/>
    <d v="2016-03-19T00:00:00"/>
    <s v="Standard Class"/>
    <x v="521"/>
    <x v="521"/>
    <s v="Consumer"/>
    <s v="United States"/>
    <s v="Columbus"/>
    <x v="24"/>
    <n v="43229"/>
    <x v="3"/>
    <x v="493"/>
    <x v="0"/>
    <x v="5"/>
    <x v="493"/>
    <n v="21.88"/>
    <s v="Low"/>
    <n v="5"/>
    <n v="0.2"/>
    <x v="2"/>
    <x v="2"/>
    <n v="6.2904999999999998"/>
    <n v="0.28749999999999998"/>
    <n v="0"/>
  </r>
  <r>
    <n v="1694"/>
    <s v="US-2016-158708"/>
    <d v="2016-06-26T00:00:00"/>
    <x v="0"/>
    <s v="Q2"/>
    <x v="1"/>
    <d v="2016-06-29T00:00:00"/>
    <s v="Second Class"/>
    <x v="437"/>
    <x v="437"/>
    <s v="Home Office"/>
    <s v="United States"/>
    <s v="Plano"/>
    <x v="5"/>
    <n v="75023"/>
    <x v="2"/>
    <x v="1096"/>
    <x v="2"/>
    <x v="11"/>
    <x v="1086"/>
    <n v="13.616"/>
    <s v="Low"/>
    <n v="2"/>
    <n v="0.2"/>
    <x v="2"/>
    <x v="2"/>
    <n v="3.5741999999999998"/>
    <n v="0.26250000000000001"/>
    <n v="0"/>
  </r>
  <r>
    <n v="1695"/>
    <s v="CA-2015-156335"/>
    <d v="2015-09-25T00:00:00"/>
    <x v="1"/>
    <s v="Q3"/>
    <x v="11"/>
    <d v="2015-09-28T00:00:00"/>
    <s v="Second Class"/>
    <x v="285"/>
    <x v="285"/>
    <s v="Home Office"/>
    <s v="United States"/>
    <s v="Bayonne"/>
    <x v="30"/>
    <n v="7002"/>
    <x v="3"/>
    <x v="1097"/>
    <x v="2"/>
    <x v="11"/>
    <x v="1087"/>
    <n v="63.96"/>
    <s v="Medium"/>
    <n v="4"/>
    <n v="0"/>
    <x v="0"/>
    <x v="0"/>
    <n v="19.8276"/>
    <n v="0.31"/>
    <n v="0"/>
  </r>
  <r>
    <n v="1696"/>
    <s v="CA-2015-156335"/>
    <d v="2015-09-25T00:00:00"/>
    <x v="1"/>
    <s v="Q3"/>
    <x v="11"/>
    <d v="2015-09-28T00:00:00"/>
    <s v="Second Class"/>
    <x v="285"/>
    <x v="285"/>
    <s v="Home Office"/>
    <s v="United States"/>
    <s v="Bayonne"/>
    <x v="30"/>
    <n v="7002"/>
    <x v="3"/>
    <x v="308"/>
    <x v="1"/>
    <x v="8"/>
    <x v="308"/>
    <n v="14.46"/>
    <s v="Low"/>
    <n v="3"/>
    <n v="0"/>
    <x v="0"/>
    <x v="0"/>
    <n v="7.0853999999999999"/>
    <n v="0.49"/>
    <n v="0"/>
  </r>
  <r>
    <n v="1697"/>
    <s v="CA-2015-156335"/>
    <d v="2015-09-25T00:00:00"/>
    <x v="1"/>
    <s v="Q3"/>
    <x v="11"/>
    <d v="2015-09-28T00:00:00"/>
    <s v="Second Class"/>
    <x v="285"/>
    <x v="285"/>
    <s v="Home Office"/>
    <s v="United States"/>
    <s v="Bayonne"/>
    <x v="30"/>
    <n v="7002"/>
    <x v="3"/>
    <x v="66"/>
    <x v="2"/>
    <x v="7"/>
    <x v="66"/>
    <n v="104.98"/>
    <s v="Medium"/>
    <n v="2"/>
    <n v="0"/>
    <x v="0"/>
    <x v="0"/>
    <n v="52.49"/>
    <n v="0.5"/>
    <n v="0"/>
  </r>
  <r>
    <n v="1698"/>
    <s v="CA-2015-148376"/>
    <d v="2015-12-27T00:00:00"/>
    <x v="1"/>
    <s v="Q4"/>
    <x v="14"/>
    <d v="2015-12-31T00:00:00"/>
    <s v="Standard Class"/>
    <x v="151"/>
    <x v="151"/>
    <s v="Consumer"/>
    <s v="United States"/>
    <s v="Los Angeles"/>
    <x v="1"/>
    <n v="90008"/>
    <x v="1"/>
    <x v="650"/>
    <x v="1"/>
    <x v="9"/>
    <x v="650"/>
    <n v="106.96"/>
    <s v="Medium"/>
    <n v="2"/>
    <n v="0"/>
    <x v="0"/>
    <x v="0"/>
    <n v="31.0184"/>
    <n v="0.29000000000000004"/>
    <n v="0"/>
  </r>
  <r>
    <n v="1699"/>
    <s v="CA-2015-148376"/>
    <d v="2015-12-27T00:00:00"/>
    <x v="1"/>
    <s v="Q4"/>
    <x v="14"/>
    <d v="2015-12-31T00:00:00"/>
    <s v="Standard Class"/>
    <x v="151"/>
    <x v="151"/>
    <s v="Consumer"/>
    <s v="United States"/>
    <s v="Los Angeles"/>
    <x v="1"/>
    <n v="90008"/>
    <x v="1"/>
    <x v="1098"/>
    <x v="1"/>
    <x v="2"/>
    <x v="1088"/>
    <n v="21.56"/>
    <s v="Low"/>
    <n v="7"/>
    <n v="0"/>
    <x v="0"/>
    <x v="0"/>
    <n v="10.348800000000001"/>
    <n v="0.48000000000000004"/>
    <n v="0"/>
  </r>
  <r>
    <n v="1700"/>
    <s v="CA-2014-135657"/>
    <d v="2014-06-03T00:00:00"/>
    <x v="2"/>
    <s v="Q2"/>
    <x v="3"/>
    <d v="2014-06-07T00:00:00"/>
    <s v="Second Class"/>
    <x v="56"/>
    <x v="56"/>
    <s v="Consumer"/>
    <s v="United States"/>
    <s v="Seattle"/>
    <x v="4"/>
    <n v="98115"/>
    <x v="1"/>
    <x v="838"/>
    <x v="0"/>
    <x v="3"/>
    <x v="832"/>
    <n v="515.88"/>
    <s v="High"/>
    <n v="6"/>
    <n v="0"/>
    <x v="0"/>
    <x v="0"/>
    <n v="113.4936"/>
    <n v="0.22"/>
    <n v="0"/>
  </r>
  <r>
    <n v="1701"/>
    <s v="CA-2015-114069"/>
    <d v="2015-07-13T00:00:00"/>
    <x v="1"/>
    <s v="Q3"/>
    <x v="38"/>
    <d v="2015-07-15T00:00:00"/>
    <s v="Second Class"/>
    <x v="444"/>
    <x v="444"/>
    <s v="Consumer"/>
    <s v="United States"/>
    <s v="New York City"/>
    <x v="15"/>
    <n v="10035"/>
    <x v="3"/>
    <x v="777"/>
    <x v="1"/>
    <x v="8"/>
    <x v="776"/>
    <n v="11.808"/>
    <s v="Low"/>
    <n v="2"/>
    <n v="0.2"/>
    <x v="2"/>
    <x v="2"/>
    <n v="4.2804000000000002"/>
    <n v="0.36250000000000004"/>
    <n v="0"/>
  </r>
  <r>
    <n v="1702"/>
    <s v="CA-2015-114069"/>
    <d v="2015-07-13T00:00:00"/>
    <x v="1"/>
    <s v="Q3"/>
    <x v="38"/>
    <d v="2015-07-15T00:00:00"/>
    <s v="Second Class"/>
    <x v="444"/>
    <x v="444"/>
    <s v="Consumer"/>
    <s v="United States"/>
    <s v="New York City"/>
    <x v="15"/>
    <n v="10035"/>
    <x v="3"/>
    <x v="467"/>
    <x v="0"/>
    <x v="1"/>
    <x v="468"/>
    <n v="1931.04"/>
    <s v="High"/>
    <n v="9"/>
    <n v="0.1"/>
    <x v="3"/>
    <x v="8"/>
    <n v="321.83999999999997"/>
    <n v="0.16666666666666666"/>
    <n v="0"/>
  </r>
  <r>
    <n v="1703"/>
    <s v="CA-2015-114069"/>
    <d v="2015-07-13T00:00:00"/>
    <x v="1"/>
    <s v="Q3"/>
    <x v="38"/>
    <d v="2015-07-15T00:00:00"/>
    <s v="Second Class"/>
    <x v="444"/>
    <x v="444"/>
    <s v="Consumer"/>
    <s v="United States"/>
    <s v="New York City"/>
    <x v="15"/>
    <n v="10035"/>
    <x v="3"/>
    <x v="811"/>
    <x v="1"/>
    <x v="10"/>
    <x v="33"/>
    <n v="9.9600000000000009"/>
    <s v="Low"/>
    <n v="2"/>
    <n v="0"/>
    <x v="0"/>
    <x v="0"/>
    <n v="4.6811999999999996"/>
    <n v="0.46999999999999992"/>
    <n v="0"/>
  </r>
  <r>
    <n v="1704"/>
    <s v="CA-2014-139857"/>
    <d v="2014-02-02T00:00:00"/>
    <x v="2"/>
    <s v="Q1"/>
    <x v="45"/>
    <d v="2014-02-06T00:00:00"/>
    <s v="Standard Class"/>
    <x v="522"/>
    <x v="522"/>
    <s v="Home Office"/>
    <s v="United States"/>
    <s v="San Diego"/>
    <x v="1"/>
    <n v="92037"/>
    <x v="1"/>
    <x v="1099"/>
    <x v="1"/>
    <x v="13"/>
    <x v="128"/>
    <n v="12.35"/>
    <s v="Low"/>
    <n v="5"/>
    <n v="0"/>
    <x v="0"/>
    <x v="0"/>
    <n v="5.8045"/>
    <n v="0.47000000000000003"/>
    <n v="0"/>
  </r>
  <r>
    <n v="1705"/>
    <s v="CA-2016-106306"/>
    <d v="2016-03-08T00:00:00"/>
    <x v="0"/>
    <s v="Q1"/>
    <x v="17"/>
    <d v="2016-03-08T00:00:00"/>
    <s v="Same Day"/>
    <x v="310"/>
    <x v="310"/>
    <s v="Consumer"/>
    <s v="United States"/>
    <s v="Glendale"/>
    <x v="16"/>
    <n v="85301"/>
    <x v="1"/>
    <x v="828"/>
    <x v="1"/>
    <x v="8"/>
    <x v="824"/>
    <n v="9.702"/>
    <s v="Low"/>
    <n v="3"/>
    <n v="0.7"/>
    <x v="1"/>
    <x v="5"/>
    <n v="-7.1147999999999998"/>
    <n v="-0.73333333333333328"/>
    <n v="1"/>
  </r>
  <r>
    <n v="1706"/>
    <s v="CA-2015-100545"/>
    <d v="2015-11-22T00:00:00"/>
    <x v="1"/>
    <s v="Q4"/>
    <x v="6"/>
    <d v="2015-11-26T00:00:00"/>
    <s v="Standard Class"/>
    <x v="5"/>
    <x v="5"/>
    <s v="Consumer"/>
    <s v="United States"/>
    <s v="Philadelphia"/>
    <x v="9"/>
    <n v="19120"/>
    <x v="3"/>
    <x v="612"/>
    <x v="1"/>
    <x v="8"/>
    <x v="612"/>
    <n v="11.61"/>
    <s v="Low"/>
    <n v="2"/>
    <n v="0.7"/>
    <x v="1"/>
    <x v="5"/>
    <n v="-9.2880000000000003"/>
    <n v="-0.8"/>
    <n v="1"/>
  </r>
  <r>
    <n v="1707"/>
    <s v="CA-2017-123491"/>
    <d v="2017-10-30T00:00:00"/>
    <x v="3"/>
    <s v="Q4"/>
    <x v="13"/>
    <d v="2017-11-05T00:00:00"/>
    <s v="Standard Class"/>
    <x v="523"/>
    <x v="523"/>
    <s v="Consumer"/>
    <s v="United States"/>
    <s v="San Francisco"/>
    <x v="1"/>
    <n v="94122"/>
    <x v="1"/>
    <x v="1100"/>
    <x v="1"/>
    <x v="2"/>
    <x v="1089"/>
    <n v="43.86"/>
    <s v="Medium"/>
    <n v="6"/>
    <n v="0"/>
    <x v="0"/>
    <x v="0"/>
    <n v="20.6142"/>
    <n v="0.47000000000000003"/>
    <n v="0"/>
  </r>
  <r>
    <n v="1708"/>
    <s v="CA-2017-123491"/>
    <d v="2017-10-30T00:00:00"/>
    <x v="3"/>
    <s v="Q4"/>
    <x v="13"/>
    <d v="2017-11-05T00:00:00"/>
    <s v="Standard Class"/>
    <x v="523"/>
    <x v="523"/>
    <s v="Consumer"/>
    <s v="United States"/>
    <s v="San Francisco"/>
    <x v="1"/>
    <n v="94122"/>
    <x v="1"/>
    <x v="918"/>
    <x v="2"/>
    <x v="7"/>
    <x v="910"/>
    <n v="148.47999999999999"/>
    <s v="High"/>
    <n v="2"/>
    <n v="0.2"/>
    <x v="2"/>
    <x v="2"/>
    <n v="16.704000000000001"/>
    <n v="0.11250000000000002"/>
    <n v="0"/>
  </r>
  <r>
    <n v="1709"/>
    <s v="CA-2017-123491"/>
    <d v="2017-10-30T00:00:00"/>
    <x v="3"/>
    <s v="Q4"/>
    <x v="13"/>
    <d v="2017-11-05T00:00:00"/>
    <s v="Standard Class"/>
    <x v="523"/>
    <x v="523"/>
    <s v="Consumer"/>
    <s v="United States"/>
    <s v="San Francisco"/>
    <x v="1"/>
    <n v="94122"/>
    <x v="1"/>
    <x v="1101"/>
    <x v="1"/>
    <x v="10"/>
    <x v="1090"/>
    <n v="7.42"/>
    <s v="Low"/>
    <n v="2"/>
    <n v="0"/>
    <x v="0"/>
    <x v="0"/>
    <n v="3.71"/>
    <n v="0.5"/>
    <n v="0"/>
  </r>
  <r>
    <n v="1710"/>
    <s v="CA-2017-123491"/>
    <d v="2017-10-30T00:00:00"/>
    <x v="3"/>
    <s v="Q4"/>
    <x v="13"/>
    <d v="2017-11-05T00:00:00"/>
    <s v="Standard Class"/>
    <x v="523"/>
    <x v="523"/>
    <s v="Consumer"/>
    <s v="United States"/>
    <s v="San Francisco"/>
    <x v="1"/>
    <n v="94122"/>
    <x v="1"/>
    <x v="51"/>
    <x v="0"/>
    <x v="1"/>
    <x v="51"/>
    <n v="71.992000000000004"/>
    <s v="Medium"/>
    <n v="1"/>
    <n v="0.2"/>
    <x v="2"/>
    <x v="2"/>
    <n v="-0.89990000000000003"/>
    <n v="-1.2499999999999999E-2"/>
    <n v="1"/>
  </r>
  <r>
    <n v="1711"/>
    <s v="CA-2017-123491"/>
    <d v="2017-10-30T00:00:00"/>
    <x v="3"/>
    <s v="Q4"/>
    <x v="13"/>
    <d v="2017-11-05T00:00:00"/>
    <s v="Standard Class"/>
    <x v="523"/>
    <x v="523"/>
    <s v="Consumer"/>
    <s v="United States"/>
    <s v="San Francisco"/>
    <x v="1"/>
    <n v="94122"/>
    <x v="1"/>
    <x v="181"/>
    <x v="1"/>
    <x v="6"/>
    <x v="182"/>
    <n v="19.899999999999999"/>
    <s v="Low"/>
    <n v="5"/>
    <n v="0"/>
    <x v="0"/>
    <x v="0"/>
    <n v="6.5670000000000002"/>
    <n v="0.33"/>
    <n v="0"/>
  </r>
  <r>
    <n v="1712"/>
    <s v="CA-2017-123491"/>
    <d v="2017-10-30T00:00:00"/>
    <x v="3"/>
    <s v="Q4"/>
    <x v="13"/>
    <d v="2017-11-05T00:00:00"/>
    <s v="Standard Class"/>
    <x v="523"/>
    <x v="523"/>
    <s v="Consumer"/>
    <s v="United States"/>
    <s v="San Francisco"/>
    <x v="1"/>
    <n v="94122"/>
    <x v="1"/>
    <x v="166"/>
    <x v="1"/>
    <x v="9"/>
    <x v="167"/>
    <n v="1702.12"/>
    <s v="High"/>
    <n v="14"/>
    <n v="0"/>
    <x v="0"/>
    <x v="0"/>
    <n v="510.63600000000002"/>
    <n v="0.30000000000000004"/>
    <n v="0"/>
  </r>
  <r>
    <n v="1713"/>
    <s v="CA-2015-145401"/>
    <d v="2015-01-30T00:00:00"/>
    <x v="1"/>
    <s v="Q1"/>
    <x v="26"/>
    <d v="2015-02-04T00:00:00"/>
    <s v="Standard Class"/>
    <x v="187"/>
    <x v="187"/>
    <s v="Consumer"/>
    <s v="United States"/>
    <s v="Houston"/>
    <x v="5"/>
    <n v="77070"/>
    <x v="2"/>
    <x v="1102"/>
    <x v="1"/>
    <x v="10"/>
    <x v="1091"/>
    <n v="14.304"/>
    <s v="Low"/>
    <n v="6"/>
    <n v="0.2"/>
    <x v="2"/>
    <x v="2"/>
    <n v="5.0064000000000002"/>
    <n v="0.35000000000000003"/>
    <n v="0"/>
  </r>
  <r>
    <n v="1714"/>
    <s v="US-2017-124968"/>
    <d v="2017-09-08T00:00:00"/>
    <x v="3"/>
    <s v="Q3"/>
    <x v="15"/>
    <d v="2017-09-13T00:00:00"/>
    <s v="Second Class"/>
    <x v="514"/>
    <x v="514"/>
    <s v="Consumer"/>
    <s v="United States"/>
    <s v="Chicago"/>
    <x v="10"/>
    <n v="60610"/>
    <x v="2"/>
    <x v="188"/>
    <x v="0"/>
    <x v="3"/>
    <x v="189"/>
    <n v="765.625"/>
    <s v="High"/>
    <n v="7"/>
    <n v="0.5"/>
    <x v="1"/>
    <x v="1"/>
    <n v="-566.5625"/>
    <n v="-0.74"/>
    <n v="1"/>
  </r>
  <r>
    <n v="1715"/>
    <s v="CA-2017-104003"/>
    <d v="2017-10-07T00:00:00"/>
    <x v="3"/>
    <s v="Q4"/>
    <x v="13"/>
    <d v="2017-10-13T00:00:00"/>
    <s v="Standard Class"/>
    <x v="290"/>
    <x v="290"/>
    <s v="Consumer"/>
    <s v="United States"/>
    <s v="San Francisco"/>
    <x v="1"/>
    <n v="94110"/>
    <x v="1"/>
    <x v="1103"/>
    <x v="0"/>
    <x v="0"/>
    <x v="1092"/>
    <n v="307.666"/>
    <s v="High"/>
    <n v="2"/>
    <n v="0.15"/>
    <x v="2"/>
    <x v="2"/>
    <n v="-14.478400000000001"/>
    <n v="-4.7058823529411764E-2"/>
    <n v="1"/>
  </r>
  <r>
    <n v="1716"/>
    <s v="CA-2016-154788"/>
    <d v="2016-04-30T00:00:00"/>
    <x v="0"/>
    <s v="Q2"/>
    <x v="25"/>
    <d v="2016-05-04T00:00:00"/>
    <s v="Standard Class"/>
    <x v="252"/>
    <x v="252"/>
    <s v="Consumer"/>
    <s v="United States"/>
    <s v="New York City"/>
    <x v="15"/>
    <n v="10011"/>
    <x v="3"/>
    <x v="308"/>
    <x v="1"/>
    <x v="8"/>
    <x v="308"/>
    <n v="7.7119999999999997"/>
    <s v="Low"/>
    <n v="2"/>
    <n v="0.2"/>
    <x v="2"/>
    <x v="2"/>
    <n v="2.7955999999999999"/>
    <n v="0.36249999999999999"/>
    <n v="0"/>
  </r>
  <r>
    <n v="1717"/>
    <s v="CA-2016-169943"/>
    <d v="2016-05-19T00:00:00"/>
    <x v="0"/>
    <s v="Q2"/>
    <x v="35"/>
    <d v="2016-05-24T00:00:00"/>
    <s v="Standard Class"/>
    <x v="202"/>
    <x v="202"/>
    <s v="Consumer"/>
    <s v="United States"/>
    <s v="New York City"/>
    <x v="15"/>
    <n v="10011"/>
    <x v="3"/>
    <x v="535"/>
    <x v="1"/>
    <x v="9"/>
    <x v="535"/>
    <n v="242.9"/>
    <s v="High"/>
    <n v="5"/>
    <n v="0"/>
    <x v="0"/>
    <x v="0"/>
    <n v="70.441000000000003"/>
    <n v="0.28999999999999998"/>
    <n v="0"/>
  </r>
  <r>
    <n v="1718"/>
    <s v="CA-2016-169943"/>
    <d v="2016-05-19T00:00:00"/>
    <x v="0"/>
    <s v="Q2"/>
    <x v="35"/>
    <d v="2016-05-24T00:00:00"/>
    <s v="Standard Class"/>
    <x v="202"/>
    <x v="202"/>
    <s v="Consumer"/>
    <s v="United States"/>
    <s v="New York City"/>
    <x v="15"/>
    <n v="10011"/>
    <x v="3"/>
    <x v="72"/>
    <x v="1"/>
    <x v="4"/>
    <x v="72"/>
    <n v="454.9"/>
    <s v="High"/>
    <n v="5"/>
    <n v="0"/>
    <x v="0"/>
    <x v="0"/>
    <n v="0"/>
    <n v="0"/>
    <n v="0"/>
  </r>
  <r>
    <n v="1719"/>
    <s v="CA-2016-169943"/>
    <d v="2016-05-19T00:00:00"/>
    <x v="0"/>
    <s v="Q2"/>
    <x v="35"/>
    <d v="2016-05-24T00:00:00"/>
    <s v="Standard Class"/>
    <x v="202"/>
    <x v="202"/>
    <s v="Consumer"/>
    <s v="United States"/>
    <s v="New York City"/>
    <x v="15"/>
    <n v="10011"/>
    <x v="3"/>
    <x v="1104"/>
    <x v="0"/>
    <x v="5"/>
    <x v="1093"/>
    <n v="35.92"/>
    <s v="Medium"/>
    <n v="4"/>
    <n v="0"/>
    <x v="0"/>
    <x v="0"/>
    <n v="15.086399999999999"/>
    <n v="0.42"/>
    <n v="0"/>
  </r>
  <r>
    <n v="1720"/>
    <s v="CA-2016-169943"/>
    <d v="2016-05-19T00:00:00"/>
    <x v="0"/>
    <s v="Q2"/>
    <x v="35"/>
    <d v="2016-05-24T00:00:00"/>
    <s v="Standard Class"/>
    <x v="202"/>
    <x v="202"/>
    <s v="Consumer"/>
    <s v="United States"/>
    <s v="New York City"/>
    <x v="15"/>
    <n v="10011"/>
    <x v="3"/>
    <x v="527"/>
    <x v="0"/>
    <x v="5"/>
    <x v="527"/>
    <n v="39.76"/>
    <s v="Medium"/>
    <n v="8"/>
    <n v="0"/>
    <x v="0"/>
    <x v="0"/>
    <n v="12.3256"/>
    <n v="0.31"/>
    <n v="0"/>
  </r>
  <r>
    <n v="1721"/>
    <s v="CA-2016-169943"/>
    <d v="2016-05-19T00:00:00"/>
    <x v="0"/>
    <s v="Q2"/>
    <x v="35"/>
    <d v="2016-05-24T00:00:00"/>
    <s v="Standard Class"/>
    <x v="202"/>
    <x v="202"/>
    <s v="Consumer"/>
    <s v="United States"/>
    <s v="New York City"/>
    <x v="15"/>
    <n v="10011"/>
    <x v="3"/>
    <x v="528"/>
    <x v="1"/>
    <x v="8"/>
    <x v="528"/>
    <n v="47.744"/>
    <s v="Medium"/>
    <n v="4"/>
    <n v="0.2"/>
    <x v="2"/>
    <x v="2"/>
    <n v="14.92"/>
    <n v="0.3125"/>
    <n v="0"/>
  </r>
  <r>
    <n v="1722"/>
    <s v="US-2015-123218"/>
    <d v="2015-12-20T00:00:00"/>
    <x v="1"/>
    <s v="Q4"/>
    <x v="14"/>
    <d v="2015-12-25T00:00:00"/>
    <s v="Standard Class"/>
    <x v="44"/>
    <x v="44"/>
    <s v="Consumer"/>
    <s v="United States"/>
    <s v="Chicago"/>
    <x v="10"/>
    <n v="60623"/>
    <x v="2"/>
    <x v="835"/>
    <x v="2"/>
    <x v="7"/>
    <x v="830"/>
    <n v="159.98400000000001"/>
    <s v="High"/>
    <n v="2"/>
    <n v="0.2"/>
    <x v="2"/>
    <x v="2"/>
    <n v="11.998799999999999"/>
    <n v="7.4999999999999997E-2"/>
    <n v="0"/>
  </r>
  <r>
    <n v="1723"/>
    <s v="US-2015-123218"/>
    <d v="2015-12-20T00:00:00"/>
    <x v="1"/>
    <s v="Q4"/>
    <x v="14"/>
    <d v="2015-12-25T00:00:00"/>
    <s v="Standard Class"/>
    <x v="44"/>
    <x v="44"/>
    <s v="Consumer"/>
    <s v="United States"/>
    <s v="Chicago"/>
    <x v="10"/>
    <n v="60623"/>
    <x v="2"/>
    <x v="1105"/>
    <x v="2"/>
    <x v="11"/>
    <x v="1094"/>
    <n v="255.96799999999999"/>
    <s v="High"/>
    <n v="4"/>
    <n v="0.2"/>
    <x v="2"/>
    <x v="2"/>
    <n v="51.193600000000004"/>
    <n v="0.2"/>
    <n v="0"/>
  </r>
  <r>
    <n v="1724"/>
    <s v="US-2015-123218"/>
    <d v="2015-12-20T00:00:00"/>
    <x v="1"/>
    <s v="Q4"/>
    <x v="14"/>
    <d v="2015-12-25T00:00:00"/>
    <s v="Standard Class"/>
    <x v="44"/>
    <x v="44"/>
    <s v="Consumer"/>
    <s v="United States"/>
    <s v="Chicago"/>
    <x v="10"/>
    <n v="60623"/>
    <x v="2"/>
    <x v="1106"/>
    <x v="0"/>
    <x v="0"/>
    <x v="1095"/>
    <n v="359.05799999999999"/>
    <s v="High"/>
    <n v="3"/>
    <n v="0.3"/>
    <x v="1"/>
    <x v="4"/>
    <n v="-71.811599999999999"/>
    <n v="-0.2"/>
    <n v="1"/>
  </r>
  <r>
    <n v="1725"/>
    <s v="CA-2015-127453"/>
    <d v="2015-12-19T00:00:00"/>
    <x v="1"/>
    <s v="Q4"/>
    <x v="14"/>
    <d v="2015-12-20T00:00:00"/>
    <s v="First Class"/>
    <x v="271"/>
    <x v="271"/>
    <s v="Consumer"/>
    <s v="United States"/>
    <s v="Philadelphia"/>
    <x v="9"/>
    <n v="19143"/>
    <x v="3"/>
    <x v="1107"/>
    <x v="1"/>
    <x v="9"/>
    <x v="1096"/>
    <n v="434.35199999999998"/>
    <s v="High"/>
    <n v="3"/>
    <n v="0.2"/>
    <x v="2"/>
    <x v="2"/>
    <n v="43.435200000000002"/>
    <n v="0.1"/>
    <n v="0"/>
  </r>
  <r>
    <n v="1726"/>
    <s v="CA-2015-127453"/>
    <d v="2015-12-19T00:00:00"/>
    <x v="1"/>
    <s v="Q4"/>
    <x v="14"/>
    <d v="2015-12-20T00:00:00"/>
    <s v="First Class"/>
    <x v="271"/>
    <x v="271"/>
    <s v="Consumer"/>
    <s v="United States"/>
    <s v="Philadelphia"/>
    <x v="9"/>
    <n v="19143"/>
    <x v="3"/>
    <x v="1108"/>
    <x v="1"/>
    <x v="9"/>
    <x v="1097"/>
    <n v="3.552"/>
    <s v="Low"/>
    <n v="2"/>
    <n v="0.2"/>
    <x v="2"/>
    <x v="2"/>
    <n v="0.44400000000000001"/>
    <n v="0.125"/>
    <n v="0"/>
  </r>
  <r>
    <n v="1727"/>
    <s v="CA-2015-127453"/>
    <d v="2015-12-19T00:00:00"/>
    <x v="1"/>
    <s v="Q4"/>
    <x v="14"/>
    <d v="2015-12-20T00:00:00"/>
    <s v="First Class"/>
    <x v="271"/>
    <x v="271"/>
    <s v="Consumer"/>
    <s v="United States"/>
    <s v="Philadelphia"/>
    <x v="9"/>
    <n v="19143"/>
    <x v="3"/>
    <x v="1109"/>
    <x v="1"/>
    <x v="9"/>
    <x v="1098"/>
    <n v="88.831999999999994"/>
    <s v="Medium"/>
    <n v="4"/>
    <n v="0.2"/>
    <x v="2"/>
    <x v="2"/>
    <n v="7.7728000000000002"/>
    <n v="8.7500000000000008E-2"/>
    <n v="0"/>
  </r>
  <r>
    <n v="1728"/>
    <s v="US-2017-164056"/>
    <d v="2017-04-29T00:00:00"/>
    <x v="3"/>
    <s v="Q2"/>
    <x v="4"/>
    <d v="2017-05-04T00:00:00"/>
    <s v="Second Class"/>
    <x v="524"/>
    <x v="524"/>
    <s v="Corporate"/>
    <s v="United States"/>
    <s v="Dublin"/>
    <x v="24"/>
    <n v="43017"/>
    <x v="3"/>
    <x v="1110"/>
    <x v="0"/>
    <x v="3"/>
    <x v="1099"/>
    <n v="1048.3499999999999"/>
    <s v="High"/>
    <n v="5"/>
    <n v="0.4"/>
    <x v="1"/>
    <x v="7"/>
    <n v="-69.89"/>
    <n v="-6.666666666666668E-2"/>
    <n v="1"/>
  </r>
  <r>
    <n v="1729"/>
    <s v="CA-2016-106894"/>
    <d v="2016-02-07T00:00:00"/>
    <x v="0"/>
    <s v="Q1"/>
    <x v="47"/>
    <d v="2016-02-07T00:00:00"/>
    <s v="Same Day"/>
    <x v="244"/>
    <x v="244"/>
    <s v="Consumer"/>
    <s v="United States"/>
    <s v="Springfield"/>
    <x v="17"/>
    <n v="22153"/>
    <x v="0"/>
    <x v="1072"/>
    <x v="2"/>
    <x v="11"/>
    <x v="1061"/>
    <n v="100"/>
    <s v="Medium"/>
    <n v="4"/>
    <n v="0"/>
    <x v="0"/>
    <x v="0"/>
    <n v="21"/>
    <n v="0.21"/>
    <n v="0"/>
  </r>
  <r>
    <n v="1730"/>
    <s v="CA-2016-106894"/>
    <d v="2016-02-07T00:00:00"/>
    <x v="0"/>
    <s v="Q1"/>
    <x v="47"/>
    <d v="2016-02-07T00:00:00"/>
    <s v="Same Day"/>
    <x v="244"/>
    <x v="244"/>
    <s v="Consumer"/>
    <s v="United States"/>
    <s v="Springfield"/>
    <x v="17"/>
    <n v="22153"/>
    <x v="0"/>
    <x v="709"/>
    <x v="1"/>
    <x v="2"/>
    <x v="708"/>
    <n v="7.83"/>
    <s v="Low"/>
    <n v="3"/>
    <n v="0"/>
    <x v="0"/>
    <x v="0"/>
    <n v="3.6017999999999999"/>
    <n v="0.45999999999999996"/>
    <n v="0"/>
  </r>
  <r>
    <n v="1731"/>
    <s v="CA-2014-125136"/>
    <d v="2014-09-28T00:00:00"/>
    <x v="2"/>
    <s v="Q3"/>
    <x v="30"/>
    <d v="2014-10-03T00:00:00"/>
    <s v="Standard Class"/>
    <x v="470"/>
    <x v="470"/>
    <s v="Corporate"/>
    <s v="United States"/>
    <s v="Fayetteville"/>
    <x v="3"/>
    <n v="28314"/>
    <x v="0"/>
    <x v="1111"/>
    <x v="1"/>
    <x v="10"/>
    <x v="1100"/>
    <n v="96.256"/>
    <s v="Medium"/>
    <n v="8"/>
    <n v="0.2"/>
    <x v="2"/>
    <x v="2"/>
    <n v="31.283200000000001"/>
    <n v="0.32500000000000001"/>
    <n v="0"/>
  </r>
  <r>
    <n v="1732"/>
    <s v="CA-2014-125136"/>
    <d v="2014-09-28T00:00:00"/>
    <x v="2"/>
    <s v="Q3"/>
    <x v="30"/>
    <d v="2014-10-03T00:00:00"/>
    <s v="Standard Class"/>
    <x v="470"/>
    <x v="470"/>
    <s v="Corporate"/>
    <s v="United States"/>
    <s v="Fayetteville"/>
    <x v="3"/>
    <n v="28314"/>
    <x v="0"/>
    <x v="128"/>
    <x v="1"/>
    <x v="10"/>
    <x v="129"/>
    <n v="10.688000000000001"/>
    <s v="Low"/>
    <n v="2"/>
    <n v="0.2"/>
    <x v="2"/>
    <x v="2"/>
    <n v="3.7408000000000001"/>
    <n v="0.35"/>
    <n v="0"/>
  </r>
  <r>
    <n v="1733"/>
    <s v="US-2016-131149"/>
    <d v="2016-07-10T00:00:00"/>
    <x v="0"/>
    <s v="Q3"/>
    <x v="16"/>
    <d v="2016-07-14T00:00:00"/>
    <s v="Standard Class"/>
    <x v="109"/>
    <x v="109"/>
    <s v="Consumer"/>
    <s v="United States"/>
    <s v="Dallas"/>
    <x v="5"/>
    <n v="75081"/>
    <x v="2"/>
    <x v="426"/>
    <x v="1"/>
    <x v="4"/>
    <x v="426"/>
    <n v="338.04"/>
    <s v="High"/>
    <n v="3"/>
    <n v="0.2"/>
    <x v="2"/>
    <x v="2"/>
    <n v="-33.804000000000002"/>
    <n v="-0.1"/>
    <n v="1"/>
  </r>
  <r>
    <n v="1734"/>
    <s v="US-2016-131149"/>
    <d v="2016-07-10T00:00:00"/>
    <x v="0"/>
    <s v="Q3"/>
    <x v="16"/>
    <d v="2016-07-14T00:00:00"/>
    <s v="Standard Class"/>
    <x v="109"/>
    <x v="109"/>
    <s v="Consumer"/>
    <s v="United States"/>
    <s v="Dallas"/>
    <x v="5"/>
    <n v="75081"/>
    <x v="2"/>
    <x v="281"/>
    <x v="1"/>
    <x v="6"/>
    <x v="281"/>
    <n v="154.24"/>
    <s v="High"/>
    <n v="4"/>
    <n v="0.2"/>
    <x v="2"/>
    <x v="2"/>
    <n v="17.352"/>
    <n v="0.11249999999999999"/>
    <n v="0"/>
  </r>
  <r>
    <n v="1735"/>
    <s v="CA-2017-101483"/>
    <d v="2017-07-29T00:00:00"/>
    <x v="3"/>
    <s v="Q3"/>
    <x v="10"/>
    <d v="2017-08-01T00:00:00"/>
    <s v="Second Class"/>
    <x v="165"/>
    <x v="165"/>
    <s v="Consumer"/>
    <s v="United States"/>
    <s v="Jacksonville"/>
    <x v="3"/>
    <n v="28540"/>
    <x v="0"/>
    <x v="1112"/>
    <x v="1"/>
    <x v="9"/>
    <x v="1101"/>
    <n v="34.847999999999999"/>
    <s v="Medium"/>
    <n v="2"/>
    <n v="0.2"/>
    <x v="2"/>
    <x v="2"/>
    <n v="6.5339999999999998"/>
    <n v="0.1875"/>
    <n v="0"/>
  </r>
  <r>
    <n v="1736"/>
    <s v="CA-2017-101483"/>
    <d v="2017-07-29T00:00:00"/>
    <x v="3"/>
    <s v="Q3"/>
    <x v="10"/>
    <d v="2017-08-01T00:00:00"/>
    <s v="Second Class"/>
    <x v="165"/>
    <x v="165"/>
    <s v="Consumer"/>
    <s v="United States"/>
    <s v="Jacksonville"/>
    <x v="3"/>
    <n v="28540"/>
    <x v="0"/>
    <x v="895"/>
    <x v="2"/>
    <x v="7"/>
    <x v="888"/>
    <n v="22"/>
    <s v="Low"/>
    <n v="5"/>
    <n v="0.2"/>
    <x v="2"/>
    <x v="2"/>
    <n v="1.375"/>
    <n v="6.25E-2"/>
    <n v="0"/>
  </r>
  <r>
    <n v="1737"/>
    <s v="CA-2017-101483"/>
    <d v="2017-07-29T00:00:00"/>
    <x v="3"/>
    <s v="Q3"/>
    <x v="10"/>
    <d v="2017-08-01T00:00:00"/>
    <s v="Second Class"/>
    <x v="165"/>
    <x v="165"/>
    <s v="Consumer"/>
    <s v="United States"/>
    <s v="Jacksonville"/>
    <x v="3"/>
    <n v="28540"/>
    <x v="0"/>
    <x v="6"/>
    <x v="1"/>
    <x v="6"/>
    <x v="6"/>
    <n v="4.3680000000000003"/>
    <s v="Low"/>
    <n v="3"/>
    <n v="0.2"/>
    <x v="2"/>
    <x v="2"/>
    <n v="0.38219999999999998"/>
    <n v="8.7499999999999994E-2"/>
    <n v="0"/>
  </r>
  <r>
    <n v="1738"/>
    <s v="CA-2015-130204"/>
    <d v="2015-09-03T00:00:00"/>
    <x v="1"/>
    <s v="Q3"/>
    <x v="11"/>
    <d v="2015-09-09T00:00:00"/>
    <s v="Standard Class"/>
    <x v="106"/>
    <x v="106"/>
    <s v="Corporate"/>
    <s v="United States"/>
    <s v="San Francisco"/>
    <x v="1"/>
    <n v="94122"/>
    <x v="1"/>
    <x v="470"/>
    <x v="1"/>
    <x v="4"/>
    <x v="471"/>
    <n v="31.44"/>
    <s v="Medium"/>
    <n v="3"/>
    <n v="0"/>
    <x v="0"/>
    <x v="0"/>
    <n v="8.4887999999999995"/>
    <n v="0.26999999999999996"/>
    <n v="0"/>
  </r>
  <r>
    <n v="1739"/>
    <s v="CA-2015-130204"/>
    <d v="2015-09-03T00:00:00"/>
    <x v="1"/>
    <s v="Q3"/>
    <x v="11"/>
    <d v="2015-09-09T00:00:00"/>
    <s v="Standard Class"/>
    <x v="106"/>
    <x v="106"/>
    <s v="Corporate"/>
    <s v="United States"/>
    <s v="San Francisco"/>
    <x v="1"/>
    <n v="94122"/>
    <x v="1"/>
    <x v="1044"/>
    <x v="2"/>
    <x v="11"/>
    <x v="1033"/>
    <n v="17.899999999999999"/>
    <s v="Low"/>
    <n v="2"/>
    <n v="0"/>
    <x v="0"/>
    <x v="0"/>
    <n v="3.4009999999999998"/>
    <n v="0.19"/>
    <n v="0"/>
  </r>
  <r>
    <n v="1740"/>
    <s v="CA-2015-130204"/>
    <d v="2015-09-03T00:00:00"/>
    <x v="1"/>
    <s v="Q3"/>
    <x v="11"/>
    <d v="2015-09-09T00:00:00"/>
    <s v="Standard Class"/>
    <x v="106"/>
    <x v="106"/>
    <s v="Corporate"/>
    <s v="United States"/>
    <s v="San Francisco"/>
    <x v="1"/>
    <n v="94122"/>
    <x v="1"/>
    <x v="1113"/>
    <x v="2"/>
    <x v="11"/>
    <x v="1102"/>
    <n v="129.44999999999999"/>
    <s v="High"/>
    <n v="5"/>
    <n v="0"/>
    <x v="0"/>
    <x v="0"/>
    <n v="46.601999999999997"/>
    <n v="0.36"/>
    <n v="0"/>
  </r>
  <r>
    <n v="1741"/>
    <s v="CA-2014-110527"/>
    <d v="2014-08-09T00:00:00"/>
    <x v="2"/>
    <s v="Q3"/>
    <x v="9"/>
    <d v="2014-08-16T00:00:00"/>
    <s v="Standard Class"/>
    <x v="525"/>
    <x v="525"/>
    <s v="Home Office"/>
    <s v="United States"/>
    <s v="San Diego"/>
    <x v="1"/>
    <n v="92037"/>
    <x v="1"/>
    <x v="948"/>
    <x v="1"/>
    <x v="2"/>
    <x v="941"/>
    <n v="20.88"/>
    <s v="Low"/>
    <n v="8"/>
    <n v="0"/>
    <x v="0"/>
    <x v="0"/>
    <n v="9.6047999999999991"/>
    <n v="0.45999999999999996"/>
    <n v="0"/>
  </r>
  <r>
    <n v="1742"/>
    <s v="CA-2017-152807"/>
    <d v="2017-10-30T00:00:00"/>
    <x v="3"/>
    <s v="Q4"/>
    <x v="13"/>
    <d v="2017-11-03T00:00:00"/>
    <s v="Standard Class"/>
    <x v="498"/>
    <x v="498"/>
    <s v="Consumer"/>
    <s v="United States"/>
    <s v="Philadelphia"/>
    <x v="9"/>
    <n v="19140"/>
    <x v="3"/>
    <x v="1114"/>
    <x v="1"/>
    <x v="10"/>
    <x v="1103"/>
    <n v="20.736000000000001"/>
    <s v="Low"/>
    <n v="4"/>
    <n v="0.2"/>
    <x v="2"/>
    <x v="2"/>
    <n v="7.2576000000000001"/>
    <n v="0.35"/>
    <n v="0"/>
  </r>
  <r>
    <n v="1743"/>
    <s v="CA-2017-152807"/>
    <d v="2017-10-30T00:00:00"/>
    <x v="3"/>
    <s v="Q4"/>
    <x v="13"/>
    <d v="2017-11-03T00:00:00"/>
    <s v="Standard Class"/>
    <x v="498"/>
    <x v="498"/>
    <s v="Consumer"/>
    <s v="United States"/>
    <s v="Philadelphia"/>
    <x v="9"/>
    <n v="19140"/>
    <x v="3"/>
    <x v="1073"/>
    <x v="0"/>
    <x v="5"/>
    <x v="1063"/>
    <n v="7.1680000000000001"/>
    <s v="Low"/>
    <n v="2"/>
    <n v="0.2"/>
    <x v="2"/>
    <x v="2"/>
    <n v="0.98560000000000003"/>
    <n v="0.13750000000000001"/>
    <n v="0"/>
  </r>
  <r>
    <n v="1744"/>
    <s v="CA-2017-152807"/>
    <d v="2017-10-30T00:00:00"/>
    <x v="3"/>
    <s v="Q4"/>
    <x v="13"/>
    <d v="2017-11-03T00:00:00"/>
    <s v="Standard Class"/>
    <x v="498"/>
    <x v="498"/>
    <s v="Consumer"/>
    <s v="United States"/>
    <s v="Philadelphia"/>
    <x v="9"/>
    <n v="19140"/>
    <x v="3"/>
    <x v="700"/>
    <x v="1"/>
    <x v="4"/>
    <x v="700"/>
    <n v="11.167999999999999"/>
    <s v="Low"/>
    <n v="2"/>
    <n v="0.2"/>
    <x v="2"/>
    <x v="2"/>
    <n v="-2.5127999999999999"/>
    <n v="-0.22500000000000001"/>
    <n v="1"/>
  </r>
  <r>
    <n v="1745"/>
    <s v="CA-2017-152807"/>
    <d v="2017-10-30T00:00:00"/>
    <x v="3"/>
    <s v="Q4"/>
    <x v="13"/>
    <d v="2017-11-03T00:00:00"/>
    <s v="Standard Class"/>
    <x v="498"/>
    <x v="498"/>
    <s v="Consumer"/>
    <s v="United States"/>
    <s v="Philadelphia"/>
    <x v="9"/>
    <n v="19140"/>
    <x v="3"/>
    <x v="552"/>
    <x v="2"/>
    <x v="11"/>
    <x v="551"/>
    <n v="442.4"/>
    <s v="High"/>
    <n v="7"/>
    <n v="0.2"/>
    <x v="2"/>
    <x v="2"/>
    <n v="-55.3"/>
    <n v="-0.125"/>
    <n v="1"/>
  </r>
  <r>
    <n v="1746"/>
    <s v="CA-2014-133270"/>
    <d v="2014-06-06T00:00:00"/>
    <x v="2"/>
    <s v="Q2"/>
    <x v="3"/>
    <d v="2014-06-09T00:00:00"/>
    <s v="First Class"/>
    <x v="298"/>
    <x v="298"/>
    <s v="Consumer"/>
    <s v="United States"/>
    <s v="Rochester"/>
    <x v="15"/>
    <n v="14609"/>
    <x v="3"/>
    <x v="158"/>
    <x v="1"/>
    <x v="6"/>
    <x v="159"/>
    <n v="13.36"/>
    <s v="Low"/>
    <n v="2"/>
    <n v="0"/>
    <x v="0"/>
    <x v="0"/>
    <n v="4.9432"/>
    <n v="0.37"/>
    <n v="0"/>
  </r>
  <r>
    <n v="1747"/>
    <s v="CA-2016-155670"/>
    <d v="2016-08-13T00:00:00"/>
    <x v="0"/>
    <s v="Q3"/>
    <x v="28"/>
    <d v="2016-08-17T00:00:00"/>
    <s v="Second Class"/>
    <x v="191"/>
    <x v="191"/>
    <s v="Consumer"/>
    <s v="United States"/>
    <s v="Jacksonville"/>
    <x v="3"/>
    <n v="28540"/>
    <x v="0"/>
    <x v="605"/>
    <x v="1"/>
    <x v="8"/>
    <x v="605"/>
    <n v="11.231999999999999"/>
    <s v="Low"/>
    <n v="8"/>
    <n v="0.7"/>
    <x v="1"/>
    <x v="5"/>
    <n v="-8.2368000000000006"/>
    <n v="-0.73333333333333339"/>
    <n v="1"/>
  </r>
  <r>
    <n v="1748"/>
    <s v="CA-2016-155670"/>
    <d v="2016-08-13T00:00:00"/>
    <x v="0"/>
    <s v="Q3"/>
    <x v="28"/>
    <d v="2016-08-17T00:00:00"/>
    <s v="Second Class"/>
    <x v="191"/>
    <x v="191"/>
    <s v="Consumer"/>
    <s v="United States"/>
    <s v="Jacksonville"/>
    <x v="3"/>
    <n v="28540"/>
    <x v="0"/>
    <x v="1115"/>
    <x v="1"/>
    <x v="10"/>
    <x v="33"/>
    <n v="10.272"/>
    <s v="Low"/>
    <n v="3"/>
    <n v="0.2"/>
    <x v="2"/>
    <x v="2"/>
    <n v="3.21"/>
    <n v="0.3125"/>
    <n v="0"/>
  </r>
  <r>
    <n v="1749"/>
    <s v="US-2014-157406"/>
    <d v="2014-04-25T00:00:00"/>
    <x v="2"/>
    <s v="Q2"/>
    <x v="41"/>
    <d v="2014-04-29T00:00:00"/>
    <s v="Standard Class"/>
    <x v="526"/>
    <x v="526"/>
    <s v="Home Office"/>
    <s v="United States"/>
    <s v="Houston"/>
    <x v="5"/>
    <n v="77095"/>
    <x v="2"/>
    <x v="724"/>
    <x v="1"/>
    <x v="10"/>
    <x v="723"/>
    <n v="10.368"/>
    <s v="Low"/>
    <n v="2"/>
    <n v="0.2"/>
    <x v="2"/>
    <x v="2"/>
    <n v="3.6288"/>
    <n v="0.35"/>
    <n v="0"/>
  </r>
  <r>
    <n v="1750"/>
    <s v="US-2014-157406"/>
    <d v="2014-04-25T00:00:00"/>
    <x v="2"/>
    <s v="Q2"/>
    <x v="41"/>
    <d v="2014-04-29T00:00:00"/>
    <s v="Standard Class"/>
    <x v="526"/>
    <x v="526"/>
    <s v="Home Office"/>
    <s v="United States"/>
    <s v="Houston"/>
    <x v="5"/>
    <n v="77095"/>
    <x v="2"/>
    <x v="1026"/>
    <x v="1"/>
    <x v="6"/>
    <x v="1017"/>
    <n v="6.24"/>
    <s v="Low"/>
    <n v="3"/>
    <n v="0.2"/>
    <x v="2"/>
    <x v="2"/>
    <n v="0.54600000000000004"/>
    <n v="8.7500000000000008E-2"/>
    <n v="0"/>
  </r>
  <r>
    <n v="1751"/>
    <s v="CA-2015-139094"/>
    <d v="2015-11-22T00:00:00"/>
    <x v="1"/>
    <s v="Q4"/>
    <x v="6"/>
    <d v="2015-11-27T00:00:00"/>
    <s v="Standard Class"/>
    <x v="246"/>
    <x v="246"/>
    <s v="Home Office"/>
    <s v="United States"/>
    <s v="San Antonio"/>
    <x v="5"/>
    <n v="78207"/>
    <x v="2"/>
    <x v="1116"/>
    <x v="0"/>
    <x v="3"/>
    <x v="1104"/>
    <n v="206.96199999999999"/>
    <s v="High"/>
    <n v="2"/>
    <n v="0.3"/>
    <x v="1"/>
    <x v="4"/>
    <n v="-32.522599999999997"/>
    <n v="-0.15714285714285714"/>
    <n v="1"/>
  </r>
  <r>
    <n v="1752"/>
    <s v="CA-2017-168837"/>
    <d v="2017-10-14T00:00:00"/>
    <x v="3"/>
    <s v="Q4"/>
    <x v="13"/>
    <d v="2017-10-17T00:00:00"/>
    <s v="First Class"/>
    <x v="527"/>
    <x v="527"/>
    <s v="Consumer"/>
    <s v="United States"/>
    <s v="Oakland"/>
    <x v="1"/>
    <n v="94601"/>
    <x v="1"/>
    <x v="283"/>
    <x v="0"/>
    <x v="5"/>
    <x v="283"/>
    <n v="9.4600000000000009"/>
    <s v="Low"/>
    <n v="2"/>
    <n v="0"/>
    <x v="0"/>
    <x v="0"/>
    <n v="3.6894"/>
    <n v="0.38999999999999996"/>
    <n v="0"/>
  </r>
  <r>
    <n v="1753"/>
    <s v="CA-2017-116715"/>
    <d v="2017-12-02T00:00:00"/>
    <x v="3"/>
    <s v="Q4"/>
    <x v="22"/>
    <d v="2017-12-05T00:00:00"/>
    <s v="First Class"/>
    <x v="100"/>
    <x v="100"/>
    <s v="Corporate"/>
    <s v="United States"/>
    <s v="San Francisco"/>
    <x v="1"/>
    <n v="94122"/>
    <x v="1"/>
    <x v="821"/>
    <x v="1"/>
    <x v="4"/>
    <x v="817"/>
    <n v="559.62"/>
    <s v="High"/>
    <n v="9"/>
    <n v="0"/>
    <x v="0"/>
    <x v="0"/>
    <n v="151.09739999999999"/>
    <n v="0.26999999999999996"/>
    <n v="0"/>
  </r>
  <r>
    <n v="1754"/>
    <s v="CA-2017-116715"/>
    <d v="2017-12-02T00:00:00"/>
    <x v="3"/>
    <s v="Q4"/>
    <x v="22"/>
    <d v="2017-12-05T00:00:00"/>
    <s v="First Class"/>
    <x v="100"/>
    <x v="100"/>
    <s v="Corporate"/>
    <s v="United States"/>
    <s v="San Francisco"/>
    <x v="1"/>
    <n v="94122"/>
    <x v="1"/>
    <x v="1082"/>
    <x v="1"/>
    <x v="10"/>
    <x v="1072"/>
    <n v="109.92"/>
    <s v="Medium"/>
    <n v="2"/>
    <n v="0"/>
    <x v="0"/>
    <x v="0"/>
    <n v="53.860799999999998"/>
    <n v="0.49"/>
    <n v="0"/>
  </r>
  <r>
    <n v="1755"/>
    <s v="CA-2017-116715"/>
    <d v="2017-12-02T00:00:00"/>
    <x v="3"/>
    <s v="Q4"/>
    <x v="22"/>
    <d v="2017-12-05T00:00:00"/>
    <s v="First Class"/>
    <x v="100"/>
    <x v="100"/>
    <s v="Corporate"/>
    <s v="United States"/>
    <s v="San Francisco"/>
    <x v="1"/>
    <n v="94122"/>
    <x v="1"/>
    <x v="1117"/>
    <x v="1"/>
    <x v="10"/>
    <x v="1105"/>
    <n v="8.56"/>
    <s v="Low"/>
    <n v="2"/>
    <n v="0"/>
    <x v="0"/>
    <x v="0"/>
    <n v="3.8519999999999999"/>
    <n v="0.44999999999999996"/>
    <n v="0"/>
  </r>
  <r>
    <n v="1756"/>
    <s v="CA-2015-135622"/>
    <d v="2015-12-08T00:00:00"/>
    <x v="1"/>
    <s v="Q4"/>
    <x v="14"/>
    <d v="2015-12-11T00:00:00"/>
    <s v="Second Class"/>
    <x v="499"/>
    <x v="499"/>
    <s v="Home Office"/>
    <s v="United States"/>
    <s v="Fort Worth"/>
    <x v="5"/>
    <n v="76106"/>
    <x v="2"/>
    <x v="839"/>
    <x v="1"/>
    <x v="10"/>
    <x v="833"/>
    <n v="360.71199999999999"/>
    <s v="High"/>
    <n v="11"/>
    <n v="0.2"/>
    <x v="2"/>
    <x v="2"/>
    <n v="130.75810000000001"/>
    <n v="0.36250000000000004"/>
    <n v="0"/>
  </r>
  <r>
    <n v="1757"/>
    <s v="CA-2015-135622"/>
    <d v="2015-12-08T00:00:00"/>
    <x v="1"/>
    <s v="Q4"/>
    <x v="14"/>
    <d v="2015-12-11T00:00:00"/>
    <s v="Second Class"/>
    <x v="499"/>
    <x v="499"/>
    <s v="Home Office"/>
    <s v="United States"/>
    <s v="Fort Worth"/>
    <x v="5"/>
    <n v="76106"/>
    <x v="2"/>
    <x v="1118"/>
    <x v="2"/>
    <x v="7"/>
    <x v="1106"/>
    <n v="1718.4"/>
    <s v="High"/>
    <n v="6"/>
    <n v="0.2"/>
    <x v="2"/>
    <x v="2"/>
    <n v="150.36000000000001"/>
    <n v="8.7500000000000008E-2"/>
    <n v="0"/>
  </r>
  <r>
    <n v="1758"/>
    <s v="US-2015-107349"/>
    <d v="2015-07-13T00:00:00"/>
    <x v="1"/>
    <s v="Q3"/>
    <x v="38"/>
    <d v="2015-07-15T00:00:00"/>
    <s v="First Class"/>
    <x v="359"/>
    <x v="359"/>
    <s v="Home Office"/>
    <s v="United States"/>
    <s v="Houston"/>
    <x v="5"/>
    <n v="77095"/>
    <x v="2"/>
    <x v="1002"/>
    <x v="1"/>
    <x v="8"/>
    <x v="994"/>
    <n v="41.567999999999998"/>
    <s v="Medium"/>
    <n v="6"/>
    <n v="0.8"/>
    <x v="1"/>
    <x v="3"/>
    <n v="-66.508799999999994"/>
    <n v="-1.5999999999999999"/>
    <n v="1"/>
  </r>
  <r>
    <n v="1759"/>
    <s v="CA-2014-139017"/>
    <d v="2014-05-11T00:00:00"/>
    <x v="2"/>
    <s v="Q2"/>
    <x v="8"/>
    <d v="2014-05-17T00:00:00"/>
    <s v="Standard Class"/>
    <x v="528"/>
    <x v="528"/>
    <s v="Consumer"/>
    <s v="United States"/>
    <s v="Houston"/>
    <x v="5"/>
    <n v="77095"/>
    <x v="2"/>
    <x v="825"/>
    <x v="2"/>
    <x v="11"/>
    <x v="821"/>
    <n v="46.863999999999997"/>
    <s v="Medium"/>
    <n v="2"/>
    <n v="0.2"/>
    <x v="2"/>
    <x v="2"/>
    <n v="7.6154000000000002"/>
    <n v="0.16250000000000001"/>
    <n v="0"/>
  </r>
  <r>
    <n v="1760"/>
    <s v="CA-2014-141817"/>
    <d v="2014-01-05T00:00:00"/>
    <x v="2"/>
    <s v="Q1"/>
    <x v="46"/>
    <d v="2014-01-12T00:00:00"/>
    <s v="Standard Class"/>
    <x v="469"/>
    <x v="469"/>
    <s v="Consumer"/>
    <s v="United States"/>
    <s v="Philadelphia"/>
    <x v="9"/>
    <n v="19143"/>
    <x v="3"/>
    <x v="359"/>
    <x v="1"/>
    <x v="6"/>
    <x v="359"/>
    <n v="19.536000000000001"/>
    <s v="Low"/>
    <n v="3"/>
    <n v="0.2"/>
    <x v="2"/>
    <x v="2"/>
    <n v="4.8840000000000003"/>
    <n v="0.25"/>
    <n v="0"/>
  </r>
  <r>
    <n v="1761"/>
    <s v="CA-2015-130785"/>
    <d v="2015-09-05T00:00:00"/>
    <x v="1"/>
    <s v="Q3"/>
    <x v="11"/>
    <d v="2015-09-09T00:00:00"/>
    <s v="Standard Class"/>
    <x v="151"/>
    <x v="151"/>
    <s v="Consumer"/>
    <s v="United States"/>
    <s v="San Diego"/>
    <x v="1"/>
    <n v="92105"/>
    <x v="1"/>
    <x v="1119"/>
    <x v="0"/>
    <x v="0"/>
    <x v="1107"/>
    <n v="411.33199999999999"/>
    <s v="High"/>
    <n v="4"/>
    <n v="0.15"/>
    <x v="2"/>
    <x v="2"/>
    <n v="-4.8391999999999999"/>
    <n v="-1.1764705882352941E-2"/>
    <n v="1"/>
  </r>
  <r>
    <n v="1762"/>
    <s v="CA-2015-130785"/>
    <d v="2015-09-05T00:00:00"/>
    <x v="1"/>
    <s v="Q3"/>
    <x v="11"/>
    <d v="2015-09-09T00:00:00"/>
    <s v="Standard Class"/>
    <x v="151"/>
    <x v="151"/>
    <s v="Consumer"/>
    <s v="United States"/>
    <s v="San Diego"/>
    <x v="1"/>
    <n v="92105"/>
    <x v="1"/>
    <x v="1120"/>
    <x v="1"/>
    <x v="8"/>
    <x v="1108"/>
    <n v="28.751999999999999"/>
    <s v="Medium"/>
    <n v="6"/>
    <n v="0.2"/>
    <x v="2"/>
    <x v="2"/>
    <n v="9.7037999999999993"/>
    <n v="0.33749999999999997"/>
    <n v="0"/>
  </r>
  <r>
    <n v="1763"/>
    <s v="CA-2015-130785"/>
    <d v="2015-09-05T00:00:00"/>
    <x v="1"/>
    <s v="Q3"/>
    <x v="11"/>
    <d v="2015-09-09T00:00:00"/>
    <s v="Standard Class"/>
    <x v="151"/>
    <x v="151"/>
    <s v="Consumer"/>
    <s v="United States"/>
    <s v="San Diego"/>
    <x v="1"/>
    <n v="92105"/>
    <x v="1"/>
    <x v="1121"/>
    <x v="0"/>
    <x v="0"/>
    <x v="1109"/>
    <n v="293.19900000000001"/>
    <s v="High"/>
    <n v="3"/>
    <n v="0.15"/>
    <x v="2"/>
    <x v="2"/>
    <n v="-20.696400000000001"/>
    <n v="-7.0588235294117646E-2"/>
    <n v="1"/>
  </r>
  <r>
    <n v="1764"/>
    <s v="CA-2016-110254"/>
    <d v="2016-08-04T00:00:00"/>
    <x v="0"/>
    <s v="Q3"/>
    <x v="28"/>
    <d v="2016-08-08T00:00:00"/>
    <s v="Standard Class"/>
    <x v="529"/>
    <x v="529"/>
    <s v="Home Office"/>
    <s v="United States"/>
    <s v="Suffolk"/>
    <x v="17"/>
    <n v="23434"/>
    <x v="0"/>
    <x v="354"/>
    <x v="1"/>
    <x v="14"/>
    <x v="354"/>
    <n v="35.06"/>
    <s v="Medium"/>
    <n v="2"/>
    <n v="0"/>
    <x v="0"/>
    <x v="0"/>
    <n v="10.518000000000001"/>
    <n v="0.3"/>
    <n v="0"/>
  </r>
  <r>
    <n v="1765"/>
    <s v="CA-2016-110254"/>
    <d v="2016-08-04T00:00:00"/>
    <x v="0"/>
    <s v="Q3"/>
    <x v="28"/>
    <d v="2016-08-08T00:00:00"/>
    <s v="Standard Class"/>
    <x v="529"/>
    <x v="529"/>
    <s v="Home Office"/>
    <s v="United States"/>
    <s v="Suffolk"/>
    <x v="17"/>
    <n v="23434"/>
    <x v="0"/>
    <x v="617"/>
    <x v="1"/>
    <x v="2"/>
    <x v="617"/>
    <n v="4.13"/>
    <s v="Low"/>
    <n v="1"/>
    <n v="0"/>
    <x v="0"/>
    <x v="0"/>
    <n v="1.8997999999999999"/>
    <n v="0.46"/>
    <n v="0"/>
  </r>
  <r>
    <n v="1766"/>
    <s v="CA-2016-110254"/>
    <d v="2016-08-04T00:00:00"/>
    <x v="0"/>
    <s v="Q3"/>
    <x v="28"/>
    <d v="2016-08-08T00:00:00"/>
    <s v="Standard Class"/>
    <x v="529"/>
    <x v="529"/>
    <s v="Home Office"/>
    <s v="United States"/>
    <s v="Suffolk"/>
    <x v="17"/>
    <n v="23434"/>
    <x v="0"/>
    <x v="1122"/>
    <x v="0"/>
    <x v="5"/>
    <x v="1110"/>
    <n v="109.8"/>
    <s v="Medium"/>
    <n v="9"/>
    <n v="0"/>
    <x v="0"/>
    <x v="0"/>
    <n v="46.116"/>
    <n v="0.42"/>
    <n v="0"/>
  </r>
  <r>
    <n v="1767"/>
    <s v="CA-2016-110254"/>
    <d v="2016-08-04T00:00:00"/>
    <x v="0"/>
    <s v="Q3"/>
    <x v="28"/>
    <d v="2016-08-08T00:00:00"/>
    <s v="Standard Class"/>
    <x v="529"/>
    <x v="529"/>
    <s v="Home Office"/>
    <s v="United States"/>
    <s v="Suffolk"/>
    <x v="17"/>
    <n v="23434"/>
    <x v="0"/>
    <x v="1123"/>
    <x v="1"/>
    <x v="2"/>
    <x v="1111"/>
    <n v="9.82"/>
    <s v="Low"/>
    <n v="2"/>
    <n v="0"/>
    <x v="0"/>
    <x v="0"/>
    <n v="4.8117999999999999"/>
    <n v="0.49"/>
    <n v="0"/>
  </r>
  <r>
    <n v="1768"/>
    <s v="US-2014-158057"/>
    <d v="2014-03-22T00:00:00"/>
    <x v="2"/>
    <s v="Q1"/>
    <x v="34"/>
    <d v="2014-03-26T00:00:00"/>
    <s v="Standard Class"/>
    <x v="530"/>
    <x v="530"/>
    <s v="Consumer"/>
    <s v="United States"/>
    <s v="Greensboro"/>
    <x v="3"/>
    <n v="27405"/>
    <x v="0"/>
    <x v="48"/>
    <x v="1"/>
    <x v="8"/>
    <x v="48"/>
    <n v="7.6440000000000001"/>
    <s v="Low"/>
    <n v="4"/>
    <n v="0.7"/>
    <x v="1"/>
    <x v="5"/>
    <n v="-5.8604000000000003"/>
    <n v="-0.76666666666666672"/>
    <n v="1"/>
  </r>
  <r>
    <n v="1769"/>
    <s v="US-2014-158057"/>
    <d v="2014-03-22T00:00:00"/>
    <x v="2"/>
    <s v="Q1"/>
    <x v="34"/>
    <d v="2014-03-26T00:00:00"/>
    <s v="Standard Class"/>
    <x v="530"/>
    <x v="530"/>
    <s v="Consumer"/>
    <s v="United States"/>
    <s v="Greensboro"/>
    <x v="3"/>
    <n v="27405"/>
    <x v="0"/>
    <x v="141"/>
    <x v="1"/>
    <x v="8"/>
    <x v="142"/>
    <n v="51.465000000000003"/>
    <s v="Medium"/>
    <n v="5"/>
    <n v="0.7"/>
    <x v="1"/>
    <x v="5"/>
    <n v="-39.456499999999998"/>
    <n v="-0.76666666666666661"/>
    <n v="1"/>
  </r>
  <r>
    <n v="1770"/>
    <s v="CA-2017-146024"/>
    <d v="2017-03-02T00:00:00"/>
    <x v="3"/>
    <s v="Q1"/>
    <x v="42"/>
    <d v="2017-03-08T00:00:00"/>
    <s v="Standard Class"/>
    <x v="34"/>
    <x v="34"/>
    <s v="Corporate"/>
    <s v="United States"/>
    <s v="Dallas"/>
    <x v="5"/>
    <n v="75081"/>
    <x v="2"/>
    <x v="482"/>
    <x v="1"/>
    <x v="14"/>
    <x v="327"/>
    <n v="6.976"/>
    <s v="Low"/>
    <n v="4"/>
    <n v="0.2"/>
    <x v="2"/>
    <x v="2"/>
    <n v="-1.3952"/>
    <n v="-0.2"/>
    <n v="1"/>
  </r>
  <r>
    <n v="1771"/>
    <s v="CA-2017-146024"/>
    <d v="2017-03-02T00:00:00"/>
    <x v="3"/>
    <s v="Q1"/>
    <x v="42"/>
    <d v="2017-03-08T00:00:00"/>
    <s v="Standard Class"/>
    <x v="34"/>
    <x v="34"/>
    <s v="Corporate"/>
    <s v="United States"/>
    <s v="Dallas"/>
    <x v="5"/>
    <n v="75081"/>
    <x v="2"/>
    <x v="44"/>
    <x v="1"/>
    <x v="8"/>
    <x v="44"/>
    <n v="12.222"/>
    <s v="Low"/>
    <n v="7"/>
    <n v="0.8"/>
    <x v="1"/>
    <x v="3"/>
    <n v="-20.1663"/>
    <n v="-1.6500000000000001"/>
    <n v="1"/>
  </r>
  <r>
    <n v="1772"/>
    <s v="CA-2016-129686"/>
    <d v="2016-11-27T00:00:00"/>
    <x v="0"/>
    <s v="Q4"/>
    <x v="0"/>
    <d v="2016-11-29T00:00:00"/>
    <s v="Second Class"/>
    <x v="55"/>
    <x v="55"/>
    <s v="Corporate"/>
    <s v="United States"/>
    <s v="Chicago"/>
    <x v="10"/>
    <n v="60623"/>
    <x v="2"/>
    <x v="854"/>
    <x v="1"/>
    <x v="4"/>
    <x v="847"/>
    <n v="97.983999999999995"/>
    <s v="Medium"/>
    <n v="2"/>
    <n v="0.2"/>
    <x v="2"/>
    <x v="2"/>
    <n v="-24.495999999999999"/>
    <n v="-0.25"/>
    <n v="1"/>
  </r>
  <r>
    <n v="1773"/>
    <s v="CA-2016-129686"/>
    <d v="2016-11-27T00:00:00"/>
    <x v="0"/>
    <s v="Q4"/>
    <x v="0"/>
    <d v="2016-11-29T00:00:00"/>
    <s v="Second Class"/>
    <x v="55"/>
    <x v="55"/>
    <s v="Corporate"/>
    <s v="United States"/>
    <s v="Chicago"/>
    <x v="10"/>
    <n v="60623"/>
    <x v="2"/>
    <x v="197"/>
    <x v="2"/>
    <x v="11"/>
    <x v="198"/>
    <n v="62.4"/>
    <s v="Medium"/>
    <n v="6"/>
    <n v="0.2"/>
    <x v="2"/>
    <x v="2"/>
    <n v="19.5"/>
    <n v="0.3125"/>
    <n v="0"/>
  </r>
  <r>
    <n v="1774"/>
    <s v="CA-2014-118976"/>
    <d v="2014-04-28T00:00:00"/>
    <x v="2"/>
    <s v="Q2"/>
    <x v="41"/>
    <d v="2014-05-03T00:00:00"/>
    <s v="Standard Class"/>
    <x v="501"/>
    <x v="501"/>
    <s v="Corporate"/>
    <s v="United States"/>
    <s v="Baltimore"/>
    <x v="39"/>
    <n v="21215"/>
    <x v="3"/>
    <x v="1124"/>
    <x v="1"/>
    <x v="8"/>
    <x v="1112"/>
    <n v="20.86"/>
    <s v="Low"/>
    <n v="2"/>
    <n v="0"/>
    <x v="0"/>
    <x v="0"/>
    <n v="9.3870000000000005"/>
    <n v="0.45"/>
    <n v="0"/>
  </r>
  <r>
    <n v="1775"/>
    <s v="CA-2014-118976"/>
    <d v="2014-04-28T00:00:00"/>
    <x v="2"/>
    <s v="Q2"/>
    <x v="41"/>
    <d v="2014-05-03T00:00:00"/>
    <s v="Standard Class"/>
    <x v="501"/>
    <x v="501"/>
    <s v="Corporate"/>
    <s v="United States"/>
    <s v="Baltimore"/>
    <x v="39"/>
    <n v="21215"/>
    <x v="3"/>
    <x v="1125"/>
    <x v="1"/>
    <x v="4"/>
    <x v="1113"/>
    <n v="497.61"/>
    <s v="High"/>
    <n v="9"/>
    <n v="0"/>
    <x v="0"/>
    <x v="0"/>
    <n v="129.37860000000001"/>
    <n v="0.26"/>
    <n v="0"/>
  </r>
  <r>
    <n v="1776"/>
    <s v="CA-2014-118976"/>
    <d v="2014-04-28T00:00:00"/>
    <x v="2"/>
    <s v="Q2"/>
    <x v="41"/>
    <d v="2014-05-03T00:00:00"/>
    <s v="Standard Class"/>
    <x v="501"/>
    <x v="501"/>
    <s v="Corporate"/>
    <s v="United States"/>
    <s v="Baltimore"/>
    <x v="39"/>
    <n v="21215"/>
    <x v="3"/>
    <x v="1126"/>
    <x v="1"/>
    <x v="6"/>
    <x v="1114"/>
    <n v="5.34"/>
    <s v="Low"/>
    <n v="2"/>
    <n v="0"/>
    <x v="0"/>
    <x v="0"/>
    <n v="1.4952000000000001"/>
    <n v="0.28000000000000003"/>
    <n v="0"/>
  </r>
  <r>
    <n v="1777"/>
    <s v="CA-2014-118976"/>
    <d v="2014-04-28T00:00:00"/>
    <x v="2"/>
    <s v="Q2"/>
    <x v="41"/>
    <d v="2014-05-03T00:00:00"/>
    <s v="Standard Class"/>
    <x v="501"/>
    <x v="501"/>
    <s v="Corporate"/>
    <s v="United States"/>
    <s v="Baltimore"/>
    <x v="39"/>
    <n v="21215"/>
    <x v="3"/>
    <x v="816"/>
    <x v="1"/>
    <x v="2"/>
    <x v="812"/>
    <n v="3.15"/>
    <s v="Low"/>
    <n v="1"/>
    <n v="0"/>
    <x v="0"/>
    <x v="0"/>
    <n v="1.512"/>
    <n v="0.48000000000000004"/>
    <n v="0"/>
  </r>
  <r>
    <n v="1778"/>
    <s v="CA-2015-105347"/>
    <d v="2015-11-24T00:00:00"/>
    <x v="1"/>
    <s v="Q4"/>
    <x v="6"/>
    <d v="2015-11-28T00:00:00"/>
    <s v="Standard Class"/>
    <x v="24"/>
    <x v="24"/>
    <s v="Consumer"/>
    <s v="United States"/>
    <s v="Los Angeles"/>
    <x v="1"/>
    <n v="90004"/>
    <x v="1"/>
    <x v="1127"/>
    <x v="1"/>
    <x v="10"/>
    <x v="1115"/>
    <n v="368.91"/>
    <s v="High"/>
    <n v="9"/>
    <n v="0"/>
    <x v="0"/>
    <x v="0"/>
    <n v="180.76589999999999"/>
    <n v="0.48999999999999994"/>
    <n v="0"/>
  </r>
  <r>
    <n v="1779"/>
    <s v="CA-2015-105347"/>
    <d v="2015-11-24T00:00:00"/>
    <x v="1"/>
    <s v="Q4"/>
    <x v="6"/>
    <d v="2015-11-28T00:00:00"/>
    <s v="Standard Class"/>
    <x v="24"/>
    <x v="24"/>
    <s v="Consumer"/>
    <s v="United States"/>
    <s v="Los Angeles"/>
    <x v="1"/>
    <n v="90004"/>
    <x v="1"/>
    <x v="425"/>
    <x v="1"/>
    <x v="6"/>
    <x v="425"/>
    <n v="14.7"/>
    <s v="Low"/>
    <n v="5"/>
    <n v="0"/>
    <x v="0"/>
    <x v="0"/>
    <n v="6.6150000000000002"/>
    <n v="0.45"/>
    <n v="0"/>
  </r>
  <r>
    <n v="1780"/>
    <s v="CA-2016-124667"/>
    <d v="2016-11-11T00:00:00"/>
    <x v="0"/>
    <s v="Q4"/>
    <x v="0"/>
    <d v="2016-11-16T00:00:00"/>
    <s v="Standard Class"/>
    <x v="420"/>
    <x v="420"/>
    <s v="Consumer"/>
    <s v="United States"/>
    <s v="New York City"/>
    <x v="15"/>
    <n v="10011"/>
    <x v="3"/>
    <x v="808"/>
    <x v="2"/>
    <x v="11"/>
    <x v="806"/>
    <n v="59.97"/>
    <s v="Medium"/>
    <n v="3"/>
    <n v="0"/>
    <x v="0"/>
    <x v="0"/>
    <n v="14.9925"/>
    <n v="0.25"/>
    <n v="0"/>
  </r>
  <r>
    <n v="1781"/>
    <s v="CA-2016-124667"/>
    <d v="2016-11-11T00:00:00"/>
    <x v="0"/>
    <s v="Q4"/>
    <x v="0"/>
    <d v="2016-11-16T00:00:00"/>
    <s v="Standard Class"/>
    <x v="420"/>
    <x v="420"/>
    <s v="Consumer"/>
    <s v="United States"/>
    <s v="New York City"/>
    <x v="15"/>
    <n v="10011"/>
    <x v="3"/>
    <x v="225"/>
    <x v="1"/>
    <x v="4"/>
    <x v="226"/>
    <n v="83.36"/>
    <s v="Medium"/>
    <n v="1"/>
    <n v="0"/>
    <x v="0"/>
    <x v="0"/>
    <n v="20.84"/>
    <n v="0.25"/>
    <n v="0"/>
  </r>
  <r>
    <n v="1782"/>
    <s v="CA-2015-111094"/>
    <d v="2015-07-09T00:00:00"/>
    <x v="1"/>
    <s v="Q3"/>
    <x v="38"/>
    <d v="2015-07-13T00:00:00"/>
    <s v="Standard Class"/>
    <x v="118"/>
    <x v="118"/>
    <s v="Corporate"/>
    <s v="United States"/>
    <s v="Franklin"/>
    <x v="31"/>
    <n v="2038"/>
    <x v="3"/>
    <x v="1128"/>
    <x v="1"/>
    <x v="10"/>
    <x v="1116"/>
    <n v="6.58"/>
    <s v="Low"/>
    <n v="2"/>
    <n v="0"/>
    <x v="0"/>
    <x v="0"/>
    <n v="3.0268000000000002"/>
    <n v="0.46"/>
    <n v="0"/>
  </r>
  <r>
    <n v="1783"/>
    <s v="CA-2015-111094"/>
    <d v="2015-07-09T00:00:00"/>
    <x v="1"/>
    <s v="Q3"/>
    <x v="38"/>
    <d v="2015-07-13T00:00:00"/>
    <s v="Standard Class"/>
    <x v="118"/>
    <x v="118"/>
    <s v="Corporate"/>
    <s v="United States"/>
    <s v="Franklin"/>
    <x v="31"/>
    <n v="2038"/>
    <x v="3"/>
    <x v="800"/>
    <x v="1"/>
    <x v="8"/>
    <x v="798"/>
    <n v="122.94"/>
    <s v="Medium"/>
    <n v="3"/>
    <n v="0"/>
    <x v="0"/>
    <x v="0"/>
    <n v="59.011200000000002"/>
    <n v="0.48000000000000004"/>
    <n v="0"/>
  </r>
  <r>
    <n v="1784"/>
    <s v="CA-2017-166317"/>
    <d v="2017-09-22T00:00:00"/>
    <x v="3"/>
    <s v="Q3"/>
    <x v="15"/>
    <d v="2017-09-26T00:00:00"/>
    <s v="Standard Class"/>
    <x v="531"/>
    <x v="531"/>
    <s v="Corporate"/>
    <s v="United States"/>
    <s v="Milwaukee"/>
    <x v="6"/>
    <n v="53209"/>
    <x v="2"/>
    <x v="1082"/>
    <x v="1"/>
    <x v="10"/>
    <x v="1072"/>
    <n v="219.84"/>
    <s v="High"/>
    <n v="4"/>
    <n v="0"/>
    <x v="0"/>
    <x v="0"/>
    <n v="107.7216"/>
    <n v="0.49"/>
    <n v="0"/>
  </r>
  <r>
    <n v="1785"/>
    <s v="CA-2017-166317"/>
    <d v="2017-09-22T00:00:00"/>
    <x v="3"/>
    <s v="Q3"/>
    <x v="15"/>
    <d v="2017-09-26T00:00:00"/>
    <s v="Standard Class"/>
    <x v="531"/>
    <x v="531"/>
    <s v="Corporate"/>
    <s v="United States"/>
    <s v="Milwaukee"/>
    <x v="6"/>
    <n v="53209"/>
    <x v="2"/>
    <x v="960"/>
    <x v="2"/>
    <x v="11"/>
    <x v="953"/>
    <n v="98.16"/>
    <s v="Medium"/>
    <n v="6"/>
    <n v="0"/>
    <x v="0"/>
    <x v="0"/>
    <n v="9.8160000000000007"/>
    <n v="0.1"/>
    <n v="0"/>
  </r>
  <r>
    <n v="1786"/>
    <s v="CA-2017-166317"/>
    <d v="2017-09-22T00:00:00"/>
    <x v="3"/>
    <s v="Q3"/>
    <x v="15"/>
    <d v="2017-09-26T00:00:00"/>
    <s v="Standard Class"/>
    <x v="531"/>
    <x v="531"/>
    <s v="Corporate"/>
    <s v="United States"/>
    <s v="Milwaukee"/>
    <x v="6"/>
    <n v="53209"/>
    <x v="2"/>
    <x v="863"/>
    <x v="1"/>
    <x v="8"/>
    <x v="857"/>
    <n v="33.04"/>
    <s v="Medium"/>
    <n v="8"/>
    <n v="0"/>
    <x v="0"/>
    <x v="0"/>
    <n v="15.5288"/>
    <n v="0.47000000000000003"/>
    <n v="0"/>
  </r>
  <r>
    <n v="1787"/>
    <s v="CA-2017-166317"/>
    <d v="2017-09-22T00:00:00"/>
    <x v="3"/>
    <s v="Q3"/>
    <x v="15"/>
    <d v="2017-09-26T00:00:00"/>
    <s v="Standard Class"/>
    <x v="531"/>
    <x v="531"/>
    <s v="Corporate"/>
    <s v="United States"/>
    <s v="Milwaukee"/>
    <x v="6"/>
    <n v="53209"/>
    <x v="2"/>
    <x v="1129"/>
    <x v="2"/>
    <x v="7"/>
    <x v="1117"/>
    <n v="86.97"/>
    <s v="Medium"/>
    <n v="3"/>
    <n v="0"/>
    <x v="0"/>
    <x v="0"/>
    <n v="25.221299999999999"/>
    <n v="0.28999999999999998"/>
    <n v="0"/>
  </r>
  <r>
    <n v="1788"/>
    <s v="CA-2015-154326"/>
    <d v="2015-02-15T00:00:00"/>
    <x v="1"/>
    <s v="Q1"/>
    <x v="36"/>
    <d v="2015-02-19T00:00:00"/>
    <s v="Standard Class"/>
    <x v="532"/>
    <x v="532"/>
    <s v="Corporate"/>
    <s v="United States"/>
    <s v="Kenosha"/>
    <x v="6"/>
    <n v="53142"/>
    <x v="2"/>
    <x v="817"/>
    <x v="2"/>
    <x v="7"/>
    <x v="813"/>
    <n v="134.97"/>
    <s v="High"/>
    <n v="3"/>
    <n v="0"/>
    <x v="0"/>
    <x v="0"/>
    <n v="64.785600000000002"/>
    <n v="0.48000000000000004"/>
    <n v="0"/>
  </r>
  <r>
    <n v="1789"/>
    <s v="CA-2015-154326"/>
    <d v="2015-02-15T00:00:00"/>
    <x v="1"/>
    <s v="Q1"/>
    <x v="36"/>
    <d v="2015-02-19T00:00:00"/>
    <s v="Standard Class"/>
    <x v="532"/>
    <x v="532"/>
    <s v="Corporate"/>
    <s v="United States"/>
    <s v="Kenosha"/>
    <x v="6"/>
    <n v="53142"/>
    <x v="2"/>
    <x v="754"/>
    <x v="2"/>
    <x v="7"/>
    <x v="752"/>
    <n v="699.98"/>
    <s v="High"/>
    <n v="2"/>
    <n v="0"/>
    <x v="0"/>
    <x v="0"/>
    <n v="195.99440000000001"/>
    <n v="0.28000000000000003"/>
    <n v="0"/>
  </r>
  <r>
    <n v="1790"/>
    <s v="CA-2015-154326"/>
    <d v="2015-02-15T00:00:00"/>
    <x v="1"/>
    <s v="Q1"/>
    <x v="36"/>
    <d v="2015-02-19T00:00:00"/>
    <s v="Standard Class"/>
    <x v="532"/>
    <x v="532"/>
    <s v="Corporate"/>
    <s v="United States"/>
    <s v="Kenosha"/>
    <x v="6"/>
    <n v="53142"/>
    <x v="2"/>
    <x v="1130"/>
    <x v="2"/>
    <x v="11"/>
    <x v="1118"/>
    <n v="139.94999999999999"/>
    <s v="High"/>
    <n v="5"/>
    <n v="0"/>
    <x v="0"/>
    <x v="0"/>
    <n v="26.590499999999999"/>
    <n v="0.19"/>
    <n v="0"/>
  </r>
  <r>
    <n v="1791"/>
    <s v="CA-2014-102008"/>
    <d v="2014-09-30T00:00:00"/>
    <x v="2"/>
    <s v="Q3"/>
    <x v="30"/>
    <d v="2014-10-04T00:00:00"/>
    <s v="Standard Class"/>
    <x v="154"/>
    <x v="154"/>
    <s v="Consumer"/>
    <s v="United States"/>
    <s v="New York City"/>
    <x v="15"/>
    <n v="10011"/>
    <x v="3"/>
    <x v="593"/>
    <x v="1"/>
    <x v="10"/>
    <x v="593"/>
    <n v="48.94"/>
    <s v="Medium"/>
    <n v="1"/>
    <n v="0"/>
    <x v="0"/>
    <x v="0"/>
    <n v="24.47"/>
    <n v="0.5"/>
    <n v="0"/>
  </r>
  <r>
    <n v="1792"/>
    <s v="CA-2014-120474"/>
    <d v="2014-12-01T00:00:00"/>
    <x v="2"/>
    <s v="Q4"/>
    <x v="20"/>
    <d v="2014-12-03T00:00:00"/>
    <s v="First Class"/>
    <x v="261"/>
    <x v="261"/>
    <s v="Consumer"/>
    <s v="United States"/>
    <s v="Madison"/>
    <x v="6"/>
    <n v="53711"/>
    <x v="2"/>
    <x v="1131"/>
    <x v="0"/>
    <x v="1"/>
    <x v="1119"/>
    <n v="2807.84"/>
    <s v="High"/>
    <n v="8"/>
    <n v="0"/>
    <x v="0"/>
    <x v="0"/>
    <n v="673.88160000000005"/>
    <n v="0.24"/>
    <n v="0"/>
  </r>
  <r>
    <n v="1793"/>
    <s v="CA-2014-120474"/>
    <d v="2014-12-01T00:00:00"/>
    <x v="2"/>
    <s v="Q4"/>
    <x v="20"/>
    <d v="2014-12-03T00:00:00"/>
    <s v="First Class"/>
    <x v="261"/>
    <x v="261"/>
    <s v="Consumer"/>
    <s v="United States"/>
    <s v="Madison"/>
    <x v="6"/>
    <n v="53711"/>
    <x v="2"/>
    <x v="1132"/>
    <x v="1"/>
    <x v="6"/>
    <x v="1120"/>
    <n v="46.64"/>
    <s v="Medium"/>
    <n v="4"/>
    <n v="0"/>
    <x v="0"/>
    <x v="0"/>
    <n v="12.5928"/>
    <n v="0.27"/>
    <n v="0"/>
  </r>
  <r>
    <n v="1794"/>
    <s v="CA-2014-104773"/>
    <d v="2014-12-08T00:00:00"/>
    <x v="2"/>
    <s v="Q4"/>
    <x v="20"/>
    <d v="2014-12-13T00:00:00"/>
    <s v="Standard Class"/>
    <x v="533"/>
    <x v="533"/>
    <s v="Corporate"/>
    <s v="United States"/>
    <s v="Houston"/>
    <x v="5"/>
    <n v="77041"/>
    <x v="2"/>
    <x v="117"/>
    <x v="1"/>
    <x v="4"/>
    <x v="117"/>
    <n v="60.415999999999997"/>
    <s v="Medium"/>
    <n v="2"/>
    <n v="0.2"/>
    <x v="2"/>
    <x v="2"/>
    <n v="6.0415999999999999"/>
    <n v="0.1"/>
    <n v="0"/>
  </r>
  <r>
    <n v="1795"/>
    <s v="CA-2016-140774"/>
    <d v="2016-09-05T00:00:00"/>
    <x v="0"/>
    <s v="Q3"/>
    <x v="21"/>
    <d v="2016-09-10T00:00:00"/>
    <s v="Standard Class"/>
    <x v="534"/>
    <x v="534"/>
    <s v="Home Office"/>
    <s v="United States"/>
    <s v="Olathe"/>
    <x v="41"/>
    <n v="66062"/>
    <x v="2"/>
    <x v="915"/>
    <x v="1"/>
    <x v="6"/>
    <x v="907"/>
    <n v="107.94"/>
    <s v="Medium"/>
    <n v="3"/>
    <n v="0"/>
    <x v="0"/>
    <x v="0"/>
    <n v="26.984999999999999"/>
    <n v="0.25"/>
    <n v="0"/>
  </r>
  <r>
    <n v="1796"/>
    <s v="US-2017-139465"/>
    <d v="2017-08-27T00:00:00"/>
    <x v="3"/>
    <s v="Q3"/>
    <x v="43"/>
    <d v="2017-08-30T00:00:00"/>
    <s v="First Class"/>
    <x v="280"/>
    <x v="280"/>
    <s v="Home Office"/>
    <s v="United States"/>
    <s v="New York City"/>
    <x v="15"/>
    <n v="10024"/>
    <x v="3"/>
    <x v="861"/>
    <x v="1"/>
    <x v="4"/>
    <x v="855"/>
    <n v="63.84"/>
    <s v="Medium"/>
    <n v="8"/>
    <n v="0"/>
    <x v="0"/>
    <x v="0"/>
    <n v="16.598400000000002"/>
    <n v="0.26"/>
    <n v="0"/>
  </r>
  <r>
    <n v="1797"/>
    <s v="US-2017-139465"/>
    <d v="2017-08-27T00:00:00"/>
    <x v="3"/>
    <s v="Q3"/>
    <x v="43"/>
    <d v="2017-08-30T00:00:00"/>
    <s v="First Class"/>
    <x v="280"/>
    <x v="280"/>
    <s v="Home Office"/>
    <s v="United States"/>
    <s v="New York City"/>
    <x v="15"/>
    <n v="10024"/>
    <x v="3"/>
    <x v="1133"/>
    <x v="2"/>
    <x v="7"/>
    <x v="1121"/>
    <n v="347.97"/>
    <s v="High"/>
    <n v="3"/>
    <n v="0"/>
    <x v="0"/>
    <x v="0"/>
    <n v="100.9113"/>
    <n v="0.28999999999999998"/>
    <n v="0"/>
  </r>
  <r>
    <n v="1798"/>
    <s v="US-2017-139465"/>
    <d v="2017-08-27T00:00:00"/>
    <x v="3"/>
    <s v="Q3"/>
    <x v="43"/>
    <d v="2017-08-30T00:00:00"/>
    <s v="First Class"/>
    <x v="280"/>
    <x v="280"/>
    <s v="Home Office"/>
    <s v="United States"/>
    <s v="New York City"/>
    <x v="15"/>
    <n v="10024"/>
    <x v="3"/>
    <x v="8"/>
    <x v="1"/>
    <x v="8"/>
    <x v="8"/>
    <n v="37.008000000000003"/>
    <s v="Medium"/>
    <n v="6"/>
    <n v="0.2"/>
    <x v="2"/>
    <x v="2"/>
    <n v="11.565"/>
    <n v="0.31249999999999994"/>
    <n v="0"/>
  </r>
  <r>
    <n v="1799"/>
    <s v="CA-2016-100965"/>
    <d v="2016-07-07T00:00:00"/>
    <x v="0"/>
    <s v="Q3"/>
    <x v="16"/>
    <d v="2016-07-11T00:00:00"/>
    <s v="Standard Class"/>
    <x v="528"/>
    <x v="528"/>
    <s v="Consumer"/>
    <s v="United States"/>
    <s v="San Jose"/>
    <x v="1"/>
    <n v="95123"/>
    <x v="1"/>
    <x v="484"/>
    <x v="0"/>
    <x v="5"/>
    <x v="484"/>
    <n v="215.65"/>
    <s v="High"/>
    <n v="5"/>
    <n v="0"/>
    <x v="0"/>
    <x v="0"/>
    <n v="73.320999999999998"/>
    <n v="0.33999999999999997"/>
    <n v="0"/>
  </r>
  <r>
    <n v="1800"/>
    <s v="CA-2016-121034"/>
    <d v="2016-08-08T00:00:00"/>
    <x v="0"/>
    <s v="Q3"/>
    <x v="28"/>
    <d v="2016-08-10T00:00:00"/>
    <s v="Second Class"/>
    <x v="535"/>
    <x v="535"/>
    <s v="Consumer"/>
    <s v="United States"/>
    <s v="Dallas"/>
    <x v="5"/>
    <n v="75081"/>
    <x v="2"/>
    <x v="203"/>
    <x v="1"/>
    <x v="13"/>
    <x v="204"/>
    <n v="11.167999999999999"/>
    <s v="Low"/>
    <n v="4"/>
    <n v="0.2"/>
    <x v="2"/>
    <x v="2"/>
    <n v="3.6295999999999999"/>
    <n v="0.32500000000000001"/>
    <n v="0"/>
  </r>
  <r>
    <n v="1801"/>
    <s v="CA-2016-121034"/>
    <d v="2016-08-08T00:00:00"/>
    <x v="0"/>
    <s v="Q3"/>
    <x v="28"/>
    <d v="2016-08-10T00:00:00"/>
    <s v="Second Class"/>
    <x v="535"/>
    <x v="535"/>
    <s v="Consumer"/>
    <s v="United States"/>
    <s v="Dallas"/>
    <x v="5"/>
    <n v="75081"/>
    <x v="2"/>
    <x v="1134"/>
    <x v="1"/>
    <x v="10"/>
    <x v="1122"/>
    <n v="53.951999999999998"/>
    <s v="Medium"/>
    <n v="3"/>
    <n v="0.2"/>
    <x v="2"/>
    <x v="2"/>
    <n v="17.534400000000002"/>
    <n v="0.32500000000000007"/>
    <n v="0"/>
  </r>
  <r>
    <n v="1802"/>
    <s v="CA-2016-149461"/>
    <d v="2016-11-13T00:00:00"/>
    <x v="0"/>
    <s v="Q4"/>
    <x v="0"/>
    <d v="2016-11-19T00:00:00"/>
    <s v="Standard Class"/>
    <x v="216"/>
    <x v="216"/>
    <s v="Home Office"/>
    <s v="United States"/>
    <s v="Auburn"/>
    <x v="4"/>
    <n v="98002"/>
    <x v="1"/>
    <x v="1006"/>
    <x v="0"/>
    <x v="5"/>
    <x v="998"/>
    <n v="4.18"/>
    <s v="Low"/>
    <n v="1"/>
    <n v="0"/>
    <x v="0"/>
    <x v="0"/>
    <n v="1.5047999999999999"/>
    <n v="0.36"/>
    <n v="0"/>
  </r>
  <r>
    <n v="1803"/>
    <s v="CA-2017-158379"/>
    <d v="2017-09-22T00:00:00"/>
    <x v="3"/>
    <s v="Q3"/>
    <x v="15"/>
    <d v="2017-09-26T00:00:00"/>
    <s v="Second Class"/>
    <x v="350"/>
    <x v="350"/>
    <s v="Consumer"/>
    <s v="United States"/>
    <s v="Philadelphia"/>
    <x v="9"/>
    <n v="19134"/>
    <x v="3"/>
    <x v="440"/>
    <x v="1"/>
    <x v="8"/>
    <x v="440"/>
    <n v="5.6070000000000002"/>
    <s v="Low"/>
    <n v="1"/>
    <n v="0.7"/>
    <x v="1"/>
    <x v="5"/>
    <n v="-4.2987000000000002"/>
    <n v="-0.76666666666666672"/>
    <n v="1"/>
  </r>
  <r>
    <n v="1804"/>
    <s v="CA-2017-158379"/>
    <d v="2017-09-22T00:00:00"/>
    <x v="3"/>
    <s v="Q3"/>
    <x v="15"/>
    <d v="2017-09-26T00:00:00"/>
    <s v="Second Class"/>
    <x v="350"/>
    <x v="350"/>
    <s v="Consumer"/>
    <s v="United States"/>
    <s v="Philadelphia"/>
    <x v="9"/>
    <n v="19134"/>
    <x v="3"/>
    <x v="465"/>
    <x v="1"/>
    <x v="14"/>
    <x v="466"/>
    <n v="4663.7359999999999"/>
    <s v="High"/>
    <n v="7"/>
    <n v="0.2"/>
    <x v="2"/>
    <x v="2"/>
    <n v="-1049.3406"/>
    <n v="-0.22500000000000001"/>
    <n v="1"/>
  </r>
  <r>
    <n v="1805"/>
    <s v="CA-2017-158379"/>
    <d v="2017-09-22T00:00:00"/>
    <x v="3"/>
    <s v="Q3"/>
    <x v="15"/>
    <d v="2017-09-26T00:00:00"/>
    <s v="Second Class"/>
    <x v="350"/>
    <x v="350"/>
    <s v="Consumer"/>
    <s v="United States"/>
    <s v="Philadelphia"/>
    <x v="9"/>
    <n v="19134"/>
    <x v="3"/>
    <x v="1135"/>
    <x v="2"/>
    <x v="11"/>
    <x v="1123"/>
    <n v="79.983999999999995"/>
    <s v="Medium"/>
    <n v="2"/>
    <n v="0.2"/>
    <x v="2"/>
    <x v="2"/>
    <n v="22.9954"/>
    <n v="0.28750000000000003"/>
    <n v="0"/>
  </r>
  <r>
    <n v="1806"/>
    <s v="US-2016-116729"/>
    <d v="2016-12-25T00:00:00"/>
    <x v="0"/>
    <s v="Q4"/>
    <x v="5"/>
    <d v="2016-12-28T00:00:00"/>
    <s v="First Class"/>
    <x v="136"/>
    <x v="136"/>
    <s v="Corporate"/>
    <s v="United States"/>
    <s v="Los Angeles"/>
    <x v="1"/>
    <n v="90049"/>
    <x v="1"/>
    <x v="883"/>
    <x v="2"/>
    <x v="7"/>
    <x v="877"/>
    <n v="2575.944"/>
    <s v="High"/>
    <n v="7"/>
    <n v="0.2"/>
    <x v="2"/>
    <x v="2"/>
    <n v="257.59440000000001"/>
    <n v="0.1"/>
    <n v="0"/>
  </r>
  <r>
    <n v="1807"/>
    <s v="US-2016-116729"/>
    <d v="2016-12-25T00:00:00"/>
    <x v="0"/>
    <s v="Q4"/>
    <x v="5"/>
    <d v="2016-12-28T00:00:00"/>
    <s v="First Class"/>
    <x v="136"/>
    <x v="136"/>
    <s v="Corporate"/>
    <s v="United States"/>
    <s v="Los Angeles"/>
    <x v="1"/>
    <n v="90049"/>
    <x v="1"/>
    <x v="510"/>
    <x v="1"/>
    <x v="10"/>
    <x v="510"/>
    <n v="45.36"/>
    <s v="Medium"/>
    <n v="7"/>
    <n v="0"/>
    <x v="0"/>
    <x v="0"/>
    <n v="21.7728"/>
    <n v="0.48"/>
    <n v="0"/>
  </r>
  <r>
    <n v="1808"/>
    <s v="US-2016-116729"/>
    <d v="2016-12-25T00:00:00"/>
    <x v="0"/>
    <s v="Q4"/>
    <x v="5"/>
    <d v="2016-12-28T00:00:00"/>
    <s v="First Class"/>
    <x v="136"/>
    <x v="136"/>
    <s v="Corporate"/>
    <s v="United States"/>
    <s v="Los Angeles"/>
    <x v="1"/>
    <n v="90049"/>
    <x v="1"/>
    <x v="477"/>
    <x v="2"/>
    <x v="11"/>
    <x v="478"/>
    <n v="254.24"/>
    <s v="High"/>
    <n v="7"/>
    <n v="0"/>
    <x v="0"/>
    <x v="0"/>
    <n v="76.272000000000006"/>
    <n v="0.3"/>
    <n v="0"/>
  </r>
  <r>
    <n v="1809"/>
    <s v="CA-2016-164938"/>
    <d v="2016-02-11T00:00:00"/>
    <x v="0"/>
    <s v="Q1"/>
    <x v="47"/>
    <d v="2016-02-13T00:00:00"/>
    <s v="First Class"/>
    <x v="536"/>
    <x v="536"/>
    <s v="Corporate"/>
    <s v="United States"/>
    <s v="Tulsa"/>
    <x v="26"/>
    <n v="74133"/>
    <x v="2"/>
    <x v="1136"/>
    <x v="2"/>
    <x v="7"/>
    <x v="1124"/>
    <n v="69.930000000000007"/>
    <s v="Medium"/>
    <n v="7"/>
    <n v="0"/>
    <x v="0"/>
    <x v="0"/>
    <n v="0.69930000000000003"/>
    <n v="0.01"/>
    <n v="0"/>
  </r>
  <r>
    <n v="1810"/>
    <s v="CA-2016-165484"/>
    <d v="2016-10-23T00:00:00"/>
    <x v="0"/>
    <s v="Q4"/>
    <x v="32"/>
    <d v="2016-10-29T00:00:00"/>
    <s v="Standard Class"/>
    <x v="96"/>
    <x v="96"/>
    <s v="Corporate"/>
    <s v="United States"/>
    <s v="Chicago"/>
    <x v="10"/>
    <n v="60610"/>
    <x v="2"/>
    <x v="1137"/>
    <x v="0"/>
    <x v="5"/>
    <x v="1125"/>
    <n v="16.155999999999999"/>
    <s v="Low"/>
    <n v="7"/>
    <n v="0.6"/>
    <x v="1"/>
    <x v="6"/>
    <n v="-12.117000000000001"/>
    <n v="-0.75000000000000011"/>
    <n v="1"/>
  </r>
  <r>
    <n v="1811"/>
    <s v="CA-2016-165484"/>
    <d v="2016-10-23T00:00:00"/>
    <x v="0"/>
    <s v="Q4"/>
    <x v="32"/>
    <d v="2016-10-29T00:00:00"/>
    <s v="Standard Class"/>
    <x v="96"/>
    <x v="96"/>
    <s v="Corporate"/>
    <s v="United States"/>
    <s v="Chicago"/>
    <x v="10"/>
    <n v="60610"/>
    <x v="2"/>
    <x v="1138"/>
    <x v="1"/>
    <x v="10"/>
    <x v="1126"/>
    <n v="54.816000000000003"/>
    <s v="Medium"/>
    <n v="3"/>
    <n v="0.2"/>
    <x v="2"/>
    <x v="2"/>
    <n v="17.815200000000001"/>
    <n v="0.32500000000000001"/>
    <n v="0"/>
  </r>
  <r>
    <n v="1812"/>
    <s v="CA-2014-132612"/>
    <d v="2014-06-09T00:00:00"/>
    <x v="2"/>
    <s v="Q2"/>
    <x v="3"/>
    <d v="2014-06-11T00:00:00"/>
    <s v="Second Class"/>
    <x v="383"/>
    <x v="383"/>
    <s v="Consumer"/>
    <s v="United States"/>
    <s v="Harrisonburg"/>
    <x v="17"/>
    <n v="22801"/>
    <x v="0"/>
    <x v="121"/>
    <x v="0"/>
    <x v="3"/>
    <x v="121"/>
    <n v="1441.3"/>
    <s v="High"/>
    <n v="7"/>
    <n v="0"/>
    <x v="0"/>
    <x v="0"/>
    <n v="245.02099999999999"/>
    <n v="0.16999999999999998"/>
    <n v="0"/>
  </r>
  <r>
    <n v="1813"/>
    <s v="US-2017-161193"/>
    <d v="2017-11-20T00:00:00"/>
    <x v="3"/>
    <s v="Q4"/>
    <x v="23"/>
    <d v="2017-11-26T00:00:00"/>
    <s v="Standard Class"/>
    <x v="537"/>
    <x v="537"/>
    <s v="Consumer"/>
    <s v="United States"/>
    <s v="Newark"/>
    <x v="24"/>
    <n v="43055"/>
    <x v="3"/>
    <x v="275"/>
    <x v="0"/>
    <x v="5"/>
    <x v="275"/>
    <n v="77.599999999999994"/>
    <s v="Medium"/>
    <n v="5"/>
    <n v="0.2"/>
    <x v="2"/>
    <x v="2"/>
    <n v="28.13"/>
    <n v="0.36249999999999999"/>
    <n v="0"/>
  </r>
  <r>
    <n v="1814"/>
    <s v="US-2017-161193"/>
    <d v="2017-11-20T00:00:00"/>
    <x v="3"/>
    <s v="Q4"/>
    <x v="23"/>
    <d v="2017-11-26T00:00:00"/>
    <s v="Standard Class"/>
    <x v="537"/>
    <x v="537"/>
    <s v="Consumer"/>
    <s v="United States"/>
    <s v="Newark"/>
    <x v="24"/>
    <n v="43055"/>
    <x v="3"/>
    <x v="396"/>
    <x v="0"/>
    <x v="5"/>
    <x v="397"/>
    <n v="4.6559999999999997"/>
    <s v="Low"/>
    <n v="2"/>
    <n v="0.2"/>
    <x v="2"/>
    <x v="2"/>
    <n v="1.5713999999999999"/>
    <n v="0.33750000000000002"/>
    <n v="0"/>
  </r>
  <r>
    <n v="1815"/>
    <s v="CA-2015-131597"/>
    <d v="2015-09-14T00:00:00"/>
    <x v="1"/>
    <s v="Q3"/>
    <x v="11"/>
    <d v="2015-09-18T00:00:00"/>
    <s v="Standard Class"/>
    <x v="407"/>
    <x v="407"/>
    <s v="Corporate"/>
    <s v="United States"/>
    <s v="Los Angeles"/>
    <x v="1"/>
    <n v="90045"/>
    <x v="1"/>
    <x v="223"/>
    <x v="0"/>
    <x v="3"/>
    <x v="224"/>
    <n v="170.136"/>
    <s v="High"/>
    <n v="3"/>
    <n v="0.2"/>
    <x v="2"/>
    <x v="2"/>
    <n v="-8.5068000000000001"/>
    <n v="-0.05"/>
    <n v="1"/>
  </r>
  <r>
    <n v="1816"/>
    <s v="CA-2015-164833"/>
    <d v="2015-06-04T00:00:00"/>
    <x v="1"/>
    <s v="Q2"/>
    <x v="40"/>
    <d v="2015-06-04T00:00:00"/>
    <s v="Same Day"/>
    <x v="328"/>
    <x v="328"/>
    <s v="Consumer"/>
    <s v="United States"/>
    <s v="Seattle"/>
    <x v="4"/>
    <n v="98105"/>
    <x v="1"/>
    <x v="1139"/>
    <x v="1"/>
    <x v="2"/>
    <x v="1127"/>
    <n v="7.38"/>
    <s v="Low"/>
    <n v="2"/>
    <n v="0"/>
    <x v="0"/>
    <x v="0"/>
    <n v="3.4685999999999999"/>
    <n v="0.47"/>
    <n v="0"/>
  </r>
  <r>
    <n v="1817"/>
    <s v="CA-2015-164833"/>
    <d v="2015-06-04T00:00:00"/>
    <x v="1"/>
    <s v="Q2"/>
    <x v="40"/>
    <d v="2015-06-04T00:00:00"/>
    <s v="Same Day"/>
    <x v="328"/>
    <x v="328"/>
    <s v="Consumer"/>
    <s v="United States"/>
    <s v="Seattle"/>
    <x v="4"/>
    <n v="98105"/>
    <x v="1"/>
    <x v="182"/>
    <x v="1"/>
    <x v="6"/>
    <x v="183"/>
    <n v="9.26"/>
    <s v="Low"/>
    <n v="2"/>
    <n v="0"/>
    <x v="0"/>
    <x v="0"/>
    <n v="3.0558000000000001"/>
    <n v="0.33"/>
    <n v="0"/>
  </r>
  <r>
    <n v="1818"/>
    <s v="CA-2015-125423"/>
    <d v="2015-12-13T00:00:00"/>
    <x v="1"/>
    <s v="Q4"/>
    <x v="14"/>
    <d v="2015-12-15T00:00:00"/>
    <s v="Second Class"/>
    <x v="430"/>
    <x v="430"/>
    <s v="Consumer"/>
    <s v="United States"/>
    <s v="Los Angeles"/>
    <x v="1"/>
    <n v="90036"/>
    <x v="1"/>
    <x v="1140"/>
    <x v="1"/>
    <x v="2"/>
    <x v="1128"/>
    <n v="9.9600000000000009"/>
    <s v="Low"/>
    <n v="2"/>
    <n v="0"/>
    <x v="0"/>
    <x v="0"/>
    <n v="4.5815999999999999"/>
    <n v="0.45999999999999996"/>
    <n v="0"/>
  </r>
  <r>
    <n v="1819"/>
    <s v="US-2014-130379"/>
    <d v="2014-05-25T00:00:00"/>
    <x v="2"/>
    <s v="Q2"/>
    <x v="8"/>
    <d v="2014-05-29T00:00:00"/>
    <s v="Standard Class"/>
    <x v="538"/>
    <x v="538"/>
    <s v="Consumer"/>
    <s v="United States"/>
    <s v="Chicago"/>
    <x v="10"/>
    <n v="60623"/>
    <x v="2"/>
    <x v="1141"/>
    <x v="1"/>
    <x v="9"/>
    <x v="1129"/>
    <n v="75.599999999999994"/>
    <s v="Medium"/>
    <n v="2"/>
    <n v="0.8"/>
    <x v="1"/>
    <x v="3"/>
    <n v="-166.32"/>
    <n v="-2.2000000000000002"/>
    <n v="1"/>
  </r>
  <r>
    <n v="1820"/>
    <s v="US-2014-130379"/>
    <d v="2014-05-25T00:00:00"/>
    <x v="2"/>
    <s v="Q2"/>
    <x v="8"/>
    <d v="2014-05-29T00:00:00"/>
    <s v="Standard Class"/>
    <x v="538"/>
    <x v="538"/>
    <s v="Consumer"/>
    <s v="United States"/>
    <s v="Chicago"/>
    <x v="10"/>
    <n v="60623"/>
    <x v="2"/>
    <x v="1142"/>
    <x v="0"/>
    <x v="5"/>
    <x v="1130"/>
    <n v="29.32"/>
    <s v="Medium"/>
    <n v="2"/>
    <n v="0.6"/>
    <x v="1"/>
    <x v="6"/>
    <n v="-24.189"/>
    <n v="-0.82499999999999996"/>
    <n v="1"/>
  </r>
  <r>
    <n v="1821"/>
    <s v="CA-2016-168956"/>
    <d v="2016-02-16T00:00:00"/>
    <x v="0"/>
    <s v="Q1"/>
    <x v="47"/>
    <d v="2016-02-20T00:00:00"/>
    <s v="Standard Class"/>
    <x v="105"/>
    <x v="105"/>
    <s v="Corporate"/>
    <s v="United States"/>
    <s v="Chicago"/>
    <x v="10"/>
    <n v="60623"/>
    <x v="2"/>
    <x v="1143"/>
    <x v="1"/>
    <x v="9"/>
    <x v="1131"/>
    <n v="92.063999999999993"/>
    <s v="Medium"/>
    <n v="6"/>
    <n v="0.8"/>
    <x v="1"/>
    <x v="3"/>
    <n v="-225.55680000000001"/>
    <n v="-2.4500000000000002"/>
    <n v="1"/>
  </r>
  <r>
    <n v="1822"/>
    <s v="CA-2016-168956"/>
    <d v="2016-02-16T00:00:00"/>
    <x v="0"/>
    <s v="Q1"/>
    <x v="47"/>
    <d v="2016-02-20T00:00:00"/>
    <s v="Standard Class"/>
    <x v="105"/>
    <x v="105"/>
    <s v="Corporate"/>
    <s v="United States"/>
    <s v="Chicago"/>
    <x v="10"/>
    <n v="60623"/>
    <x v="2"/>
    <x v="52"/>
    <x v="1"/>
    <x v="13"/>
    <x v="52"/>
    <n v="6.976"/>
    <s v="Low"/>
    <n v="4"/>
    <n v="0.2"/>
    <x v="2"/>
    <x v="2"/>
    <n v="1.8311999999999999"/>
    <n v="0.26250000000000001"/>
    <n v="0"/>
  </r>
  <r>
    <n v="1823"/>
    <s v="CA-2016-168956"/>
    <d v="2016-02-16T00:00:00"/>
    <x v="0"/>
    <s v="Q1"/>
    <x v="47"/>
    <d v="2016-02-20T00:00:00"/>
    <s v="Standard Class"/>
    <x v="105"/>
    <x v="105"/>
    <s v="Corporate"/>
    <s v="United States"/>
    <s v="Chicago"/>
    <x v="10"/>
    <n v="60623"/>
    <x v="2"/>
    <x v="1144"/>
    <x v="0"/>
    <x v="1"/>
    <x v="1132"/>
    <n v="62.957999999999998"/>
    <s v="Medium"/>
    <n v="3"/>
    <n v="0.3"/>
    <x v="1"/>
    <x v="4"/>
    <n v="-2.6981999999999999"/>
    <n v="-4.2857142857142858E-2"/>
    <n v="1"/>
  </r>
  <r>
    <n v="1824"/>
    <s v="CA-2016-168956"/>
    <d v="2016-02-16T00:00:00"/>
    <x v="0"/>
    <s v="Q1"/>
    <x v="47"/>
    <d v="2016-02-20T00:00:00"/>
    <s v="Standard Class"/>
    <x v="105"/>
    <x v="105"/>
    <s v="Corporate"/>
    <s v="United States"/>
    <s v="Chicago"/>
    <x v="10"/>
    <n v="60623"/>
    <x v="2"/>
    <x v="1145"/>
    <x v="1"/>
    <x v="10"/>
    <x v="1133"/>
    <n v="5.1840000000000002"/>
    <s v="Low"/>
    <n v="1"/>
    <n v="0.2"/>
    <x v="2"/>
    <x v="2"/>
    <n v="1.8144"/>
    <n v="0.35"/>
    <n v="0"/>
  </r>
  <r>
    <n v="1825"/>
    <s v="CA-2016-167507"/>
    <d v="2016-12-22T00:00:00"/>
    <x v="0"/>
    <s v="Q4"/>
    <x v="5"/>
    <d v="2016-12-28T00:00:00"/>
    <s v="Standard Class"/>
    <x v="193"/>
    <x v="193"/>
    <s v="Consumer"/>
    <s v="United States"/>
    <s v="Redmond"/>
    <x v="21"/>
    <n v="97756"/>
    <x v="1"/>
    <x v="864"/>
    <x v="1"/>
    <x v="8"/>
    <x v="858"/>
    <n v="31.32"/>
    <s v="Medium"/>
    <n v="10"/>
    <n v="0.7"/>
    <x v="1"/>
    <x v="5"/>
    <n v="-25.056000000000001"/>
    <n v="-0.8"/>
    <n v="1"/>
  </r>
  <r>
    <n v="1826"/>
    <s v="CA-2016-167507"/>
    <d v="2016-12-22T00:00:00"/>
    <x v="0"/>
    <s v="Q4"/>
    <x v="5"/>
    <d v="2016-12-28T00:00:00"/>
    <s v="Standard Class"/>
    <x v="193"/>
    <x v="193"/>
    <s v="Consumer"/>
    <s v="United States"/>
    <s v="Redmond"/>
    <x v="21"/>
    <n v="97756"/>
    <x v="1"/>
    <x v="345"/>
    <x v="0"/>
    <x v="5"/>
    <x v="345"/>
    <n v="11.84"/>
    <s v="Low"/>
    <n v="4"/>
    <n v="0.2"/>
    <x v="2"/>
    <x v="2"/>
    <n v="3.1080000000000001"/>
    <n v="0.26250000000000001"/>
    <n v="0"/>
  </r>
  <r>
    <n v="1827"/>
    <s v="CA-2016-167507"/>
    <d v="2016-12-22T00:00:00"/>
    <x v="0"/>
    <s v="Q4"/>
    <x v="5"/>
    <d v="2016-12-28T00:00:00"/>
    <s v="Standard Class"/>
    <x v="193"/>
    <x v="193"/>
    <s v="Consumer"/>
    <s v="United States"/>
    <s v="Redmond"/>
    <x v="21"/>
    <n v="97756"/>
    <x v="1"/>
    <x v="1146"/>
    <x v="0"/>
    <x v="5"/>
    <x v="1134"/>
    <n v="22.783999999999999"/>
    <s v="Low"/>
    <n v="1"/>
    <n v="0.2"/>
    <x v="2"/>
    <x v="2"/>
    <n v="4.8415999999999997"/>
    <n v="0.21249999999999999"/>
    <n v="0"/>
  </r>
  <r>
    <n v="1828"/>
    <s v="CA-2016-109344"/>
    <d v="2016-02-08T00:00:00"/>
    <x v="0"/>
    <s v="Q1"/>
    <x v="47"/>
    <d v="2016-02-11T00:00:00"/>
    <s v="Second Class"/>
    <x v="539"/>
    <x v="539"/>
    <s v="Home Office"/>
    <s v="United States"/>
    <s v="Raleigh"/>
    <x v="3"/>
    <n v="27604"/>
    <x v="0"/>
    <x v="1147"/>
    <x v="2"/>
    <x v="7"/>
    <x v="1135"/>
    <n v="1127.9760000000001"/>
    <s v="High"/>
    <n v="3"/>
    <n v="0.2"/>
    <x v="2"/>
    <x v="2"/>
    <n v="126.8973"/>
    <n v="0.11249999999999999"/>
    <n v="0"/>
  </r>
  <r>
    <n v="1829"/>
    <s v="US-2015-140851"/>
    <d v="2015-07-13T00:00:00"/>
    <x v="1"/>
    <s v="Q3"/>
    <x v="38"/>
    <d v="2015-07-15T00:00:00"/>
    <s v="Second Class"/>
    <x v="540"/>
    <x v="540"/>
    <s v="Corporate"/>
    <s v="United States"/>
    <s v="Macon"/>
    <x v="32"/>
    <n v="31204"/>
    <x v="0"/>
    <x v="712"/>
    <x v="1"/>
    <x v="10"/>
    <x v="711"/>
    <n v="38.880000000000003"/>
    <s v="Medium"/>
    <n v="6"/>
    <n v="0"/>
    <x v="0"/>
    <x v="0"/>
    <n v="18.662400000000002"/>
    <n v="0.48000000000000004"/>
    <n v="0"/>
  </r>
  <r>
    <n v="1830"/>
    <s v="CA-2014-103373"/>
    <d v="2014-05-18T00:00:00"/>
    <x v="2"/>
    <s v="Q2"/>
    <x v="8"/>
    <d v="2014-05-24T00:00:00"/>
    <s v="Standard Class"/>
    <x v="94"/>
    <x v="94"/>
    <s v="Consumer"/>
    <s v="United States"/>
    <s v="Cleveland"/>
    <x v="24"/>
    <n v="44105"/>
    <x v="3"/>
    <x v="1148"/>
    <x v="2"/>
    <x v="7"/>
    <x v="1136"/>
    <n v="779.79600000000005"/>
    <s v="High"/>
    <n v="2"/>
    <n v="0.4"/>
    <x v="1"/>
    <x v="7"/>
    <n v="-168.95580000000001"/>
    <n v="-0.21666666666666667"/>
    <n v="1"/>
  </r>
  <r>
    <n v="1831"/>
    <s v="CA-2017-145884"/>
    <d v="2017-10-21T00:00:00"/>
    <x v="3"/>
    <s v="Q4"/>
    <x v="13"/>
    <d v="2017-10-21T00:00:00"/>
    <s v="Same Day"/>
    <x v="359"/>
    <x v="359"/>
    <s v="Home Office"/>
    <s v="United States"/>
    <s v="Muskogee"/>
    <x v="26"/>
    <n v="74403"/>
    <x v="2"/>
    <x v="1149"/>
    <x v="2"/>
    <x v="7"/>
    <x v="1137"/>
    <n v="1439.92"/>
    <s v="High"/>
    <n v="8"/>
    <n v="0"/>
    <x v="0"/>
    <x v="0"/>
    <n v="374.37920000000003"/>
    <n v="0.26"/>
    <n v="0"/>
  </r>
  <r>
    <n v="1832"/>
    <s v="CA-2017-145884"/>
    <d v="2017-10-21T00:00:00"/>
    <x v="3"/>
    <s v="Q4"/>
    <x v="13"/>
    <d v="2017-10-21T00:00:00"/>
    <s v="Same Day"/>
    <x v="359"/>
    <x v="359"/>
    <s v="Home Office"/>
    <s v="United States"/>
    <s v="Muskogee"/>
    <x v="26"/>
    <n v="74403"/>
    <x v="2"/>
    <x v="736"/>
    <x v="0"/>
    <x v="3"/>
    <x v="735"/>
    <n v="262.11"/>
    <s v="High"/>
    <n v="1"/>
    <n v="0"/>
    <x v="0"/>
    <x v="0"/>
    <n v="62.906399999999998"/>
    <n v="0.24"/>
    <n v="0"/>
  </r>
  <r>
    <n v="1833"/>
    <s v="CA-2015-131422"/>
    <d v="2015-11-05T00:00:00"/>
    <x v="1"/>
    <s v="Q4"/>
    <x v="6"/>
    <d v="2015-11-09T00:00:00"/>
    <s v="Standard Class"/>
    <x v="334"/>
    <x v="334"/>
    <s v="Corporate"/>
    <s v="United States"/>
    <s v="Monroe"/>
    <x v="3"/>
    <n v="28110"/>
    <x v="0"/>
    <x v="866"/>
    <x v="0"/>
    <x v="1"/>
    <x v="860"/>
    <n v="207"/>
    <s v="High"/>
    <n v="3"/>
    <n v="0.2"/>
    <x v="2"/>
    <x v="2"/>
    <n v="25.875"/>
    <n v="0.125"/>
    <n v="0"/>
  </r>
  <r>
    <n v="1834"/>
    <s v="CA-2017-162691"/>
    <d v="2017-08-01T00:00:00"/>
    <x v="3"/>
    <s v="Q3"/>
    <x v="43"/>
    <d v="2017-08-07T00:00:00"/>
    <s v="Standard Class"/>
    <x v="442"/>
    <x v="442"/>
    <s v="Corporate"/>
    <s v="United States"/>
    <s v="Austin"/>
    <x v="5"/>
    <n v="78745"/>
    <x v="2"/>
    <x v="1150"/>
    <x v="2"/>
    <x v="15"/>
    <x v="1138"/>
    <n v="1439.982"/>
    <s v="High"/>
    <n v="3"/>
    <n v="0.4"/>
    <x v="1"/>
    <x v="7"/>
    <n v="-263.99669999999998"/>
    <n v="-0.18333333333333332"/>
    <n v="1"/>
  </r>
  <r>
    <n v="1835"/>
    <s v="CA-2017-162691"/>
    <d v="2017-08-01T00:00:00"/>
    <x v="3"/>
    <s v="Q3"/>
    <x v="43"/>
    <d v="2017-08-07T00:00:00"/>
    <s v="Standard Class"/>
    <x v="442"/>
    <x v="442"/>
    <s v="Corporate"/>
    <s v="United States"/>
    <s v="Austin"/>
    <x v="5"/>
    <n v="78745"/>
    <x v="2"/>
    <x v="1151"/>
    <x v="1"/>
    <x v="10"/>
    <x v="1139"/>
    <n v="36.287999999999997"/>
    <s v="Medium"/>
    <n v="7"/>
    <n v="0.2"/>
    <x v="2"/>
    <x v="2"/>
    <n v="12.700799999999999"/>
    <n v="0.35000000000000003"/>
    <n v="0"/>
  </r>
  <r>
    <n v="1836"/>
    <s v="CA-2014-141278"/>
    <d v="2014-06-21T00:00:00"/>
    <x v="2"/>
    <s v="Q2"/>
    <x v="3"/>
    <d v="2014-06-24T00:00:00"/>
    <s v="First Class"/>
    <x v="528"/>
    <x v="528"/>
    <s v="Consumer"/>
    <s v="United States"/>
    <s v="Meriden"/>
    <x v="29"/>
    <n v="6450"/>
    <x v="3"/>
    <x v="18"/>
    <x v="1"/>
    <x v="6"/>
    <x v="18"/>
    <n v="21.4"/>
    <s v="Low"/>
    <n v="5"/>
    <n v="0"/>
    <x v="0"/>
    <x v="0"/>
    <n v="6.2060000000000004"/>
    <n v="0.29000000000000004"/>
    <n v="0"/>
  </r>
  <r>
    <n v="1837"/>
    <s v="CA-2017-122693"/>
    <d v="2017-02-19T00:00:00"/>
    <x v="3"/>
    <s v="Q1"/>
    <x v="31"/>
    <d v="2017-02-21T00:00:00"/>
    <s v="Second Class"/>
    <x v="468"/>
    <x v="468"/>
    <s v="Corporate"/>
    <s v="United States"/>
    <s v="Roswell"/>
    <x v="32"/>
    <n v="30076"/>
    <x v="0"/>
    <x v="159"/>
    <x v="1"/>
    <x v="9"/>
    <x v="160"/>
    <n v="1245.8599999999999"/>
    <s v="High"/>
    <n v="7"/>
    <n v="0"/>
    <x v="0"/>
    <x v="0"/>
    <n v="361.29939999999999"/>
    <n v="0.29000000000000004"/>
    <n v="0"/>
  </r>
  <r>
    <n v="1838"/>
    <s v="CA-2014-117345"/>
    <d v="2014-08-01T00:00:00"/>
    <x v="2"/>
    <s v="Q3"/>
    <x v="9"/>
    <d v="2014-08-05T00:00:00"/>
    <s v="Standard Class"/>
    <x v="541"/>
    <x v="541"/>
    <s v="Corporate"/>
    <s v="United States"/>
    <s v="Charlotte"/>
    <x v="3"/>
    <n v="28205"/>
    <x v="0"/>
    <x v="2"/>
    <x v="1"/>
    <x v="2"/>
    <x v="2"/>
    <n v="17.544"/>
    <s v="Low"/>
    <n v="3"/>
    <n v="0.2"/>
    <x v="2"/>
    <x v="2"/>
    <n v="5.9211"/>
    <n v="0.33749999999999997"/>
    <n v="0"/>
  </r>
  <r>
    <n v="1839"/>
    <s v="CA-2014-117345"/>
    <d v="2014-08-01T00:00:00"/>
    <x v="2"/>
    <s v="Q3"/>
    <x v="9"/>
    <d v="2014-08-05T00:00:00"/>
    <s v="Standard Class"/>
    <x v="541"/>
    <x v="541"/>
    <s v="Corporate"/>
    <s v="United States"/>
    <s v="Charlotte"/>
    <x v="3"/>
    <n v="28205"/>
    <x v="0"/>
    <x v="93"/>
    <x v="0"/>
    <x v="5"/>
    <x v="93"/>
    <n v="44.128"/>
    <s v="Medium"/>
    <n v="4"/>
    <n v="0.2"/>
    <x v="2"/>
    <x v="2"/>
    <n v="12.135199999999999"/>
    <n v="0.27499999999999997"/>
    <n v="0"/>
  </r>
  <r>
    <n v="1840"/>
    <s v="CA-2014-117345"/>
    <d v="2014-08-01T00:00:00"/>
    <x v="2"/>
    <s v="Q3"/>
    <x v="9"/>
    <d v="2014-08-05T00:00:00"/>
    <s v="Standard Class"/>
    <x v="541"/>
    <x v="541"/>
    <s v="Corporate"/>
    <s v="United States"/>
    <s v="Charlotte"/>
    <x v="3"/>
    <n v="28205"/>
    <x v="0"/>
    <x v="1152"/>
    <x v="1"/>
    <x v="9"/>
    <x v="1140"/>
    <n v="62.92"/>
    <s v="Medium"/>
    <n v="1"/>
    <n v="0.2"/>
    <x v="2"/>
    <x v="2"/>
    <n v="10.224500000000001"/>
    <n v="0.16250000000000001"/>
    <n v="0"/>
  </r>
  <r>
    <n v="1841"/>
    <s v="CA-2014-117345"/>
    <d v="2014-08-01T00:00:00"/>
    <x v="2"/>
    <s v="Q3"/>
    <x v="9"/>
    <d v="2014-08-05T00:00:00"/>
    <s v="Standard Class"/>
    <x v="541"/>
    <x v="541"/>
    <s v="Corporate"/>
    <s v="United States"/>
    <s v="Charlotte"/>
    <x v="3"/>
    <n v="28205"/>
    <x v="0"/>
    <x v="126"/>
    <x v="1"/>
    <x v="10"/>
    <x v="127"/>
    <n v="78.304000000000002"/>
    <s v="Medium"/>
    <n v="2"/>
    <n v="0.2"/>
    <x v="2"/>
    <x v="2"/>
    <n v="29.364000000000001"/>
    <n v="0.375"/>
    <n v="0"/>
  </r>
  <r>
    <n v="1842"/>
    <s v="CA-2016-157763"/>
    <d v="2016-07-18T00:00:00"/>
    <x v="0"/>
    <s v="Q3"/>
    <x v="16"/>
    <d v="2016-07-23T00:00:00"/>
    <s v="Standard Class"/>
    <x v="542"/>
    <x v="542"/>
    <s v="Corporate"/>
    <s v="United States"/>
    <s v="Bowling Green"/>
    <x v="0"/>
    <n v="42104"/>
    <x v="0"/>
    <x v="1153"/>
    <x v="0"/>
    <x v="1"/>
    <x v="1141"/>
    <n v="140.81"/>
    <s v="High"/>
    <n v="1"/>
    <n v="0"/>
    <x v="0"/>
    <x v="0"/>
    <n v="39.4268"/>
    <n v="0.27999999999999997"/>
    <n v="0"/>
  </r>
  <r>
    <n v="1843"/>
    <s v="CA-2015-135391"/>
    <d v="2015-02-09T00:00:00"/>
    <x v="1"/>
    <s v="Q1"/>
    <x v="36"/>
    <d v="2015-02-11T00:00:00"/>
    <s v="Second Class"/>
    <x v="135"/>
    <x v="135"/>
    <s v="Corporate"/>
    <s v="United States"/>
    <s v="San Antonio"/>
    <x v="5"/>
    <n v="78207"/>
    <x v="2"/>
    <x v="300"/>
    <x v="1"/>
    <x v="2"/>
    <x v="300"/>
    <n v="40.095999999999997"/>
    <s v="Medium"/>
    <n v="4"/>
    <n v="0.2"/>
    <x v="2"/>
    <x v="2"/>
    <n v="13.532400000000001"/>
    <n v="0.33750000000000008"/>
    <n v="0"/>
  </r>
  <r>
    <n v="1844"/>
    <s v="CA-2015-135391"/>
    <d v="2015-02-09T00:00:00"/>
    <x v="1"/>
    <s v="Q1"/>
    <x v="36"/>
    <d v="2015-02-11T00:00:00"/>
    <s v="Second Class"/>
    <x v="135"/>
    <x v="135"/>
    <s v="Corporate"/>
    <s v="United States"/>
    <s v="San Antonio"/>
    <x v="5"/>
    <n v="78207"/>
    <x v="2"/>
    <x v="1154"/>
    <x v="0"/>
    <x v="5"/>
    <x v="1142"/>
    <n v="40.783999999999999"/>
    <s v="Medium"/>
    <n v="2"/>
    <n v="0.6"/>
    <x v="1"/>
    <x v="6"/>
    <n v="-30.588000000000001"/>
    <n v="-0.75"/>
    <n v="1"/>
  </r>
  <r>
    <n v="1845"/>
    <s v="US-2017-113852"/>
    <d v="2017-07-29T00:00:00"/>
    <x v="3"/>
    <s v="Q3"/>
    <x v="10"/>
    <d v="2017-08-02T00:00:00"/>
    <s v="Standard Class"/>
    <x v="543"/>
    <x v="543"/>
    <s v="Consumer"/>
    <s v="United States"/>
    <s v="Seattle"/>
    <x v="4"/>
    <n v="98115"/>
    <x v="1"/>
    <x v="25"/>
    <x v="2"/>
    <x v="11"/>
    <x v="25"/>
    <n v="90.57"/>
    <s v="Medium"/>
    <n v="3"/>
    <n v="0"/>
    <x v="0"/>
    <x v="0"/>
    <n v="11.774100000000001"/>
    <n v="0.13"/>
    <n v="0"/>
  </r>
  <r>
    <n v="1846"/>
    <s v="US-2017-158512"/>
    <d v="2017-01-12T00:00:00"/>
    <x v="3"/>
    <s v="Q1"/>
    <x v="44"/>
    <d v="2017-01-17T00:00:00"/>
    <s v="Second Class"/>
    <x v="526"/>
    <x v="526"/>
    <s v="Home Office"/>
    <s v="United States"/>
    <s v="Washington"/>
    <x v="40"/>
    <n v="20016"/>
    <x v="3"/>
    <x v="128"/>
    <x v="1"/>
    <x v="10"/>
    <x v="129"/>
    <n v="40.08"/>
    <s v="Medium"/>
    <n v="6"/>
    <n v="0"/>
    <x v="0"/>
    <x v="0"/>
    <n v="19.238399999999999"/>
    <n v="0.48"/>
    <n v="0"/>
  </r>
  <r>
    <n v="1847"/>
    <s v="US-2017-158512"/>
    <d v="2017-01-12T00:00:00"/>
    <x v="3"/>
    <s v="Q1"/>
    <x v="44"/>
    <d v="2017-01-17T00:00:00"/>
    <s v="Second Class"/>
    <x v="526"/>
    <x v="526"/>
    <s v="Home Office"/>
    <s v="United States"/>
    <s v="Washington"/>
    <x v="40"/>
    <n v="20016"/>
    <x v="3"/>
    <x v="1155"/>
    <x v="0"/>
    <x v="5"/>
    <x v="1143"/>
    <n v="37.68"/>
    <s v="Medium"/>
    <n v="2"/>
    <n v="0"/>
    <x v="0"/>
    <x v="0"/>
    <n v="15.8256"/>
    <n v="0.42"/>
    <n v="0"/>
  </r>
  <r>
    <n v="1848"/>
    <s v="CA-2017-128370"/>
    <d v="2017-09-10T00:00:00"/>
    <x v="3"/>
    <s v="Q3"/>
    <x v="15"/>
    <d v="2017-09-10T00:00:00"/>
    <s v="Same Day"/>
    <x v="395"/>
    <x v="395"/>
    <s v="Corporate"/>
    <s v="United States"/>
    <s v="Los Angeles"/>
    <x v="1"/>
    <n v="90004"/>
    <x v="1"/>
    <x v="291"/>
    <x v="0"/>
    <x v="1"/>
    <x v="291"/>
    <n v="362.35199999999998"/>
    <s v="High"/>
    <n v="3"/>
    <n v="0.2"/>
    <x v="2"/>
    <x v="2"/>
    <n v="27.176400000000001"/>
    <n v="7.5000000000000011E-2"/>
    <n v="0"/>
  </r>
  <r>
    <n v="1849"/>
    <s v="CA-2017-128370"/>
    <d v="2017-09-10T00:00:00"/>
    <x v="3"/>
    <s v="Q3"/>
    <x v="15"/>
    <d v="2017-09-10T00:00:00"/>
    <s v="Same Day"/>
    <x v="395"/>
    <x v="395"/>
    <s v="Corporate"/>
    <s v="United States"/>
    <s v="Los Angeles"/>
    <x v="1"/>
    <n v="90004"/>
    <x v="1"/>
    <x v="307"/>
    <x v="1"/>
    <x v="8"/>
    <x v="307"/>
    <n v="7.1840000000000002"/>
    <s v="Low"/>
    <n v="2"/>
    <n v="0.2"/>
    <x v="2"/>
    <x v="2"/>
    <n v="2.2450000000000001"/>
    <n v="0.3125"/>
    <n v="0"/>
  </r>
  <r>
    <n v="1850"/>
    <s v="CA-2015-160472"/>
    <d v="2015-07-20T00:00:00"/>
    <x v="1"/>
    <s v="Q3"/>
    <x v="38"/>
    <d v="2015-07-25T00:00:00"/>
    <s v="Second Class"/>
    <x v="343"/>
    <x v="343"/>
    <s v="Consumer"/>
    <s v="United States"/>
    <s v="South Bend"/>
    <x v="14"/>
    <n v="46614"/>
    <x v="2"/>
    <x v="1156"/>
    <x v="1"/>
    <x v="4"/>
    <x v="1144"/>
    <n v="34.76"/>
    <s v="Medium"/>
    <n v="1"/>
    <n v="0"/>
    <x v="0"/>
    <x v="0"/>
    <n v="9.7327999999999992"/>
    <n v="0.27999999999999997"/>
    <n v="0"/>
  </r>
  <r>
    <n v="1851"/>
    <s v="CA-2015-160472"/>
    <d v="2015-07-20T00:00:00"/>
    <x v="1"/>
    <s v="Q3"/>
    <x v="38"/>
    <d v="2015-07-25T00:00:00"/>
    <s v="Second Class"/>
    <x v="343"/>
    <x v="343"/>
    <s v="Consumer"/>
    <s v="United States"/>
    <s v="South Bend"/>
    <x v="14"/>
    <n v="46614"/>
    <x v="2"/>
    <x v="577"/>
    <x v="2"/>
    <x v="11"/>
    <x v="577"/>
    <n v="831.2"/>
    <s v="High"/>
    <n v="5"/>
    <n v="0"/>
    <x v="0"/>
    <x v="0"/>
    <n v="124.68"/>
    <n v="0.15"/>
    <n v="0"/>
  </r>
  <r>
    <n v="1852"/>
    <s v="CA-2015-160472"/>
    <d v="2015-07-20T00:00:00"/>
    <x v="1"/>
    <s v="Q3"/>
    <x v="38"/>
    <d v="2015-07-25T00:00:00"/>
    <s v="Second Class"/>
    <x v="343"/>
    <x v="343"/>
    <s v="Consumer"/>
    <s v="United States"/>
    <s v="South Bend"/>
    <x v="14"/>
    <n v="46614"/>
    <x v="2"/>
    <x v="1157"/>
    <x v="1"/>
    <x v="10"/>
    <x v="1145"/>
    <n v="26.4"/>
    <s v="Medium"/>
    <n v="5"/>
    <n v="0"/>
    <x v="0"/>
    <x v="0"/>
    <n v="11.88"/>
    <n v="0.45000000000000007"/>
    <n v="0"/>
  </r>
  <r>
    <n v="1853"/>
    <s v="CA-2015-160472"/>
    <d v="2015-07-20T00:00:00"/>
    <x v="1"/>
    <s v="Q3"/>
    <x v="38"/>
    <d v="2015-07-25T00:00:00"/>
    <s v="Second Class"/>
    <x v="343"/>
    <x v="343"/>
    <s v="Consumer"/>
    <s v="United States"/>
    <s v="South Bend"/>
    <x v="14"/>
    <n v="46614"/>
    <x v="2"/>
    <x v="373"/>
    <x v="1"/>
    <x v="12"/>
    <x v="374"/>
    <n v="106.75"/>
    <s v="Medium"/>
    <n v="7"/>
    <n v="0"/>
    <x v="0"/>
    <x v="0"/>
    <n v="49.104999999999997"/>
    <n v="0.45999999999999996"/>
    <n v="0"/>
  </r>
  <r>
    <n v="1854"/>
    <s v="CA-2015-160472"/>
    <d v="2015-07-20T00:00:00"/>
    <x v="1"/>
    <s v="Q3"/>
    <x v="38"/>
    <d v="2015-07-25T00:00:00"/>
    <s v="Second Class"/>
    <x v="343"/>
    <x v="343"/>
    <s v="Consumer"/>
    <s v="United States"/>
    <s v="South Bend"/>
    <x v="14"/>
    <n v="46614"/>
    <x v="2"/>
    <x v="1158"/>
    <x v="1"/>
    <x v="10"/>
    <x v="1146"/>
    <n v="97.82"/>
    <s v="Medium"/>
    <n v="2"/>
    <n v="0"/>
    <x v="0"/>
    <x v="0"/>
    <n v="45.9754"/>
    <n v="0.47000000000000003"/>
    <n v="0"/>
  </r>
  <r>
    <n v="1855"/>
    <s v="CA-2015-160472"/>
    <d v="2015-07-20T00:00:00"/>
    <x v="1"/>
    <s v="Q3"/>
    <x v="38"/>
    <d v="2015-07-25T00:00:00"/>
    <s v="Second Class"/>
    <x v="343"/>
    <x v="343"/>
    <s v="Consumer"/>
    <s v="United States"/>
    <s v="South Bend"/>
    <x v="14"/>
    <n v="46614"/>
    <x v="2"/>
    <x v="86"/>
    <x v="1"/>
    <x v="4"/>
    <x v="86"/>
    <n v="141.4"/>
    <s v="High"/>
    <n v="5"/>
    <n v="0"/>
    <x v="0"/>
    <x v="0"/>
    <n v="38.177999999999997"/>
    <n v="0.26999999999999996"/>
    <n v="0"/>
  </r>
  <r>
    <n v="1856"/>
    <s v="CA-2014-114643"/>
    <d v="2014-06-13T00:00:00"/>
    <x v="2"/>
    <s v="Q2"/>
    <x v="3"/>
    <d v="2014-06-17T00:00:00"/>
    <s v="Standard Class"/>
    <x v="524"/>
    <x v="524"/>
    <s v="Corporate"/>
    <s v="United States"/>
    <s v="Los Angeles"/>
    <x v="1"/>
    <n v="90032"/>
    <x v="1"/>
    <x v="1159"/>
    <x v="1"/>
    <x v="6"/>
    <x v="772"/>
    <n v="14.52"/>
    <s v="Low"/>
    <n v="3"/>
    <n v="0"/>
    <x v="0"/>
    <x v="0"/>
    <n v="4.7915999999999999"/>
    <n v="0.33"/>
    <n v="0"/>
  </r>
  <r>
    <n v="1857"/>
    <s v="US-2017-158218"/>
    <d v="2017-05-12T00:00:00"/>
    <x v="3"/>
    <s v="Q2"/>
    <x v="24"/>
    <d v="2017-05-15T00:00:00"/>
    <s v="Second Class"/>
    <x v="141"/>
    <x v="141"/>
    <s v="Corporate"/>
    <s v="United States"/>
    <s v="Houston"/>
    <x v="5"/>
    <n v="77041"/>
    <x v="2"/>
    <x v="911"/>
    <x v="1"/>
    <x v="4"/>
    <x v="903"/>
    <n v="127.92"/>
    <s v="High"/>
    <n v="5"/>
    <n v="0.2"/>
    <x v="2"/>
    <x v="2"/>
    <n v="-15.99"/>
    <n v="-0.125"/>
    <n v="1"/>
  </r>
  <r>
    <n v="1858"/>
    <s v="US-2017-158218"/>
    <d v="2017-05-12T00:00:00"/>
    <x v="3"/>
    <s v="Q2"/>
    <x v="24"/>
    <d v="2017-05-15T00:00:00"/>
    <s v="Second Class"/>
    <x v="141"/>
    <x v="141"/>
    <s v="Corporate"/>
    <s v="United States"/>
    <s v="Houston"/>
    <x v="5"/>
    <n v="77041"/>
    <x v="2"/>
    <x v="1160"/>
    <x v="1"/>
    <x v="8"/>
    <x v="1147"/>
    <n v="34.24"/>
    <s v="Medium"/>
    <n v="4"/>
    <n v="0.8"/>
    <x v="1"/>
    <x v="3"/>
    <n v="-53.072000000000003"/>
    <n v="-1.55"/>
    <n v="1"/>
  </r>
  <r>
    <n v="1859"/>
    <s v="CA-2015-121608"/>
    <d v="2015-09-03T00:00:00"/>
    <x v="1"/>
    <s v="Q3"/>
    <x v="11"/>
    <d v="2015-09-05T00:00:00"/>
    <s v="First Class"/>
    <x v="80"/>
    <x v="80"/>
    <s v="Corporate"/>
    <s v="United States"/>
    <s v="Bristol"/>
    <x v="29"/>
    <n v="6010"/>
    <x v="3"/>
    <x v="14"/>
    <x v="1"/>
    <x v="9"/>
    <x v="14"/>
    <n v="137.62"/>
    <s v="High"/>
    <n v="2"/>
    <n v="0"/>
    <x v="0"/>
    <x v="0"/>
    <n v="60.552799999999998"/>
    <n v="0.43999999999999995"/>
    <n v="0"/>
  </r>
  <r>
    <n v="1860"/>
    <s v="CA-2015-121608"/>
    <d v="2015-09-03T00:00:00"/>
    <x v="1"/>
    <s v="Q3"/>
    <x v="11"/>
    <d v="2015-09-05T00:00:00"/>
    <s v="First Class"/>
    <x v="80"/>
    <x v="80"/>
    <s v="Corporate"/>
    <s v="United States"/>
    <s v="Bristol"/>
    <x v="29"/>
    <n v="6010"/>
    <x v="3"/>
    <x v="1161"/>
    <x v="2"/>
    <x v="7"/>
    <x v="1148"/>
    <n v="100.49"/>
    <s v="Medium"/>
    <n v="1"/>
    <n v="0"/>
    <x v="0"/>
    <x v="0"/>
    <n v="25.122499999999999"/>
    <n v="0.25"/>
    <n v="0"/>
  </r>
  <r>
    <n v="1861"/>
    <s v="US-2017-121251"/>
    <d v="2017-03-26T00:00:00"/>
    <x v="3"/>
    <s v="Q1"/>
    <x v="42"/>
    <d v="2017-03-27T00:00:00"/>
    <s v="First Class"/>
    <x v="306"/>
    <x v="306"/>
    <s v="Consumer"/>
    <s v="United States"/>
    <s v="New York City"/>
    <x v="15"/>
    <n v="10009"/>
    <x v="3"/>
    <x v="1162"/>
    <x v="0"/>
    <x v="0"/>
    <x v="1149"/>
    <n v="257.56799999999998"/>
    <s v="High"/>
    <n v="2"/>
    <n v="0.2"/>
    <x v="2"/>
    <x v="2"/>
    <n v="-28.976400000000002"/>
    <n v="-0.11250000000000002"/>
    <n v="1"/>
  </r>
  <r>
    <n v="1862"/>
    <s v="US-2017-121251"/>
    <d v="2017-03-26T00:00:00"/>
    <x v="3"/>
    <s v="Q1"/>
    <x v="42"/>
    <d v="2017-03-27T00:00:00"/>
    <s v="First Class"/>
    <x v="306"/>
    <x v="306"/>
    <s v="Consumer"/>
    <s v="United States"/>
    <s v="New York City"/>
    <x v="15"/>
    <n v="10009"/>
    <x v="3"/>
    <x v="173"/>
    <x v="2"/>
    <x v="7"/>
    <x v="174"/>
    <n v="119.96"/>
    <s v="Medium"/>
    <n v="4"/>
    <n v="0"/>
    <x v="0"/>
    <x v="0"/>
    <n v="33.588799999999999"/>
    <n v="0.28000000000000003"/>
    <n v="0"/>
  </r>
  <r>
    <n v="1863"/>
    <s v="CA-2014-151078"/>
    <d v="2014-11-12T00:00:00"/>
    <x v="2"/>
    <s v="Q4"/>
    <x v="7"/>
    <d v="2014-11-12T00:00:00"/>
    <s v="Same Day"/>
    <x v="167"/>
    <x v="167"/>
    <s v="Consumer"/>
    <s v="United States"/>
    <s v="San Antonio"/>
    <x v="5"/>
    <n v="78207"/>
    <x v="2"/>
    <x v="177"/>
    <x v="1"/>
    <x v="4"/>
    <x v="178"/>
    <n v="49.631999999999998"/>
    <s v="Medium"/>
    <n v="4"/>
    <n v="0.2"/>
    <x v="2"/>
    <x v="2"/>
    <n v="4.9631999999999996"/>
    <n v="9.9999999999999992E-2"/>
    <n v="0"/>
  </r>
  <r>
    <n v="1864"/>
    <s v="US-2016-100839"/>
    <d v="2016-10-13T00:00:00"/>
    <x v="0"/>
    <s v="Q4"/>
    <x v="32"/>
    <d v="2016-10-17T00:00:00"/>
    <s v="Standard Class"/>
    <x v="544"/>
    <x v="544"/>
    <s v="Corporate"/>
    <s v="United States"/>
    <s v="Aurora"/>
    <x v="22"/>
    <n v="80013"/>
    <x v="1"/>
    <x v="309"/>
    <x v="0"/>
    <x v="3"/>
    <x v="309"/>
    <n v="727.45"/>
    <s v="High"/>
    <n v="5"/>
    <n v="0.5"/>
    <x v="1"/>
    <x v="1"/>
    <n v="-465.56799999999998"/>
    <n v="-0.6399999999999999"/>
    <n v="1"/>
  </r>
  <r>
    <n v="1865"/>
    <s v="US-2016-100839"/>
    <d v="2016-10-13T00:00:00"/>
    <x v="0"/>
    <s v="Q4"/>
    <x v="32"/>
    <d v="2016-10-17T00:00:00"/>
    <s v="Standard Class"/>
    <x v="544"/>
    <x v="544"/>
    <s v="Corporate"/>
    <s v="United States"/>
    <s v="Aurora"/>
    <x v="22"/>
    <n v="80013"/>
    <x v="1"/>
    <x v="1163"/>
    <x v="0"/>
    <x v="5"/>
    <x v="1150"/>
    <n v="24.96"/>
    <s v="Medium"/>
    <n v="3"/>
    <n v="0.2"/>
    <x v="2"/>
    <x v="2"/>
    <n v="4.3680000000000003"/>
    <n v="0.17500000000000002"/>
    <n v="0"/>
  </r>
  <r>
    <n v="1866"/>
    <s v="US-2017-116659"/>
    <d v="2017-11-12T00:00:00"/>
    <x v="3"/>
    <s v="Q4"/>
    <x v="23"/>
    <d v="2017-11-12T00:00:00"/>
    <s v="Same Day"/>
    <x v="243"/>
    <x v="243"/>
    <s v="Corporate"/>
    <s v="United States"/>
    <s v="Newark"/>
    <x v="24"/>
    <n v="43055"/>
    <x v="3"/>
    <x v="1164"/>
    <x v="2"/>
    <x v="7"/>
    <x v="1151"/>
    <n v="370.78199999999998"/>
    <s v="High"/>
    <n v="3"/>
    <n v="0.4"/>
    <x v="1"/>
    <x v="7"/>
    <n v="-92.695499999999996"/>
    <n v="-0.25"/>
    <n v="1"/>
  </r>
  <r>
    <n v="1867"/>
    <s v="CA-2017-118857"/>
    <d v="2017-04-15T00:00:00"/>
    <x v="3"/>
    <s v="Q2"/>
    <x v="4"/>
    <d v="2017-04-18T00:00:00"/>
    <s v="First Class"/>
    <x v="340"/>
    <x v="340"/>
    <s v="Corporate"/>
    <s v="United States"/>
    <s v="Henderson"/>
    <x v="33"/>
    <n v="89015"/>
    <x v="1"/>
    <x v="795"/>
    <x v="0"/>
    <x v="5"/>
    <x v="793"/>
    <n v="196.45"/>
    <s v="High"/>
    <n v="5"/>
    <n v="0"/>
    <x v="0"/>
    <x v="0"/>
    <n v="70.721999999999994"/>
    <n v="0.36"/>
    <n v="0"/>
  </r>
  <r>
    <n v="1868"/>
    <s v="CA-2015-127110"/>
    <d v="2015-06-25T00:00:00"/>
    <x v="1"/>
    <s v="Q2"/>
    <x v="40"/>
    <d v="2015-07-01T00:00:00"/>
    <s v="Standard Class"/>
    <x v="539"/>
    <x v="539"/>
    <s v="Home Office"/>
    <s v="United States"/>
    <s v="Philadelphia"/>
    <x v="9"/>
    <n v="19143"/>
    <x v="3"/>
    <x v="1165"/>
    <x v="1"/>
    <x v="10"/>
    <x v="1152"/>
    <n v="31.103999999999999"/>
    <s v="Medium"/>
    <n v="6"/>
    <n v="0.2"/>
    <x v="2"/>
    <x v="2"/>
    <n v="10.8864"/>
    <n v="0.35000000000000003"/>
    <n v="0"/>
  </r>
  <r>
    <n v="1869"/>
    <s v="CA-2015-127110"/>
    <d v="2015-06-25T00:00:00"/>
    <x v="1"/>
    <s v="Q2"/>
    <x v="40"/>
    <d v="2015-07-01T00:00:00"/>
    <s v="Standard Class"/>
    <x v="539"/>
    <x v="539"/>
    <s v="Home Office"/>
    <s v="United States"/>
    <s v="Philadelphia"/>
    <x v="9"/>
    <n v="19143"/>
    <x v="3"/>
    <x v="1166"/>
    <x v="1"/>
    <x v="4"/>
    <x v="1153"/>
    <n v="78.256"/>
    <s v="Medium"/>
    <n v="2"/>
    <n v="0.2"/>
    <x v="2"/>
    <x v="2"/>
    <n v="-17.607600000000001"/>
    <n v="-0.22500000000000001"/>
    <n v="1"/>
  </r>
  <r>
    <n v="1870"/>
    <s v="CA-2016-148201"/>
    <d v="2016-08-26T00:00:00"/>
    <x v="0"/>
    <s v="Q3"/>
    <x v="28"/>
    <d v="2016-08-29T00:00:00"/>
    <s v="Second Class"/>
    <x v="230"/>
    <x v="230"/>
    <s v="Consumer"/>
    <s v="United States"/>
    <s v="Seattle"/>
    <x v="4"/>
    <n v="98103"/>
    <x v="1"/>
    <x v="712"/>
    <x v="1"/>
    <x v="10"/>
    <x v="711"/>
    <n v="6.48"/>
    <s v="Low"/>
    <n v="1"/>
    <n v="0"/>
    <x v="0"/>
    <x v="0"/>
    <n v="3.1103999999999998"/>
    <n v="0.47999999999999993"/>
    <n v="0"/>
  </r>
  <r>
    <n v="1871"/>
    <s v="CA-2014-116932"/>
    <d v="2014-07-21T00:00:00"/>
    <x v="2"/>
    <s v="Q3"/>
    <x v="39"/>
    <d v="2014-07-25T00:00:00"/>
    <s v="Standard Class"/>
    <x v="545"/>
    <x v="545"/>
    <s v="Corporate"/>
    <s v="United States"/>
    <s v="San Francisco"/>
    <x v="1"/>
    <n v="94122"/>
    <x v="1"/>
    <x v="1167"/>
    <x v="1"/>
    <x v="6"/>
    <x v="1154"/>
    <n v="99.2"/>
    <s v="Medium"/>
    <n v="5"/>
    <n v="0"/>
    <x v="0"/>
    <x v="0"/>
    <n v="25.792000000000002"/>
    <n v="0.26"/>
    <n v="0"/>
  </r>
  <r>
    <n v="1872"/>
    <s v="CA-2014-116932"/>
    <d v="2014-07-21T00:00:00"/>
    <x v="2"/>
    <s v="Q3"/>
    <x v="39"/>
    <d v="2014-07-25T00:00:00"/>
    <s v="Standard Class"/>
    <x v="545"/>
    <x v="545"/>
    <s v="Corporate"/>
    <s v="United States"/>
    <s v="San Francisco"/>
    <x v="1"/>
    <n v="94122"/>
    <x v="1"/>
    <x v="445"/>
    <x v="0"/>
    <x v="1"/>
    <x v="445"/>
    <n v="801.56799999999998"/>
    <s v="High"/>
    <n v="2"/>
    <n v="0.2"/>
    <x v="2"/>
    <x v="2"/>
    <n v="50.097999999999999"/>
    <n v="6.25E-2"/>
    <n v="0"/>
  </r>
  <r>
    <n v="1873"/>
    <s v="CA-2014-116932"/>
    <d v="2014-07-21T00:00:00"/>
    <x v="2"/>
    <s v="Q3"/>
    <x v="39"/>
    <d v="2014-07-25T00:00:00"/>
    <s v="Standard Class"/>
    <x v="545"/>
    <x v="545"/>
    <s v="Corporate"/>
    <s v="United States"/>
    <s v="San Francisco"/>
    <x v="1"/>
    <n v="94122"/>
    <x v="1"/>
    <x v="1168"/>
    <x v="0"/>
    <x v="3"/>
    <x v="1155"/>
    <n v="272.84800000000001"/>
    <s v="High"/>
    <n v="1"/>
    <n v="0.2"/>
    <x v="2"/>
    <x v="2"/>
    <n v="27.284800000000001"/>
    <n v="9.9999999999999992E-2"/>
    <n v="0"/>
  </r>
  <r>
    <n v="1874"/>
    <s v="CA-2017-142888"/>
    <d v="2017-11-21T00:00:00"/>
    <x v="3"/>
    <s v="Q4"/>
    <x v="23"/>
    <d v="2017-11-25T00:00:00"/>
    <s v="Standard Class"/>
    <x v="546"/>
    <x v="546"/>
    <s v="Consumer"/>
    <s v="United States"/>
    <s v="Spokane"/>
    <x v="4"/>
    <n v="99207"/>
    <x v="1"/>
    <x v="1169"/>
    <x v="0"/>
    <x v="3"/>
    <x v="1156"/>
    <n v="70.98"/>
    <s v="Medium"/>
    <n v="1"/>
    <n v="0"/>
    <x v="0"/>
    <x v="0"/>
    <n v="20.584199999999999"/>
    <n v="0.28999999999999998"/>
    <n v="0"/>
  </r>
  <r>
    <n v="1875"/>
    <s v="CA-2014-147914"/>
    <d v="2014-06-04T00:00:00"/>
    <x v="2"/>
    <s v="Q2"/>
    <x v="3"/>
    <d v="2014-06-09T00:00:00"/>
    <s v="Standard Class"/>
    <x v="88"/>
    <x v="88"/>
    <s v="Home Office"/>
    <s v="United States"/>
    <s v="Columbus"/>
    <x v="24"/>
    <n v="43229"/>
    <x v="3"/>
    <x v="885"/>
    <x v="1"/>
    <x v="10"/>
    <x v="33"/>
    <n v="16.224"/>
    <s v="Low"/>
    <n v="2"/>
    <n v="0.2"/>
    <x v="2"/>
    <x v="2"/>
    <n v="5.8811999999999998"/>
    <n v="0.36249999999999999"/>
    <n v="0"/>
  </r>
  <r>
    <n v="1876"/>
    <s v="US-2016-112977"/>
    <d v="2016-03-10T00:00:00"/>
    <x v="0"/>
    <s v="Q1"/>
    <x v="17"/>
    <d v="2016-03-16T00:00:00"/>
    <s v="Standard Class"/>
    <x v="170"/>
    <x v="170"/>
    <s v="Consumer"/>
    <s v="United States"/>
    <s v="Long Beach"/>
    <x v="15"/>
    <n v="11561"/>
    <x v="3"/>
    <x v="587"/>
    <x v="0"/>
    <x v="0"/>
    <x v="587"/>
    <n v="176.78399999999999"/>
    <s v="High"/>
    <n v="1"/>
    <n v="0.2"/>
    <x v="2"/>
    <x v="2"/>
    <n v="-22.097999999999999"/>
    <n v="-0.125"/>
    <n v="1"/>
  </r>
  <r>
    <n v="1877"/>
    <s v="CA-2017-112039"/>
    <d v="2017-03-25T00:00:00"/>
    <x v="3"/>
    <s v="Q1"/>
    <x v="42"/>
    <d v="2017-03-29T00:00:00"/>
    <s v="Standard Class"/>
    <x v="547"/>
    <x v="547"/>
    <s v="Consumer"/>
    <s v="United States"/>
    <s v="San Antonio"/>
    <x v="5"/>
    <n v="78207"/>
    <x v="2"/>
    <x v="469"/>
    <x v="2"/>
    <x v="7"/>
    <x v="470"/>
    <n v="470.37599999999998"/>
    <s v="High"/>
    <n v="3"/>
    <n v="0.2"/>
    <x v="2"/>
    <x v="2"/>
    <n v="47.037599999999998"/>
    <n v="0.1"/>
    <n v="0"/>
  </r>
  <r>
    <n v="1878"/>
    <s v="CA-2017-118885"/>
    <d v="2017-12-29T00:00:00"/>
    <x v="3"/>
    <s v="Q4"/>
    <x v="22"/>
    <d v="2018-01-02T00:00:00"/>
    <s v="Standard Class"/>
    <x v="506"/>
    <x v="506"/>
    <s v="Consumer"/>
    <s v="United States"/>
    <s v="Los Angeles"/>
    <x v="1"/>
    <n v="90049"/>
    <x v="1"/>
    <x v="812"/>
    <x v="0"/>
    <x v="1"/>
    <x v="809"/>
    <n v="393.56799999999998"/>
    <s v="High"/>
    <n v="4"/>
    <n v="0.2"/>
    <x v="2"/>
    <x v="2"/>
    <n v="-44.276400000000002"/>
    <n v="-0.11250000000000002"/>
    <n v="1"/>
  </r>
  <r>
    <n v="1879"/>
    <s v="CA-2017-118885"/>
    <d v="2017-12-29T00:00:00"/>
    <x v="3"/>
    <s v="Q4"/>
    <x v="22"/>
    <d v="2018-01-02T00:00:00"/>
    <s v="Standard Class"/>
    <x v="506"/>
    <x v="506"/>
    <s v="Consumer"/>
    <s v="United States"/>
    <s v="Los Angeles"/>
    <x v="1"/>
    <n v="90049"/>
    <x v="1"/>
    <x v="202"/>
    <x v="2"/>
    <x v="7"/>
    <x v="203"/>
    <n v="302.37599999999998"/>
    <s v="High"/>
    <n v="3"/>
    <n v="0.2"/>
    <x v="2"/>
    <x v="2"/>
    <n v="22.6782"/>
    <n v="7.5000000000000011E-2"/>
    <n v="0"/>
  </r>
  <r>
    <n v="1880"/>
    <s v="US-2017-166611"/>
    <d v="2017-03-28T00:00:00"/>
    <x v="3"/>
    <s v="Q1"/>
    <x v="42"/>
    <d v="2017-04-02T00:00:00"/>
    <s v="Standard Class"/>
    <x v="316"/>
    <x v="316"/>
    <s v="Corporate"/>
    <s v="United States"/>
    <s v="Jacksonville"/>
    <x v="2"/>
    <n v="32216"/>
    <x v="0"/>
    <x v="986"/>
    <x v="1"/>
    <x v="8"/>
    <x v="979"/>
    <n v="68.742000000000004"/>
    <s v="Medium"/>
    <n v="9"/>
    <n v="0.7"/>
    <x v="1"/>
    <x v="5"/>
    <n v="-48.119399999999999"/>
    <n v="-0.7"/>
    <n v="1"/>
  </r>
  <r>
    <n v="1881"/>
    <s v="CA-2015-109512"/>
    <d v="2015-03-05T00:00:00"/>
    <x v="1"/>
    <s v="Q1"/>
    <x v="29"/>
    <d v="2015-03-05T00:00:00"/>
    <s v="Same Day"/>
    <x v="166"/>
    <x v="166"/>
    <s v="Consumer"/>
    <s v="United States"/>
    <s v="New York City"/>
    <x v="15"/>
    <n v="10011"/>
    <x v="3"/>
    <x v="1170"/>
    <x v="1"/>
    <x v="12"/>
    <x v="153"/>
    <n v="29.34"/>
    <s v="Medium"/>
    <n v="3"/>
    <n v="0"/>
    <x v="0"/>
    <x v="0"/>
    <n v="14.67"/>
    <n v="0.5"/>
    <n v="0"/>
  </r>
  <r>
    <n v="1882"/>
    <s v="CA-2015-109512"/>
    <d v="2015-03-05T00:00:00"/>
    <x v="1"/>
    <s v="Q1"/>
    <x v="29"/>
    <d v="2015-03-05T00:00:00"/>
    <s v="Same Day"/>
    <x v="166"/>
    <x v="166"/>
    <s v="Consumer"/>
    <s v="United States"/>
    <s v="New York City"/>
    <x v="15"/>
    <n v="10011"/>
    <x v="3"/>
    <x v="64"/>
    <x v="0"/>
    <x v="1"/>
    <x v="64"/>
    <n v="383.60700000000003"/>
    <s v="High"/>
    <n v="7"/>
    <n v="0.1"/>
    <x v="3"/>
    <x v="8"/>
    <n v="63.9345"/>
    <n v="0.16666666666666666"/>
    <n v="0"/>
  </r>
  <r>
    <n v="1883"/>
    <s v="CA-2015-109512"/>
    <d v="2015-03-05T00:00:00"/>
    <x v="1"/>
    <s v="Q1"/>
    <x v="29"/>
    <d v="2015-03-05T00:00:00"/>
    <s v="Same Day"/>
    <x v="166"/>
    <x v="166"/>
    <s v="Consumer"/>
    <s v="United States"/>
    <s v="New York City"/>
    <x v="15"/>
    <n v="10011"/>
    <x v="3"/>
    <x v="426"/>
    <x v="1"/>
    <x v="4"/>
    <x v="426"/>
    <n v="563.4"/>
    <s v="High"/>
    <n v="4"/>
    <n v="0"/>
    <x v="0"/>
    <x v="0"/>
    <n v="67.608000000000004"/>
    <n v="0.12000000000000001"/>
    <n v="0"/>
  </r>
  <r>
    <n v="1884"/>
    <s v="CA-2016-118570"/>
    <d v="2016-11-13T00:00:00"/>
    <x v="0"/>
    <s v="Q4"/>
    <x v="0"/>
    <d v="2016-11-17T00:00:00"/>
    <s v="Standard Class"/>
    <x v="254"/>
    <x v="254"/>
    <s v="Home Office"/>
    <s v="United States"/>
    <s v="Philadelphia"/>
    <x v="9"/>
    <n v="19143"/>
    <x v="3"/>
    <x v="968"/>
    <x v="1"/>
    <x v="10"/>
    <x v="961"/>
    <n v="217.05600000000001"/>
    <s v="High"/>
    <n v="7"/>
    <n v="0.2"/>
    <x v="2"/>
    <x v="2"/>
    <n v="78.6828"/>
    <n v="0.36249999999999999"/>
    <n v="0"/>
  </r>
  <r>
    <n v="1885"/>
    <s v="CA-2017-154718"/>
    <d v="2017-01-19T00:00:00"/>
    <x v="3"/>
    <s v="Q1"/>
    <x v="44"/>
    <d v="2017-01-23T00:00:00"/>
    <s v="Second Class"/>
    <x v="297"/>
    <x v="297"/>
    <s v="Consumer"/>
    <s v="United States"/>
    <s v="Keller"/>
    <x v="5"/>
    <n v="76248"/>
    <x v="2"/>
    <x v="1171"/>
    <x v="1"/>
    <x v="2"/>
    <x v="1157"/>
    <n v="6"/>
    <s v="Low"/>
    <n v="2"/>
    <n v="0.2"/>
    <x v="2"/>
    <x v="2"/>
    <n v="2.1"/>
    <n v="0.35000000000000003"/>
    <n v="0"/>
  </r>
  <r>
    <n v="1886"/>
    <s v="CA-2016-147578"/>
    <d v="2016-04-22T00:00:00"/>
    <x v="0"/>
    <s v="Q2"/>
    <x v="25"/>
    <d v="2016-04-26T00:00:00"/>
    <s v="Second Class"/>
    <x v="38"/>
    <x v="38"/>
    <s v="Consumer"/>
    <s v="United States"/>
    <s v="San Francisco"/>
    <x v="1"/>
    <n v="94122"/>
    <x v="1"/>
    <x v="1172"/>
    <x v="0"/>
    <x v="5"/>
    <x v="1158"/>
    <n v="31.56"/>
    <s v="Medium"/>
    <n v="3"/>
    <n v="0"/>
    <x v="0"/>
    <x v="0"/>
    <n v="10.4148"/>
    <n v="0.33"/>
    <n v="0"/>
  </r>
  <r>
    <n v="1887"/>
    <s v="CA-2014-140165"/>
    <d v="2014-05-13T00:00:00"/>
    <x v="2"/>
    <s v="Q2"/>
    <x v="8"/>
    <d v="2014-05-15T00:00:00"/>
    <s v="First Class"/>
    <x v="382"/>
    <x v="382"/>
    <s v="Home Office"/>
    <s v="United States"/>
    <s v="Hialeah"/>
    <x v="2"/>
    <n v="33012"/>
    <x v="0"/>
    <x v="462"/>
    <x v="1"/>
    <x v="13"/>
    <x v="128"/>
    <n v="7.1040000000000001"/>
    <s v="Low"/>
    <n v="2"/>
    <n v="0.2"/>
    <x v="2"/>
    <x v="2"/>
    <n v="2.3976000000000002"/>
    <n v="0.33750000000000002"/>
    <n v="0"/>
  </r>
  <r>
    <n v="1888"/>
    <s v="CA-2014-140165"/>
    <d v="2014-05-13T00:00:00"/>
    <x v="2"/>
    <s v="Q2"/>
    <x v="8"/>
    <d v="2014-05-15T00:00:00"/>
    <s v="First Class"/>
    <x v="382"/>
    <x v="382"/>
    <s v="Home Office"/>
    <s v="United States"/>
    <s v="Hialeah"/>
    <x v="2"/>
    <n v="33012"/>
    <x v="0"/>
    <x v="896"/>
    <x v="1"/>
    <x v="8"/>
    <x v="889"/>
    <n v="398.35199999999998"/>
    <s v="High"/>
    <n v="8"/>
    <n v="0.7"/>
    <x v="1"/>
    <x v="5"/>
    <n v="-331.96"/>
    <n v="-0.83333333333333337"/>
    <n v="1"/>
  </r>
  <r>
    <n v="1889"/>
    <s v="CA-2014-142587"/>
    <d v="2014-10-21T00:00:00"/>
    <x v="2"/>
    <s v="Q4"/>
    <x v="18"/>
    <d v="2014-10-22T00:00:00"/>
    <s v="First Class"/>
    <x v="14"/>
    <x v="14"/>
    <s v="Consumer"/>
    <s v="United States"/>
    <s v="Fairfield"/>
    <x v="24"/>
    <n v="45014"/>
    <x v="3"/>
    <x v="513"/>
    <x v="1"/>
    <x v="9"/>
    <x v="513"/>
    <n v="121.792"/>
    <s v="Medium"/>
    <n v="4"/>
    <n v="0.2"/>
    <x v="2"/>
    <x v="2"/>
    <n v="13.701599999999999"/>
    <n v="0.11249999999999999"/>
    <n v="0"/>
  </r>
  <r>
    <n v="1890"/>
    <s v="CA-2014-142587"/>
    <d v="2014-10-21T00:00:00"/>
    <x v="2"/>
    <s v="Q4"/>
    <x v="18"/>
    <d v="2014-10-22T00:00:00"/>
    <s v="First Class"/>
    <x v="14"/>
    <x v="14"/>
    <s v="Consumer"/>
    <s v="United States"/>
    <s v="Fairfield"/>
    <x v="24"/>
    <n v="45014"/>
    <x v="3"/>
    <x v="342"/>
    <x v="0"/>
    <x v="3"/>
    <x v="342"/>
    <n v="409.59"/>
    <s v="High"/>
    <n v="3"/>
    <n v="0.4"/>
    <x v="1"/>
    <x v="7"/>
    <n v="-122.877"/>
    <n v="-0.3"/>
    <n v="1"/>
  </r>
  <r>
    <n v="1891"/>
    <s v="CA-2014-157623"/>
    <d v="2014-03-14T00:00:00"/>
    <x v="2"/>
    <s v="Q1"/>
    <x v="34"/>
    <d v="2014-03-18T00:00:00"/>
    <s v="Standard Class"/>
    <x v="158"/>
    <x v="158"/>
    <s v="Corporate"/>
    <s v="United States"/>
    <s v="Huntington Beach"/>
    <x v="1"/>
    <n v="92646"/>
    <x v="1"/>
    <x v="523"/>
    <x v="1"/>
    <x v="10"/>
    <x v="523"/>
    <n v="10.56"/>
    <s v="Low"/>
    <n v="2"/>
    <n v="0"/>
    <x v="0"/>
    <x v="0"/>
    <n v="4.7519999999999998"/>
    <n v="0.44999999999999996"/>
    <n v="0"/>
  </r>
  <r>
    <n v="1892"/>
    <s v="CA-2014-157623"/>
    <d v="2014-03-14T00:00:00"/>
    <x v="2"/>
    <s v="Q1"/>
    <x v="34"/>
    <d v="2014-03-18T00:00:00"/>
    <s v="Standard Class"/>
    <x v="158"/>
    <x v="158"/>
    <s v="Corporate"/>
    <s v="United States"/>
    <s v="Huntington Beach"/>
    <x v="1"/>
    <n v="92646"/>
    <x v="1"/>
    <x v="1173"/>
    <x v="1"/>
    <x v="6"/>
    <x v="1159"/>
    <n v="3.38"/>
    <s v="Low"/>
    <n v="1"/>
    <n v="0"/>
    <x v="0"/>
    <x v="0"/>
    <n v="1.2505999999999999"/>
    <n v="0.37"/>
    <n v="0"/>
  </r>
  <r>
    <n v="1893"/>
    <s v="CA-2017-145310"/>
    <d v="2017-12-22T00:00:00"/>
    <x v="3"/>
    <s v="Q4"/>
    <x v="22"/>
    <d v="2017-12-24T00:00:00"/>
    <s v="Second Class"/>
    <x v="187"/>
    <x v="187"/>
    <s v="Consumer"/>
    <s v="United States"/>
    <s v="Port Orange"/>
    <x v="2"/>
    <n v="32127"/>
    <x v="0"/>
    <x v="1170"/>
    <x v="1"/>
    <x v="12"/>
    <x v="153"/>
    <n v="7.8239999999999998"/>
    <s v="Low"/>
    <n v="1"/>
    <n v="0.2"/>
    <x v="2"/>
    <x v="2"/>
    <n v="2.9340000000000002"/>
    <n v="0.37500000000000006"/>
    <n v="0"/>
  </r>
  <r>
    <n v="1894"/>
    <s v="CA-2016-100083"/>
    <d v="2016-11-24T00:00:00"/>
    <x v="0"/>
    <s v="Q4"/>
    <x v="0"/>
    <d v="2016-11-29T00:00:00"/>
    <s v="Standard Class"/>
    <x v="263"/>
    <x v="263"/>
    <s v="Consumer"/>
    <s v="United States"/>
    <s v="Medford"/>
    <x v="21"/>
    <n v="97504"/>
    <x v="1"/>
    <x v="1174"/>
    <x v="1"/>
    <x v="10"/>
    <x v="1160"/>
    <n v="24.783999999999999"/>
    <s v="Low"/>
    <n v="1"/>
    <n v="0.2"/>
    <x v="2"/>
    <x v="2"/>
    <n v="7.7450000000000001"/>
    <n v="0.3125"/>
    <n v="0"/>
  </r>
  <r>
    <n v="1895"/>
    <s v="US-2017-108063"/>
    <d v="2017-12-02T00:00:00"/>
    <x v="3"/>
    <s v="Q4"/>
    <x v="22"/>
    <d v="2017-12-05T00:00:00"/>
    <s v="First Class"/>
    <x v="548"/>
    <x v="548"/>
    <s v="Consumer"/>
    <s v="United States"/>
    <s v="Charlottesville"/>
    <x v="17"/>
    <n v="22901"/>
    <x v="0"/>
    <x v="1175"/>
    <x v="1"/>
    <x v="6"/>
    <x v="1161"/>
    <n v="34.65"/>
    <s v="Medium"/>
    <n v="3"/>
    <n v="0"/>
    <x v="0"/>
    <x v="0"/>
    <n v="10.395"/>
    <n v="0.3"/>
    <n v="0"/>
  </r>
  <r>
    <n v="1896"/>
    <s v="CA-2015-109197"/>
    <d v="2015-12-31T00:00:00"/>
    <x v="1"/>
    <s v="Q4"/>
    <x v="14"/>
    <d v="2016-01-04T00:00:00"/>
    <s v="Standard Class"/>
    <x v="123"/>
    <x v="123"/>
    <s v="Consumer"/>
    <s v="United States"/>
    <s v="Missoula"/>
    <x v="37"/>
    <n v="59801"/>
    <x v="1"/>
    <x v="569"/>
    <x v="1"/>
    <x v="8"/>
    <x v="569"/>
    <n v="487.98399999999998"/>
    <s v="High"/>
    <n v="2"/>
    <n v="0.2"/>
    <x v="2"/>
    <x v="2"/>
    <n v="152.495"/>
    <n v="0.3125"/>
    <n v="0"/>
  </r>
  <r>
    <n v="1897"/>
    <s v="CA-2017-141789"/>
    <d v="2017-10-03T00:00:00"/>
    <x v="3"/>
    <s v="Q4"/>
    <x v="13"/>
    <d v="2017-10-06T00:00:00"/>
    <s v="First Class"/>
    <x v="549"/>
    <x v="549"/>
    <s v="Consumer"/>
    <s v="United States"/>
    <s v="Minneapolis"/>
    <x v="11"/>
    <n v="55407"/>
    <x v="2"/>
    <x v="1176"/>
    <x v="1"/>
    <x v="8"/>
    <x v="1162"/>
    <n v="1793.98"/>
    <s v="High"/>
    <n v="2"/>
    <n v="0"/>
    <x v="0"/>
    <x v="0"/>
    <n v="843.17060000000004"/>
    <n v="0.47000000000000003"/>
    <n v="0"/>
  </r>
  <r>
    <n v="1898"/>
    <s v="CA-2014-169775"/>
    <d v="2014-08-29T00:00:00"/>
    <x v="2"/>
    <s v="Q3"/>
    <x v="9"/>
    <d v="2014-09-02T00:00:00"/>
    <s v="Second Class"/>
    <x v="362"/>
    <x v="362"/>
    <s v="Consumer"/>
    <s v="United States"/>
    <s v="Miami"/>
    <x v="2"/>
    <n v="33178"/>
    <x v="0"/>
    <x v="1177"/>
    <x v="1"/>
    <x v="12"/>
    <x v="1163"/>
    <n v="29.808"/>
    <s v="Medium"/>
    <n v="2"/>
    <n v="0.2"/>
    <x v="2"/>
    <x v="2"/>
    <n v="10.805400000000001"/>
    <n v="0.36250000000000004"/>
    <n v="0"/>
  </r>
  <r>
    <n v="1899"/>
    <s v="CA-2014-169775"/>
    <d v="2014-08-29T00:00:00"/>
    <x v="2"/>
    <s v="Q3"/>
    <x v="9"/>
    <d v="2014-09-02T00:00:00"/>
    <s v="Second Class"/>
    <x v="362"/>
    <x v="362"/>
    <s v="Consumer"/>
    <s v="United States"/>
    <s v="Miami"/>
    <x v="2"/>
    <n v="33178"/>
    <x v="0"/>
    <x v="1178"/>
    <x v="1"/>
    <x v="8"/>
    <x v="1164"/>
    <n v="505.17599999999999"/>
    <s v="High"/>
    <n v="4"/>
    <n v="0.7"/>
    <x v="1"/>
    <x v="5"/>
    <n v="-336.78399999999999"/>
    <n v="-0.66666666666666663"/>
    <n v="1"/>
  </r>
  <r>
    <n v="1900"/>
    <s v="CA-2014-169775"/>
    <d v="2014-08-29T00:00:00"/>
    <x v="2"/>
    <s v="Q3"/>
    <x v="9"/>
    <d v="2014-09-02T00:00:00"/>
    <s v="Second Class"/>
    <x v="362"/>
    <x v="362"/>
    <s v="Consumer"/>
    <s v="United States"/>
    <s v="Miami"/>
    <x v="2"/>
    <n v="33178"/>
    <x v="0"/>
    <x v="438"/>
    <x v="0"/>
    <x v="3"/>
    <x v="438"/>
    <n v="174.05850000000001"/>
    <s v="High"/>
    <n v="3"/>
    <n v="0.45"/>
    <x v="1"/>
    <x v="1"/>
    <n v="-110.7645"/>
    <n v="-0.63636363636363635"/>
    <n v="1"/>
  </r>
  <r>
    <n v="1901"/>
    <s v="CA-2016-140543"/>
    <d v="2016-06-29T00:00:00"/>
    <x v="0"/>
    <s v="Q2"/>
    <x v="1"/>
    <d v="2016-07-03T00:00:00"/>
    <s v="Second Class"/>
    <x v="476"/>
    <x v="476"/>
    <s v="Consumer"/>
    <s v="United States"/>
    <s v="Florence"/>
    <x v="20"/>
    <n v="29501"/>
    <x v="0"/>
    <x v="911"/>
    <x v="1"/>
    <x v="4"/>
    <x v="903"/>
    <n v="191.88"/>
    <s v="High"/>
    <n v="6"/>
    <n v="0"/>
    <x v="0"/>
    <x v="0"/>
    <n v="19.187999999999999"/>
    <n v="9.9999999999999992E-2"/>
    <n v="0"/>
  </r>
  <r>
    <n v="1902"/>
    <s v="CA-2016-151141"/>
    <d v="2016-08-20T00:00:00"/>
    <x v="0"/>
    <s v="Q3"/>
    <x v="28"/>
    <d v="2016-08-23T00:00:00"/>
    <s v="First Class"/>
    <x v="108"/>
    <x v="108"/>
    <s v="Home Office"/>
    <s v="United States"/>
    <s v="Detroit"/>
    <x v="12"/>
    <n v="48205"/>
    <x v="2"/>
    <x v="1179"/>
    <x v="2"/>
    <x v="7"/>
    <x v="1165"/>
    <n v="14.78"/>
    <s v="Low"/>
    <n v="2"/>
    <n v="0"/>
    <x v="0"/>
    <x v="0"/>
    <n v="3.9906000000000001"/>
    <n v="0.27"/>
    <n v="0"/>
  </r>
  <r>
    <n v="1903"/>
    <s v="CA-2017-167094"/>
    <d v="2017-10-21T00:00:00"/>
    <x v="3"/>
    <s v="Q4"/>
    <x v="13"/>
    <d v="2017-10-22T00:00:00"/>
    <s v="First Class"/>
    <x v="460"/>
    <x v="460"/>
    <s v="Corporate"/>
    <s v="United States"/>
    <s v="Springfield"/>
    <x v="21"/>
    <n v="97477"/>
    <x v="1"/>
    <x v="644"/>
    <x v="1"/>
    <x v="10"/>
    <x v="644"/>
    <n v="5.1840000000000002"/>
    <s v="Low"/>
    <n v="1"/>
    <n v="0.2"/>
    <x v="2"/>
    <x v="2"/>
    <n v="1.8144"/>
    <n v="0.35"/>
    <n v="0"/>
  </r>
  <r>
    <n v="1904"/>
    <s v="CA-2017-167094"/>
    <d v="2017-10-21T00:00:00"/>
    <x v="3"/>
    <s v="Q4"/>
    <x v="13"/>
    <d v="2017-10-22T00:00:00"/>
    <s v="First Class"/>
    <x v="460"/>
    <x v="460"/>
    <s v="Corporate"/>
    <s v="United States"/>
    <s v="Springfield"/>
    <x v="21"/>
    <n v="97477"/>
    <x v="1"/>
    <x v="1180"/>
    <x v="0"/>
    <x v="1"/>
    <x v="1166"/>
    <n v="478.48"/>
    <s v="High"/>
    <n v="2"/>
    <n v="0.2"/>
    <x v="2"/>
    <x v="2"/>
    <n v="47.847999999999999"/>
    <n v="9.9999999999999992E-2"/>
    <n v="0"/>
  </r>
  <r>
    <n v="1905"/>
    <s v="CA-2017-167094"/>
    <d v="2017-10-21T00:00:00"/>
    <x v="3"/>
    <s v="Q4"/>
    <x v="13"/>
    <d v="2017-10-22T00:00:00"/>
    <s v="First Class"/>
    <x v="460"/>
    <x v="460"/>
    <s v="Corporate"/>
    <s v="United States"/>
    <s v="Springfield"/>
    <x v="21"/>
    <n v="97477"/>
    <x v="1"/>
    <x v="936"/>
    <x v="2"/>
    <x v="11"/>
    <x v="929"/>
    <n v="28.4"/>
    <s v="Medium"/>
    <n v="2"/>
    <n v="0.2"/>
    <x v="2"/>
    <x v="2"/>
    <n v="6.7450000000000001"/>
    <n v="0.23750000000000002"/>
    <n v="0"/>
  </r>
  <r>
    <n v="1906"/>
    <s v="CA-2017-154410"/>
    <d v="2017-10-21T00:00:00"/>
    <x v="3"/>
    <s v="Q4"/>
    <x v="13"/>
    <d v="2017-10-24T00:00:00"/>
    <s v="First Class"/>
    <x v="550"/>
    <x v="550"/>
    <s v="Corporate"/>
    <s v="United States"/>
    <s v="Indianapolis"/>
    <x v="14"/>
    <n v="46203"/>
    <x v="2"/>
    <x v="418"/>
    <x v="1"/>
    <x v="4"/>
    <x v="418"/>
    <n v="909.12"/>
    <s v="High"/>
    <n v="8"/>
    <n v="0"/>
    <x v="0"/>
    <x v="0"/>
    <n v="9.0912000000000006"/>
    <n v="0.01"/>
    <n v="0"/>
  </r>
  <r>
    <n v="1907"/>
    <s v="US-2016-150567"/>
    <d v="2016-05-17T00:00:00"/>
    <x v="0"/>
    <s v="Q2"/>
    <x v="35"/>
    <d v="2016-05-21T00:00:00"/>
    <s v="Standard Class"/>
    <x v="532"/>
    <x v="532"/>
    <s v="Corporate"/>
    <s v="United States"/>
    <s v="Apopka"/>
    <x v="2"/>
    <n v="32712"/>
    <x v="0"/>
    <x v="1181"/>
    <x v="1"/>
    <x v="8"/>
    <x v="1167"/>
    <n v="2.952"/>
    <s v="Low"/>
    <n v="2"/>
    <n v="0.7"/>
    <x v="1"/>
    <x v="5"/>
    <n v="-2.1648000000000001"/>
    <n v="-0.73333333333333339"/>
    <n v="1"/>
  </r>
  <r>
    <n v="1908"/>
    <s v="US-2016-150567"/>
    <d v="2016-05-17T00:00:00"/>
    <x v="0"/>
    <s v="Q2"/>
    <x v="35"/>
    <d v="2016-05-21T00:00:00"/>
    <s v="Standard Class"/>
    <x v="532"/>
    <x v="532"/>
    <s v="Corporate"/>
    <s v="United States"/>
    <s v="Apopka"/>
    <x v="2"/>
    <n v="32712"/>
    <x v="0"/>
    <x v="491"/>
    <x v="1"/>
    <x v="8"/>
    <x v="491"/>
    <n v="27.018000000000001"/>
    <s v="Medium"/>
    <n v="6"/>
    <n v="0.7"/>
    <x v="1"/>
    <x v="5"/>
    <n v="-21.6144"/>
    <n v="-0.79999999999999993"/>
    <n v="1"/>
  </r>
  <r>
    <n v="1909"/>
    <s v="CA-2015-157959"/>
    <d v="2015-02-03T00:00:00"/>
    <x v="1"/>
    <s v="Q1"/>
    <x v="36"/>
    <d v="2015-02-04T00:00:00"/>
    <s v="First Class"/>
    <x v="459"/>
    <x v="459"/>
    <s v="Corporate"/>
    <s v="United States"/>
    <s v="Los Angeles"/>
    <x v="1"/>
    <n v="90008"/>
    <x v="1"/>
    <x v="1182"/>
    <x v="0"/>
    <x v="5"/>
    <x v="1168"/>
    <n v="136.91999999999999"/>
    <s v="High"/>
    <n v="4"/>
    <n v="0"/>
    <x v="0"/>
    <x v="0"/>
    <n v="41.076000000000001"/>
    <n v="0.30000000000000004"/>
    <n v="0"/>
  </r>
  <r>
    <n v="1910"/>
    <s v="CA-2017-105886"/>
    <d v="2017-12-18T00:00:00"/>
    <x v="3"/>
    <s v="Q4"/>
    <x v="22"/>
    <d v="2017-12-23T00:00:00"/>
    <s v="Standard Class"/>
    <x v="551"/>
    <x v="551"/>
    <s v="Consumer"/>
    <s v="United States"/>
    <s v="Oceanside"/>
    <x v="15"/>
    <n v="11572"/>
    <x v="3"/>
    <x v="1183"/>
    <x v="0"/>
    <x v="5"/>
    <x v="1169"/>
    <n v="18.96"/>
    <s v="Low"/>
    <n v="2"/>
    <n v="0"/>
    <x v="0"/>
    <x v="0"/>
    <n v="8.532"/>
    <n v="0.44999999999999996"/>
    <n v="0"/>
  </r>
  <r>
    <n v="1911"/>
    <s v="CA-2016-105963"/>
    <d v="2016-11-15T00:00:00"/>
    <x v="0"/>
    <s v="Q4"/>
    <x v="0"/>
    <d v="2016-11-22T00:00:00"/>
    <s v="Standard Class"/>
    <x v="34"/>
    <x v="34"/>
    <s v="Corporate"/>
    <s v="United States"/>
    <s v="Los Angeles"/>
    <x v="1"/>
    <n v="90008"/>
    <x v="1"/>
    <x v="217"/>
    <x v="2"/>
    <x v="11"/>
    <x v="463"/>
    <n v="99.39"/>
    <s v="Medium"/>
    <n v="3"/>
    <n v="0"/>
    <x v="0"/>
    <x v="0"/>
    <n v="40.749899999999997"/>
    <n v="0.41"/>
    <n v="0"/>
  </r>
  <r>
    <n v="1912"/>
    <s v="CA-2017-121503"/>
    <d v="2017-07-03T00:00:00"/>
    <x v="3"/>
    <s v="Q3"/>
    <x v="10"/>
    <d v="2017-07-06T00:00:00"/>
    <s v="Second Class"/>
    <x v="395"/>
    <x v="395"/>
    <s v="Corporate"/>
    <s v="United States"/>
    <s v="Houston"/>
    <x v="5"/>
    <n v="77041"/>
    <x v="2"/>
    <x v="1184"/>
    <x v="1"/>
    <x v="10"/>
    <x v="1170"/>
    <n v="273.89600000000002"/>
    <s v="High"/>
    <n v="7"/>
    <n v="0.2"/>
    <x v="2"/>
    <x v="2"/>
    <n v="92.439899999999994"/>
    <n v="0.33749999999999997"/>
    <n v="0"/>
  </r>
  <r>
    <n v="1913"/>
    <s v="CA-2017-121503"/>
    <d v="2017-07-03T00:00:00"/>
    <x v="3"/>
    <s v="Q3"/>
    <x v="10"/>
    <d v="2017-07-06T00:00:00"/>
    <s v="Second Class"/>
    <x v="395"/>
    <x v="395"/>
    <s v="Corporate"/>
    <s v="United States"/>
    <s v="Houston"/>
    <x v="5"/>
    <n v="77041"/>
    <x v="2"/>
    <x v="1185"/>
    <x v="2"/>
    <x v="15"/>
    <x v="1171"/>
    <n v="597.13199999999995"/>
    <s v="High"/>
    <n v="3"/>
    <n v="0.4"/>
    <x v="1"/>
    <x v="7"/>
    <n v="49.761000000000003"/>
    <n v="8.3333333333333343E-2"/>
    <n v="0"/>
  </r>
  <r>
    <n v="1914"/>
    <s v="CA-2014-103366"/>
    <d v="2014-01-15T00:00:00"/>
    <x v="2"/>
    <s v="Q1"/>
    <x v="46"/>
    <d v="2014-01-17T00:00:00"/>
    <s v="First Class"/>
    <x v="552"/>
    <x v="552"/>
    <s v="Consumer"/>
    <s v="United States"/>
    <s v="Roswell"/>
    <x v="32"/>
    <n v="30076"/>
    <x v="0"/>
    <x v="246"/>
    <x v="2"/>
    <x v="11"/>
    <x v="247"/>
    <n v="149.94999999999999"/>
    <s v="High"/>
    <n v="5"/>
    <n v="0"/>
    <x v="0"/>
    <x v="0"/>
    <n v="65.977999999999994"/>
    <n v="0.44"/>
    <n v="0"/>
  </r>
  <r>
    <n v="1915"/>
    <s v="CA-2017-124597"/>
    <d v="2017-04-30T00:00:00"/>
    <x v="3"/>
    <s v="Q2"/>
    <x v="4"/>
    <d v="2017-05-05T00:00:00"/>
    <s v="Standard Class"/>
    <x v="357"/>
    <x v="357"/>
    <s v="Home Office"/>
    <s v="United States"/>
    <s v="Boynton Beach"/>
    <x v="2"/>
    <n v="33437"/>
    <x v="0"/>
    <x v="1186"/>
    <x v="1"/>
    <x v="2"/>
    <x v="1172"/>
    <n v="4.6079999999999997"/>
    <s v="Low"/>
    <n v="2"/>
    <n v="0.2"/>
    <x v="2"/>
    <x v="2"/>
    <n v="1.6704000000000001"/>
    <n v="0.36250000000000004"/>
    <n v="0"/>
  </r>
  <r>
    <n v="1916"/>
    <s v="CA-2017-124597"/>
    <d v="2017-04-30T00:00:00"/>
    <x v="3"/>
    <s v="Q2"/>
    <x v="4"/>
    <d v="2017-05-05T00:00:00"/>
    <s v="Standard Class"/>
    <x v="357"/>
    <x v="357"/>
    <s v="Home Office"/>
    <s v="United States"/>
    <s v="Boynton Beach"/>
    <x v="2"/>
    <n v="33437"/>
    <x v="0"/>
    <x v="900"/>
    <x v="1"/>
    <x v="6"/>
    <x v="772"/>
    <n v="15.528"/>
    <s v="Low"/>
    <n v="3"/>
    <n v="0.2"/>
    <x v="2"/>
    <x v="2"/>
    <n v="4.8525"/>
    <n v="0.3125"/>
    <n v="0"/>
  </r>
  <r>
    <n v="1917"/>
    <s v="CA-2017-124597"/>
    <d v="2017-04-30T00:00:00"/>
    <x v="3"/>
    <s v="Q2"/>
    <x v="4"/>
    <d v="2017-05-05T00:00:00"/>
    <s v="Standard Class"/>
    <x v="357"/>
    <x v="357"/>
    <s v="Home Office"/>
    <s v="United States"/>
    <s v="Boynton Beach"/>
    <x v="2"/>
    <n v="33437"/>
    <x v="0"/>
    <x v="639"/>
    <x v="1"/>
    <x v="2"/>
    <x v="639"/>
    <n v="11.952"/>
    <s v="Low"/>
    <n v="3"/>
    <n v="0.2"/>
    <x v="2"/>
    <x v="2"/>
    <n v="3.8843999999999999"/>
    <n v="0.32500000000000001"/>
    <n v="0"/>
  </r>
  <r>
    <n v="1918"/>
    <s v="CA-2015-105634"/>
    <d v="2015-11-08T00:00:00"/>
    <x v="1"/>
    <s v="Q4"/>
    <x v="6"/>
    <d v="2015-11-14T00:00:00"/>
    <s v="Standard Class"/>
    <x v="456"/>
    <x v="456"/>
    <s v="Consumer"/>
    <s v="United States"/>
    <s v="Franklin"/>
    <x v="31"/>
    <n v="2038"/>
    <x v="3"/>
    <x v="372"/>
    <x v="1"/>
    <x v="6"/>
    <x v="373"/>
    <n v="11.65"/>
    <s v="Low"/>
    <n v="5"/>
    <n v="0"/>
    <x v="0"/>
    <x v="0"/>
    <n v="3.3784999999999998"/>
    <n v="0.28999999999999998"/>
    <n v="0"/>
  </r>
  <r>
    <n v="1919"/>
    <s v="CA-2015-123673"/>
    <d v="2015-10-30T00:00:00"/>
    <x v="1"/>
    <s v="Q4"/>
    <x v="2"/>
    <d v="2015-11-01T00:00:00"/>
    <s v="Second Class"/>
    <x v="539"/>
    <x v="539"/>
    <s v="Home Office"/>
    <s v="United States"/>
    <s v="Detroit"/>
    <x v="12"/>
    <n v="48227"/>
    <x v="2"/>
    <x v="1187"/>
    <x v="2"/>
    <x v="7"/>
    <x v="1173"/>
    <n v="299.89999999999998"/>
    <s v="High"/>
    <n v="2"/>
    <n v="0"/>
    <x v="0"/>
    <x v="0"/>
    <n v="74.974999999999994"/>
    <n v="0.25"/>
    <n v="0"/>
  </r>
  <r>
    <n v="1920"/>
    <s v="US-2017-111423"/>
    <d v="2017-08-17T00:00:00"/>
    <x v="3"/>
    <s v="Q3"/>
    <x v="43"/>
    <d v="2017-08-19T00:00:00"/>
    <s v="First Class"/>
    <x v="553"/>
    <x v="553"/>
    <s v="Corporate"/>
    <s v="United States"/>
    <s v="Watertown"/>
    <x v="15"/>
    <n v="13601"/>
    <x v="3"/>
    <x v="1188"/>
    <x v="1"/>
    <x v="8"/>
    <x v="1174"/>
    <n v="895.92"/>
    <s v="High"/>
    <n v="5"/>
    <n v="0.2"/>
    <x v="2"/>
    <x v="2"/>
    <n v="302.37299999999999"/>
    <n v="0.33750000000000002"/>
    <n v="0"/>
  </r>
  <r>
    <n v="1921"/>
    <s v="US-2017-111423"/>
    <d v="2017-08-17T00:00:00"/>
    <x v="3"/>
    <s v="Q3"/>
    <x v="43"/>
    <d v="2017-08-19T00:00:00"/>
    <s v="First Class"/>
    <x v="553"/>
    <x v="553"/>
    <s v="Corporate"/>
    <s v="United States"/>
    <s v="Watertown"/>
    <x v="15"/>
    <n v="13601"/>
    <x v="3"/>
    <x v="1189"/>
    <x v="0"/>
    <x v="1"/>
    <x v="1175"/>
    <n v="462.56400000000002"/>
    <s v="High"/>
    <n v="2"/>
    <n v="0.1"/>
    <x v="3"/>
    <x v="8"/>
    <n v="97.6524"/>
    <n v="0.21111111111111111"/>
    <n v="0"/>
  </r>
  <r>
    <n v="1922"/>
    <s v="CA-2015-125178"/>
    <d v="2015-10-03T00:00:00"/>
    <x v="1"/>
    <s v="Q4"/>
    <x v="2"/>
    <d v="2015-10-09T00:00:00"/>
    <s v="Standard Class"/>
    <x v="89"/>
    <x v="89"/>
    <s v="Corporate"/>
    <s v="United States"/>
    <s v="Reading"/>
    <x v="9"/>
    <n v="19601"/>
    <x v="3"/>
    <x v="1190"/>
    <x v="1"/>
    <x v="4"/>
    <x v="683"/>
    <n v="15.007999999999999"/>
    <s v="Low"/>
    <n v="2"/>
    <n v="0.2"/>
    <x v="2"/>
    <x v="2"/>
    <n v="1.5007999999999999"/>
    <n v="0.1"/>
    <n v="0"/>
  </r>
  <r>
    <n v="1923"/>
    <s v="CA-2016-156685"/>
    <d v="2016-07-08T00:00:00"/>
    <x v="0"/>
    <s v="Q3"/>
    <x v="16"/>
    <d v="2016-07-10T00:00:00"/>
    <s v="Second Class"/>
    <x v="554"/>
    <x v="554"/>
    <s v="Corporate"/>
    <s v="United States"/>
    <s v="Arlington"/>
    <x v="5"/>
    <n v="76017"/>
    <x v="2"/>
    <x v="1191"/>
    <x v="2"/>
    <x v="7"/>
    <x v="1176"/>
    <n v="863.64"/>
    <s v="High"/>
    <n v="9"/>
    <n v="0.2"/>
    <x v="2"/>
    <x v="2"/>
    <n v="107.955"/>
    <n v="0.125"/>
    <n v="0"/>
  </r>
  <r>
    <n v="1924"/>
    <s v="CA-2016-156685"/>
    <d v="2016-07-08T00:00:00"/>
    <x v="0"/>
    <s v="Q3"/>
    <x v="16"/>
    <d v="2016-07-10T00:00:00"/>
    <s v="Second Class"/>
    <x v="554"/>
    <x v="554"/>
    <s v="Corporate"/>
    <s v="United States"/>
    <s v="Arlington"/>
    <x v="5"/>
    <n v="76017"/>
    <x v="2"/>
    <x v="397"/>
    <x v="1"/>
    <x v="6"/>
    <x v="398"/>
    <n v="47.616"/>
    <s v="Medium"/>
    <n v="3"/>
    <n v="0.2"/>
    <x v="2"/>
    <x v="2"/>
    <n v="3.5712000000000002"/>
    <n v="7.4999999999999997E-2"/>
    <n v="0"/>
  </r>
  <r>
    <n v="1925"/>
    <s v="CA-2017-126865"/>
    <d v="2017-12-05T00:00:00"/>
    <x v="3"/>
    <s v="Q4"/>
    <x v="22"/>
    <d v="2017-12-07T00:00:00"/>
    <s v="Second Class"/>
    <x v="268"/>
    <x v="268"/>
    <s v="Consumer"/>
    <s v="United States"/>
    <s v="San Diego"/>
    <x v="1"/>
    <n v="92024"/>
    <x v="1"/>
    <x v="334"/>
    <x v="1"/>
    <x v="10"/>
    <x v="334"/>
    <n v="92.94"/>
    <s v="Medium"/>
    <n v="3"/>
    <n v="0"/>
    <x v="0"/>
    <x v="0"/>
    <n v="41.823"/>
    <n v="0.45"/>
    <n v="0"/>
  </r>
  <r>
    <n v="1926"/>
    <s v="CA-2017-102834"/>
    <d v="2017-03-09T00:00:00"/>
    <x v="3"/>
    <s v="Q1"/>
    <x v="42"/>
    <d v="2017-03-13T00:00:00"/>
    <s v="Standard Class"/>
    <x v="352"/>
    <x v="352"/>
    <s v="Corporate"/>
    <s v="United States"/>
    <s v="San Francisco"/>
    <x v="1"/>
    <n v="94110"/>
    <x v="1"/>
    <x v="295"/>
    <x v="2"/>
    <x v="11"/>
    <x v="295"/>
    <n v="199.98"/>
    <s v="High"/>
    <n v="2"/>
    <n v="0"/>
    <x v="0"/>
    <x v="0"/>
    <n v="69.992999999999995"/>
    <n v="0.35"/>
    <n v="0"/>
  </r>
  <r>
    <n v="1927"/>
    <s v="US-2016-139710"/>
    <d v="2016-06-09T00:00:00"/>
    <x v="0"/>
    <s v="Q2"/>
    <x v="1"/>
    <d v="2016-06-15T00:00:00"/>
    <s v="Standard Class"/>
    <x v="411"/>
    <x v="411"/>
    <s v="Consumer"/>
    <s v="United States"/>
    <s v="Los Angeles"/>
    <x v="1"/>
    <n v="90045"/>
    <x v="1"/>
    <x v="1192"/>
    <x v="2"/>
    <x v="7"/>
    <x v="1177"/>
    <n v="177.48"/>
    <s v="High"/>
    <n v="3"/>
    <n v="0.2"/>
    <x v="2"/>
    <x v="2"/>
    <n v="19.9665"/>
    <n v="0.1125"/>
    <n v="0"/>
  </r>
  <r>
    <n v="1928"/>
    <s v="CA-2017-121538"/>
    <d v="2017-11-28T00:00:00"/>
    <x v="3"/>
    <s v="Q4"/>
    <x v="23"/>
    <d v="2017-12-01T00:00:00"/>
    <s v="First Class"/>
    <x v="302"/>
    <x v="302"/>
    <s v="Consumer"/>
    <s v="United States"/>
    <s v="Denver"/>
    <x v="22"/>
    <n v="80219"/>
    <x v="1"/>
    <x v="417"/>
    <x v="1"/>
    <x v="10"/>
    <x v="417"/>
    <n v="88.768000000000001"/>
    <s v="Medium"/>
    <n v="2"/>
    <n v="0.2"/>
    <x v="2"/>
    <x v="2"/>
    <n v="31.0688"/>
    <n v="0.35"/>
    <n v="0"/>
  </r>
  <r>
    <n v="1929"/>
    <s v="US-2017-101539"/>
    <d v="2017-03-16T00:00:00"/>
    <x v="3"/>
    <s v="Q1"/>
    <x v="42"/>
    <d v="2017-03-18T00:00:00"/>
    <s v="Second Class"/>
    <x v="91"/>
    <x v="91"/>
    <s v="Home Office"/>
    <s v="United States"/>
    <s v="Seattle"/>
    <x v="4"/>
    <n v="98105"/>
    <x v="1"/>
    <x v="1193"/>
    <x v="1"/>
    <x v="10"/>
    <x v="1178"/>
    <n v="6.48"/>
    <s v="Low"/>
    <n v="1"/>
    <n v="0"/>
    <x v="0"/>
    <x v="0"/>
    <n v="3.1103999999999998"/>
    <n v="0.47999999999999993"/>
    <n v="0"/>
  </r>
  <r>
    <n v="1930"/>
    <s v="US-2017-101539"/>
    <d v="2017-03-16T00:00:00"/>
    <x v="3"/>
    <s v="Q1"/>
    <x v="42"/>
    <d v="2017-03-18T00:00:00"/>
    <s v="Second Class"/>
    <x v="91"/>
    <x v="91"/>
    <s v="Home Office"/>
    <s v="United States"/>
    <s v="Seattle"/>
    <x v="4"/>
    <n v="98105"/>
    <x v="1"/>
    <x v="243"/>
    <x v="1"/>
    <x v="4"/>
    <x v="244"/>
    <n v="46.51"/>
    <s v="Medium"/>
    <n v="1"/>
    <n v="0"/>
    <x v="0"/>
    <x v="0"/>
    <n v="1.8604000000000001"/>
    <n v="0.04"/>
    <n v="0"/>
  </r>
  <r>
    <n v="1931"/>
    <s v="US-2017-101539"/>
    <d v="2017-03-16T00:00:00"/>
    <x v="3"/>
    <s v="Q1"/>
    <x v="42"/>
    <d v="2017-03-18T00:00:00"/>
    <s v="Second Class"/>
    <x v="91"/>
    <x v="91"/>
    <s v="Home Office"/>
    <s v="United States"/>
    <s v="Seattle"/>
    <x v="4"/>
    <n v="98105"/>
    <x v="1"/>
    <x v="903"/>
    <x v="2"/>
    <x v="7"/>
    <x v="895"/>
    <n v="659.976"/>
    <s v="High"/>
    <n v="3"/>
    <n v="0.2"/>
    <x v="2"/>
    <x v="2"/>
    <n v="49.498199999999997"/>
    <n v="7.4999999999999997E-2"/>
    <n v="0"/>
  </r>
  <r>
    <n v="1932"/>
    <s v="CA-2016-152121"/>
    <d v="2016-11-27T00:00:00"/>
    <x v="0"/>
    <s v="Q4"/>
    <x v="0"/>
    <d v="2016-11-29T00:00:00"/>
    <s v="Second Class"/>
    <x v="113"/>
    <x v="113"/>
    <s v="Consumer"/>
    <s v="United States"/>
    <s v="Scottsdale"/>
    <x v="16"/>
    <n v="85254"/>
    <x v="1"/>
    <x v="1194"/>
    <x v="2"/>
    <x v="7"/>
    <x v="1179"/>
    <n v="271.99200000000002"/>
    <s v="High"/>
    <n v="1"/>
    <n v="0.2"/>
    <x v="2"/>
    <x v="2"/>
    <n v="23.799299999999999"/>
    <n v="8.7499999999999994E-2"/>
    <n v="0"/>
  </r>
  <r>
    <n v="1933"/>
    <s v="CA-2017-161200"/>
    <d v="2017-08-06T00:00:00"/>
    <x v="3"/>
    <s v="Q3"/>
    <x v="43"/>
    <d v="2017-08-10T00:00:00"/>
    <s v="Second Class"/>
    <x v="277"/>
    <x v="277"/>
    <s v="Consumer"/>
    <s v="United States"/>
    <s v="Lafayette"/>
    <x v="28"/>
    <n v="70506"/>
    <x v="0"/>
    <x v="1195"/>
    <x v="0"/>
    <x v="0"/>
    <x v="1180"/>
    <n v="145.74"/>
    <s v="High"/>
    <n v="3"/>
    <n v="0"/>
    <x v="0"/>
    <x v="0"/>
    <n v="23.3184"/>
    <n v="0.16"/>
    <n v="0"/>
  </r>
  <r>
    <n v="1934"/>
    <s v="CA-2017-161200"/>
    <d v="2017-08-06T00:00:00"/>
    <x v="3"/>
    <s v="Q3"/>
    <x v="43"/>
    <d v="2017-08-10T00:00:00"/>
    <s v="Second Class"/>
    <x v="277"/>
    <x v="277"/>
    <s v="Consumer"/>
    <s v="United States"/>
    <s v="Lafayette"/>
    <x v="28"/>
    <n v="70506"/>
    <x v="0"/>
    <x v="50"/>
    <x v="0"/>
    <x v="5"/>
    <x v="50"/>
    <n v="15.4"/>
    <s v="Low"/>
    <n v="5"/>
    <n v="0"/>
    <x v="0"/>
    <x v="0"/>
    <n v="7.3920000000000003"/>
    <n v="0.48000000000000004"/>
    <n v="0"/>
  </r>
  <r>
    <n v="1935"/>
    <s v="CA-2017-101245"/>
    <d v="2017-11-27T00:00:00"/>
    <x v="3"/>
    <s v="Q4"/>
    <x v="23"/>
    <d v="2017-12-03T00:00:00"/>
    <s v="Standard Class"/>
    <x v="352"/>
    <x v="352"/>
    <s v="Corporate"/>
    <s v="United States"/>
    <s v="San Francisco"/>
    <x v="1"/>
    <n v="94109"/>
    <x v="1"/>
    <x v="1158"/>
    <x v="1"/>
    <x v="10"/>
    <x v="1146"/>
    <n v="244.55"/>
    <s v="High"/>
    <n v="5"/>
    <n v="0"/>
    <x v="0"/>
    <x v="0"/>
    <n v="114.9385"/>
    <n v="0.47"/>
    <n v="0"/>
  </r>
  <r>
    <n v="1936"/>
    <s v="CA-2017-101245"/>
    <d v="2017-11-27T00:00:00"/>
    <x v="3"/>
    <s v="Q4"/>
    <x v="23"/>
    <d v="2017-12-03T00:00:00"/>
    <s v="Standard Class"/>
    <x v="352"/>
    <x v="352"/>
    <s v="Corporate"/>
    <s v="United States"/>
    <s v="San Francisco"/>
    <x v="1"/>
    <n v="94109"/>
    <x v="1"/>
    <x v="1196"/>
    <x v="2"/>
    <x v="11"/>
    <x v="1181"/>
    <n v="166.16"/>
    <s v="High"/>
    <n v="8"/>
    <n v="0"/>
    <x v="0"/>
    <x v="0"/>
    <n v="59.817599999999999"/>
    <n v="0.36"/>
    <n v="0"/>
  </r>
  <r>
    <n v="1937"/>
    <s v="CA-2015-141768"/>
    <d v="2015-05-25T00:00:00"/>
    <x v="1"/>
    <s v="Q2"/>
    <x v="33"/>
    <d v="2015-05-27T00:00:00"/>
    <s v="Second Class"/>
    <x v="472"/>
    <x v="472"/>
    <s v="Home Office"/>
    <s v="United States"/>
    <s v="San Francisco"/>
    <x v="1"/>
    <n v="94109"/>
    <x v="1"/>
    <x v="875"/>
    <x v="0"/>
    <x v="5"/>
    <x v="869"/>
    <n v="14.73"/>
    <s v="Low"/>
    <n v="3"/>
    <n v="0"/>
    <x v="0"/>
    <x v="0"/>
    <n v="4.8609"/>
    <n v="0.33"/>
    <n v="0"/>
  </r>
  <r>
    <n v="1938"/>
    <s v="CA-2016-112109"/>
    <d v="2016-07-08T00:00:00"/>
    <x v="0"/>
    <s v="Q3"/>
    <x v="16"/>
    <d v="2016-07-12T00:00:00"/>
    <s v="Standard Class"/>
    <x v="555"/>
    <x v="555"/>
    <s v="Consumer"/>
    <s v="United States"/>
    <s v="Broomfield"/>
    <x v="22"/>
    <n v="80020"/>
    <x v="1"/>
    <x v="1197"/>
    <x v="1"/>
    <x v="8"/>
    <x v="1182"/>
    <n v="19.968"/>
    <s v="Low"/>
    <n v="2"/>
    <n v="0.7"/>
    <x v="1"/>
    <x v="5"/>
    <n v="-13.311999999999999"/>
    <n v="-0.66666666666666663"/>
    <n v="1"/>
  </r>
  <r>
    <n v="1939"/>
    <s v="CA-2016-112109"/>
    <d v="2016-07-08T00:00:00"/>
    <x v="0"/>
    <s v="Q3"/>
    <x v="16"/>
    <d v="2016-07-12T00:00:00"/>
    <s v="Standard Class"/>
    <x v="555"/>
    <x v="555"/>
    <s v="Consumer"/>
    <s v="United States"/>
    <s v="Broomfield"/>
    <x v="22"/>
    <n v="80020"/>
    <x v="1"/>
    <x v="1198"/>
    <x v="1"/>
    <x v="4"/>
    <x v="1183"/>
    <n v="33.488"/>
    <s v="Medium"/>
    <n v="7"/>
    <n v="0.2"/>
    <x v="2"/>
    <x v="2"/>
    <n v="-1.2558"/>
    <n v="-3.7499999999999999E-2"/>
    <n v="1"/>
  </r>
  <r>
    <n v="1940"/>
    <s v="CA-2016-112109"/>
    <d v="2016-07-08T00:00:00"/>
    <x v="0"/>
    <s v="Q3"/>
    <x v="16"/>
    <d v="2016-07-12T00:00:00"/>
    <s v="Standard Class"/>
    <x v="555"/>
    <x v="555"/>
    <s v="Consumer"/>
    <s v="United States"/>
    <s v="Broomfield"/>
    <x v="22"/>
    <n v="80020"/>
    <x v="1"/>
    <x v="24"/>
    <x v="1"/>
    <x v="8"/>
    <x v="24"/>
    <n v="8.7360000000000007"/>
    <s v="Low"/>
    <n v="4"/>
    <n v="0.7"/>
    <x v="1"/>
    <x v="5"/>
    <n v="-6.1151999999999997"/>
    <n v="-0.7"/>
    <n v="1"/>
  </r>
  <r>
    <n v="1941"/>
    <s v="CA-2016-112109"/>
    <d v="2016-07-08T00:00:00"/>
    <x v="0"/>
    <s v="Q3"/>
    <x v="16"/>
    <d v="2016-07-12T00:00:00"/>
    <s v="Standard Class"/>
    <x v="555"/>
    <x v="555"/>
    <s v="Consumer"/>
    <s v="United States"/>
    <s v="Broomfield"/>
    <x v="22"/>
    <n v="80020"/>
    <x v="1"/>
    <x v="157"/>
    <x v="0"/>
    <x v="1"/>
    <x v="158"/>
    <n v="662.88"/>
    <s v="High"/>
    <n v="3"/>
    <n v="0.2"/>
    <x v="2"/>
    <x v="2"/>
    <n v="74.573999999999998"/>
    <n v="0.1125"/>
    <n v="0"/>
  </r>
  <r>
    <n v="1942"/>
    <s v="CA-2017-144064"/>
    <d v="2017-08-29T00:00:00"/>
    <x v="3"/>
    <s v="Q3"/>
    <x v="43"/>
    <d v="2017-09-01T00:00:00"/>
    <s v="First Class"/>
    <x v="434"/>
    <x v="434"/>
    <s v="Corporate"/>
    <s v="United States"/>
    <s v="Quincy"/>
    <x v="10"/>
    <n v="62301"/>
    <x v="2"/>
    <x v="198"/>
    <x v="1"/>
    <x v="2"/>
    <x v="199"/>
    <n v="47.36"/>
    <s v="Medium"/>
    <n v="4"/>
    <n v="0.2"/>
    <x v="2"/>
    <x v="2"/>
    <n v="17.760000000000002"/>
    <n v="0.37500000000000006"/>
    <n v="0"/>
  </r>
  <r>
    <n v="1943"/>
    <s v="CA-2017-144064"/>
    <d v="2017-08-29T00:00:00"/>
    <x v="3"/>
    <s v="Q3"/>
    <x v="43"/>
    <d v="2017-09-01T00:00:00"/>
    <s v="First Class"/>
    <x v="434"/>
    <x v="434"/>
    <s v="Corporate"/>
    <s v="United States"/>
    <s v="Quincy"/>
    <x v="10"/>
    <n v="62301"/>
    <x v="2"/>
    <x v="456"/>
    <x v="1"/>
    <x v="4"/>
    <x v="457"/>
    <n v="27.44"/>
    <s v="Medium"/>
    <n v="2"/>
    <n v="0.2"/>
    <x v="2"/>
    <x v="2"/>
    <n v="2.4009999999999998"/>
    <n v="8.7499999999999994E-2"/>
    <n v="0"/>
  </r>
  <r>
    <n v="1944"/>
    <s v="CA-2017-144064"/>
    <d v="2017-08-29T00:00:00"/>
    <x v="3"/>
    <s v="Q3"/>
    <x v="43"/>
    <d v="2017-09-01T00:00:00"/>
    <s v="First Class"/>
    <x v="434"/>
    <x v="434"/>
    <s v="Corporate"/>
    <s v="United States"/>
    <s v="Quincy"/>
    <x v="10"/>
    <n v="62301"/>
    <x v="2"/>
    <x v="751"/>
    <x v="1"/>
    <x v="8"/>
    <x v="749"/>
    <n v="3.24"/>
    <s v="Low"/>
    <n v="9"/>
    <n v="0.8"/>
    <x v="1"/>
    <x v="3"/>
    <n v="-5.1840000000000002"/>
    <n v="-1.5999999999999999"/>
    <n v="1"/>
  </r>
  <r>
    <n v="1945"/>
    <s v="CA-2016-108581"/>
    <d v="2016-06-20T00:00:00"/>
    <x v="0"/>
    <s v="Q2"/>
    <x v="1"/>
    <d v="2016-06-26T00:00:00"/>
    <s v="Standard Class"/>
    <x v="105"/>
    <x v="105"/>
    <s v="Corporate"/>
    <s v="United States"/>
    <s v="Carrollton"/>
    <x v="5"/>
    <n v="75007"/>
    <x v="2"/>
    <x v="1016"/>
    <x v="2"/>
    <x v="11"/>
    <x v="1007"/>
    <n v="95.968000000000004"/>
    <s v="Medium"/>
    <n v="4"/>
    <n v="0.2"/>
    <x v="2"/>
    <x v="2"/>
    <n v="26.391200000000001"/>
    <n v="0.27500000000000002"/>
    <n v="0"/>
  </r>
  <r>
    <n v="1946"/>
    <s v="CA-2016-108581"/>
    <d v="2016-06-20T00:00:00"/>
    <x v="0"/>
    <s v="Q2"/>
    <x v="1"/>
    <d v="2016-06-26T00:00:00"/>
    <s v="Standard Class"/>
    <x v="105"/>
    <x v="105"/>
    <s v="Corporate"/>
    <s v="United States"/>
    <s v="Carrollton"/>
    <x v="5"/>
    <n v="75007"/>
    <x v="2"/>
    <x v="1145"/>
    <x v="1"/>
    <x v="10"/>
    <x v="1133"/>
    <n v="10.368"/>
    <s v="Low"/>
    <n v="2"/>
    <n v="0.2"/>
    <x v="2"/>
    <x v="2"/>
    <n v="3.6288"/>
    <n v="0.35"/>
    <n v="0"/>
  </r>
  <r>
    <n v="1947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332"/>
    <x v="1"/>
    <x v="6"/>
    <x v="332"/>
    <n v="23.1"/>
    <s v="Low"/>
    <n v="2"/>
    <n v="0"/>
    <x v="0"/>
    <x v="0"/>
    <n v="6.468"/>
    <n v="0.27999999999999997"/>
    <n v="0"/>
  </r>
  <r>
    <n v="1948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1137"/>
    <x v="0"/>
    <x v="5"/>
    <x v="1125"/>
    <n v="11.54"/>
    <s v="Low"/>
    <n v="2"/>
    <n v="0"/>
    <x v="0"/>
    <x v="0"/>
    <n v="3.4620000000000002"/>
    <n v="0.30000000000000004"/>
    <n v="0"/>
  </r>
  <r>
    <n v="1949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411"/>
    <x v="0"/>
    <x v="3"/>
    <x v="411"/>
    <n v="254.52600000000001"/>
    <s v="High"/>
    <n v="1"/>
    <n v="0.4"/>
    <x v="1"/>
    <x v="7"/>
    <n v="-93.3262"/>
    <n v="-0.36666666666666664"/>
    <n v="1"/>
  </r>
  <r>
    <n v="1950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95"/>
    <x v="1"/>
    <x v="9"/>
    <x v="95"/>
    <n v="12.98"/>
    <s v="Low"/>
    <n v="1"/>
    <n v="0"/>
    <x v="0"/>
    <x v="0"/>
    <n v="3.7642000000000002"/>
    <n v="0.28999999999999998"/>
    <n v="0"/>
  </r>
  <r>
    <n v="1951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925"/>
    <x v="1"/>
    <x v="8"/>
    <x v="917"/>
    <n v="26.431999999999999"/>
    <s v="Medium"/>
    <n v="8"/>
    <n v="0.2"/>
    <x v="2"/>
    <x v="2"/>
    <n v="8.9207999999999998"/>
    <n v="0.33750000000000002"/>
    <n v="0"/>
  </r>
  <r>
    <n v="1952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781"/>
    <x v="2"/>
    <x v="7"/>
    <x v="780"/>
    <n v="197.97"/>
    <s v="High"/>
    <n v="3"/>
    <n v="0"/>
    <x v="0"/>
    <x v="0"/>
    <n v="57.411299999999997"/>
    <n v="0.28999999999999998"/>
    <n v="0"/>
  </r>
  <r>
    <n v="1953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1042"/>
    <x v="1"/>
    <x v="2"/>
    <x v="1031"/>
    <n v="18.899999999999999"/>
    <s v="Low"/>
    <n v="6"/>
    <n v="0"/>
    <x v="0"/>
    <x v="0"/>
    <n v="9.0719999999999992"/>
    <n v="0.48"/>
    <n v="0"/>
  </r>
  <r>
    <n v="1954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463"/>
    <x v="0"/>
    <x v="1"/>
    <x v="464"/>
    <n v="1282.4100000000001"/>
    <s v="High"/>
    <n v="5"/>
    <n v="0.1"/>
    <x v="3"/>
    <x v="8"/>
    <n v="213.73500000000001"/>
    <n v="0.16666666666666666"/>
    <n v="0"/>
  </r>
  <r>
    <n v="1955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1199"/>
    <x v="1"/>
    <x v="6"/>
    <x v="1184"/>
    <n v="4.92"/>
    <s v="Low"/>
    <n v="3"/>
    <n v="0"/>
    <x v="0"/>
    <x v="0"/>
    <n v="2.214"/>
    <n v="0.45"/>
    <n v="0"/>
  </r>
  <r>
    <n v="1956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1200"/>
    <x v="2"/>
    <x v="11"/>
    <x v="1185"/>
    <n v="238"/>
    <s v="High"/>
    <n v="2"/>
    <n v="0"/>
    <x v="0"/>
    <x v="0"/>
    <n v="38.08"/>
    <n v="0.16"/>
    <n v="0"/>
  </r>
  <r>
    <n v="1957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201"/>
    <x v="2"/>
    <x v="11"/>
    <x v="202"/>
    <n v="167.97"/>
    <s v="High"/>
    <n v="3"/>
    <n v="0"/>
    <x v="0"/>
    <x v="0"/>
    <n v="40.312800000000003"/>
    <n v="0.24000000000000002"/>
    <n v="0"/>
  </r>
  <r>
    <n v="1958"/>
    <s v="CA-2017-157987"/>
    <d v="2017-09-02T00:00:00"/>
    <x v="3"/>
    <s v="Q3"/>
    <x v="15"/>
    <d v="2017-09-06T00:00:00"/>
    <s v="Standard Class"/>
    <x v="556"/>
    <x v="556"/>
    <s v="Corporate"/>
    <s v="United States"/>
    <s v="New York City"/>
    <x v="15"/>
    <n v="10009"/>
    <x v="3"/>
    <x v="1117"/>
    <x v="1"/>
    <x v="10"/>
    <x v="1105"/>
    <n v="17.12"/>
    <s v="Low"/>
    <n v="4"/>
    <n v="0"/>
    <x v="0"/>
    <x v="0"/>
    <n v="7.7039999999999997"/>
    <n v="0.44999999999999996"/>
    <n v="0"/>
  </r>
  <r>
    <n v="1959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806"/>
    <x v="1"/>
    <x v="8"/>
    <x v="804"/>
    <n v="16.2"/>
    <s v="Low"/>
    <n v="3"/>
    <n v="0"/>
    <x v="0"/>
    <x v="0"/>
    <n v="7.7759999999999998"/>
    <n v="0.48"/>
    <n v="0"/>
  </r>
  <r>
    <n v="1960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1201"/>
    <x v="1"/>
    <x v="9"/>
    <x v="1186"/>
    <n v="33.99"/>
    <s v="Medium"/>
    <n v="3"/>
    <n v="0"/>
    <x v="0"/>
    <x v="0"/>
    <n v="14.6157"/>
    <n v="0.43"/>
    <n v="0"/>
  </r>
  <r>
    <n v="1961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1089"/>
    <x v="2"/>
    <x v="11"/>
    <x v="1079"/>
    <n v="296.85000000000002"/>
    <s v="High"/>
    <n v="5"/>
    <n v="0"/>
    <x v="0"/>
    <x v="0"/>
    <n v="53.433"/>
    <n v="0.18"/>
    <n v="0"/>
  </r>
  <r>
    <n v="1962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1202"/>
    <x v="2"/>
    <x v="11"/>
    <x v="1187"/>
    <n v="112.8"/>
    <s v="Medium"/>
    <n v="6"/>
    <n v="0"/>
    <x v="0"/>
    <x v="0"/>
    <n v="6.7679999999999998"/>
    <n v="0.06"/>
    <n v="0"/>
  </r>
  <r>
    <n v="1963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1203"/>
    <x v="1"/>
    <x v="8"/>
    <x v="1188"/>
    <n v="13.71"/>
    <s v="Low"/>
    <n v="3"/>
    <n v="0"/>
    <x v="0"/>
    <x v="0"/>
    <n v="6.5808"/>
    <n v="0.48"/>
    <n v="0"/>
  </r>
  <r>
    <n v="1964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1025"/>
    <x v="1"/>
    <x v="10"/>
    <x v="1016"/>
    <n v="24.9"/>
    <s v="Medium"/>
    <n v="5"/>
    <n v="0"/>
    <x v="0"/>
    <x v="0"/>
    <n v="11.702999999999999"/>
    <n v="0.47000000000000003"/>
    <n v="0"/>
  </r>
  <r>
    <n v="1965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621"/>
    <x v="1"/>
    <x v="4"/>
    <x v="621"/>
    <n v="286.29000000000002"/>
    <s v="High"/>
    <n v="3"/>
    <n v="0"/>
    <x v="0"/>
    <x v="0"/>
    <n v="17.177399999999999"/>
    <n v="5.9999999999999991E-2"/>
    <n v="0"/>
  </r>
  <r>
    <n v="1966"/>
    <s v="CA-2017-110905"/>
    <d v="2017-09-10T00:00:00"/>
    <x v="3"/>
    <s v="Q3"/>
    <x v="15"/>
    <d v="2017-09-15T00:00:00"/>
    <s v="Second Class"/>
    <x v="355"/>
    <x v="355"/>
    <s v="Consumer"/>
    <s v="United States"/>
    <s v="Springfield"/>
    <x v="25"/>
    <n v="65807"/>
    <x v="2"/>
    <x v="1204"/>
    <x v="1"/>
    <x v="9"/>
    <x v="1189"/>
    <n v="24.18"/>
    <s v="Low"/>
    <n v="2"/>
    <n v="0"/>
    <x v="0"/>
    <x v="0"/>
    <n v="7.2539999999999996"/>
    <n v="0.3"/>
    <n v="0"/>
  </r>
  <r>
    <n v="1967"/>
    <s v="CA-2017-165841"/>
    <d v="2017-12-21T00:00:00"/>
    <x v="3"/>
    <s v="Q4"/>
    <x v="22"/>
    <d v="2017-12-28T00:00:00"/>
    <s v="Standard Class"/>
    <x v="203"/>
    <x v="203"/>
    <s v="Consumer"/>
    <s v="United States"/>
    <s v="Paterson"/>
    <x v="30"/>
    <n v="7501"/>
    <x v="3"/>
    <x v="539"/>
    <x v="2"/>
    <x v="7"/>
    <x v="539"/>
    <n v="281.97000000000003"/>
    <s v="High"/>
    <n v="3"/>
    <n v="0"/>
    <x v="0"/>
    <x v="0"/>
    <n v="78.951599999999999"/>
    <n v="0.27999999999999997"/>
    <n v="0"/>
  </r>
  <r>
    <n v="1968"/>
    <s v="CA-2017-165841"/>
    <d v="2017-12-21T00:00:00"/>
    <x v="3"/>
    <s v="Q4"/>
    <x v="22"/>
    <d v="2017-12-28T00:00:00"/>
    <s v="Standard Class"/>
    <x v="203"/>
    <x v="203"/>
    <s v="Consumer"/>
    <s v="United States"/>
    <s v="Paterson"/>
    <x v="30"/>
    <n v="7501"/>
    <x v="3"/>
    <x v="1205"/>
    <x v="1"/>
    <x v="14"/>
    <x v="1190"/>
    <n v="69.5"/>
    <s v="Medium"/>
    <n v="5"/>
    <n v="0"/>
    <x v="0"/>
    <x v="0"/>
    <n v="20.155000000000001"/>
    <n v="0.29000000000000004"/>
    <n v="0"/>
  </r>
  <r>
    <n v="1969"/>
    <s v="CA-2017-165841"/>
    <d v="2017-12-21T00:00:00"/>
    <x v="3"/>
    <s v="Q4"/>
    <x v="22"/>
    <d v="2017-12-28T00:00:00"/>
    <s v="Standard Class"/>
    <x v="203"/>
    <x v="203"/>
    <s v="Consumer"/>
    <s v="United States"/>
    <s v="Paterson"/>
    <x v="30"/>
    <n v="7501"/>
    <x v="3"/>
    <x v="162"/>
    <x v="1"/>
    <x v="10"/>
    <x v="163"/>
    <n v="166.44"/>
    <s v="High"/>
    <n v="3"/>
    <n v="0"/>
    <x v="0"/>
    <x v="0"/>
    <n v="79.891199999999998"/>
    <n v="0.48"/>
    <n v="0"/>
  </r>
  <r>
    <n v="1970"/>
    <s v="CA-2017-117485"/>
    <d v="2017-09-23T00:00:00"/>
    <x v="3"/>
    <s v="Q3"/>
    <x v="15"/>
    <d v="2017-09-29T00:00:00"/>
    <s v="Standard Class"/>
    <x v="217"/>
    <x v="217"/>
    <s v="Consumer"/>
    <s v="United States"/>
    <s v="Tulsa"/>
    <x v="26"/>
    <n v="74133"/>
    <x v="2"/>
    <x v="171"/>
    <x v="2"/>
    <x v="11"/>
    <x v="172"/>
    <n v="291.95999999999998"/>
    <s v="High"/>
    <n v="4"/>
    <n v="0"/>
    <x v="0"/>
    <x v="0"/>
    <n v="102.18600000000001"/>
    <n v="0.35000000000000003"/>
    <n v="0"/>
  </r>
  <r>
    <n v="1971"/>
    <s v="CA-2017-140242"/>
    <d v="2017-05-06T00:00:00"/>
    <x v="3"/>
    <s v="Q2"/>
    <x v="24"/>
    <d v="2017-05-11T00:00:00"/>
    <s v="Standard Class"/>
    <x v="529"/>
    <x v="529"/>
    <s v="Home Office"/>
    <s v="United States"/>
    <s v="Chicago"/>
    <x v="10"/>
    <n v="60623"/>
    <x v="2"/>
    <x v="1126"/>
    <x v="1"/>
    <x v="6"/>
    <x v="1114"/>
    <n v="6.4080000000000004"/>
    <s v="Low"/>
    <n v="3"/>
    <n v="0.2"/>
    <x v="2"/>
    <x v="2"/>
    <n v="0.64080000000000004"/>
    <n v="0.1"/>
    <n v="0"/>
  </r>
  <r>
    <n v="1972"/>
    <s v="CA-2017-140242"/>
    <d v="2017-05-06T00:00:00"/>
    <x v="3"/>
    <s v="Q2"/>
    <x v="24"/>
    <d v="2017-05-11T00:00:00"/>
    <s v="Standard Class"/>
    <x v="529"/>
    <x v="529"/>
    <s v="Home Office"/>
    <s v="United States"/>
    <s v="Chicago"/>
    <x v="10"/>
    <n v="60623"/>
    <x v="2"/>
    <x v="171"/>
    <x v="2"/>
    <x v="11"/>
    <x v="172"/>
    <n v="408.74400000000003"/>
    <s v="High"/>
    <n v="7"/>
    <n v="0.2"/>
    <x v="2"/>
    <x v="2"/>
    <n v="76.639499999999998"/>
    <n v="0.18749999999999997"/>
    <n v="0"/>
  </r>
  <r>
    <n v="1973"/>
    <s v="CA-2014-148950"/>
    <d v="2014-12-14T00:00:00"/>
    <x v="2"/>
    <s v="Q4"/>
    <x v="20"/>
    <d v="2014-12-19T00:00:00"/>
    <s v="Standard Class"/>
    <x v="557"/>
    <x v="557"/>
    <s v="Consumer"/>
    <s v="United States"/>
    <s v="Chicago"/>
    <x v="10"/>
    <n v="60610"/>
    <x v="2"/>
    <x v="1206"/>
    <x v="1"/>
    <x v="8"/>
    <x v="1191"/>
    <n v="5.1040000000000001"/>
    <s v="Low"/>
    <n v="4"/>
    <n v="0.8"/>
    <x v="1"/>
    <x v="3"/>
    <n v="-8.6768000000000001"/>
    <n v="-1.7"/>
    <n v="1"/>
  </r>
  <r>
    <n v="1974"/>
    <s v="CA-2014-148950"/>
    <d v="2014-12-14T00:00:00"/>
    <x v="2"/>
    <s v="Q4"/>
    <x v="20"/>
    <d v="2014-12-19T00:00:00"/>
    <s v="Standard Class"/>
    <x v="557"/>
    <x v="557"/>
    <s v="Consumer"/>
    <s v="United States"/>
    <s v="Chicago"/>
    <x v="10"/>
    <n v="60610"/>
    <x v="2"/>
    <x v="804"/>
    <x v="1"/>
    <x v="13"/>
    <x v="802"/>
    <n v="2.8959999999999999"/>
    <s v="Low"/>
    <n v="2"/>
    <n v="0.2"/>
    <x v="2"/>
    <x v="2"/>
    <n v="0.47060000000000002"/>
    <n v="0.16250000000000001"/>
    <n v="0"/>
  </r>
  <r>
    <n v="1975"/>
    <s v="CA-2014-148950"/>
    <d v="2014-12-14T00:00:00"/>
    <x v="2"/>
    <s v="Q4"/>
    <x v="20"/>
    <d v="2014-12-19T00:00:00"/>
    <s v="Standard Class"/>
    <x v="557"/>
    <x v="557"/>
    <s v="Consumer"/>
    <s v="United States"/>
    <s v="Chicago"/>
    <x v="10"/>
    <n v="60610"/>
    <x v="2"/>
    <x v="1207"/>
    <x v="2"/>
    <x v="11"/>
    <x v="1192"/>
    <n v="35.015999999999998"/>
    <s v="Medium"/>
    <n v="3"/>
    <n v="0.2"/>
    <x v="2"/>
    <x v="2"/>
    <n v="-2.1884999999999999"/>
    <n v="-6.25E-2"/>
    <n v="1"/>
  </r>
  <r>
    <n v="1976"/>
    <s v="CA-2014-110408"/>
    <d v="2014-10-18T00:00:00"/>
    <x v="2"/>
    <s v="Q4"/>
    <x v="18"/>
    <d v="2014-10-20T00:00:00"/>
    <s v="Second Class"/>
    <x v="127"/>
    <x v="127"/>
    <s v="Corporate"/>
    <s v="United States"/>
    <s v="Montgomery"/>
    <x v="19"/>
    <n v="36116"/>
    <x v="0"/>
    <x v="196"/>
    <x v="1"/>
    <x v="4"/>
    <x v="197"/>
    <n v="275.97000000000003"/>
    <s v="High"/>
    <n v="3"/>
    <n v="0"/>
    <x v="0"/>
    <x v="0"/>
    <n v="11.0388"/>
    <n v="3.9999999999999994E-2"/>
    <n v="0"/>
  </r>
  <r>
    <n v="1977"/>
    <s v="CA-2014-110408"/>
    <d v="2014-10-18T00:00:00"/>
    <x v="2"/>
    <s v="Q4"/>
    <x v="18"/>
    <d v="2014-10-20T00:00:00"/>
    <s v="Second Class"/>
    <x v="127"/>
    <x v="127"/>
    <s v="Corporate"/>
    <s v="United States"/>
    <s v="Montgomery"/>
    <x v="19"/>
    <n v="36116"/>
    <x v="0"/>
    <x v="1208"/>
    <x v="2"/>
    <x v="7"/>
    <x v="1193"/>
    <n v="1394.95"/>
    <s v="High"/>
    <n v="5"/>
    <n v="0"/>
    <x v="0"/>
    <x v="0"/>
    <n v="362.68700000000001"/>
    <n v="0.26"/>
    <n v="0"/>
  </r>
  <r>
    <n v="1978"/>
    <s v="CA-2014-110408"/>
    <d v="2014-10-18T00:00:00"/>
    <x v="2"/>
    <s v="Q4"/>
    <x v="18"/>
    <d v="2014-10-20T00:00:00"/>
    <s v="Second Class"/>
    <x v="127"/>
    <x v="127"/>
    <s v="Corporate"/>
    <s v="United States"/>
    <s v="Montgomery"/>
    <x v="19"/>
    <n v="36116"/>
    <x v="0"/>
    <x v="1209"/>
    <x v="0"/>
    <x v="1"/>
    <x v="1194"/>
    <n v="545.88"/>
    <s v="High"/>
    <n v="6"/>
    <n v="0"/>
    <x v="0"/>
    <x v="0"/>
    <n v="70.964399999999998"/>
    <n v="0.13"/>
    <n v="0"/>
  </r>
  <r>
    <n v="1979"/>
    <s v="CA-2015-109939"/>
    <d v="2015-05-08T00:00:00"/>
    <x v="1"/>
    <s v="Q2"/>
    <x v="33"/>
    <d v="2015-05-12T00:00:00"/>
    <s v="Standard Class"/>
    <x v="211"/>
    <x v="211"/>
    <s v="Consumer"/>
    <s v="United States"/>
    <s v="Salem"/>
    <x v="21"/>
    <n v="97301"/>
    <x v="1"/>
    <x v="1210"/>
    <x v="1"/>
    <x v="6"/>
    <x v="1195"/>
    <n v="5.2480000000000002"/>
    <s v="Low"/>
    <n v="2"/>
    <n v="0.2"/>
    <x v="2"/>
    <x v="2"/>
    <n v="0.59040000000000004"/>
    <n v="0.1125"/>
    <n v="0"/>
  </r>
  <r>
    <n v="1980"/>
    <s v="CA-2016-112669"/>
    <d v="2016-04-14T00:00:00"/>
    <x v="0"/>
    <s v="Q2"/>
    <x v="25"/>
    <d v="2016-04-14T00:00:00"/>
    <s v="Same Day"/>
    <x v="446"/>
    <x v="446"/>
    <s v="Consumer"/>
    <s v="United States"/>
    <s v="Glendale"/>
    <x v="16"/>
    <n v="85301"/>
    <x v="1"/>
    <x v="284"/>
    <x v="0"/>
    <x v="1"/>
    <x v="284"/>
    <n v="933.53599999999994"/>
    <s v="High"/>
    <n v="4"/>
    <n v="0.2"/>
    <x v="2"/>
    <x v="2"/>
    <n v="105.0228"/>
    <n v="0.11250000000000002"/>
    <n v="0"/>
  </r>
  <r>
    <n v="1981"/>
    <s v="CA-2016-112669"/>
    <d v="2016-04-14T00:00:00"/>
    <x v="0"/>
    <s v="Q2"/>
    <x v="25"/>
    <d v="2016-04-14T00:00:00"/>
    <s v="Same Day"/>
    <x v="446"/>
    <x v="446"/>
    <s v="Consumer"/>
    <s v="United States"/>
    <s v="Glendale"/>
    <x v="16"/>
    <n v="85301"/>
    <x v="1"/>
    <x v="230"/>
    <x v="1"/>
    <x v="4"/>
    <x v="231"/>
    <n v="42.975999999999999"/>
    <s v="Medium"/>
    <n v="4"/>
    <n v="0.2"/>
    <x v="2"/>
    <x v="2"/>
    <n v="4.2976000000000001"/>
    <n v="0.1"/>
    <n v="0"/>
  </r>
  <r>
    <n v="1982"/>
    <s v="CA-2015-119592"/>
    <d v="2015-12-14T00:00:00"/>
    <x v="1"/>
    <s v="Q4"/>
    <x v="14"/>
    <d v="2015-12-16T00:00:00"/>
    <s v="Second Class"/>
    <x v="152"/>
    <x v="152"/>
    <s v="Corporate"/>
    <s v="United States"/>
    <s v="Columbus"/>
    <x v="32"/>
    <n v="31907"/>
    <x v="0"/>
    <x v="620"/>
    <x v="1"/>
    <x v="8"/>
    <x v="620"/>
    <n v="3.76"/>
    <s v="Low"/>
    <n v="2"/>
    <n v="0"/>
    <x v="0"/>
    <x v="0"/>
    <n v="1.8048"/>
    <n v="0.48000000000000004"/>
    <n v="0"/>
  </r>
  <r>
    <n v="1983"/>
    <s v="CA-2014-122749"/>
    <d v="2014-12-03T00:00:00"/>
    <x v="2"/>
    <s v="Q4"/>
    <x v="20"/>
    <d v="2014-12-09T00:00:00"/>
    <s v="Standard Class"/>
    <x v="159"/>
    <x v="159"/>
    <s v="Consumer"/>
    <s v="United States"/>
    <s v="Oklahoma City"/>
    <x v="26"/>
    <n v="73120"/>
    <x v="2"/>
    <x v="1211"/>
    <x v="2"/>
    <x v="7"/>
    <x v="1196"/>
    <n v="479.96"/>
    <s v="High"/>
    <n v="4"/>
    <n v="0"/>
    <x v="0"/>
    <x v="0"/>
    <n v="134.3888"/>
    <n v="0.28000000000000003"/>
    <n v="0"/>
  </r>
  <r>
    <n v="1984"/>
    <s v="CA-2014-164721"/>
    <d v="2014-11-25T00:00:00"/>
    <x v="2"/>
    <s v="Q4"/>
    <x v="7"/>
    <d v="2014-11-27T00:00:00"/>
    <s v="Second Class"/>
    <x v="429"/>
    <x v="429"/>
    <s v="Corporate"/>
    <s v="United States"/>
    <s v="Brentwood"/>
    <x v="1"/>
    <n v="94513"/>
    <x v="1"/>
    <x v="650"/>
    <x v="1"/>
    <x v="9"/>
    <x v="650"/>
    <n v="320.88"/>
    <s v="High"/>
    <n v="6"/>
    <n v="0"/>
    <x v="0"/>
    <x v="0"/>
    <n v="93.055199999999999"/>
    <n v="0.28999999999999998"/>
    <n v="0"/>
  </r>
  <r>
    <n v="1985"/>
    <s v="CA-2014-164721"/>
    <d v="2014-11-25T00:00:00"/>
    <x v="2"/>
    <s v="Q4"/>
    <x v="7"/>
    <d v="2014-11-27T00:00:00"/>
    <s v="Second Class"/>
    <x v="429"/>
    <x v="429"/>
    <s v="Corporate"/>
    <s v="United States"/>
    <s v="Brentwood"/>
    <x v="1"/>
    <n v="94513"/>
    <x v="1"/>
    <x v="740"/>
    <x v="0"/>
    <x v="5"/>
    <x v="222"/>
    <n v="23.88"/>
    <s v="Low"/>
    <n v="3"/>
    <n v="0"/>
    <x v="0"/>
    <x v="0"/>
    <n v="10.507199999999999"/>
    <n v="0.44"/>
    <n v="0"/>
  </r>
  <r>
    <n v="1986"/>
    <s v="CA-2014-164721"/>
    <d v="2014-11-25T00:00:00"/>
    <x v="2"/>
    <s v="Q4"/>
    <x v="7"/>
    <d v="2014-11-27T00:00:00"/>
    <s v="Second Class"/>
    <x v="429"/>
    <x v="429"/>
    <s v="Corporate"/>
    <s v="United States"/>
    <s v="Brentwood"/>
    <x v="1"/>
    <n v="94513"/>
    <x v="1"/>
    <x v="1070"/>
    <x v="1"/>
    <x v="10"/>
    <x v="1059"/>
    <n v="26.76"/>
    <s v="Medium"/>
    <n v="4"/>
    <n v="0"/>
    <x v="0"/>
    <x v="0"/>
    <n v="12.3096"/>
    <n v="0.45999999999999996"/>
    <n v="0"/>
  </r>
  <r>
    <n v="1987"/>
    <s v="CA-2016-147417"/>
    <d v="2016-07-25T00:00:00"/>
    <x v="0"/>
    <s v="Q3"/>
    <x v="16"/>
    <d v="2016-07-27T00:00:00"/>
    <s v="First Class"/>
    <x v="558"/>
    <x v="558"/>
    <s v="Consumer"/>
    <s v="United States"/>
    <s v="Columbus"/>
    <x v="24"/>
    <n v="43229"/>
    <x v="3"/>
    <x v="306"/>
    <x v="2"/>
    <x v="16"/>
    <x v="306"/>
    <n v="1439.9760000000001"/>
    <s v="High"/>
    <n v="4"/>
    <n v="0.4"/>
    <x v="1"/>
    <x v="7"/>
    <n v="191.99680000000001"/>
    <n v="0.13333333333333333"/>
    <n v="0"/>
  </r>
  <r>
    <n v="1988"/>
    <s v="CA-2015-127509"/>
    <d v="2015-11-09T00:00:00"/>
    <x v="1"/>
    <s v="Q4"/>
    <x v="6"/>
    <d v="2015-11-13T00:00:00"/>
    <s v="Standard Class"/>
    <x v="548"/>
    <x v="548"/>
    <s v="Consumer"/>
    <s v="United States"/>
    <s v="Springfield"/>
    <x v="25"/>
    <n v="65807"/>
    <x v="2"/>
    <x v="1212"/>
    <x v="1"/>
    <x v="8"/>
    <x v="1197"/>
    <n v="17.22"/>
    <s v="Low"/>
    <n v="3"/>
    <n v="0"/>
    <x v="0"/>
    <x v="0"/>
    <n v="7.9211999999999998"/>
    <n v="0.46"/>
    <n v="0"/>
  </r>
  <r>
    <n v="1989"/>
    <s v="CA-2015-127509"/>
    <d v="2015-11-09T00:00:00"/>
    <x v="1"/>
    <s v="Q4"/>
    <x v="6"/>
    <d v="2015-11-13T00:00:00"/>
    <s v="Standard Class"/>
    <x v="548"/>
    <x v="548"/>
    <s v="Consumer"/>
    <s v="United States"/>
    <s v="Springfield"/>
    <x v="25"/>
    <n v="65807"/>
    <x v="2"/>
    <x v="1213"/>
    <x v="0"/>
    <x v="3"/>
    <x v="1198"/>
    <n v="1024.3800000000001"/>
    <s v="High"/>
    <n v="7"/>
    <n v="0"/>
    <x v="0"/>
    <x v="0"/>
    <n v="215.1198"/>
    <n v="0.20999999999999996"/>
    <n v="0"/>
  </r>
  <r>
    <n v="1990"/>
    <s v="CA-2015-127509"/>
    <d v="2015-11-09T00:00:00"/>
    <x v="1"/>
    <s v="Q4"/>
    <x v="6"/>
    <d v="2015-11-13T00:00:00"/>
    <s v="Standard Class"/>
    <x v="548"/>
    <x v="548"/>
    <s v="Consumer"/>
    <s v="United States"/>
    <s v="Springfield"/>
    <x v="25"/>
    <n v="65807"/>
    <x v="2"/>
    <x v="1214"/>
    <x v="1"/>
    <x v="12"/>
    <x v="753"/>
    <n v="26.22"/>
    <s v="Medium"/>
    <n v="3"/>
    <n v="0"/>
    <x v="0"/>
    <x v="0"/>
    <n v="12.323399999999999"/>
    <n v="0.47"/>
    <n v="0"/>
  </r>
  <r>
    <n v="1991"/>
    <s v="CA-2015-127509"/>
    <d v="2015-11-09T00:00:00"/>
    <x v="1"/>
    <s v="Q4"/>
    <x v="6"/>
    <d v="2015-11-13T00:00:00"/>
    <s v="Standard Class"/>
    <x v="548"/>
    <x v="548"/>
    <s v="Consumer"/>
    <s v="United States"/>
    <s v="Springfield"/>
    <x v="25"/>
    <n v="65807"/>
    <x v="2"/>
    <x v="1215"/>
    <x v="1"/>
    <x v="10"/>
    <x v="1199"/>
    <n v="17.34"/>
    <s v="Low"/>
    <n v="3"/>
    <n v="0"/>
    <x v="0"/>
    <x v="0"/>
    <n v="8.4966000000000008"/>
    <n v="0.49000000000000005"/>
    <n v="0"/>
  </r>
  <r>
    <n v="1992"/>
    <s v="CA-2017-111374"/>
    <d v="2017-02-24T00:00:00"/>
    <x v="3"/>
    <s v="Q1"/>
    <x v="31"/>
    <d v="2017-02-28T00:00:00"/>
    <s v="Standard Class"/>
    <x v="558"/>
    <x v="558"/>
    <s v="Consumer"/>
    <s v="United States"/>
    <s v="Philadelphia"/>
    <x v="9"/>
    <n v="19134"/>
    <x v="3"/>
    <x v="925"/>
    <x v="1"/>
    <x v="8"/>
    <x v="917"/>
    <n v="4.9560000000000004"/>
    <s v="Low"/>
    <n v="4"/>
    <n v="0.7"/>
    <x v="1"/>
    <x v="5"/>
    <n v="-3.7995999999999999"/>
    <n v="-0.76666666666666661"/>
    <n v="1"/>
  </r>
  <r>
    <n v="1993"/>
    <s v="CA-2017-133648"/>
    <d v="2017-06-25T00:00:00"/>
    <x v="3"/>
    <s v="Q2"/>
    <x v="27"/>
    <d v="2017-07-02T00:00:00"/>
    <s v="Standard Class"/>
    <x v="529"/>
    <x v="529"/>
    <s v="Home Office"/>
    <s v="United States"/>
    <s v="Springfield"/>
    <x v="21"/>
    <n v="97477"/>
    <x v="1"/>
    <x v="429"/>
    <x v="1"/>
    <x v="2"/>
    <x v="429"/>
    <n v="71.040000000000006"/>
    <s v="Medium"/>
    <n v="6"/>
    <n v="0.2"/>
    <x v="2"/>
    <x v="2"/>
    <n v="26.64"/>
    <n v="0.375"/>
    <n v="0"/>
  </r>
  <r>
    <n v="1994"/>
    <s v="CA-2017-133648"/>
    <d v="2017-06-25T00:00:00"/>
    <x v="3"/>
    <s v="Q2"/>
    <x v="27"/>
    <d v="2017-07-02T00:00:00"/>
    <s v="Standard Class"/>
    <x v="529"/>
    <x v="529"/>
    <s v="Home Office"/>
    <s v="United States"/>
    <s v="Springfield"/>
    <x v="21"/>
    <n v="97477"/>
    <x v="1"/>
    <x v="1216"/>
    <x v="1"/>
    <x v="6"/>
    <x v="1200"/>
    <n v="5.3440000000000003"/>
    <s v="Low"/>
    <n v="2"/>
    <n v="0.2"/>
    <x v="2"/>
    <x v="2"/>
    <n v="0.73480000000000001"/>
    <n v="0.13749999999999998"/>
    <n v="0"/>
  </r>
  <r>
    <n v="1995"/>
    <s v="CA-2017-133648"/>
    <d v="2017-06-25T00:00:00"/>
    <x v="3"/>
    <s v="Q2"/>
    <x v="27"/>
    <d v="2017-07-02T00:00:00"/>
    <s v="Standard Class"/>
    <x v="529"/>
    <x v="529"/>
    <s v="Home Office"/>
    <s v="United States"/>
    <s v="Springfield"/>
    <x v="21"/>
    <n v="97477"/>
    <x v="1"/>
    <x v="1217"/>
    <x v="1"/>
    <x v="13"/>
    <x v="1201"/>
    <n v="11.304"/>
    <s v="Low"/>
    <n v="3"/>
    <n v="0.2"/>
    <x v="2"/>
    <x v="2"/>
    <n v="-2.1194999999999999"/>
    <n v="-0.1875"/>
    <n v="1"/>
  </r>
  <r>
    <n v="1996"/>
    <s v="US-2017-147221"/>
    <d v="2017-12-02T00:00:00"/>
    <x v="3"/>
    <s v="Q4"/>
    <x v="22"/>
    <d v="2017-12-04T00:00:00"/>
    <s v="Second Class"/>
    <x v="559"/>
    <x v="559"/>
    <s v="Consumer"/>
    <s v="United States"/>
    <s v="Houston"/>
    <x v="5"/>
    <n v="77036"/>
    <x v="2"/>
    <x v="1218"/>
    <x v="1"/>
    <x v="9"/>
    <x v="1202"/>
    <n v="294.62"/>
    <s v="High"/>
    <n v="5"/>
    <n v="0.8"/>
    <x v="1"/>
    <x v="3"/>
    <n v="-766.01199999999994"/>
    <n v="-2.5999999999999996"/>
    <n v="1"/>
  </r>
  <r>
    <n v="1997"/>
    <s v="US-2017-147221"/>
    <d v="2017-12-02T00:00:00"/>
    <x v="3"/>
    <s v="Q4"/>
    <x v="22"/>
    <d v="2017-12-04T00:00:00"/>
    <s v="Second Class"/>
    <x v="559"/>
    <x v="559"/>
    <s v="Consumer"/>
    <s v="United States"/>
    <s v="Houston"/>
    <x v="5"/>
    <n v="77036"/>
    <x v="2"/>
    <x v="493"/>
    <x v="0"/>
    <x v="5"/>
    <x v="493"/>
    <n v="8.7520000000000007"/>
    <s v="Low"/>
    <n v="4"/>
    <n v="0.6"/>
    <x v="1"/>
    <x v="6"/>
    <n v="-3.7195999999999998"/>
    <n v="-0.42499999999999993"/>
    <n v="1"/>
  </r>
  <r>
    <n v="1998"/>
    <s v="CA-2014-131905"/>
    <d v="2014-02-06T00:00:00"/>
    <x v="2"/>
    <s v="Q1"/>
    <x v="45"/>
    <d v="2014-02-09T00:00:00"/>
    <s v="First Class"/>
    <x v="540"/>
    <x v="540"/>
    <s v="Corporate"/>
    <s v="United States"/>
    <s v="Chesapeake"/>
    <x v="17"/>
    <n v="23320"/>
    <x v="0"/>
    <x v="547"/>
    <x v="1"/>
    <x v="2"/>
    <x v="547"/>
    <n v="15"/>
    <s v="Low"/>
    <n v="4"/>
    <n v="0"/>
    <x v="0"/>
    <x v="0"/>
    <n v="7.2"/>
    <n v="0.48000000000000004"/>
    <n v="0"/>
  </r>
  <r>
    <n v="1999"/>
    <s v="CA-2014-131905"/>
    <d v="2014-02-06T00:00:00"/>
    <x v="2"/>
    <s v="Q1"/>
    <x v="45"/>
    <d v="2014-02-09T00:00:00"/>
    <s v="First Class"/>
    <x v="540"/>
    <x v="540"/>
    <s v="Corporate"/>
    <s v="United States"/>
    <s v="Chesapeake"/>
    <x v="17"/>
    <n v="23320"/>
    <x v="0"/>
    <x v="297"/>
    <x v="2"/>
    <x v="7"/>
    <x v="297"/>
    <n v="161.61000000000001"/>
    <s v="High"/>
    <n v="1"/>
    <n v="0"/>
    <x v="0"/>
    <x v="0"/>
    <n v="42.018599999999999"/>
    <n v="0.25999999999999995"/>
    <n v="0"/>
  </r>
  <r>
    <n v="2000"/>
    <s v="CA-2014-131905"/>
    <d v="2014-02-06T00:00:00"/>
    <x v="2"/>
    <s v="Q1"/>
    <x v="45"/>
    <d v="2014-02-09T00:00:00"/>
    <s v="First Class"/>
    <x v="540"/>
    <x v="540"/>
    <s v="Corporate"/>
    <s v="United States"/>
    <s v="Chesapeake"/>
    <x v="17"/>
    <n v="23320"/>
    <x v="0"/>
    <x v="1129"/>
    <x v="2"/>
    <x v="7"/>
    <x v="1117"/>
    <n v="144.94999999999999"/>
    <s v="High"/>
    <n v="5"/>
    <n v="0"/>
    <x v="0"/>
    <x v="0"/>
    <n v="42.035499999999999"/>
    <n v="0.29000000000000004"/>
    <n v="0"/>
  </r>
  <r>
    <n v="2001"/>
    <s v="CA-2017-166128"/>
    <d v="2017-04-11T00:00:00"/>
    <x v="3"/>
    <s v="Q2"/>
    <x v="4"/>
    <d v="2017-04-18T00:00:00"/>
    <s v="Standard Class"/>
    <x v="560"/>
    <x v="560"/>
    <s v="Consumer"/>
    <s v="United States"/>
    <s v="Pasadena"/>
    <x v="1"/>
    <n v="91104"/>
    <x v="1"/>
    <x v="97"/>
    <x v="2"/>
    <x v="11"/>
    <x v="97"/>
    <n v="199.95"/>
    <s v="High"/>
    <n v="5"/>
    <n v="0"/>
    <x v="0"/>
    <x v="0"/>
    <n v="21.994499999999999"/>
    <n v="0.11"/>
    <n v="0"/>
  </r>
  <r>
    <n v="2002"/>
    <s v="CA-2017-166128"/>
    <d v="2017-04-11T00:00:00"/>
    <x v="3"/>
    <s v="Q2"/>
    <x v="4"/>
    <d v="2017-04-18T00:00:00"/>
    <s v="Standard Class"/>
    <x v="560"/>
    <x v="560"/>
    <s v="Consumer"/>
    <s v="United States"/>
    <s v="Pasadena"/>
    <x v="1"/>
    <n v="91104"/>
    <x v="1"/>
    <x v="1054"/>
    <x v="1"/>
    <x v="6"/>
    <x v="1043"/>
    <n v="41.86"/>
    <s v="Medium"/>
    <n v="7"/>
    <n v="0"/>
    <x v="0"/>
    <x v="0"/>
    <n v="14.2324"/>
    <n v="0.34"/>
    <n v="0"/>
  </r>
  <r>
    <n v="2003"/>
    <s v="CA-2017-163510"/>
    <d v="2017-12-25T00:00:00"/>
    <x v="3"/>
    <s v="Q4"/>
    <x v="22"/>
    <d v="2017-12-28T00:00:00"/>
    <s v="Second Class"/>
    <x v="527"/>
    <x v="527"/>
    <s v="Consumer"/>
    <s v="United States"/>
    <s v="Louisville"/>
    <x v="0"/>
    <n v="40214"/>
    <x v="0"/>
    <x v="911"/>
    <x v="1"/>
    <x v="4"/>
    <x v="903"/>
    <n v="95.94"/>
    <s v="Medium"/>
    <n v="3"/>
    <n v="0"/>
    <x v="0"/>
    <x v="0"/>
    <n v="9.5939999999999994"/>
    <n v="9.9999999999999992E-2"/>
    <n v="0"/>
  </r>
  <r>
    <n v="2004"/>
    <s v="CA-2017-163510"/>
    <d v="2017-12-25T00:00:00"/>
    <x v="3"/>
    <s v="Q4"/>
    <x v="22"/>
    <d v="2017-12-28T00:00:00"/>
    <s v="Second Class"/>
    <x v="527"/>
    <x v="527"/>
    <s v="Consumer"/>
    <s v="United States"/>
    <s v="Louisville"/>
    <x v="0"/>
    <n v="40214"/>
    <x v="0"/>
    <x v="64"/>
    <x v="0"/>
    <x v="1"/>
    <x v="64"/>
    <n v="304.45"/>
    <s v="High"/>
    <n v="5"/>
    <n v="0"/>
    <x v="0"/>
    <x v="0"/>
    <n v="76.112499999999997"/>
    <n v="0.25"/>
    <n v="0"/>
  </r>
  <r>
    <n v="2005"/>
    <s v="US-2017-143028"/>
    <d v="2017-04-11T00:00:00"/>
    <x v="3"/>
    <s v="Q2"/>
    <x v="4"/>
    <d v="2017-04-18T00:00:00"/>
    <s v="Standard Class"/>
    <x v="337"/>
    <x v="337"/>
    <s v="Home Office"/>
    <s v="United States"/>
    <s v="Lubbock"/>
    <x v="5"/>
    <n v="79424"/>
    <x v="2"/>
    <x v="92"/>
    <x v="1"/>
    <x v="8"/>
    <x v="92"/>
    <n v="11.364000000000001"/>
    <s v="Low"/>
    <n v="3"/>
    <n v="0.8"/>
    <x v="1"/>
    <x v="3"/>
    <n v="-17.045999999999999"/>
    <n v="-1.4999999999999998"/>
    <n v="1"/>
  </r>
  <r>
    <n v="2006"/>
    <s v="CA-2014-111150"/>
    <d v="2014-12-31T00:00:00"/>
    <x v="2"/>
    <s v="Q4"/>
    <x v="20"/>
    <d v="2015-01-04T00:00:00"/>
    <s v="Standard Class"/>
    <x v="338"/>
    <x v="338"/>
    <s v="Corporate"/>
    <s v="United States"/>
    <s v="Columbia"/>
    <x v="25"/>
    <n v="65203"/>
    <x v="2"/>
    <x v="753"/>
    <x v="1"/>
    <x v="6"/>
    <x v="751"/>
    <n v="29.68"/>
    <s v="Medium"/>
    <n v="7"/>
    <n v="0"/>
    <x v="0"/>
    <x v="0"/>
    <n v="11.575200000000001"/>
    <n v="0.39"/>
    <n v="0"/>
  </r>
  <r>
    <n v="2007"/>
    <s v="CA-2014-111150"/>
    <d v="2014-12-31T00:00:00"/>
    <x v="2"/>
    <s v="Q4"/>
    <x v="20"/>
    <d v="2015-01-04T00:00:00"/>
    <s v="Standard Class"/>
    <x v="338"/>
    <x v="338"/>
    <s v="Corporate"/>
    <s v="United States"/>
    <s v="Columbia"/>
    <x v="25"/>
    <n v="65203"/>
    <x v="2"/>
    <x v="234"/>
    <x v="2"/>
    <x v="11"/>
    <x v="235"/>
    <n v="47.53"/>
    <s v="Medium"/>
    <n v="7"/>
    <n v="0"/>
    <x v="0"/>
    <x v="0"/>
    <n v="16.1602"/>
    <n v="0.33999999999999997"/>
    <n v="0"/>
  </r>
  <r>
    <n v="2008"/>
    <s v="CA-2017-165386"/>
    <d v="2017-08-03T00:00:00"/>
    <x v="3"/>
    <s v="Q3"/>
    <x v="43"/>
    <d v="2017-08-04T00:00:00"/>
    <s v="First Class"/>
    <x v="496"/>
    <x v="496"/>
    <s v="Consumer"/>
    <s v="United States"/>
    <s v="Chicago"/>
    <x v="10"/>
    <n v="60623"/>
    <x v="2"/>
    <x v="1219"/>
    <x v="0"/>
    <x v="0"/>
    <x v="1203"/>
    <n v="183.37200000000001"/>
    <s v="High"/>
    <n v="2"/>
    <n v="0.3"/>
    <x v="1"/>
    <x v="4"/>
    <n v="-36.674399999999999"/>
    <n v="-0.19999999999999998"/>
    <n v="1"/>
  </r>
  <r>
    <n v="2009"/>
    <s v="CA-2014-116407"/>
    <d v="2014-11-15T00:00:00"/>
    <x v="2"/>
    <s v="Q4"/>
    <x v="7"/>
    <d v="2014-11-21T00:00:00"/>
    <s v="Standard Class"/>
    <x v="440"/>
    <x v="440"/>
    <s v="Consumer"/>
    <s v="United States"/>
    <s v="Johnson City"/>
    <x v="18"/>
    <n v="37604"/>
    <x v="0"/>
    <x v="1039"/>
    <x v="1"/>
    <x v="6"/>
    <x v="1029"/>
    <n v="4.2240000000000002"/>
    <s v="Low"/>
    <n v="3"/>
    <n v="0.2"/>
    <x v="2"/>
    <x v="2"/>
    <n v="0.47520000000000001"/>
    <n v="0.1125"/>
    <n v="0"/>
  </r>
  <r>
    <n v="2010"/>
    <s v="CA-2014-116407"/>
    <d v="2014-11-15T00:00:00"/>
    <x v="2"/>
    <s v="Q4"/>
    <x v="7"/>
    <d v="2014-11-21T00:00:00"/>
    <s v="Standard Class"/>
    <x v="440"/>
    <x v="440"/>
    <s v="Consumer"/>
    <s v="United States"/>
    <s v="Johnson City"/>
    <x v="18"/>
    <n v="37604"/>
    <x v="0"/>
    <x v="77"/>
    <x v="1"/>
    <x v="9"/>
    <x v="77"/>
    <n v="333.05599999999998"/>
    <s v="High"/>
    <n v="2"/>
    <n v="0.2"/>
    <x v="2"/>
    <x v="2"/>
    <n v="29.142399999999999"/>
    <n v="8.7499999999999994E-2"/>
    <n v="0"/>
  </r>
  <r>
    <n v="2011"/>
    <s v="CA-2014-116407"/>
    <d v="2014-11-15T00:00:00"/>
    <x v="2"/>
    <s v="Q4"/>
    <x v="7"/>
    <d v="2014-11-21T00:00:00"/>
    <s v="Standard Class"/>
    <x v="440"/>
    <x v="440"/>
    <s v="Consumer"/>
    <s v="United States"/>
    <s v="Johnson City"/>
    <x v="18"/>
    <n v="37604"/>
    <x v="0"/>
    <x v="565"/>
    <x v="1"/>
    <x v="10"/>
    <x v="565"/>
    <n v="24.896000000000001"/>
    <s v="Medium"/>
    <n v="4"/>
    <n v="0.2"/>
    <x v="2"/>
    <x v="2"/>
    <n v="7.78"/>
    <n v="0.3125"/>
    <n v="0"/>
  </r>
  <r>
    <n v="2012"/>
    <s v="CA-2015-155761"/>
    <d v="2015-12-11T00:00:00"/>
    <x v="1"/>
    <s v="Q4"/>
    <x v="14"/>
    <d v="2015-12-11T00:00:00"/>
    <s v="Same Day"/>
    <x v="561"/>
    <x v="561"/>
    <s v="Consumer"/>
    <s v="United States"/>
    <s v="Houston"/>
    <x v="5"/>
    <n v="77041"/>
    <x v="2"/>
    <x v="590"/>
    <x v="2"/>
    <x v="11"/>
    <x v="590"/>
    <n v="159.98400000000001"/>
    <s v="High"/>
    <n v="2"/>
    <n v="0.2"/>
    <x v="2"/>
    <x v="2"/>
    <n v="35.996400000000001"/>
    <n v="0.22500000000000001"/>
    <n v="0"/>
  </r>
  <r>
    <n v="2013"/>
    <s v="CA-2015-155761"/>
    <d v="2015-12-11T00:00:00"/>
    <x v="1"/>
    <s v="Q4"/>
    <x v="14"/>
    <d v="2015-12-11T00:00:00"/>
    <s v="Same Day"/>
    <x v="561"/>
    <x v="561"/>
    <s v="Consumer"/>
    <s v="United States"/>
    <s v="Houston"/>
    <x v="5"/>
    <n v="77041"/>
    <x v="2"/>
    <x v="1220"/>
    <x v="1"/>
    <x v="4"/>
    <x v="1204"/>
    <n v="46.344000000000001"/>
    <s v="Medium"/>
    <n v="3"/>
    <n v="0.2"/>
    <x v="2"/>
    <x v="2"/>
    <n v="4.6344000000000003"/>
    <n v="0.1"/>
    <n v="0"/>
  </r>
  <r>
    <n v="2014"/>
    <s v="CA-2016-145905"/>
    <d v="2016-09-18T00:00:00"/>
    <x v="0"/>
    <s v="Q3"/>
    <x v="21"/>
    <d v="2016-09-23T00:00:00"/>
    <s v="Standard Class"/>
    <x v="562"/>
    <x v="562"/>
    <s v="Consumer"/>
    <s v="United States"/>
    <s v="Auburn"/>
    <x v="19"/>
    <n v="36830"/>
    <x v="0"/>
    <x v="1131"/>
    <x v="0"/>
    <x v="1"/>
    <x v="1119"/>
    <n v="350.98"/>
    <s v="High"/>
    <n v="1"/>
    <n v="0"/>
    <x v="0"/>
    <x v="0"/>
    <n v="84.235200000000006"/>
    <n v="0.24"/>
    <n v="0"/>
  </r>
  <r>
    <n v="2015"/>
    <s v="CA-2016-145905"/>
    <d v="2016-09-18T00:00:00"/>
    <x v="0"/>
    <s v="Q3"/>
    <x v="21"/>
    <d v="2016-09-23T00:00:00"/>
    <s v="Standard Class"/>
    <x v="562"/>
    <x v="562"/>
    <s v="Consumer"/>
    <s v="United States"/>
    <s v="Auburn"/>
    <x v="19"/>
    <n v="36830"/>
    <x v="0"/>
    <x v="1221"/>
    <x v="1"/>
    <x v="10"/>
    <x v="1205"/>
    <n v="13.08"/>
    <s v="Low"/>
    <n v="2"/>
    <n v="0"/>
    <x v="0"/>
    <x v="0"/>
    <n v="6.0167999999999999"/>
    <n v="0.45999999999999996"/>
    <n v="0"/>
  </r>
  <r>
    <n v="2016"/>
    <s v="CA-2016-145905"/>
    <d v="2016-09-18T00:00:00"/>
    <x v="0"/>
    <s v="Q3"/>
    <x v="21"/>
    <d v="2016-09-23T00:00:00"/>
    <s v="Standard Class"/>
    <x v="562"/>
    <x v="562"/>
    <s v="Consumer"/>
    <s v="United States"/>
    <s v="Auburn"/>
    <x v="19"/>
    <n v="36830"/>
    <x v="0"/>
    <x v="906"/>
    <x v="1"/>
    <x v="4"/>
    <x v="898"/>
    <n v="900.08"/>
    <s v="High"/>
    <n v="4"/>
    <n v="0"/>
    <x v="0"/>
    <x v="0"/>
    <n v="117.0104"/>
    <n v="0.13"/>
    <n v="0"/>
  </r>
  <r>
    <n v="2017"/>
    <s v="CA-2015-113110"/>
    <d v="2015-03-19T00:00:00"/>
    <x v="1"/>
    <s v="Q1"/>
    <x v="29"/>
    <d v="2015-03-23T00:00:00"/>
    <s v="Standard Class"/>
    <x v="318"/>
    <x v="318"/>
    <s v="Consumer"/>
    <s v="United States"/>
    <s v="San Bernardino"/>
    <x v="1"/>
    <n v="92404"/>
    <x v="1"/>
    <x v="1045"/>
    <x v="1"/>
    <x v="8"/>
    <x v="1034"/>
    <n v="17.568000000000001"/>
    <s v="Low"/>
    <n v="2"/>
    <n v="0.2"/>
    <x v="2"/>
    <x v="2"/>
    <n v="6.3684000000000003"/>
    <n v="0.36249999999999999"/>
    <n v="0"/>
  </r>
  <r>
    <n v="2018"/>
    <s v="CA-2015-113110"/>
    <d v="2015-03-19T00:00:00"/>
    <x v="1"/>
    <s v="Q1"/>
    <x v="29"/>
    <d v="2015-03-23T00:00:00"/>
    <s v="Standard Class"/>
    <x v="318"/>
    <x v="318"/>
    <s v="Consumer"/>
    <s v="United States"/>
    <s v="San Bernardino"/>
    <x v="1"/>
    <n v="92404"/>
    <x v="1"/>
    <x v="2"/>
    <x v="1"/>
    <x v="2"/>
    <x v="2"/>
    <n v="14.62"/>
    <s v="Low"/>
    <n v="2"/>
    <n v="0"/>
    <x v="0"/>
    <x v="0"/>
    <n v="6.8714000000000004"/>
    <n v="0.47000000000000003"/>
    <n v="0"/>
  </r>
  <r>
    <n v="2019"/>
    <s v="CA-2015-113110"/>
    <d v="2015-03-19T00:00:00"/>
    <x v="1"/>
    <s v="Q1"/>
    <x v="29"/>
    <d v="2015-03-23T00:00:00"/>
    <s v="Standard Class"/>
    <x v="318"/>
    <x v="318"/>
    <s v="Consumer"/>
    <s v="United States"/>
    <s v="San Bernardino"/>
    <x v="1"/>
    <n v="92404"/>
    <x v="1"/>
    <x v="1059"/>
    <x v="1"/>
    <x v="14"/>
    <x v="1048"/>
    <n v="33.36"/>
    <s v="Medium"/>
    <n v="4"/>
    <n v="0"/>
    <x v="0"/>
    <x v="0"/>
    <n v="8.6736000000000004"/>
    <n v="0.26"/>
    <n v="0"/>
  </r>
  <r>
    <n v="2020"/>
    <s v="CA-2015-113110"/>
    <d v="2015-03-19T00:00:00"/>
    <x v="1"/>
    <s v="Q1"/>
    <x v="29"/>
    <d v="2015-03-23T00:00:00"/>
    <s v="Standard Class"/>
    <x v="318"/>
    <x v="318"/>
    <s v="Consumer"/>
    <s v="United States"/>
    <s v="San Bernardino"/>
    <x v="1"/>
    <n v="92404"/>
    <x v="1"/>
    <x v="186"/>
    <x v="1"/>
    <x v="10"/>
    <x v="187"/>
    <n v="40.14"/>
    <s v="Medium"/>
    <n v="6"/>
    <n v="0"/>
    <x v="0"/>
    <x v="0"/>
    <n v="19.668600000000001"/>
    <n v="0.49000000000000005"/>
    <n v="0"/>
  </r>
  <r>
    <n v="2021"/>
    <s v="CA-2016-168354"/>
    <d v="2016-09-19T00:00:00"/>
    <x v="0"/>
    <s v="Q3"/>
    <x v="21"/>
    <d v="2016-09-21T00:00:00"/>
    <s v="First Class"/>
    <x v="563"/>
    <x v="563"/>
    <s v="Home Office"/>
    <s v="United States"/>
    <s v="Providence"/>
    <x v="34"/>
    <n v="2908"/>
    <x v="3"/>
    <x v="518"/>
    <x v="1"/>
    <x v="4"/>
    <x v="518"/>
    <n v="1606.23"/>
    <s v="High"/>
    <n v="9"/>
    <n v="0"/>
    <x v="0"/>
    <x v="0"/>
    <n v="481.86900000000003"/>
    <n v="0.3"/>
    <n v="0"/>
  </r>
  <r>
    <n v="2022"/>
    <s v="CA-2016-168354"/>
    <d v="2016-09-19T00:00:00"/>
    <x v="0"/>
    <s v="Q3"/>
    <x v="21"/>
    <d v="2016-09-21T00:00:00"/>
    <s v="First Class"/>
    <x v="563"/>
    <x v="563"/>
    <s v="Home Office"/>
    <s v="United States"/>
    <s v="Providence"/>
    <x v="34"/>
    <n v="2908"/>
    <x v="3"/>
    <x v="126"/>
    <x v="1"/>
    <x v="10"/>
    <x v="562"/>
    <n v="17.04"/>
    <s v="Low"/>
    <n v="3"/>
    <n v="0"/>
    <x v="0"/>
    <x v="0"/>
    <n v="7.6680000000000001"/>
    <n v="0.45"/>
    <n v="0"/>
  </r>
  <r>
    <n v="2023"/>
    <s v="CA-2016-168354"/>
    <d v="2016-09-19T00:00:00"/>
    <x v="0"/>
    <s v="Q3"/>
    <x v="21"/>
    <d v="2016-09-21T00:00:00"/>
    <s v="First Class"/>
    <x v="563"/>
    <x v="563"/>
    <s v="Home Office"/>
    <s v="United States"/>
    <s v="Providence"/>
    <x v="34"/>
    <n v="2908"/>
    <x v="3"/>
    <x v="729"/>
    <x v="1"/>
    <x v="8"/>
    <x v="728"/>
    <n v="49.53"/>
    <s v="Medium"/>
    <n v="3"/>
    <n v="0"/>
    <x v="0"/>
    <x v="0"/>
    <n v="23.7744"/>
    <n v="0.48"/>
    <n v="0"/>
  </r>
  <r>
    <n v="2024"/>
    <s v="CA-2016-168354"/>
    <d v="2016-09-19T00:00:00"/>
    <x v="0"/>
    <s v="Q3"/>
    <x v="21"/>
    <d v="2016-09-21T00:00:00"/>
    <s v="First Class"/>
    <x v="563"/>
    <x v="563"/>
    <s v="Home Office"/>
    <s v="United States"/>
    <s v="Providence"/>
    <x v="34"/>
    <n v="2908"/>
    <x v="3"/>
    <x v="635"/>
    <x v="0"/>
    <x v="1"/>
    <x v="635"/>
    <n v="872.32"/>
    <s v="High"/>
    <n v="4"/>
    <n v="0"/>
    <x v="0"/>
    <x v="0"/>
    <n v="244.24959999999999"/>
    <n v="0.27999999999999997"/>
    <n v="0"/>
  </r>
  <r>
    <n v="2025"/>
    <s v="US-2017-111241"/>
    <d v="2017-08-20T00:00:00"/>
    <x v="3"/>
    <s v="Q3"/>
    <x v="43"/>
    <d v="2017-08-22T00:00:00"/>
    <s v="Second Class"/>
    <x v="421"/>
    <x v="421"/>
    <s v="Consumer"/>
    <s v="United States"/>
    <s v="Fresno"/>
    <x v="1"/>
    <n v="93727"/>
    <x v="1"/>
    <x v="979"/>
    <x v="1"/>
    <x v="8"/>
    <x v="972"/>
    <n v="239.12"/>
    <s v="High"/>
    <n v="5"/>
    <n v="0.2"/>
    <x v="2"/>
    <x v="2"/>
    <n v="77.713999999999999"/>
    <n v="0.32500000000000001"/>
    <n v="0"/>
  </r>
  <r>
    <n v="2026"/>
    <s v="CA-2015-114237"/>
    <d v="2015-03-13T00:00:00"/>
    <x v="1"/>
    <s v="Q1"/>
    <x v="29"/>
    <d v="2015-03-15T00:00:00"/>
    <s v="First Class"/>
    <x v="507"/>
    <x v="507"/>
    <s v="Consumer"/>
    <s v="United States"/>
    <s v="Seattle"/>
    <x v="4"/>
    <n v="98103"/>
    <x v="1"/>
    <x v="631"/>
    <x v="0"/>
    <x v="0"/>
    <x v="631"/>
    <n v="141.96"/>
    <s v="High"/>
    <n v="2"/>
    <n v="0"/>
    <x v="0"/>
    <x v="0"/>
    <n v="39.748800000000003"/>
    <n v="0.28000000000000003"/>
    <n v="0"/>
  </r>
  <r>
    <n v="2027"/>
    <s v="CA-2016-113516"/>
    <d v="2016-09-08T00:00:00"/>
    <x v="0"/>
    <s v="Q3"/>
    <x v="21"/>
    <d v="2016-09-10T00:00:00"/>
    <s v="Second Class"/>
    <x v="91"/>
    <x v="91"/>
    <s v="Home Office"/>
    <s v="United States"/>
    <s v="Lancaster"/>
    <x v="1"/>
    <n v="93534"/>
    <x v="1"/>
    <x v="340"/>
    <x v="1"/>
    <x v="8"/>
    <x v="340"/>
    <n v="33.024000000000001"/>
    <s v="Medium"/>
    <n v="2"/>
    <n v="0.2"/>
    <x v="2"/>
    <x v="2"/>
    <n v="11.558400000000001"/>
    <n v="0.35000000000000003"/>
    <n v="0"/>
  </r>
  <r>
    <n v="2028"/>
    <s v="CA-2016-113516"/>
    <d v="2016-09-08T00:00:00"/>
    <x v="0"/>
    <s v="Q3"/>
    <x v="21"/>
    <d v="2016-09-10T00:00:00"/>
    <s v="Second Class"/>
    <x v="91"/>
    <x v="91"/>
    <s v="Home Office"/>
    <s v="United States"/>
    <s v="Lancaster"/>
    <x v="1"/>
    <n v="93534"/>
    <x v="1"/>
    <x v="542"/>
    <x v="1"/>
    <x v="8"/>
    <x v="542"/>
    <n v="67.135999999999996"/>
    <s v="Medium"/>
    <n v="4"/>
    <n v="0.2"/>
    <x v="2"/>
    <x v="2"/>
    <n v="23.497599999999998"/>
    <n v="0.35"/>
    <n v="0"/>
  </r>
  <r>
    <n v="2029"/>
    <s v="CA-2015-117961"/>
    <d v="2015-11-26T00:00:00"/>
    <x v="1"/>
    <s v="Q4"/>
    <x v="6"/>
    <d v="2015-11-30T00:00:00"/>
    <s v="Standard Class"/>
    <x v="323"/>
    <x v="323"/>
    <s v="Corporate"/>
    <s v="United States"/>
    <s v="Leominster"/>
    <x v="31"/>
    <n v="1453"/>
    <x v="3"/>
    <x v="185"/>
    <x v="1"/>
    <x v="8"/>
    <x v="186"/>
    <n v="14.73"/>
    <s v="Low"/>
    <n v="3"/>
    <n v="0"/>
    <x v="0"/>
    <x v="0"/>
    <n v="6.9230999999999998"/>
    <n v="0.47"/>
    <n v="0"/>
  </r>
  <r>
    <n v="2030"/>
    <s v="CA-2015-117961"/>
    <d v="2015-11-26T00:00:00"/>
    <x v="1"/>
    <s v="Q4"/>
    <x v="6"/>
    <d v="2015-11-30T00:00:00"/>
    <s v="Standard Class"/>
    <x v="323"/>
    <x v="323"/>
    <s v="Corporate"/>
    <s v="United States"/>
    <s v="Leominster"/>
    <x v="31"/>
    <n v="1453"/>
    <x v="3"/>
    <x v="1222"/>
    <x v="1"/>
    <x v="4"/>
    <x v="1206"/>
    <n v="104.9"/>
    <s v="Medium"/>
    <n v="5"/>
    <n v="0"/>
    <x v="0"/>
    <x v="0"/>
    <n v="25.175999999999998"/>
    <n v="0.23999999999999996"/>
    <n v="0"/>
  </r>
  <r>
    <n v="2031"/>
    <s v="CA-2015-117961"/>
    <d v="2015-11-26T00:00:00"/>
    <x v="1"/>
    <s v="Q4"/>
    <x v="6"/>
    <d v="2015-11-30T00:00:00"/>
    <s v="Standard Class"/>
    <x v="323"/>
    <x v="323"/>
    <s v="Corporate"/>
    <s v="United States"/>
    <s v="Leominster"/>
    <x v="31"/>
    <n v="1453"/>
    <x v="3"/>
    <x v="785"/>
    <x v="1"/>
    <x v="8"/>
    <x v="784"/>
    <n v="61.04"/>
    <s v="Medium"/>
    <n v="4"/>
    <n v="0"/>
    <x v="0"/>
    <x v="0"/>
    <n v="30.52"/>
    <n v="0.5"/>
    <n v="0"/>
  </r>
  <r>
    <n v="2032"/>
    <s v="CA-2015-117961"/>
    <d v="2015-11-26T00:00:00"/>
    <x v="1"/>
    <s v="Q4"/>
    <x v="6"/>
    <d v="2015-11-30T00:00:00"/>
    <s v="Standard Class"/>
    <x v="323"/>
    <x v="323"/>
    <s v="Corporate"/>
    <s v="United States"/>
    <s v="Leominster"/>
    <x v="31"/>
    <n v="1453"/>
    <x v="3"/>
    <x v="1029"/>
    <x v="1"/>
    <x v="10"/>
    <x v="1020"/>
    <n v="10.95"/>
    <s v="Low"/>
    <n v="3"/>
    <n v="0"/>
    <x v="0"/>
    <x v="0"/>
    <n v="5.1464999999999996"/>
    <n v="0.47"/>
    <n v="0"/>
  </r>
  <r>
    <n v="2033"/>
    <s v="CA-2016-128923"/>
    <d v="2016-12-09T00:00:00"/>
    <x v="0"/>
    <s v="Q4"/>
    <x v="5"/>
    <d v="2016-12-13T00:00:00"/>
    <s v="Standard Class"/>
    <x v="334"/>
    <x v="334"/>
    <s v="Corporate"/>
    <s v="United States"/>
    <s v="Fort Worth"/>
    <x v="5"/>
    <n v="76106"/>
    <x v="2"/>
    <x v="707"/>
    <x v="1"/>
    <x v="10"/>
    <x v="706"/>
    <n v="9.3919999999999995"/>
    <s v="Low"/>
    <n v="2"/>
    <n v="0.2"/>
    <x v="2"/>
    <x v="2"/>
    <n v="3.2871999999999999"/>
    <n v="0.35000000000000003"/>
    <n v="0"/>
  </r>
  <r>
    <n v="2034"/>
    <s v="CA-2016-128923"/>
    <d v="2016-12-09T00:00:00"/>
    <x v="0"/>
    <s v="Q4"/>
    <x v="5"/>
    <d v="2016-12-13T00:00:00"/>
    <s v="Standard Class"/>
    <x v="334"/>
    <x v="334"/>
    <s v="Corporate"/>
    <s v="United States"/>
    <s v="Fort Worth"/>
    <x v="5"/>
    <n v="76106"/>
    <x v="2"/>
    <x v="1132"/>
    <x v="1"/>
    <x v="6"/>
    <x v="1120"/>
    <n v="9.3279999999999994"/>
    <s v="Low"/>
    <n v="1"/>
    <n v="0.2"/>
    <x v="2"/>
    <x v="2"/>
    <n v="0.81620000000000004"/>
    <n v="8.7500000000000008E-2"/>
    <n v="0"/>
  </r>
  <r>
    <n v="2035"/>
    <s v="CA-2017-162481"/>
    <d v="2017-09-25T00:00:00"/>
    <x v="3"/>
    <s v="Q3"/>
    <x v="15"/>
    <d v="2017-09-29T00:00:00"/>
    <s v="Standard Class"/>
    <x v="564"/>
    <x v="564"/>
    <s v="Consumer"/>
    <s v="United States"/>
    <s v="Rochester"/>
    <x v="11"/>
    <n v="55901"/>
    <x v="2"/>
    <x v="863"/>
    <x v="1"/>
    <x v="8"/>
    <x v="857"/>
    <n v="8.26"/>
    <s v="Low"/>
    <n v="2"/>
    <n v="0"/>
    <x v="0"/>
    <x v="0"/>
    <n v="3.8822000000000001"/>
    <n v="0.47000000000000003"/>
    <n v="0"/>
  </r>
  <r>
    <n v="2036"/>
    <s v="CA-2017-162481"/>
    <d v="2017-09-25T00:00:00"/>
    <x v="3"/>
    <s v="Q3"/>
    <x v="15"/>
    <d v="2017-09-29T00:00:00"/>
    <s v="Standard Class"/>
    <x v="564"/>
    <x v="564"/>
    <s v="Consumer"/>
    <s v="United States"/>
    <s v="Rochester"/>
    <x v="11"/>
    <n v="55901"/>
    <x v="2"/>
    <x v="51"/>
    <x v="0"/>
    <x v="1"/>
    <x v="51"/>
    <n v="269.97000000000003"/>
    <s v="High"/>
    <n v="3"/>
    <n v="0"/>
    <x v="0"/>
    <x v="0"/>
    <n v="51.2943"/>
    <n v="0.18999999999999997"/>
    <n v="0"/>
  </r>
  <r>
    <n v="2037"/>
    <s v="CA-2015-119214"/>
    <d v="2015-01-23T00:00:00"/>
    <x v="1"/>
    <s v="Q1"/>
    <x v="26"/>
    <d v="2015-01-27T00:00:00"/>
    <s v="Standard Class"/>
    <x v="194"/>
    <x v="194"/>
    <s v="Home Office"/>
    <s v="United States"/>
    <s v="Bozeman"/>
    <x v="37"/>
    <n v="59715"/>
    <x v="1"/>
    <x v="364"/>
    <x v="1"/>
    <x v="10"/>
    <x v="364"/>
    <n v="29.04"/>
    <s v="Medium"/>
    <n v="3"/>
    <n v="0"/>
    <x v="0"/>
    <x v="0"/>
    <n v="13.9392"/>
    <n v="0.48"/>
    <n v="0"/>
  </r>
  <r>
    <n v="2038"/>
    <s v="CA-2015-119214"/>
    <d v="2015-01-23T00:00:00"/>
    <x v="1"/>
    <s v="Q1"/>
    <x v="26"/>
    <d v="2015-01-27T00:00:00"/>
    <s v="Standard Class"/>
    <x v="194"/>
    <x v="194"/>
    <s v="Home Office"/>
    <s v="United States"/>
    <s v="Bozeman"/>
    <x v="37"/>
    <n v="59715"/>
    <x v="1"/>
    <x v="1100"/>
    <x v="1"/>
    <x v="2"/>
    <x v="1089"/>
    <n v="14.62"/>
    <s v="Low"/>
    <n v="2"/>
    <n v="0"/>
    <x v="0"/>
    <x v="0"/>
    <n v="6.8714000000000004"/>
    <n v="0.47000000000000003"/>
    <n v="0"/>
  </r>
  <r>
    <n v="2039"/>
    <s v="CA-2015-122287"/>
    <d v="2015-06-18T00:00:00"/>
    <x v="1"/>
    <s v="Q2"/>
    <x v="40"/>
    <d v="2015-06-23T00:00:00"/>
    <s v="Standard Class"/>
    <x v="381"/>
    <x v="381"/>
    <s v="Home Office"/>
    <s v="United States"/>
    <s v="Peoria"/>
    <x v="16"/>
    <n v="85345"/>
    <x v="1"/>
    <x v="1223"/>
    <x v="1"/>
    <x v="10"/>
    <x v="1207"/>
    <n v="11.952"/>
    <s v="Low"/>
    <n v="3"/>
    <n v="0.2"/>
    <x v="2"/>
    <x v="2"/>
    <n v="4.3326000000000002"/>
    <n v="0.36250000000000004"/>
    <n v="0"/>
  </r>
  <r>
    <n v="2040"/>
    <s v="CA-2015-122287"/>
    <d v="2015-06-18T00:00:00"/>
    <x v="1"/>
    <s v="Q2"/>
    <x v="40"/>
    <d v="2015-06-23T00:00:00"/>
    <s v="Standard Class"/>
    <x v="381"/>
    <x v="381"/>
    <s v="Home Office"/>
    <s v="United States"/>
    <s v="Peoria"/>
    <x v="16"/>
    <n v="85345"/>
    <x v="1"/>
    <x v="870"/>
    <x v="1"/>
    <x v="8"/>
    <x v="864"/>
    <n v="4.5359999999999996"/>
    <s v="Low"/>
    <n v="7"/>
    <n v="0.7"/>
    <x v="1"/>
    <x v="5"/>
    <n v="-3.3264"/>
    <n v="-0.73333333333333339"/>
    <n v="1"/>
  </r>
  <r>
    <n v="2041"/>
    <s v="CA-2015-122287"/>
    <d v="2015-06-18T00:00:00"/>
    <x v="1"/>
    <s v="Q2"/>
    <x v="40"/>
    <d v="2015-06-23T00:00:00"/>
    <s v="Standard Class"/>
    <x v="381"/>
    <x v="381"/>
    <s v="Home Office"/>
    <s v="United States"/>
    <s v="Peoria"/>
    <x v="16"/>
    <n v="85345"/>
    <x v="1"/>
    <x v="785"/>
    <x v="1"/>
    <x v="8"/>
    <x v="784"/>
    <n v="9.1560000000000006"/>
    <s v="Low"/>
    <n v="2"/>
    <n v="0.7"/>
    <x v="1"/>
    <x v="5"/>
    <n v="-6.1040000000000001"/>
    <n v="-0.66666666666666663"/>
    <n v="1"/>
  </r>
  <r>
    <n v="2042"/>
    <s v="CA-2015-122287"/>
    <d v="2015-06-18T00:00:00"/>
    <x v="1"/>
    <s v="Q2"/>
    <x v="40"/>
    <d v="2015-06-23T00:00:00"/>
    <s v="Standard Class"/>
    <x v="381"/>
    <x v="381"/>
    <s v="Home Office"/>
    <s v="United States"/>
    <s v="Peoria"/>
    <x v="16"/>
    <n v="85345"/>
    <x v="1"/>
    <x v="1155"/>
    <x v="0"/>
    <x v="5"/>
    <x v="1143"/>
    <n v="75.36"/>
    <s v="Medium"/>
    <n v="5"/>
    <n v="0.2"/>
    <x v="2"/>
    <x v="2"/>
    <n v="20.724"/>
    <n v="0.27500000000000002"/>
    <n v="0"/>
  </r>
  <r>
    <n v="2043"/>
    <s v="CA-2015-104493"/>
    <d v="2015-10-02T00:00:00"/>
    <x v="1"/>
    <s v="Q4"/>
    <x v="2"/>
    <d v="2015-10-08T00:00:00"/>
    <s v="Standard Class"/>
    <x v="182"/>
    <x v="182"/>
    <s v="Corporate"/>
    <s v="United States"/>
    <s v="San Diego"/>
    <x v="1"/>
    <n v="92105"/>
    <x v="1"/>
    <x v="1224"/>
    <x v="1"/>
    <x v="8"/>
    <x v="1208"/>
    <n v="57.503999999999998"/>
    <s v="Medium"/>
    <n v="6"/>
    <n v="0.2"/>
    <x v="2"/>
    <x v="2"/>
    <n v="20.1264"/>
    <n v="0.35000000000000003"/>
    <n v="0"/>
  </r>
  <r>
    <n v="2044"/>
    <s v="US-2017-158946"/>
    <d v="2017-11-18T00:00:00"/>
    <x v="3"/>
    <s v="Q4"/>
    <x v="23"/>
    <d v="2017-11-23T00:00:00"/>
    <s v="Standard Class"/>
    <x v="478"/>
    <x v="478"/>
    <s v="Corporate"/>
    <s v="United States"/>
    <s v="Lakewood"/>
    <x v="24"/>
    <n v="44107"/>
    <x v="3"/>
    <x v="924"/>
    <x v="1"/>
    <x v="6"/>
    <x v="916"/>
    <n v="38.863999999999997"/>
    <s v="Medium"/>
    <n v="7"/>
    <n v="0.2"/>
    <x v="2"/>
    <x v="2"/>
    <n v="7.7728000000000002"/>
    <n v="0.2"/>
    <n v="0"/>
  </r>
  <r>
    <n v="2045"/>
    <s v="CA-2014-129168"/>
    <d v="2014-08-17T00:00:00"/>
    <x v="2"/>
    <s v="Q3"/>
    <x v="9"/>
    <d v="2014-08-23T00:00:00"/>
    <s v="Standard Class"/>
    <x v="10"/>
    <x v="10"/>
    <s v="Corporate"/>
    <s v="United States"/>
    <s v="Houston"/>
    <x v="5"/>
    <n v="77095"/>
    <x v="2"/>
    <x v="988"/>
    <x v="1"/>
    <x v="10"/>
    <x v="981"/>
    <n v="15.552"/>
    <s v="Low"/>
    <n v="3"/>
    <n v="0.2"/>
    <x v="2"/>
    <x v="2"/>
    <n v="5.4432"/>
    <n v="0.35000000000000003"/>
    <n v="0"/>
  </r>
  <r>
    <n v="2046"/>
    <s v="CA-2016-131835"/>
    <d v="2016-07-17T00:00:00"/>
    <x v="0"/>
    <s v="Q3"/>
    <x v="16"/>
    <d v="2016-07-21T00:00:00"/>
    <s v="Standard Class"/>
    <x v="565"/>
    <x v="565"/>
    <s v="Corporate"/>
    <s v="United States"/>
    <s v="Perth Amboy"/>
    <x v="30"/>
    <n v="8861"/>
    <x v="3"/>
    <x v="723"/>
    <x v="1"/>
    <x v="9"/>
    <x v="722"/>
    <n v="162.63999999999999"/>
    <s v="High"/>
    <n v="2"/>
    <n v="0"/>
    <x v="0"/>
    <x v="0"/>
    <n v="45.539200000000001"/>
    <n v="0.28000000000000003"/>
    <n v="0"/>
  </r>
  <r>
    <n v="2047"/>
    <s v="CA-2016-131835"/>
    <d v="2016-07-17T00:00:00"/>
    <x v="0"/>
    <s v="Q3"/>
    <x v="16"/>
    <d v="2016-07-21T00:00:00"/>
    <s v="Standard Class"/>
    <x v="565"/>
    <x v="565"/>
    <s v="Corporate"/>
    <s v="United States"/>
    <s v="Perth Amboy"/>
    <x v="30"/>
    <n v="8861"/>
    <x v="3"/>
    <x v="256"/>
    <x v="2"/>
    <x v="7"/>
    <x v="257"/>
    <n v="597"/>
    <s v="High"/>
    <n v="3"/>
    <n v="0"/>
    <x v="0"/>
    <x v="0"/>
    <n v="280.58999999999997"/>
    <n v="0.47"/>
    <n v="0"/>
  </r>
  <r>
    <n v="2048"/>
    <s v="CA-2016-131835"/>
    <d v="2016-07-17T00:00:00"/>
    <x v="0"/>
    <s v="Q3"/>
    <x v="16"/>
    <d v="2016-07-21T00:00:00"/>
    <s v="Standard Class"/>
    <x v="565"/>
    <x v="565"/>
    <s v="Corporate"/>
    <s v="United States"/>
    <s v="Perth Amboy"/>
    <x v="30"/>
    <n v="8861"/>
    <x v="3"/>
    <x v="417"/>
    <x v="1"/>
    <x v="10"/>
    <x v="417"/>
    <n v="55.48"/>
    <s v="Medium"/>
    <n v="1"/>
    <n v="0"/>
    <x v="0"/>
    <x v="0"/>
    <n v="26.630400000000002"/>
    <n v="0.48000000000000004"/>
    <n v="0"/>
  </r>
  <r>
    <n v="2049"/>
    <s v="CA-2015-142237"/>
    <d v="2015-07-11T00:00:00"/>
    <x v="1"/>
    <s v="Q3"/>
    <x v="38"/>
    <d v="2015-07-13T00:00:00"/>
    <s v="First Class"/>
    <x v="242"/>
    <x v="242"/>
    <s v="Consumer"/>
    <s v="United States"/>
    <s v="Philadelphia"/>
    <x v="9"/>
    <n v="19134"/>
    <x v="3"/>
    <x v="28"/>
    <x v="0"/>
    <x v="5"/>
    <x v="28"/>
    <n v="289.8"/>
    <s v="High"/>
    <n v="7"/>
    <n v="0.2"/>
    <x v="2"/>
    <x v="2"/>
    <n v="36.225000000000001"/>
    <n v="0.125"/>
    <n v="0"/>
  </r>
  <r>
    <n v="2050"/>
    <s v="CA-2015-142237"/>
    <d v="2015-07-11T00:00:00"/>
    <x v="1"/>
    <s v="Q3"/>
    <x v="38"/>
    <d v="2015-07-13T00:00:00"/>
    <s v="First Class"/>
    <x v="242"/>
    <x v="242"/>
    <s v="Consumer"/>
    <s v="United States"/>
    <s v="Philadelphia"/>
    <x v="9"/>
    <n v="19134"/>
    <x v="3"/>
    <x v="757"/>
    <x v="1"/>
    <x v="8"/>
    <x v="755"/>
    <n v="2.5019999999999998"/>
    <s v="Low"/>
    <n v="3"/>
    <n v="0.7"/>
    <x v="1"/>
    <x v="5"/>
    <n v="-2.0015999999999998"/>
    <n v="-0.8"/>
    <n v="1"/>
  </r>
  <r>
    <n v="2051"/>
    <s v="CA-2015-142237"/>
    <d v="2015-07-11T00:00:00"/>
    <x v="1"/>
    <s v="Q3"/>
    <x v="38"/>
    <d v="2015-07-13T00:00:00"/>
    <s v="First Class"/>
    <x v="242"/>
    <x v="242"/>
    <s v="Consumer"/>
    <s v="United States"/>
    <s v="Philadelphia"/>
    <x v="9"/>
    <n v="19134"/>
    <x v="3"/>
    <x v="806"/>
    <x v="1"/>
    <x v="8"/>
    <x v="804"/>
    <n v="6.48"/>
    <s v="Low"/>
    <n v="4"/>
    <n v="0.7"/>
    <x v="1"/>
    <x v="5"/>
    <n v="-4.7519999999999998"/>
    <n v="-0.73333333333333328"/>
    <n v="1"/>
  </r>
  <r>
    <n v="2052"/>
    <s v="CA-2015-142237"/>
    <d v="2015-07-11T00:00:00"/>
    <x v="1"/>
    <s v="Q3"/>
    <x v="38"/>
    <d v="2015-07-13T00:00:00"/>
    <s v="First Class"/>
    <x v="242"/>
    <x v="242"/>
    <s v="Consumer"/>
    <s v="United States"/>
    <s v="Philadelphia"/>
    <x v="9"/>
    <n v="19134"/>
    <x v="3"/>
    <x v="1225"/>
    <x v="0"/>
    <x v="1"/>
    <x v="1209"/>
    <n v="341.488"/>
    <s v="High"/>
    <n v="8"/>
    <n v="0.3"/>
    <x v="1"/>
    <x v="4"/>
    <n v="-73.176000000000002"/>
    <n v="-0.2142857142857143"/>
    <n v="1"/>
  </r>
  <r>
    <n v="2053"/>
    <s v="CA-2015-142237"/>
    <d v="2015-07-11T00:00:00"/>
    <x v="1"/>
    <s v="Q3"/>
    <x v="38"/>
    <d v="2015-07-13T00:00:00"/>
    <s v="First Class"/>
    <x v="242"/>
    <x v="242"/>
    <s v="Consumer"/>
    <s v="United States"/>
    <s v="Philadelphia"/>
    <x v="9"/>
    <n v="19134"/>
    <x v="3"/>
    <x v="324"/>
    <x v="1"/>
    <x v="6"/>
    <x v="324"/>
    <n v="11.12"/>
    <s v="Low"/>
    <n v="5"/>
    <n v="0.2"/>
    <x v="2"/>
    <x v="2"/>
    <n v="0.83399999999999996"/>
    <n v="7.4999999999999997E-2"/>
    <n v="0"/>
  </r>
  <r>
    <n v="2054"/>
    <s v="CA-2015-142237"/>
    <d v="2015-07-11T00:00:00"/>
    <x v="1"/>
    <s v="Q3"/>
    <x v="38"/>
    <d v="2015-07-13T00:00:00"/>
    <s v="First Class"/>
    <x v="242"/>
    <x v="242"/>
    <s v="Consumer"/>
    <s v="United States"/>
    <s v="Philadelphia"/>
    <x v="9"/>
    <n v="19134"/>
    <x v="3"/>
    <x v="1226"/>
    <x v="0"/>
    <x v="5"/>
    <x v="1210"/>
    <n v="25.344000000000001"/>
    <s v="Medium"/>
    <n v="6"/>
    <n v="0.2"/>
    <x v="2"/>
    <x v="2"/>
    <n v="3.4847999999999999"/>
    <n v="0.13749999999999998"/>
    <n v="0"/>
  </r>
  <r>
    <n v="2055"/>
    <s v="CA-2016-136434"/>
    <d v="2016-12-01T00:00:00"/>
    <x v="0"/>
    <s v="Q4"/>
    <x v="5"/>
    <d v="2016-12-07T00:00:00"/>
    <s v="Standard Class"/>
    <x v="502"/>
    <x v="502"/>
    <s v="Consumer"/>
    <s v="United States"/>
    <s v="Richmond"/>
    <x v="14"/>
    <n v="47374"/>
    <x v="2"/>
    <x v="1137"/>
    <x v="0"/>
    <x v="5"/>
    <x v="1125"/>
    <n v="17.309999999999999"/>
    <s v="Low"/>
    <n v="3"/>
    <n v="0"/>
    <x v="0"/>
    <x v="0"/>
    <n v="5.1929999999999996"/>
    <n v="0.3"/>
    <n v="0"/>
  </r>
  <r>
    <n v="2056"/>
    <s v="CA-2017-120376"/>
    <d v="2017-12-22T00:00:00"/>
    <x v="3"/>
    <s v="Q4"/>
    <x v="22"/>
    <d v="2017-12-25T00:00:00"/>
    <s v="First Class"/>
    <x v="236"/>
    <x v="236"/>
    <s v="Consumer"/>
    <s v="United States"/>
    <s v="Detroit"/>
    <x v="12"/>
    <n v="48227"/>
    <x v="2"/>
    <x v="1227"/>
    <x v="2"/>
    <x v="11"/>
    <x v="1211"/>
    <n v="199.95"/>
    <s v="High"/>
    <n v="5"/>
    <n v="0"/>
    <x v="0"/>
    <x v="0"/>
    <n v="63.984000000000002"/>
    <n v="0.32"/>
    <n v="0"/>
  </r>
  <r>
    <n v="2057"/>
    <s v="CA-2017-120376"/>
    <d v="2017-12-22T00:00:00"/>
    <x v="3"/>
    <s v="Q4"/>
    <x v="22"/>
    <d v="2017-12-25T00:00:00"/>
    <s v="First Class"/>
    <x v="236"/>
    <x v="236"/>
    <s v="Consumer"/>
    <s v="United States"/>
    <s v="Detroit"/>
    <x v="12"/>
    <n v="48227"/>
    <x v="2"/>
    <x v="629"/>
    <x v="0"/>
    <x v="1"/>
    <x v="629"/>
    <n v="1586.69"/>
    <s v="High"/>
    <n v="7"/>
    <n v="0"/>
    <x v="0"/>
    <x v="0"/>
    <n v="412.5394"/>
    <n v="0.26"/>
    <n v="0"/>
  </r>
  <r>
    <n v="2058"/>
    <s v="CA-2017-120376"/>
    <d v="2017-12-22T00:00:00"/>
    <x v="3"/>
    <s v="Q4"/>
    <x v="22"/>
    <d v="2017-12-25T00:00:00"/>
    <s v="First Class"/>
    <x v="236"/>
    <x v="236"/>
    <s v="Consumer"/>
    <s v="United States"/>
    <s v="Detroit"/>
    <x v="12"/>
    <n v="48227"/>
    <x v="2"/>
    <x v="106"/>
    <x v="2"/>
    <x v="11"/>
    <x v="106"/>
    <n v="84.99"/>
    <s v="Medium"/>
    <n v="1"/>
    <n v="0"/>
    <x v="0"/>
    <x v="0"/>
    <n v="30.596399999999999"/>
    <n v="0.36"/>
    <n v="0"/>
  </r>
  <r>
    <n v="2059"/>
    <s v="CA-2017-120376"/>
    <d v="2017-12-22T00:00:00"/>
    <x v="3"/>
    <s v="Q4"/>
    <x v="22"/>
    <d v="2017-12-25T00:00:00"/>
    <s v="First Class"/>
    <x v="236"/>
    <x v="236"/>
    <s v="Consumer"/>
    <s v="United States"/>
    <s v="Detroit"/>
    <x v="12"/>
    <n v="48227"/>
    <x v="2"/>
    <x v="121"/>
    <x v="0"/>
    <x v="3"/>
    <x v="121"/>
    <n v="411.8"/>
    <s v="High"/>
    <n v="2"/>
    <n v="0"/>
    <x v="0"/>
    <x v="0"/>
    <n v="70.006"/>
    <n v="0.16999999999999998"/>
    <n v="0"/>
  </r>
  <r>
    <n v="2060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228"/>
    <x v="1"/>
    <x v="13"/>
    <x v="128"/>
    <n v="11.34"/>
    <s v="Low"/>
    <n v="3"/>
    <n v="0"/>
    <x v="0"/>
    <x v="0"/>
    <n v="5.2164000000000001"/>
    <n v="0.46"/>
    <n v="0"/>
  </r>
  <r>
    <n v="2061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229"/>
    <x v="1"/>
    <x v="4"/>
    <x v="1212"/>
    <n v="80.3"/>
    <s v="Medium"/>
    <n v="5"/>
    <n v="0"/>
    <x v="0"/>
    <x v="0"/>
    <n v="20.878"/>
    <n v="0.26"/>
    <n v="0"/>
  </r>
  <r>
    <n v="2062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230"/>
    <x v="1"/>
    <x v="8"/>
    <x v="1213"/>
    <n v="15.968"/>
    <s v="Low"/>
    <n v="2"/>
    <n v="0.2"/>
    <x v="2"/>
    <x v="2"/>
    <n v="5.3891999999999998"/>
    <n v="0.33749999999999997"/>
    <n v="0"/>
  </r>
  <r>
    <n v="2063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231"/>
    <x v="1"/>
    <x v="10"/>
    <x v="1214"/>
    <n v="64.739999999999995"/>
    <s v="Medium"/>
    <n v="13"/>
    <n v="0"/>
    <x v="0"/>
    <x v="0"/>
    <n v="30.427800000000001"/>
    <n v="0.47000000000000008"/>
    <n v="0"/>
  </r>
  <r>
    <n v="2064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232"/>
    <x v="1"/>
    <x v="8"/>
    <x v="1215"/>
    <n v="19.295999999999999"/>
    <s v="Low"/>
    <n v="3"/>
    <n v="0.2"/>
    <x v="2"/>
    <x v="2"/>
    <n v="6.03"/>
    <n v="0.3125"/>
    <n v="0"/>
  </r>
  <r>
    <n v="2065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537"/>
    <x v="1"/>
    <x v="4"/>
    <x v="537"/>
    <n v="405.64"/>
    <s v="High"/>
    <n v="4"/>
    <n v="0"/>
    <x v="0"/>
    <x v="0"/>
    <n v="12.1692"/>
    <n v="3.0000000000000002E-2"/>
    <n v="0"/>
  </r>
  <r>
    <n v="2066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225"/>
    <x v="0"/>
    <x v="1"/>
    <x v="1209"/>
    <n v="146.352"/>
    <s v="High"/>
    <n v="3"/>
    <n v="0.2"/>
    <x v="2"/>
    <x v="2"/>
    <n v="-9.1470000000000002"/>
    <n v="-6.25E-2"/>
    <n v="1"/>
  </r>
  <r>
    <n v="2067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130"/>
    <x v="2"/>
    <x v="11"/>
    <x v="1118"/>
    <n v="251.91"/>
    <s v="High"/>
    <n v="9"/>
    <n v="0"/>
    <x v="0"/>
    <x v="0"/>
    <n v="47.862900000000003"/>
    <n v="0.19"/>
    <n v="0"/>
  </r>
  <r>
    <n v="2068"/>
    <s v="CA-2014-106439"/>
    <d v="2014-10-31T00:00:00"/>
    <x v="2"/>
    <s v="Q4"/>
    <x v="18"/>
    <d v="2014-11-04T00:00:00"/>
    <s v="Standard Class"/>
    <x v="55"/>
    <x v="55"/>
    <s v="Corporate"/>
    <s v="United States"/>
    <s v="Los Angeles"/>
    <x v="1"/>
    <n v="90049"/>
    <x v="1"/>
    <x v="1024"/>
    <x v="1"/>
    <x v="6"/>
    <x v="1015"/>
    <n v="12.39"/>
    <s v="Low"/>
    <n v="3"/>
    <n v="0"/>
    <x v="0"/>
    <x v="0"/>
    <n v="3.7170000000000001"/>
    <n v="0.3"/>
    <n v="0"/>
  </r>
  <r>
    <n v="2069"/>
    <s v="CA-2015-133452"/>
    <d v="2015-04-13T00:00:00"/>
    <x v="1"/>
    <s v="Q2"/>
    <x v="19"/>
    <d v="2015-04-19T00:00:00"/>
    <s v="Standard Class"/>
    <x v="233"/>
    <x v="233"/>
    <s v="Consumer"/>
    <s v="United States"/>
    <s v="Pomona"/>
    <x v="1"/>
    <n v="91767"/>
    <x v="1"/>
    <x v="1233"/>
    <x v="2"/>
    <x v="11"/>
    <x v="1216"/>
    <n v="199.96"/>
    <s v="High"/>
    <n v="4"/>
    <n v="0"/>
    <x v="0"/>
    <x v="0"/>
    <n v="69.986000000000004"/>
    <n v="0.35000000000000003"/>
    <n v="0"/>
  </r>
  <r>
    <n v="2070"/>
    <s v="CA-2015-133452"/>
    <d v="2015-04-13T00:00:00"/>
    <x v="1"/>
    <s v="Q2"/>
    <x v="19"/>
    <d v="2015-04-19T00:00:00"/>
    <s v="Standard Class"/>
    <x v="233"/>
    <x v="233"/>
    <s v="Consumer"/>
    <s v="United States"/>
    <s v="Pomona"/>
    <x v="1"/>
    <n v="91767"/>
    <x v="1"/>
    <x v="1234"/>
    <x v="0"/>
    <x v="3"/>
    <x v="1217"/>
    <n v="710.83199999999999"/>
    <s v="High"/>
    <n v="3"/>
    <n v="0.2"/>
    <x v="2"/>
    <x v="2"/>
    <n v="-97.739400000000003"/>
    <n v="-0.13750000000000001"/>
    <n v="1"/>
  </r>
  <r>
    <n v="2071"/>
    <s v="CA-2016-146521"/>
    <d v="2016-07-21T00:00:00"/>
    <x v="0"/>
    <s v="Q3"/>
    <x v="16"/>
    <d v="2016-07-23T00:00:00"/>
    <s v="Second Class"/>
    <x v="566"/>
    <x v="566"/>
    <s v="Corporate"/>
    <s v="United States"/>
    <s v="Philadelphia"/>
    <x v="9"/>
    <n v="19134"/>
    <x v="3"/>
    <x v="625"/>
    <x v="1"/>
    <x v="8"/>
    <x v="625"/>
    <n v="1.9410000000000001"/>
    <s v="Low"/>
    <n v="1"/>
    <n v="0.7"/>
    <x v="1"/>
    <x v="5"/>
    <n v="-1.294"/>
    <n v="-0.66666666666666663"/>
    <n v="1"/>
  </r>
  <r>
    <n v="2072"/>
    <s v="US-2017-110996"/>
    <d v="2017-11-20T00:00:00"/>
    <x v="3"/>
    <s v="Q4"/>
    <x v="23"/>
    <d v="2017-11-25T00:00:00"/>
    <s v="Standard Class"/>
    <x v="567"/>
    <x v="567"/>
    <s v="Consumer"/>
    <s v="United States"/>
    <s v="Ontario"/>
    <x v="1"/>
    <n v="91761"/>
    <x v="1"/>
    <x v="367"/>
    <x v="0"/>
    <x v="1"/>
    <x v="368"/>
    <n v="283.92"/>
    <s v="High"/>
    <n v="5"/>
    <n v="0.2"/>
    <x v="2"/>
    <x v="2"/>
    <n v="-46.137"/>
    <n v="-0.16250000000000001"/>
    <n v="1"/>
  </r>
  <r>
    <n v="2073"/>
    <s v="CA-2016-129693"/>
    <d v="2016-11-26T00:00:00"/>
    <x v="0"/>
    <s v="Q4"/>
    <x v="0"/>
    <d v="2016-12-02T00:00:00"/>
    <s v="Standard Class"/>
    <x v="568"/>
    <x v="568"/>
    <s v="Corporate"/>
    <s v="United States"/>
    <s v="Seattle"/>
    <x v="4"/>
    <n v="98105"/>
    <x v="1"/>
    <x v="1203"/>
    <x v="1"/>
    <x v="8"/>
    <x v="1188"/>
    <n v="7.3120000000000003"/>
    <s v="Low"/>
    <n v="2"/>
    <n v="0.2"/>
    <x v="2"/>
    <x v="2"/>
    <n v="2.5592000000000001"/>
    <n v="0.35000000000000003"/>
    <n v="0"/>
  </r>
  <r>
    <n v="2074"/>
    <s v="CA-2017-122504"/>
    <d v="2017-11-07T00:00:00"/>
    <x v="3"/>
    <s v="Q4"/>
    <x v="23"/>
    <d v="2017-11-12T00:00:00"/>
    <s v="Second Class"/>
    <x v="489"/>
    <x v="489"/>
    <s v="Home Office"/>
    <s v="United States"/>
    <s v="Brentwood"/>
    <x v="1"/>
    <n v="94513"/>
    <x v="1"/>
    <x v="1235"/>
    <x v="2"/>
    <x v="11"/>
    <x v="1218"/>
    <n v="59.97"/>
    <s v="Medium"/>
    <n v="3"/>
    <n v="0"/>
    <x v="0"/>
    <x v="0"/>
    <n v="13.793100000000001"/>
    <n v="0.23"/>
    <n v="0"/>
  </r>
  <r>
    <n v="2075"/>
    <s v="CA-2017-122504"/>
    <d v="2017-11-07T00:00:00"/>
    <x v="3"/>
    <s v="Q4"/>
    <x v="23"/>
    <d v="2017-11-12T00:00:00"/>
    <s v="Second Class"/>
    <x v="489"/>
    <x v="489"/>
    <s v="Home Office"/>
    <s v="United States"/>
    <s v="Brentwood"/>
    <x v="1"/>
    <n v="94513"/>
    <x v="1"/>
    <x v="1236"/>
    <x v="2"/>
    <x v="7"/>
    <x v="1219"/>
    <n v="761.54399999999998"/>
    <s v="High"/>
    <n v="7"/>
    <n v="0.2"/>
    <x v="2"/>
    <x v="2"/>
    <n v="66.635099999999994"/>
    <n v="8.7499999999999994E-2"/>
    <n v="0"/>
  </r>
  <r>
    <n v="2076"/>
    <s v="CA-2014-131051"/>
    <d v="2014-12-01T00:00:00"/>
    <x v="2"/>
    <s v="Q4"/>
    <x v="20"/>
    <d v="2014-12-05T00:00:00"/>
    <s v="Standard Class"/>
    <x v="309"/>
    <x v="309"/>
    <s v="Consumer"/>
    <s v="United States"/>
    <s v="San Francisco"/>
    <x v="1"/>
    <n v="94122"/>
    <x v="1"/>
    <x v="275"/>
    <x v="0"/>
    <x v="5"/>
    <x v="275"/>
    <n v="58.2"/>
    <s v="Medium"/>
    <n v="3"/>
    <n v="0"/>
    <x v="0"/>
    <x v="0"/>
    <n v="28.518000000000001"/>
    <n v="0.49"/>
    <n v="0"/>
  </r>
  <r>
    <n v="2077"/>
    <s v="CA-2017-140676"/>
    <d v="2017-09-12T00:00:00"/>
    <x v="3"/>
    <s v="Q3"/>
    <x v="15"/>
    <d v="2017-09-15T00:00:00"/>
    <s v="First Class"/>
    <x v="569"/>
    <x v="569"/>
    <s v="Consumer"/>
    <s v="United States"/>
    <s v="Baltimore"/>
    <x v="39"/>
    <n v="21215"/>
    <x v="3"/>
    <x v="226"/>
    <x v="1"/>
    <x v="10"/>
    <x v="227"/>
    <n v="39.9"/>
    <s v="Medium"/>
    <n v="5"/>
    <n v="0"/>
    <x v="0"/>
    <x v="0"/>
    <n v="19.95"/>
    <n v="0.5"/>
    <n v="0"/>
  </r>
  <r>
    <n v="2078"/>
    <s v="CA-2017-140676"/>
    <d v="2017-09-12T00:00:00"/>
    <x v="3"/>
    <s v="Q3"/>
    <x v="15"/>
    <d v="2017-09-15T00:00:00"/>
    <s v="First Class"/>
    <x v="569"/>
    <x v="569"/>
    <s v="Consumer"/>
    <s v="United States"/>
    <s v="Baltimore"/>
    <x v="39"/>
    <n v="21215"/>
    <x v="3"/>
    <x v="95"/>
    <x v="1"/>
    <x v="9"/>
    <x v="95"/>
    <n v="90.86"/>
    <s v="Medium"/>
    <n v="7"/>
    <n v="0"/>
    <x v="0"/>
    <x v="0"/>
    <n v="26.349399999999999"/>
    <n v="0.28999999999999998"/>
    <n v="0"/>
  </r>
  <r>
    <n v="2079"/>
    <s v="CA-2017-140676"/>
    <d v="2017-09-12T00:00:00"/>
    <x v="3"/>
    <s v="Q3"/>
    <x v="15"/>
    <d v="2017-09-15T00:00:00"/>
    <s v="First Class"/>
    <x v="569"/>
    <x v="569"/>
    <s v="Consumer"/>
    <s v="United States"/>
    <s v="Baltimore"/>
    <x v="39"/>
    <n v="21215"/>
    <x v="3"/>
    <x v="274"/>
    <x v="1"/>
    <x v="10"/>
    <x v="274"/>
    <n v="94.85"/>
    <s v="Medium"/>
    <n v="5"/>
    <n v="0"/>
    <x v="0"/>
    <x v="0"/>
    <n v="45.527999999999999"/>
    <n v="0.48000000000000004"/>
    <n v="0"/>
  </r>
  <r>
    <n v="2080"/>
    <s v="CA-2015-120103"/>
    <d v="2015-12-24T00:00:00"/>
    <x v="1"/>
    <s v="Q4"/>
    <x v="14"/>
    <d v="2015-12-29T00:00:00"/>
    <s v="Standard Class"/>
    <x v="333"/>
    <x v="333"/>
    <s v="Consumer"/>
    <s v="United States"/>
    <s v="Phoenix"/>
    <x v="16"/>
    <n v="85023"/>
    <x v="1"/>
    <x v="1237"/>
    <x v="1"/>
    <x v="10"/>
    <x v="1220"/>
    <n v="106.232"/>
    <s v="Medium"/>
    <n v="7"/>
    <n v="0.2"/>
    <x v="2"/>
    <x v="2"/>
    <n v="37.181199999999997"/>
    <n v="0.35"/>
    <n v="0"/>
  </r>
  <r>
    <n v="2081"/>
    <s v="CA-2015-120103"/>
    <d v="2015-12-24T00:00:00"/>
    <x v="1"/>
    <s v="Q4"/>
    <x v="14"/>
    <d v="2015-12-29T00:00:00"/>
    <s v="Standard Class"/>
    <x v="333"/>
    <x v="333"/>
    <s v="Consumer"/>
    <s v="United States"/>
    <s v="Phoenix"/>
    <x v="16"/>
    <n v="85023"/>
    <x v="1"/>
    <x v="599"/>
    <x v="2"/>
    <x v="7"/>
    <x v="599"/>
    <n v="111.98399999999999"/>
    <s v="Medium"/>
    <n v="2"/>
    <n v="0.2"/>
    <x v="2"/>
    <x v="2"/>
    <n v="11.198399999999999"/>
    <n v="0.1"/>
    <n v="0"/>
  </r>
  <r>
    <n v="2082"/>
    <s v="CA-2015-120103"/>
    <d v="2015-12-24T00:00:00"/>
    <x v="1"/>
    <s v="Q4"/>
    <x v="14"/>
    <d v="2015-12-29T00:00:00"/>
    <s v="Standard Class"/>
    <x v="333"/>
    <x v="333"/>
    <s v="Consumer"/>
    <s v="United States"/>
    <s v="Phoenix"/>
    <x v="16"/>
    <n v="85023"/>
    <x v="1"/>
    <x v="763"/>
    <x v="0"/>
    <x v="5"/>
    <x v="762"/>
    <n v="7.7119999999999997"/>
    <s v="Low"/>
    <n v="2"/>
    <n v="0.2"/>
    <x v="2"/>
    <x v="2"/>
    <n v="1.7352000000000001"/>
    <n v="0.22500000000000001"/>
    <n v="0"/>
  </r>
  <r>
    <n v="2083"/>
    <s v="CA-2017-104647"/>
    <d v="2017-02-23T00:00:00"/>
    <x v="3"/>
    <s v="Q1"/>
    <x v="31"/>
    <d v="2017-03-01T00:00:00"/>
    <s v="Standard Class"/>
    <x v="242"/>
    <x v="242"/>
    <s v="Consumer"/>
    <s v="United States"/>
    <s v="Los Angeles"/>
    <x v="1"/>
    <n v="90008"/>
    <x v="1"/>
    <x v="910"/>
    <x v="1"/>
    <x v="10"/>
    <x v="902"/>
    <n v="37.44"/>
    <s v="Medium"/>
    <n v="6"/>
    <n v="0"/>
    <x v="0"/>
    <x v="0"/>
    <n v="16.847999999999999"/>
    <n v="0.45"/>
    <n v="0"/>
  </r>
  <r>
    <n v="2084"/>
    <s v="CA-2014-110352"/>
    <d v="2014-11-23T00:00:00"/>
    <x v="2"/>
    <s v="Q4"/>
    <x v="7"/>
    <d v="2014-11-29T00:00:00"/>
    <s v="Standard Class"/>
    <x v="525"/>
    <x v="525"/>
    <s v="Home Office"/>
    <s v="United States"/>
    <s v="Houston"/>
    <x v="5"/>
    <n v="77036"/>
    <x v="2"/>
    <x v="429"/>
    <x v="1"/>
    <x v="2"/>
    <x v="429"/>
    <n v="23.68"/>
    <s v="Low"/>
    <n v="2"/>
    <n v="0.2"/>
    <x v="2"/>
    <x v="2"/>
    <n v="8.8800000000000008"/>
    <n v="0.37500000000000006"/>
    <n v="0"/>
  </r>
  <r>
    <n v="2085"/>
    <s v="CA-2016-140501"/>
    <d v="2016-06-23T00:00:00"/>
    <x v="0"/>
    <s v="Q2"/>
    <x v="1"/>
    <d v="2016-06-28T00:00:00"/>
    <s v="Standard Class"/>
    <x v="5"/>
    <x v="5"/>
    <s v="Consumer"/>
    <s v="United States"/>
    <s v="New York City"/>
    <x v="15"/>
    <n v="10009"/>
    <x v="3"/>
    <x v="580"/>
    <x v="1"/>
    <x v="2"/>
    <x v="580"/>
    <n v="122.12"/>
    <s v="Medium"/>
    <n v="4"/>
    <n v="0"/>
    <x v="0"/>
    <x v="0"/>
    <n v="56.175199999999997"/>
    <n v="0.45999999999999996"/>
    <n v="0"/>
  </r>
  <r>
    <n v="2086"/>
    <s v="CA-2016-140501"/>
    <d v="2016-06-23T00:00:00"/>
    <x v="0"/>
    <s v="Q2"/>
    <x v="1"/>
    <d v="2016-06-28T00:00:00"/>
    <s v="Standard Class"/>
    <x v="5"/>
    <x v="5"/>
    <s v="Consumer"/>
    <s v="United States"/>
    <s v="New York City"/>
    <x v="15"/>
    <n v="10009"/>
    <x v="3"/>
    <x v="1238"/>
    <x v="1"/>
    <x v="2"/>
    <x v="1221"/>
    <n v="18.45"/>
    <s v="Low"/>
    <n v="5"/>
    <n v="0"/>
    <x v="0"/>
    <x v="0"/>
    <n v="8.6715"/>
    <n v="0.47000000000000003"/>
    <n v="0"/>
  </r>
  <r>
    <n v="2087"/>
    <s v="CA-2016-140501"/>
    <d v="2016-06-23T00:00:00"/>
    <x v="0"/>
    <s v="Q2"/>
    <x v="1"/>
    <d v="2016-06-28T00:00:00"/>
    <s v="Standard Class"/>
    <x v="5"/>
    <x v="5"/>
    <s v="Consumer"/>
    <s v="United States"/>
    <s v="New York City"/>
    <x v="15"/>
    <n v="10009"/>
    <x v="3"/>
    <x v="391"/>
    <x v="1"/>
    <x v="4"/>
    <x v="392"/>
    <n v="324.89999999999998"/>
    <s v="High"/>
    <n v="5"/>
    <n v="0"/>
    <x v="0"/>
    <x v="0"/>
    <n v="38.988"/>
    <n v="0.12000000000000001"/>
    <n v="0"/>
  </r>
  <r>
    <n v="2088"/>
    <s v="CA-2016-140501"/>
    <d v="2016-06-23T00:00:00"/>
    <x v="0"/>
    <s v="Q2"/>
    <x v="1"/>
    <d v="2016-06-28T00:00:00"/>
    <s v="Standard Class"/>
    <x v="5"/>
    <x v="5"/>
    <s v="Consumer"/>
    <s v="United States"/>
    <s v="New York City"/>
    <x v="15"/>
    <n v="10009"/>
    <x v="3"/>
    <x v="1158"/>
    <x v="1"/>
    <x v="10"/>
    <x v="1146"/>
    <n v="146.72999999999999"/>
    <s v="High"/>
    <n v="3"/>
    <n v="0"/>
    <x v="0"/>
    <x v="0"/>
    <n v="68.963099999999997"/>
    <n v="0.47000000000000003"/>
    <n v="0"/>
  </r>
  <r>
    <n v="2089"/>
    <s v="CA-2016-140501"/>
    <d v="2016-06-23T00:00:00"/>
    <x v="0"/>
    <s v="Q2"/>
    <x v="1"/>
    <d v="2016-06-28T00:00:00"/>
    <s v="Standard Class"/>
    <x v="5"/>
    <x v="5"/>
    <s v="Consumer"/>
    <s v="United States"/>
    <s v="New York City"/>
    <x v="15"/>
    <n v="10009"/>
    <x v="3"/>
    <x v="1239"/>
    <x v="1"/>
    <x v="13"/>
    <x v="1222"/>
    <n v="3.96"/>
    <s v="Low"/>
    <n v="2"/>
    <n v="0"/>
    <x v="0"/>
    <x v="0"/>
    <n v="1.4652000000000001"/>
    <n v="0.37"/>
    <n v="0"/>
  </r>
  <r>
    <n v="2090"/>
    <s v="CA-2015-139290"/>
    <d v="2015-10-26T00:00:00"/>
    <x v="1"/>
    <s v="Q4"/>
    <x v="2"/>
    <d v="2015-10-30T00:00:00"/>
    <s v="Standard Class"/>
    <x v="199"/>
    <x v="199"/>
    <s v="Corporate"/>
    <s v="United States"/>
    <s v="Rancho Cucamonga"/>
    <x v="1"/>
    <n v="91730"/>
    <x v="1"/>
    <x v="1240"/>
    <x v="1"/>
    <x v="2"/>
    <x v="1223"/>
    <n v="5.76"/>
    <s v="Low"/>
    <n v="2"/>
    <n v="0"/>
    <x v="0"/>
    <x v="0"/>
    <n v="2.6496"/>
    <n v="0.46"/>
    <n v="0"/>
  </r>
  <r>
    <n v="2091"/>
    <s v="CA-2017-166142"/>
    <d v="2017-07-15T00:00:00"/>
    <x v="3"/>
    <s v="Q3"/>
    <x v="10"/>
    <d v="2017-07-19T00:00:00"/>
    <s v="Standard Class"/>
    <x v="570"/>
    <x v="570"/>
    <s v="Consumer"/>
    <s v="United States"/>
    <s v="Wilmington"/>
    <x v="13"/>
    <n v="19805"/>
    <x v="3"/>
    <x v="608"/>
    <x v="1"/>
    <x v="8"/>
    <x v="608"/>
    <n v="26.55"/>
    <s v="Medium"/>
    <n v="3"/>
    <n v="0"/>
    <x v="0"/>
    <x v="0"/>
    <n v="13.009499999999999"/>
    <n v="0.48999999999999994"/>
    <n v="0"/>
  </r>
  <r>
    <n v="2092"/>
    <s v="CA-2017-166142"/>
    <d v="2017-07-15T00:00:00"/>
    <x v="3"/>
    <s v="Q3"/>
    <x v="10"/>
    <d v="2017-07-19T00:00:00"/>
    <s v="Standard Class"/>
    <x v="570"/>
    <x v="570"/>
    <s v="Consumer"/>
    <s v="United States"/>
    <s v="Wilmington"/>
    <x v="13"/>
    <n v="19805"/>
    <x v="3"/>
    <x v="1116"/>
    <x v="0"/>
    <x v="3"/>
    <x v="1104"/>
    <n v="310.44299999999998"/>
    <s v="High"/>
    <n v="3"/>
    <n v="0.3"/>
    <x v="1"/>
    <x v="4"/>
    <n v="-48.783900000000003"/>
    <n v="-0.15714285714285717"/>
    <n v="1"/>
  </r>
  <r>
    <n v="2093"/>
    <s v="CA-2014-145926"/>
    <d v="2014-11-17T00:00:00"/>
    <x v="2"/>
    <s v="Q4"/>
    <x v="7"/>
    <d v="2014-11-21T00:00:00"/>
    <s v="Standard Class"/>
    <x v="88"/>
    <x v="88"/>
    <s v="Home Office"/>
    <s v="United States"/>
    <s v="Moorhead"/>
    <x v="11"/>
    <n v="56560"/>
    <x v="2"/>
    <x v="992"/>
    <x v="0"/>
    <x v="1"/>
    <x v="984"/>
    <n v="479.9"/>
    <s v="High"/>
    <n v="5"/>
    <n v="0"/>
    <x v="0"/>
    <x v="0"/>
    <n v="81.582999999999998"/>
    <n v="0.17"/>
    <n v="0"/>
  </r>
  <r>
    <n v="2094"/>
    <s v="CA-2015-149678"/>
    <d v="2015-04-13T00:00:00"/>
    <x v="1"/>
    <s v="Q2"/>
    <x v="19"/>
    <d v="2015-04-15T00:00:00"/>
    <s v="Second Class"/>
    <x v="497"/>
    <x v="497"/>
    <s v="Consumer"/>
    <s v="United States"/>
    <s v="Farmington"/>
    <x v="27"/>
    <n v="87401"/>
    <x v="1"/>
    <x v="505"/>
    <x v="1"/>
    <x v="14"/>
    <x v="505"/>
    <n v="12.88"/>
    <s v="Low"/>
    <n v="1"/>
    <n v="0"/>
    <x v="0"/>
    <x v="0"/>
    <n v="0.38640000000000002"/>
    <n v="0.03"/>
    <n v="0"/>
  </r>
  <r>
    <n v="2095"/>
    <s v="US-2015-164357"/>
    <d v="2015-11-25T00:00:00"/>
    <x v="1"/>
    <s v="Q4"/>
    <x v="6"/>
    <d v="2015-11-29T00:00:00"/>
    <s v="Standard Class"/>
    <x v="11"/>
    <x v="11"/>
    <s v="Consumer"/>
    <s v="United States"/>
    <s v="Wilmington"/>
    <x v="3"/>
    <n v="28403"/>
    <x v="0"/>
    <x v="1241"/>
    <x v="1"/>
    <x v="6"/>
    <x v="1224"/>
    <n v="13.12"/>
    <s v="Low"/>
    <n v="5"/>
    <n v="0.2"/>
    <x v="2"/>
    <x v="2"/>
    <n v="1.476"/>
    <n v="0.1125"/>
    <n v="0"/>
  </r>
  <r>
    <n v="2096"/>
    <s v="US-2016-146570"/>
    <d v="2016-05-15T00:00:00"/>
    <x v="0"/>
    <s v="Q2"/>
    <x v="35"/>
    <d v="2016-05-20T00:00:00"/>
    <s v="Standard Class"/>
    <x v="17"/>
    <x v="17"/>
    <s v="Home Office"/>
    <s v="United States"/>
    <s v="Jackson"/>
    <x v="35"/>
    <n v="39212"/>
    <x v="0"/>
    <x v="1242"/>
    <x v="1"/>
    <x v="8"/>
    <x v="1225"/>
    <n v="511.84"/>
    <s v="High"/>
    <n v="8"/>
    <n v="0"/>
    <x v="0"/>
    <x v="0"/>
    <n v="240.56479999999999"/>
    <n v="0.47000000000000003"/>
    <n v="0"/>
  </r>
  <r>
    <n v="2097"/>
    <s v="US-2016-146570"/>
    <d v="2016-05-15T00:00:00"/>
    <x v="0"/>
    <s v="Q2"/>
    <x v="35"/>
    <d v="2016-05-20T00:00:00"/>
    <s v="Standard Class"/>
    <x v="17"/>
    <x v="17"/>
    <s v="Home Office"/>
    <s v="United States"/>
    <s v="Jackson"/>
    <x v="35"/>
    <n v="39212"/>
    <x v="0"/>
    <x v="1243"/>
    <x v="1"/>
    <x v="6"/>
    <x v="1226"/>
    <n v="91.96"/>
    <s v="Medium"/>
    <n v="4"/>
    <n v="0"/>
    <x v="0"/>
    <x v="0"/>
    <n v="25.748799999999999"/>
    <n v="0.28000000000000003"/>
    <n v="0"/>
  </r>
  <r>
    <n v="2098"/>
    <s v="US-2016-146570"/>
    <d v="2016-05-15T00:00:00"/>
    <x v="0"/>
    <s v="Q2"/>
    <x v="35"/>
    <d v="2016-05-20T00:00:00"/>
    <s v="Standard Class"/>
    <x v="17"/>
    <x v="17"/>
    <s v="Home Office"/>
    <s v="United States"/>
    <s v="Jackson"/>
    <x v="35"/>
    <n v="39212"/>
    <x v="0"/>
    <x v="449"/>
    <x v="1"/>
    <x v="6"/>
    <x v="449"/>
    <n v="8.34"/>
    <s v="Low"/>
    <n v="3"/>
    <n v="0"/>
    <x v="0"/>
    <x v="0"/>
    <n v="2.1684000000000001"/>
    <n v="0.26"/>
    <n v="0"/>
  </r>
  <r>
    <n v="2099"/>
    <s v="CA-2017-124401"/>
    <d v="2017-09-07T00:00:00"/>
    <x v="3"/>
    <s v="Q3"/>
    <x v="15"/>
    <d v="2017-09-12T00:00:00"/>
    <s v="Standard Class"/>
    <x v="76"/>
    <x v="76"/>
    <s v="Consumer"/>
    <s v="United States"/>
    <s v="Portland"/>
    <x v="21"/>
    <n v="97206"/>
    <x v="1"/>
    <x v="953"/>
    <x v="1"/>
    <x v="4"/>
    <x v="946"/>
    <n v="37.68"/>
    <s v="Medium"/>
    <n v="3"/>
    <n v="0.2"/>
    <x v="2"/>
    <x v="2"/>
    <n v="2.355"/>
    <n v="6.25E-2"/>
    <n v="0"/>
  </r>
  <r>
    <n v="2100"/>
    <s v="CA-2017-124401"/>
    <d v="2017-09-07T00:00:00"/>
    <x v="3"/>
    <s v="Q3"/>
    <x v="15"/>
    <d v="2017-09-12T00:00:00"/>
    <s v="Standard Class"/>
    <x v="76"/>
    <x v="76"/>
    <s v="Consumer"/>
    <s v="United States"/>
    <s v="Portland"/>
    <x v="21"/>
    <n v="97206"/>
    <x v="1"/>
    <x v="1135"/>
    <x v="2"/>
    <x v="11"/>
    <x v="1123"/>
    <n v="279.94400000000002"/>
    <s v="High"/>
    <n v="7"/>
    <n v="0.2"/>
    <x v="2"/>
    <x v="2"/>
    <n v="80.483900000000006"/>
    <n v="0.28749999999999998"/>
    <n v="0"/>
  </r>
  <r>
    <n v="2101"/>
    <s v="US-2014-140116"/>
    <d v="2014-03-10T00:00:00"/>
    <x v="2"/>
    <s v="Q1"/>
    <x v="34"/>
    <d v="2014-03-17T00:00:00"/>
    <s v="Standard Class"/>
    <x v="409"/>
    <x v="409"/>
    <s v="Consumer"/>
    <s v="United States"/>
    <s v="Denver"/>
    <x v="22"/>
    <n v="80219"/>
    <x v="1"/>
    <x v="1244"/>
    <x v="1"/>
    <x v="4"/>
    <x v="1227"/>
    <n v="636.40800000000002"/>
    <s v="High"/>
    <n v="3"/>
    <n v="0.2"/>
    <x v="2"/>
    <x v="2"/>
    <n v="-15.9102"/>
    <n v="-2.4999999999999998E-2"/>
    <n v="1"/>
  </r>
  <r>
    <n v="2102"/>
    <s v="US-2014-140116"/>
    <d v="2014-03-10T00:00:00"/>
    <x v="2"/>
    <s v="Q1"/>
    <x v="34"/>
    <d v="2014-03-17T00:00:00"/>
    <s v="Standard Class"/>
    <x v="409"/>
    <x v="409"/>
    <s v="Consumer"/>
    <s v="United States"/>
    <s v="Denver"/>
    <x v="22"/>
    <n v="80219"/>
    <x v="1"/>
    <x v="1062"/>
    <x v="1"/>
    <x v="6"/>
    <x v="1051"/>
    <n v="83.168000000000006"/>
    <s v="Medium"/>
    <n v="4"/>
    <n v="0.2"/>
    <x v="2"/>
    <x v="2"/>
    <n v="9.3564000000000007"/>
    <n v="0.1125"/>
    <n v="0"/>
  </r>
  <r>
    <n v="2103"/>
    <s v="CA-2014-123295"/>
    <d v="2014-07-18T00:00:00"/>
    <x v="2"/>
    <s v="Q3"/>
    <x v="39"/>
    <d v="2014-07-18T00:00:00"/>
    <s v="Same Day"/>
    <x v="571"/>
    <x v="571"/>
    <s v="Home Office"/>
    <s v="United States"/>
    <s v="Tucson"/>
    <x v="16"/>
    <n v="85705"/>
    <x v="1"/>
    <x v="394"/>
    <x v="0"/>
    <x v="1"/>
    <x v="395"/>
    <n v="259.13600000000002"/>
    <s v="High"/>
    <n v="4"/>
    <n v="0.2"/>
    <x v="2"/>
    <x v="2"/>
    <n v="-25.913599999999999"/>
    <n v="-9.9999999999999992E-2"/>
    <n v="1"/>
  </r>
  <r>
    <n v="2104"/>
    <s v="CA-2017-167101"/>
    <d v="2017-03-24T00:00:00"/>
    <x v="3"/>
    <s v="Q1"/>
    <x v="42"/>
    <d v="2017-03-28T00:00:00"/>
    <s v="Second Class"/>
    <x v="312"/>
    <x v="312"/>
    <s v="Corporate"/>
    <s v="United States"/>
    <s v="New York City"/>
    <x v="15"/>
    <n v="10009"/>
    <x v="3"/>
    <x v="447"/>
    <x v="1"/>
    <x v="10"/>
    <x v="1228"/>
    <n v="221.92"/>
    <s v="High"/>
    <n v="4"/>
    <n v="0"/>
    <x v="0"/>
    <x v="0"/>
    <n v="106.52160000000001"/>
    <n v="0.48000000000000004"/>
    <n v="0"/>
  </r>
  <r>
    <n v="2105"/>
    <s v="CA-2017-167101"/>
    <d v="2017-03-24T00:00:00"/>
    <x v="3"/>
    <s v="Q1"/>
    <x v="42"/>
    <d v="2017-03-28T00:00:00"/>
    <s v="Second Class"/>
    <x v="312"/>
    <x v="312"/>
    <s v="Corporate"/>
    <s v="United States"/>
    <s v="New York City"/>
    <x v="15"/>
    <n v="10009"/>
    <x v="3"/>
    <x v="197"/>
    <x v="2"/>
    <x v="11"/>
    <x v="198"/>
    <n v="26"/>
    <s v="Medium"/>
    <n v="2"/>
    <n v="0"/>
    <x v="0"/>
    <x v="0"/>
    <n v="11.7"/>
    <n v="0.44999999999999996"/>
    <n v="0"/>
  </r>
  <r>
    <n v="2106"/>
    <s v="US-2014-167633"/>
    <d v="2014-09-30T00:00:00"/>
    <x v="2"/>
    <s v="Q3"/>
    <x v="30"/>
    <d v="2014-10-05T00:00:00"/>
    <s v="Standard Class"/>
    <x v="572"/>
    <x v="572"/>
    <s v="Consumer"/>
    <s v="United States"/>
    <s v="Boynton Beach"/>
    <x v="2"/>
    <n v="33437"/>
    <x v="0"/>
    <x v="974"/>
    <x v="1"/>
    <x v="10"/>
    <x v="968"/>
    <n v="15.552"/>
    <s v="Low"/>
    <n v="3"/>
    <n v="0.2"/>
    <x v="2"/>
    <x v="2"/>
    <n v="5.4432"/>
    <n v="0.35000000000000003"/>
    <n v="0"/>
  </r>
  <r>
    <n v="2107"/>
    <s v="US-2014-152723"/>
    <d v="2014-09-26T00:00:00"/>
    <x v="2"/>
    <s v="Q3"/>
    <x v="30"/>
    <d v="2014-09-26T00:00:00"/>
    <s v="Same Day"/>
    <x v="428"/>
    <x v="428"/>
    <s v="Corporate"/>
    <s v="United States"/>
    <s v="Mesquite"/>
    <x v="5"/>
    <n v="75150"/>
    <x v="2"/>
    <x v="236"/>
    <x v="1"/>
    <x v="8"/>
    <x v="237"/>
    <n v="0.876"/>
    <s v="Low"/>
    <n v="1"/>
    <n v="0.8"/>
    <x v="1"/>
    <x v="3"/>
    <n v="-1.4016"/>
    <n v="-1.5999999999999999"/>
    <n v="1"/>
  </r>
  <r>
    <n v="2108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368"/>
    <x v="1"/>
    <x v="10"/>
    <x v="369"/>
    <n v="19.98"/>
    <s v="Low"/>
    <n v="1"/>
    <n v="0"/>
    <x v="0"/>
    <x v="0"/>
    <n v="9.3905999999999992"/>
    <n v="0.47"/>
    <n v="0"/>
  </r>
  <r>
    <n v="2109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896"/>
    <x v="1"/>
    <x v="8"/>
    <x v="889"/>
    <n v="398.35199999999998"/>
    <s v="High"/>
    <n v="3"/>
    <n v="0.2"/>
    <x v="2"/>
    <x v="2"/>
    <n v="124.485"/>
    <n v="0.3125"/>
    <n v="0"/>
  </r>
  <r>
    <n v="2110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1245"/>
    <x v="1"/>
    <x v="6"/>
    <x v="1229"/>
    <n v="5.04"/>
    <s v="Low"/>
    <n v="3"/>
    <n v="0"/>
    <x v="0"/>
    <x v="0"/>
    <n v="1.26"/>
    <n v="0.25"/>
    <n v="0"/>
  </r>
  <r>
    <n v="2111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203"/>
    <x v="1"/>
    <x v="13"/>
    <x v="204"/>
    <n v="17.45"/>
    <s v="Low"/>
    <n v="5"/>
    <n v="0"/>
    <x v="0"/>
    <x v="0"/>
    <n v="8.0269999999999992"/>
    <n v="0.45999999999999996"/>
    <n v="0"/>
  </r>
  <r>
    <n v="2112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38"/>
    <x v="0"/>
    <x v="1"/>
    <x v="38"/>
    <n v="323.13600000000002"/>
    <s v="High"/>
    <n v="4"/>
    <n v="0.2"/>
    <x v="2"/>
    <x v="2"/>
    <n v="20.196000000000002"/>
    <n v="6.25E-2"/>
    <n v="0"/>
  </r>
  <r>
    <n v="2113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558"/>
    <x v="1"/>
    <x v="14"/>
    <x v="557"/>
    <n v="29.7"/>
    <s v="Medium"/>
    <n v="3"/>
    <n v="0"/>
    <x v="0"/>
    <x v="0"/>
    <n v="8.0190000000000001"/>
    <n v="0.27"/>
    <n v="0"/>
  </r>
  <r>
    <n v="2114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1246"/>
    <x v="2"/>
    <x v="7"/>
    <x v="1230"/>
    <n v="1295.8399999999999"/>
    <s v="High"/>
    <n v="4"/>
    <n v="0.2"/>
    <x v="2"/>
    <x v="2"/>
    <n v="145.78200000000001"/>
    <n v="0.11250000000000002"/>
    <n v="0"/>
  </r>
  <r>
    <n v="2115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1247"/>
    <x v="1"/>
    <x v="4"/>
    <x v="1231"/>
    <n v="46.84"/>
    <s v="Medium"/>
    <n v="2"/>
    <n v="0"/>
    <x v="0"/>
    <x v="0"/>
    <n v="12.646800000000001"/>
    <n v="0.27"/>
    <n v="0"/>
  </r>
  <r>
    <n v="2116"/>
    <s v="CA-2015-164882"/>
    <d v="2015-10-31T00:00:00"/>
    <x v="1"/>
    <s v="Q4"/>
    <x v="2"/>
    <d v="2015-10-31T00:00:00"/>
    <s v="Same Day"/>
    <x v="65"/>
    <x v="65"/>
    <s v="Consumer"/>
    <s v="United States"/>
    <s v="Redlands"/>
    <x v="1"/>
    <n v="92374"/>
    <x v="1"/>
    <x v="1248"/>
    <x v="0"/>
    <x v="0"/>
    <x v="1232"/>
    <n v="425.83300000000003"/>
    <s v="High"/>
    <n v="1"/>
    <n v="0.15"/>
    <x v="2"/>
    <x v="2"/>
    <n v="20.039200000000001"/>
    <n v="4.7058823529411764E-2"/>
    <n v="0"/>
  </r>
  <r>
    <n v="2117"/>
    <s v="CA-2015-159786"/>
    <d v="2015-10-12T00:00:00"/>
    <x v="1"/>
    <s v="Q4"/>
    <x v="2"/>
    <d v="2015-10-17T00:00:00"/>
    <s v="Second Class"/>
    <x v="343"/>
    <x v="343"/>
    <s v="Consumer"/>
    <s v="United States"/>
    <s v="Rochester"/>
    <x v="15"/>
    <n v="14609"/>
    <x v="3"/>
    <x v="1110"/>
    <x v="0"/>
    <x v="3"/>
    <x v="1099"/>
    <n v="209.67"/>
    <s v="High"/>
    <n v="1"/>
    <n v="0.4"/>
    <x v="1"/>
    <x v="7"/>
    <n v="-13.978"/>
    <n v="-6.6666666666666666E-2"/>
    <n v="1"/>
  </r>
  <r>
    <n v="2118"/>
    <s v="CA-2016-130267"/>
    <d v="2016-09-19T00:00:00"/>
    <x v="0"/>
    <s v="Q3"/>
    <x v="21"/>
    <d v="2016-09-23T00:00:00"/>
    <s v="Standard Class"/>
    <x v="573"/>
    <x v="573"/>
    <s v="Consumer"/>
    <s v="United States"/>
    <s v="Stockton"/>
    <x v="1"/>
    <n v="95207"/>
    <x v="1"/>
    <x v="393"/>
    <x v="1"/>
    <x v="10"/>
    <x v="394"/>
    <n v="159.88"/>
    <s v="High"/>
    <n v="7"/>
    <n v="0"/>
    <x v="0"/>
    <x v="0"/>
    <n v="73.544799999999995"/>
    <n v="0.45999999999999996"/>
    <n v="0"/>
  </r>
  <r>
    <n v="2119"/>
    <s v="CA-2017-155460"/>
    <d v="2017-04-13T00:00:00"/>
    <x v="3"/>
    <s v="Q2"/>
    <x v="4"/>
    <d v="2017-04-15T00:00:00"/>
    <s v="First Class"/>
    <x v="338"/>
    <x v="338"/>
    <s v="Corporate"/>
    <s v="United States"/>
    <s v="Seattle"/>
    <x v="4"/>
    <n v="98105"/>
    <x v="1"/>
    <x v="218"/>
    <x v="1"/>
    <x v="10"/>
    <x v="219"/>
    <n v="5.28"/>
    <s v="Low"/>
    <n v="1"/>
    <n v="0"/>
    <x v="0"/>
    <x v="0"/>
    <n v="2.3759999999999999"/>
    <n v="0.44999999999999996"/>
    <n v="0"/>
  </r>
  <r>
    <n v="2120"/>
    <s v="CA-2017-155460"/>
    <d v="2017-04-13T00:00:00"/>
    <x v="3"/>
    <s v="Q2"/>
    <x v="4"/>
    <d v="2017-04-15T00:00:00"/>
    <s v="First Class"/>
    <x v="338"/>
    <x v="338"/>
    <s v="Corporate"/>
    <s v="United States"/>
    <s v="Seattle"/>
    <x v="4"/>
    <n v="98105"/>
    <x v="1"/>
    <x v="1188"/>
    <x v="1"/>
    <x v="8"/>
    <x v="1174"/>
    <n v="895.92"/>
    <s v="High"/>
    <n v="5"/>
    <n v="0.2"/>
    <x v="2"/>
    <x v="2"/>
    <n v="302.37299999999999"/>
    <n v="0.33750000000000002"/>
    <n v="0"/>
  </r>
  <r>
    <n v="2121"/>
    <s v="US-2017-168690"/>
    <d v="2017-01-07T00:00:00"/>
    <x v="3"/>
    <s v="Q1"/>
    <x v="44"/>
    <d v="2017-01-13T00:00:00"/>
    <s v="Standard Class"/>
    <x v="465"/>
    <x v="465"/>
    <s v="Consumer"/>
    <s v="United States"/>
    <s v="Ormond Beach"/>
    <x v="2"/>
    <n v="32174"/>
    <x v="0"/>
    <x v="744"/>
    <x v="1"/>
    <x v="8"/>
    <x v="742"/>
    <n v="2.8079999999999998"/>
    <s v="Low"/>
    <n v="3"/>
    <n v="0.7"/>
    <x v="1"/>
    <x v="5"/>
    <n v="-1.9656"/>
    <n v="-0.70000000000000007"/>
    <n v="1"/>
  </r>
  <r>
    <n v="2122"/>
    <s v="CA-2017-158246"/>
    <d v="2017-11-09T00:00:00"/>
    <x v="3"/>
    <s v="Q4"/>
    <x v="23"/>
    <d v="2017-11-11T00:00:00"/>
    <s v="First Class"/>
    <x v="80"/>
    <x v="80"/>
    <s v="Corporate"/>
    <s v="United States"/>
    <s v="Sunnyvale"/>
    <x v="1"/>
    <n v="94086"/>
    <x v="1"/>
    <x v="51"/>
    <x v="0"/>
    <x v="1"/>
    <x v="51"/>
    <n v="215.976"/>
    <s v="High"/>
    <n v="3"/>
    <n v="0.2"/>
    <x v="2"/>
    <x v="2"/>
    <n v="-2.6997"/>
    <n v="-1.2500000000000001E-2"/>
    <n v="1"/>
  </r>
  <r>
    <n v="2123"/>
    <s v="CA-2017-167381"/>
    <d v="2017-09-22T00:00:00"/>
    <x v="3"/>
    <s v="Q3"/>
    <x v="15"/>
    <d v="2017-09-24T00:00:00"/>
    <s v="Second Class"/>
    <x v="382"/>
    <x v="382"/>
    <s v="Home Office"/>
    <s v="United States"/>
    <s v="Lansing"/>
    <x v="12"/>
    <n v="48911"/>
    <x v="2"/>
    <x v="366"/>
    <x v="0"/>
    <x v="0"/>
    <x v="367"/>
    <n v="241.96"/>
    <s v="High"/>
    <n v="2"/>
    <n v="0"/>
    <x v="0"/>
    <x v="0"/>
    <n v="41.133200000000002"/>
    <n v="0.17"/>
    <n v="0"/>
  </r>
  <r>
    <n v="2124"/>
    <s v="CA-2017-167381"/>
    <d v="2017-09-22T00:00:00"/>
    <x v="3"/>
    <s v="Q3"/>
    <x v="15"/>
    <d v="2017-09-24T00:00:00"/>
    <s v="Second Class"/>
    <x v="382"/>
    <x v="382"/>
    <s v="Home Office"/>
    <s v="United States"/>
    <s v="Lansing"/>
    <x v="12"/>
    <n v="48911"/>
    <x v="2"/>
    <x v="85"/>
    <x v="1"/>
    <x v="2"/>
    <x v="85"/>
    <n v="27.72"/>
    <s v="Medium"/>
    <n v="9"/>
    <n v="0"/>
    <x v="0"/>
    <x v="0"/>
    <n v="13.3056"/>
    <n v="0.48000000000000004"/>
    <n v="0"/>
  </r>
  <r>
    <n v="2125"/>
    <s v="CA-2017-144862"/>
    <d v="2017-12-01T00:00:00"/>
    <x v="3"/>
    <s v="Q4"/>
    <x v="22"/>
    <d v="2017-12-05T00:00:00"/>
    <s v="Standard Class"/>
    <x v="382"/>
    <x v="382"/>
    <s v="Home Office"/>
    <s v="United States"/>
    <s v="Philadelphia"/>
    <x v="9"/>
    <n v="19143"/>
    <x v="3"/>
    <x v="1249"/>
    <x v="1"/>
    <x v="12"/>
    <x v="1233"/>
    <n v="104.68"/>
    <s v="Medium"/>
    <n v="5"/>
    <n v="0.2"/>
    <x v="2"/>
    <x v="2"/>
    <n v="35.329500000000003"/>
    <n v="0.33750000000000002"/>
    <n v="0"/>
  </r>
  <r>
    <n v="2126"/>
    <s v="CA-2017-144862"/>
    <d v="2017-12-01T00:00:00"/>
    <x v="3"/>
    <s v="Q4"/>
    <x v="22"/>
    <d v="2017-12-05T00:00:00"/>
    <s v="Standard Class"/>
    <x v="382"/>
    <x v="382"/>
    <s v="Home Office"/>
    <s v="United States"/>
    <s v="Philadelphia"/>
    <x v="9"/>
    <n v="19143"/>
    <x v="3"/>
    <x v="1250"/>
    <x v="2"/>
    <x v="7"/>
    <x v="1234"/>
    <n v="62.957999999999998"/>
    <s v="Medium"/>
    <n v="7"/>
    <n v="0.4"/>
    <x v="1"/>
    <x v="7"/>
    <n v="9.4436999999999998"/>
    <n v="0.15"/>
    <n v="0"/>
  </r>
  <r>
    <n v="2127"/>
    <s v="CA-2014-126032"/>
    <d v="2014-06-23T00:00:00"/>
    <x v="2"/>
    <s v="Q2"/>
    <x v="3"/>
    <d v="2014-06-28T00:00:00"/>
    <s v="Standard Class"/>
    <x v="574"/>
    <x v="574"/>
    <s v="Consumer"/>
    <s v="United States"/>
    <s v="Philadelphia"/>
    <x v="9"/>
    <n v="19143"/>
    <x v="3"/>
    <x v="357"/>
    <x v="2"/>
    <x v="11"/>
    <x v="357"/>
    <n v="86.376000000000005"/>
    <s v="Medium"/>
    <n v="3"/>
    <n v="0.2"/>
    <x v="2"/>
    <x v="2"/>
    <n v="1.0797000000000001"/>
    <n v="1.2500000000000001E-2"/>
    <n v="0"/>
  </r>
  <r>
    <n v="2128"/>
    <s v="CA-2015-134859"/>
    <d v="2015-10-04T00:00:00"/>
    <x v="1"/>
    <s v="Q4"/>
    <x v="2"/>
    <d v="2015-10-09T00:00:00"/>
    <s v="Standard Class"/>
    <x v="451"/>
    <x v="451"/>
    <s v="Home Office"/>
    <s v="United States"/>
    <s v="Philadelphia"/>
    <x v="9"/>
    <n v="19134"/>
    <x v="3"/>
    <x v="1251"/>
    <x v="0"/>
    <x v="5"/>
    <x v="1235"/>
    <n v="64.944000000000003"/>
    <s v="Medium"/>
    <n v="3"/>
    <n v="0.2"/>
    <x v="2"/>
    <x v="2"/>
    <n v="6.4943999999999997"/>
    <n v="9.9999999999999992E-2"/>
    <n v="0"/>
  </r>
  <r>
    <n v="2129"/>
    <s v="CA-2015-134859"/>
    <d v="2015-10-04T00:00:00"/>
    <x v="1"/>
    <s v="Q4"/>
    <x v="2"/>
    <d v="2015-10-09T00:00:00"/>
    <s v="Standard Class"/>
    <x v="451"/>
    <x v="451"/>
    <s v="Home Office"/>
    <s v="United States"/>
    <s v="Philadelphia"/>
    <x v="9"/>
    <n v="19134"/>
    <x v="3"/>
    <x v="1004"/>
    <x v="1"/>
    <x v="10"/>
    <x v="996"/>
    <n v="20.736000000000001"/>
    <s v="Low"/>
    <n v="4"/>
    <n v="0.2"/>
    <x v="2"/>
    <x v="2"/>
    <n v="7.2576000000000001"/>
    <n v="0.35"/>
    <n v="0"/>
  </r>
  <r>
    <n v="2130"/>
    <s v="US-2014-114188"/>
    <d v="2014-05-20T00:00:00"/>
    <x v="2"/>
    <s v="Q2"/>
    <x v="8"/>
    <d v="2014-05-22T00:00:00"/>
    <s v="Second Class"/>
    <x v="575"/>
    <x v="575"/>
    <s v="Corporate"/>
    <s v="United States"/>
    <s v="Dover"/>
    <x v="38"/>
    <n v="3820"/>
    <x v="3"/>
    <x v="1252"/>
    <x v="1"/>
    <x v="9"/>
    <x v="1236"/>
    <n v="33.28"/>
    <s v="Medium"/>
    <n v="4"/>
    <n v="0"/>
    <x v="0"/>
    <x v="0"/>
    <n v="9.3184000000000005"/>
    <n v="0.28000000000000003"/>
    <n v="0"/>
  </r>
  <r>
    <n v="2131"/>
    <s v="US-2014-114188"/>
    <d v="2014-05-20T00:00:00"/>
    <x v="2"/>
    <s v="Q2"/>
    <x v="8"/>
    <d v="2014-05-22T00:00:00"/>
    <s v="Second Class"/>
    <x v="575"/>
    <x v="575"/>
    <s v="Corporate"/>
    <s v="United States"/>
    <s v="Dover"/>
    <x v="38"/>
    <n v="3820"/>
    <x v="3"/>
    <x v="1253"/>
    <x v="1"/>
    <x v="6"/>
    <x v="1237"/>
    <n v="38.520000000000003"/>
    <s v="Medium"/>
    <n v="9"/>
    <n v="0"/>
    <x v="0"/>
    <x v="0"/>
    <n v="11.9412"/>
    <n v="0.31"/>
    <n v="0"/>
  </r>
  <r>
    <n v="2132"/>
    <s v="US-2014-114188"/>
    <d v="2014-05-20T00:00:00"/>
    <x v="2"/>
    <s v="Q2"/>
    <x v="8"/>
    <d v="2014-05-22T00:00:00"/>
    <s v="Second Class"/>
    <x v="575"/>
    <x v="575"/>
    <s v="Corporate"/>
    <s v="United States"/>
    <s v="Dover"/>
    <x v="38"/>
    <n v="3820"/>
    <x v="3"/>
    <x v="891"/>
    <x v="0"/>
    <x v="5"/>
    <x v="884"/>
    <n v="139.86000000000001"/>
    <s v="High"/>
    <n v="7"/>
    <n v="0"/>
    <x v="0"/>
    <x v="0"/>
    <n v="60.139800000000001"/>
    <n v="0.42999999999999994"/>
    <n v="0"/>
  </r>
  <r>
    <n v="2133"/>
    <s v="CA-2015-156524"/>
    <d v="2015-11-20T00:00:00"/>
    <x v="1"/>
    <s v="Q4"/>
    <x v="6"/>
    <d v="2015-11-26T00:00:00"/>
    <s v="Standard Class"/>
    <x v="297"/>
    <x v="297"/>
    <s v="Consumer"/>
    <s v="United States"/>
    <s v="New York City"/>
    <x v="15"/>
    <n v="10011"/>
    <x v="3"/>
    <x v="1254"/>
    <x v="1"/>
    <x v="10"/>
    <x v="1238"/>
    <n v="19.649999999999999"/>
    <s v="Low"/>
    <n v="3"/>
    <n v="0"/>
    <x v="0"/>
    <x v="0"/>
    <n v="9.0389999999999997"/>
    <n v="0.46"/>
    <n v="0"/>
  </r>
  <r>
    <n v="2134"/>
    <s v="CA-2015-122210"/>
    <d v="2015-11-30T00:00:00"/>
    <x v="1"/>
    <s v="Q4"/>
    <x v="6"/>
    <d v="2015-12-04T00:00:00"/>
    <s v="Standard Class"/>
    <x v="576"/>
    <x v="576"/>
    <s v="Consumer"/>
    <s v="United States"/>
    <s v="Philadelphia"/>
    <x v="9"/>
    <n v="19134"/>
    <x v="3"/>
    <x v="13"/>
    <x v="1"/>
    <x v="8"/>
    <x v="13"/>
    <n v="152.99100000000001"/>
    <s v="High"/>
    <n v="3"/>
    <n v="0.7"/>
    <x v="1"/>
    <x v="5"/>
    <n v="-122.39279999999999"/>
    <n v="-0.79999999999999993"/>
    <n v="1"/>
  </r>
  <r>
    <n v="2135"/>
    <s v="CA-2015-122210"/>
    <d v="2015-11-30T00:00:00"/>
    <x v="1"/>
    <s v="Q4"/>
    <x v="6"/>
    <d v="2015-12-04T00:00:00"/>
    <s v="Standard Class"/>
    <x v="576"/>
    <x v="576"/>
    <s v="Consumer"/>
    <s v="United States"/>
    <s v="Philadelphia"/>
    <x v="9"/>
    <n v="19134"/>
    <x v="3"/>
    <x v="969"/>
    <x v="1"/>
    <x v="13"/>
    <x v="962"/>
    <n v="10.584"/>
    <s v="Low"/>
    <n v="7"/>
    <n v="0.2"/>
    <x v="2"/>
    <x v="2"/>
    <n v="-2.3814000000000002"/>
    <n v="-0.22500000000000003"/>
    <n v="1"/>
  </r>
  <r>
    <n v="2136"/>
    <s v="CA-2015-122210"/>
    <d v="2015-11-30T00:00:00"/>
    <x v="1"/>
    <s v="Q4"/>
    <x v="6"/>
    <d v="2015-12-04T00:00:00"/>
    <s v="Standard Class"/>
    <x v="576"/>
    <x v="576"/>
    <s v="Consumer"/>
    <s v="United States"/>
    <s v="Philadelphia"/>
    <x v="9"/>
    <n v="19134"/>
    <x v="3"/>
    <x v="1255"/>
    <x v="2"/>
    <x v="7"/>
    <x v="1239"/>
    <n v="94.92"/>
    <s v="Medium"/>
    <n v="4"/>
    <n v="0.4"/>
    <x v="1"/>
    <x v="7"/>
    <n v="15.82"/>
    <n v="0.16666666666666666"/>
    <n v="0"/>
  </r>
  <r>
    <n v="2137"/>
    <s v="CA-2015-156377"/>
    <d v="2015-12-31T00:00:00"/>
    <x v="1"/>
    <s v="Q4"/>
    <x v="14"/>
    <d v="2016-01-05T00:00:00"/>
    <s v="Standard Class"/>
    <x v="577"/>
    <x v="577"/>
    <s v="Consumer"/>
    <s v="United States"/>
    <s v="Grand Prairie"/>
    <x v="5"/>
    <n v="75051"/>
    <x v="2"/>
    <x v="1256"/>
    <x v="0"/>
    <x v="5"/>
    <x v="1240"/>
    <n v="14.76"/>
    <s v="Low"/>
    <n v="5"/>
    <n v="0.6"/>
    <x v="1"/>
    <x v="6"/>
    <n v="-11.439"/>
    <n v="-0.77500000000000002"/>
    <n v="1"/>
  </r>
  <r>
    <n v="2138"/>
    <s v="CA-2015-156377"/>
    <d v="2015-12-31T00:00:00"/>
    <x v="1"/>
    <s v="Q4"/>
    <x v="14"/>
    <d v="2016-01-05T00:00:00"/>
    <s v="Standard Class"/>
    <x v="577"/>
    <x v="577"/>
    <s v="Consumer"/>
    <s v="United States"/>
    <s v="Grand Prairie"/>
    <x v="5"/>
    <n v="75051"/>
    <x v="2"/>
    <x v="1203"/>
    <x v="1"/>
    <x v="8"/>
    <x v="1188"/>
    <n v="3.6560000000000001"/>
    <s v="Low"/>
    <n v="4"/>
    <n v="0.8"/>
    <x v="1"/>
    <x v="3"/>
    <n v="-5.8495999999999997"/>
    <n v="-1.5999999999999999"/>
    <n v="1"/>
  </r>
  <r>
    <n v="2139"/>
    <s v="US-2017-157896"/>
    <d v="2017-11-16T00:00:00"/>
    <x v="3"/>
    <s v="Q4"/>
    <x v="23"/>
    <d v="2017-11-16T00:00:00"/>
    <s v="Same Day"/>
    <x v="558"/>
    <x v="558"/>
    <s v="Consumer"/>
    <s v="United States"/>
    <s v="New York City"/>
    <x v="15"/>
    <n v="10009"/>
    <x v="3"/>
    <x v="593"/>
    <x v="1"/>
    <x v="10"/>
    <x v="593"/>
    <n v="146.82"/>
    <s v="High"/>
    <n v="3"/>
    <n v="0"/>
    <x v="0"/>
    <x v="0"/>
    <n v="73.41"/>
    <n v="0.5"/>
    <n v="0"/>
  </r>
  <r>
    <n v="2140"/>
    <s v="CA-2014-159520"/>
    <d v="2014-06-06T00:00:00"/>
    <x v="2"/>
    <s v="Q2"/>
    <x v="3"/>
    <d v="2014-06-11T00:00:00"/>
    <s v="Standard Class"/>
    <x v="265"/>
    <x v="265"/>
    <s v="Corporate"/>
    <s v="United States"/>
    <s v="Long Beach"/>
    <x v="15"/>
    <n v="11561"/>
    <x v="3"/>
    <x v="350"/>
    <x v="1"/>
    <x v="8"/>
    <x v="350"/>
    <n v="149.54400000000001"/>
    <s v="High"/>
    <n v="9"/>
    <n v="0.2"/>
    <x v="2"/>
    <x v="2"/>
    <n v="50.4711"/>
    <n v="0.33749999999999997"/>
    <n v="0"/>
  </r>
  <r>
    <n v="2141"/>
    <s v="CA-2014-159520"/>
    <d v="2014-06-06T00:00:00"/>
    <x v="2"/>
    <s v="Q2"/>
    <x v="3"/>
    <d v="2014-06-11T00:00:00"/>
    <s v="Standard Class"/>
    <x v="265"/>
    <x v="265"/>
    <s v="Corporate"/>
    <s v="United States"/>
    <s v="Long Beach"/>
    <x v="15"/>
    <n v="11561"/>
    <x v="3"/>
    <x v="1257"/>
    <x v="1"/>
    <x v="14"/>
    <x v="1241"/>
    <n v="17.14"/>
    <s v="Low"/>
    <n v="2"/>
    <n v="0"/>
    <x v="0"/>
    <x v="0"/>
    <n v="4.4564000000000004"/>
    <n v="0.26"/>
    <n v="0"/>
  </r>
  <r>
    <n v="2142"/>
    <s v="CA-2014-159520"/>
    <d v="2014-06-06T00:00:00"/>
    <x v="2"/>
    <s v="Q2"/>
    <x v="3"/>
    <d v="2014-06-11T00:00:00"/>
    <s v="Standard Class"/>
    <x v="265"/>
    <x v="265"/>
    <s v="Corporate"/>
    <s v="United States"/>
    <s v="Long Beach"/>
    <x v="15"/>
    <n v="11561"/>
    <x v="3"/>
    <x v="1258"/>
    <x v="0"/>
    <x v="3"/>
    <x v="1242"/>
    <n v="991.76400000000001"/>
    <s v="High"/>
    <n v="3"/>
    <n v="0.4"/>
    <x v="1"/>
    <x v="7"/>
    <n v="-347.11739999999998"/>
    <n v="-0.35"/>
    <n v="1"/>
  </r>
  <r>
    <n v="2143"/>
    <s v="CA-2016-155481"/>
    <d v="2016-09-01T00:00:00"/>
    <x v="0"/>
    <s v="Q3"/>
    <x v="21"/>
    <d v="2016-09-05T00:00:00"/>
    <s v="Standard Class"/>
    <x v="158"/>
    <x v="158"/>
    <s v="Corporate"/>
    <s v="United States"/>
    <s v="Philadelphia"/>
    <x v="9"/>
    <n v="19140"/>
    <x v="3"/>
    <x v="69"/>
    <x v="1"/>
    <x v="10"/>
    <x v="69"/>
    <n v="30.48"/>
    <s v="Medium"/>
    <n v="6"/>
    <n v="0.2"/>
    <x v="2"/>
    <x v="2"/>
    <n v="9.9060000000000006"/>
    <n v="0.32500000000000001"/>
    <n v="0"/>
  </r>
  <r>
    <n v="2144"/>
    <s v="CA-2016-155481"/>
    <d v="2016-09-01T00:00:00"/>
    <x v="0"/>
    <s v="Q3"/>
    <x v="21"/>
    <d v="2016-09-05T00:00:00"/>
    <s v="Standard Class"/>
    <x v="158"/>
    <x v="158"/>
    <s v="Corporate"/>
    <s v="United States"/>
    <s v="Philadelphia"/>
    <x v="9"/>
    <n v="19140"/>
    <x v="3"/>
    <x v="125"/>
    <x v="2"/>
    <x v="7"/>
    <x v="126"/>
    <n v="23.988"/>
    <s v="Low"/>
    <n v="2"/>
    <n v="0.4"/>
    <x v="1"/>
    <x v="7"/>
    <n v="-4.7976000000000001"/>
    <n v="-0.2"/>
    <n v="1"/>
  </r>
  <r>
    <n v="2145"/>
    <s v="CA-2016-155481"/>
    <d v="2016-09-01T00:00:00"/>
    <x v="0"/>
    <s v="Q3"/>
    <x v="21"/>
    <d v="2016-09-05T00:00:00"/>
    <s v="Standard Class"/>
    <x v="158"/>
    <x v="158"/>
    <s v="Corporate"/>
    <s v="United States"/>
    <s v="Philadelphia"/>
    <x v="9"/>
    <n v="19140"/>
    <x v="3"/>
    <x v="127"/>
    <x v="1"/>
    <x v="13"/>
    <x v="128"/>
    <n v="16.687999999999999"/>
    <s v="Low"/>
    <n v="7"/>
    <n v="0.2"/>
    <x v="2"/>
    <x v="2"/>
    <n v="5.4236000000000004"/>
    <n v="0.32500000000000007"/>
    <n v="0"/>
  </r>
  <r>
    <n v="2146"/>
    <s v="US-2016-152051"/>
    <d v="2016-06-25T00:00:00"/>
    <x v="0"/>
    <s v="Q2"/>
    <x v="1"/>
    <d v="2016-06-29T00:00:00"/>
    <s v="Standard Class"/>
    <x v="378"/>
    <x v="378"/>
    <s v="Corporate"/>
    <s v="United States"/>
    <s v="York"/>
    <x v="9"/>
    <n v="17403"/>
    <x v="3"/>
    <x v="228"/>
    <x v="0"/>
    <x v="1"/>
    <x v="229"/>
    <n v="422.05799999999999"/>
    <s v="High"/>
    <n v="3"/>
    <n v="0.3"/>
    <x v="1"/>
    <x v="4"/>
    <n v="-18.088200000000001"/>
    <n v="-4.2857142857142858E-2"/>
    <n v="1"/>
  </r>
  <r>
    <n v="2147"/>
    <s v="US-2016-152051"/>
    <d v="2016-06-25T00:00:00"/>
    <x v="0"/>
    <s v="Q2"/>
    <x v="1"/>
    <d v="2016-06-29T00:00:00"/>
    <s v="Standard Class"/>
    <x v="378"/>
    <x v="378"/>
    <s v="Corporate"/>
    <s v="United States"/>
    <s v="York"/>
    <x v="9"/>
    <n v="17403"/>
    <x v="3"/>
    <x v="132"/>
    <x v="1"/>
    <x v="8"/>
    <x v="133"/>
    <n v="38.088000000000001"/>
    <s v="Medium"/>
    <n v="4"/>
    <n v="0.7"/>
    <x v="1"/>
    <x v="5"/>
    <n v="-27.9312"/>
    <n v="-0.73333333333333328"/>
    <n v="1"/>
  </r>
  <r>
    <n v="2148"/>
    <s v="US-2016-152051"/>
    <d v="2016-06-25T00:00:00"/>
    <x v="0"/>
    <s v="Q2"/>
    <x v="1"/>
    <d v="2016-06-29T00:00:00"/>
    <s v="Standard Class"/>
    <x v="378"/>
    <x v="378"/>
    <s v="Corporate"/>
    <s v="United States"/>
    <s v="York"/>
    <x v="9"/>
    <n v="17403"/>
    <x v="3"/>
    <x v="45"/>
    <x v="1"/>
    <x v="4"/>
    <x v="45"/>
    <n v="254.352"/>
    <s v="High"/>
    <n v="6"/>
    <n v="0.2"/>
    <x v="2"/>
    <x v="2"/>
    <n v="-50.870399999999997"/>
    <n v="-0.19999999999999998"/>
    <n v="1"/>
  </r>
  <r>
    <n v="2149"/>
    <s v="CA-2014-141607"/>
    <d v="2014-12-12T00:00:00"/>
    <x v="2"/>
    <s v="Q4"/>
    <x v="20"/>
    <d v="2014-12-17T00:00:00"/>
    <s v="Standard Class"/>
    <x v="576"/>
    <x v="576"/>
    <s v="Consumer"/>
    <s v="United States"/>
    <s v="Concord"/>
    <x v="1"/>
    <n v="94521"/>
    <x v="1"/>
    <x v="784"/>
    <x v="0"/>
    <x v="5"/>
    <x v="783"/>
    <n v="43.31"/>
    <s v="Medium"/>
    <n v="1"/>
    <n v="0"/>
    <x v="0"/>
    <x v="0"/>
    <n v="4.3310000000000004"/>
    <n v="0.1"/>
    <n v="0"/>
  </r>
  <r>
    <n v="2150"/>
    <s v="CA-2017-102771"/>
    <d v="2017-03-31T00:00:00"/>
    <x v="3"/>
    <s v="Q1"/>
    <x v="42"/>
    <d v="2017-04-05T00:00:00"/>
    <s v="Standard Class"/>
    <x v="157"/>
    <x v="157"/>
    <s v="Consumer"/>
    <s v="United States"/>
    <s v="New York City"/>
    <x v="15"/>
    <n v="10035"/>
    <x v="3"/>
    <x v="1259"/>
    <x v="2"/>
    <x v="7"/>
    <x v="1243"/>
    <n v="84.95"/>
    <s v="Medium"/>
    <n v="5"/>
    <n v="0"/>
    <x v="0"/>
    <x v="0"/>
    <n v="22.087"/>
    <n v="0.26"/>
    <n v="0"/>
  </r>
  <r>
    <n v="2151"/>
    <s v="US-2017-139969"/>
    <d v="2017-11-19T00:00:00"/>
    <x v="3"/>
    <s v="Q4"/>
    <x v="23"/>
    <d v="2017-11-26T00:00:00"/>
    <s v="Standard Class"/>
    <x v="578"/>
    <x v="578"/>
    <s v="Consumer"/>
    <s v="United States"/>
    <s v="College Station"/>
    <x v="5"/>
    <n v="77840"/>
    <x v="2"/>
    <x v="913"/>
    <x v="0"/>
    <x v="1"/>
    <x v="905"/>
    <n v="233.05799999999999"/>
    <s v="High"/>
    <n v="3"/>
    <n v="0.3"/>
    <x v="1"/>
    <x v="4"/>
    <n v="-53.270400000000002"/>
    <n v="-0.22857142857142859"/>
    <n v="1"/>
  </r>
  <r>
    <n v="2152"/>
    <s v="CA-2014-167360"/>
    <d v="2014-11-24T00:00:00"/>
    <x v="2"/>
    <s v="Q4"/>
    <x v="7"/>
    <d v="2014-11-29T00:00:00"/>
    <s v="Second Class"/>
    <x v="579"/>
    <x v="579"/>
    <s v="Consumer"/>
    <s v="United States"/>
    <s v="Saint Louis"/>
    <x v="25"/>
    <n v="63116"/>
    <x v="2"/>
    <x v="404"/>
    <x v="2"/>
    <x v="11"/>
    <x v="405"/>
    <n v="111.79"/>
    <s v="Medium"/>
    <n v="7"/>
    <n v="0"/>
    <x v="0"/>
    <x v="0"/>
    <n v="43.598100000000002"/>
    <n v="0.39"/>
    <n v="0"/>
  </r>
  <r>
    <n v="2153"/>
    <s v="CA-2015-123505"/>
    <d v="2015-11-22T00:00:00"/>
    <x v="1"/>
    <s v="Q4"/>
    <x v="6"/>
    <d v="2015-11-26T00:00:00"/>
    <s v="Standard Class"/>
    <x v="481"/>
    <x v="481"/>
    <s v="Consumer"/>
    <s v="United States"/>
    <s v="Quincy"/>
    <x v="31"/>
    <n v="2169"/>
    <x v="3"/>
    <x v="1025"/>
    <x v="1"/>
    <x v="10"/>
    <x v="1016"/>
    <n v="14.94"/>
    <s v="Low"/>
    <n v="3"/>
    <n v="0"/>
    <x v="0"/>
    <x v="0"/>
    <n v="7.0217999999999998"/>
    <n v="0.47000000000000003"/>
    <n v="0"/>
  </r>
  <r>
    <n v="2154"/>
    <s v="CA-2016-117282"/>
    <d v="2016-07-14T00:00:00"/>
    <x v="0"/>
    <s v="Q3"/>
    <x v="16"/>
    <d v="2016-07-18T00:00:00"/>
    <s v="Standard Class"/>
    <x v="112"/>
    <x v="112"/>
    <s v="Corporate"/>
    <s v="United States"/>
    <s v="New York City"/>
    <x v="15"/>
    <n v="10009"/>
    <x v="3"/>
    <x v="608"/>
    <x v="1"/>
    <x v="8"/>
    <x v="608"/>
    <n v="14.16"/>
    <s v="Low"/>
    <n v="2"/>
    <n v="0.2"/>
    <x v="2"/>
    <x v="2"/>
    <n v="5.133"/>
    <n v="0.36249999999999999"/>
    <n v="0"/>
  </r>
  <r>
    <n v="2155"/>
    <s v="US-2016-120460"/>
    <d v="2016-04-30T00:00:00"/>
    <x v="0"/>
    <s v="Q2"/>
    <x v="25"/>
    <d v="2016-05-05T00:00:00"/>
    <s v="Standard Class"/>
    <x v="408"/>
    <x v="408"/>
    <s v="Home Office"/>
    <s v="United States"/>
    <s v="Dallas"/>
    <x v="5"/>
    <n v="75081"/>
    <x v="2"/>
    <x v="1155"/>
    <x v="0"/>
    <x v="5"/>
    <x v="1143"/>
    <n v="22.608000000000001"/>
    <s v="Low"/>
    <n v="3"/>
    <n v="0.6"/>
    <x v="1"/>
    <x v="6"/>
    <n v="-10.1736"/>
    <n v="-0.45"/>
    <n v="1"/>
  </r>
  <r>
    <n v="2156"/>
    <s v="CA-2016-111115"/>
    <d v="2016-07-25T00:00:00"/>
    <x v="0"/>
    <s v="Q3"/>
    <x v="16"/>
    <d v="2016-07-27T00:00:00"/>
    <s v="Second Class"/>
    <x v="445"/>
    <x v="445"/>
    <s v="Consumer"/>
    <s v="United States"/>
    <s v="Los Angeles"/>
    <x v="1"/>
    <n v="90032"/>
    <x v="1"/>
    <x v="294"/>
    <x v="1"/>
    <x v="13"/>
    <x v="294"/>
    <n v="21.48"/>
    <s v="Low"/>
    <n v="6"/>
    <n v="0"/>
    <x v="0"/>
    <x v="0"/>
    <n v="10.74"/>
    <n v="0.5"/>
    <n v="0"/>
  </r>
  <r>
    <n v="2157"/>
    <s v="CA-2014-124646"/>
    <d v="2014-06-22T00:00:00"/>
    <x v="2"/>
    <s v="Q2"/>
    <x v="3"/>
    <d v="2014-06-24T00:00:00"/>
    <s v="First Class"/>
    <x v="231"/>
    <x v="231"/>
    <s v="Consumer"/>
    <s v="United States"/>
    <s v="Minneapolis"/>
    <x v="11"/>
    <n v="55407"/>
    <x v="2"/>
    <x v="749"/>
    <x v="1"/>
    <x v="4"/>
    <x v="747"/>
    <n v="501.81"/>
    <s v="High"/>
    <n v="3"/>
    <n v="0"/>
    <x v="0"/>
    <x v="0"/>
    <n v="0"/>
    <n v="0"/>
    <n v="0"/>
  </r>
  <r>
    <n v="2158"/>
    <s v="CA-2014-124646"/>
    <d v="2014-06-22T00:00:00"/>
    <x v="2"/>
    <s v="Q2"/>
    <x v="3"/>
    <d v="2014-06-24T00:00:00"/>
    <s v="First Class"/>
    <x v="231"/>
    <x v="231"/>
    <s v="Consumer"/>
    <s v="United States"/>
    <s v="Minneapolis"/>
    <x v="11"/>
    <n v="55407"/>
    <x v="2"/>
    <x v="398"/>
    <x v="1"/>
    <x v="4"/>
    <x v="399"/>
    <n v="161.94"/>
    <s v="High"/>
    <n v="3"/>
    <n v="0"/>
    <x v="0"/>
    <x v="0"/>
    <n v="9.7164000000000001"/>
    <n v="6.0000000000000005E-2"/>
    <n v="0"/>
  </r>
  <r>
    <n v="2159"/>
    <s v="CA-2017-148166"/>
    <d v="2017-10-21T00:00:00"/>
    <x v="3"/>
    <s v="Q4"/>
    <x v="13"/>
    <d v="2017-10-26T00:00:00"/>
    <s v="Standard Class"/>
    <x v="71"/>
    <x v="71"/>
    <s v="Home Office"/>
    <s v="United States"/>
    <s v="Deltona"/>
    <x v="2"/>
    <n v="32725"/>
    <x v="0"/>
    <x v="1260"/>
    <x v="1"/>
    <x v="6"/>
    <x v="1244"/>
    <n v="17.856000000000002"/>
    <s v="Low"/>
    <n v="4"/>
    <n v="0.2"/>
    <x v="2"/>
    <x v="2"/>
    <n v="2.0087999999999999"/>
    <n v="0.11249999999999999"/>
    <n v="0"/>
  </r>
  <r>
    <n v="2160"/>
    <s v="CA-2016-159737"/>
    <d v="2016-09-03T00:00:00"/>
    <x v="0"/>
    <s v="Q3"/>
    <x v="21"/>
    <d v="2016-09-09T00:00:00"/>
    <s v="Standard Class"/>
    <x v="229"/>
    <x v="229"/>
    <s v="Consumer"/>
    <s v="United States"/>
    <s v="Chicago"/>
    <x v="10"/>
    <n v="60610"/>
    <x v="2"/>
    <x v="908"/>
    <x v="1"/>
    <x v="8"/>
    <x v="900"/>
    <n v="8.8079999999999998"/>
    <s v="Low"/>
    <n v="3"/>
    <n v="0.8"/>
    <x v="1"/>
    <x v="3"/>
    <n v="-14.973599999999999"/>
    <n v="-1.7"/>
    <n v="1"/>
  </r>
  <r>
    <n v="2161"/>
    <s v="CA-2016-141019"/>
    <d v="2016-05-14T00:00:00"/>
    <x v="0"/>
    <s v="Q2"/>
    <x v="35"/>
    <d v="2016-05-14T00:00:00"/>
    <s v="Same Day"/>
    <x v="109"/>
    <x v="109"/>
    <s v="Consumer"/>
    <s v="United States"/>
    <s v="Cincinnati"/>
    <x v="24"/>
    <n v="45231"/>
    <x v="3"/>
    <x v="1071"/>
    <x v="0"/>
    <x v="5"/>
    <x v="1060"/>
    <n v="79.384"/>
    <s v="Medium"/>
    <n v="1"/>
    <n v="0.2"/>
    <x v="2"/>
    <x v="2"/>
    <n v="29.768999999999998"/>
    <n v="0.375"/>
    <n v="0"/>
  </r>
  <r>
    <n v="2162"/>
    <s v="CA-2016-101938"/>
    <d v="2016-01-07T00:00:00"/>
    <x v="0"/>
    <s v="Q1"/>
    <x v="12"/>
    <d v="2016-01-12T00:00:00"/>
    <s v="Standard Class"/>
    <x v="108"/>
    <x v="108"/>
    <s v="Home Office"/>
    <s v="United States"/>
    <s v="Oakland"/>
    <x v="1"/>
    <n v="94601"/>
    <x v="1"/>
    <x v="1261"/>
    <x v="1"/>
    <x v="6"/>
    <x v="1245"/>
    <n v="34.58"/>
    <s v="Medium"/>
    <n v="1"/>
    <n v="0"/>
    <x v="0"/>
    <x v="0"/>
    <n v="10.0282"/>
    <n v="0.29000000000000004"/>
    <n v="0"/>
  </r>
  <r>
    <n v="2163"/>
    <s v="CA-2017-166296"/>
    <d v="2017-03-13T00:00:00"/>
    <x v="3"/>
    <s v="Q1"/>
    <x v="42"/>
    <d v="2017-03-19T00:00:00"/>
    <s v="Standard Class"/>
    <x v="580"/>
    <x v="580"/>
    <s v="Home Office"/>
    <s v="United States"/>
    <s v="Manteca"/>
    <x v="1"/>
    <n v="95336"/>
    <x v="1"/>
    <x v="1078"/>
    <x v="1"/>
    <x v="10"/>
    <x v="1068"/>
    <n v="314.55"/>
    <s v="High"/>
    <n v="3"/>
    <n v="0"/>
    <x v="0"/>
    <x v="0"/>
    <n v="150.98400000000001"/>
    <n v="0.48000000000000004"/>
    <n v="0"/>
  </r>
  <r>
    <n v="2164"/>
    <s v="CA-2016-154018"/>
    <d v="2016-10-13T00:00:00"/>
    <x v="0"/>
    <s v="Q4"/>
    <x v="32"/>
    <d v="2016-10-19T00:00:00"/>
    <s v="Standard Class"/>
    <x v="66"/>
    <x v="66"/>
    <s v="Consumer"/>
    <s v="United States"/>
    <s v="Laredo"/>
    <x v="5"/>
    <n v="78041"/>
    <x v="2"/>
    <x v="657"/>
    <x v="2"/>
    <x v="11"/>
    <x v="657"/>
    <n v="191.976"/>
    <s v="High"/>
    <n v="3"/>
    <n v="0.2"/>
    <x v="2"/>
    <x v="2"/>
    <n v="23.997"/>
    <n v="0.125"/>
    <n v="0"/>
  </r>
  <r>
    <n v="2165"/>
    <s v="CA-2016-154018"/>
    <d v="2016-10-13T00:00:00"/>
    <x v="0"/>
    <s v="Q4"/>
    <x v="32"/>
    <d v="2016-10-19T00:00:00"/>
    <s v="Standard Class"/>
    <x v="66"/>
    <x v="66"/>
    <s v="Consumer"/>
    <s v="United States"/>
    <s v="Laredo"/>
    <x v="5"/>
    <n v="78041"/>
    <x v="2"/>
    <x v="1262"/>
    <x v="1"/>
    <x v="10"/>
    <x v="1246"/>
    <n v="8.2880000000000003"/>
    <s v="Low"/>
    <n v="2"/>
    <n v="0.2"/>
    <x v="2"/>
    <x v="2"/>
    <n v="3.0044"/>
    <n v="0.36249999999999999"/>
    <n v="0"/>
  </r>
  <r>
    <n v="2166"/>
    <s v="CA-2016-154018"/>
    <d v="2016-10-13T00:00:00"/>
    <x v="0"/>
    <s v="Q4"/>
    <x v="32"/>
    <d v="2016-10-19T00:00:00"/>
    <s v="Standard Class"/>
    <x v="66"/>
    <x v="66"/>
    <s v="Consumer"/>
    <s v="United States"/>
    <s v="Laredo"/>
    <x v="5"/>
    <n v="78041"/>
    <x v="2"/>
    <x v="583"/>
    <x v="0"/>
    <x v="5"/>
    <x v="583"/>
    <n v="139.91999999999999"/>
    <s v="High"/>
    <n v="5"/>
    <n v="0.6"/>
    <x v="1"/>
    <x v="6"/>
    <n v="-150.41399999999999"/>
    <n v="-1.075"/>
    <n v="1"/>
  </r>
  <r>
    <n v="2167"/>
    <s v="CA-2016-154018"/>
    <d v="2016-10-13T00:00:00"/>
    <x v="0"/>
    <s v="Q4"/>
    <x v="32"/>
    <d v="2016-10-19T00:00:00"/>
    <s v="Standard Class"/>
    <x v="66"/>
    <x v="66"/>
    <s v="Consumer"/>
    <s v="United States"/>
    <s v="Laredo"/>
    <x v="5"/>
    <n v="78041"/>
    <x v="2"/>
    <x v="1167"/>
    <x v="1"/>
    <x v="6"/>
    <x v="1154"/>
    <n v="15.872"/>
    <s v="Low"/>
    <n v="1"/>
    <n v="0.2"/>
    <x v="2"/>
    <x v="2"/>
    <n v="1.1903999999999999"/>
    <n v="7.4999999999999997E-2"/>
    <n v="0"/>
  </r>
  <r>
    <n v="2168"/>
    <s v="CA-2016-154018"/>
    <d v="2016-10-13T00:00:00"/>
    <x v="0"/>
    <s v="Q4"/>
    <x v="32"/>
    <d v="2016-10-19T00:00:00"/>
    <s v="Standard Class"/>
    <x v="66"/>
    <x v="66"/>
    <s v="Consumer"/>
    <s v="United States"/>
    <s v="Laredo"/>
    <x v="5"/>
    <n v="78041"/>
    <x v="2"/>
    <x v="307"/>
    <x v="1"/>
    <x v="8"/>
    <x v="307"/>
    <n v="6.2859999999999996"/>
    <s v="Low"/>
    <n v="7"/>
    <n v="0.8"/>
    <x v="1"/>
    <x v="3"/>
    <n v="-11.000500000000001"/>
    <n v="-1.7500000000000002"/>
    <n v="1"/>
  </r>
  <r>
    <n v="2169"/>
    <s v="CA-2017-117870"/>
    <d v="2017-01-27T00:00:00"/>
    <x v="3"/>
    <s v="Q1"/>
    <x v="44"/>
    <d v="2017-01-30T00:00:00"/>
    <s v="Second Class"/>
    <x v="581"/>
    <x v="581"/>
    <s v="Consumer"/>
    <s v="United States"/>
    <s v="Kent"/>
    <x v="24"/>
    <n v="44240"/>
    <x v="3"/>
    <x v="512"/>
    <x v="1"/>
    <x v="6"/>
    <x v="512"/>
    <n v="14.016"/>
    <s v="Low"/>
    <n v="3"/>
    <n v="0.2"/>
    <x v="2"/>
    <x v="2"/>
    <n v="1.752"/>
    <n v="0.125"/>
    <n v="0"/>
  </r>
  <r>
    <n v="2170"/>
    <s v="CA-2017-117870"/>
    <d v="2017-01-27T00:00:00"/>
    <x v="3"/>
    <s v="Q1"/>
    <x v="44"/>
    <d v="2017-01-30T00:00:00"/>
    <s v="Second Class"/>
    <x v="581"/>
    <x v="581"/>
    <s v="Consumer"/>
    <s v="United States"/>
    <s v="Kent"/>
    <x v="24"/>
    <n v="44240"/>
    <x v="3"/>
    <x v="701"/>
    <x v="2"/>
    <x v="11"/>
    <x v="701"/>
    <n v="71.975999999999999"/>
    <s v="Medium"/>
    <n v="3"/>
    <n v="0.2"/>
    <x v="2"/>
    <x v="2"/>
    <n v="-8.9969999999999999"/>
    <n v="-0.125"/>
    <n v="1"/>
  </r>
  <r>
    <n v="2171"/>
    <s v="CA-2017-117870"/>
    <d v="2017-01-27T00:00:00"/>
    <x v="3"/>
    <s v="Q1"/>
    <x v="44"/>
    <d v="2017-01-30T00:00:00"/>
    <s v="Second Class"/>
    <x v="581"/>
    <x v="581"/>
    <s v="Consumer"/>
    <s v="United States"/>
    <s v="Kent"/>
    <x v="24"/>
    <n v="44240"/>
    <x v="3"/>
    <x v="160"/>
    <x v="2"/>
    <x v="7"/>
    <x v="161"/>
    <n v="107.982"/>
    <s v="Medium"/>
    <n v="3"/>
    <n v="0.4"/>
    <x v="1"/>
    <x v="7"/>
    <n v="-26.9955"/>
    <n v="-0.25"/>
    <n v="1"/>
  </r>
  <r>
    <n v="2172"/>
    <s v="US-2017-137491"/>
    <d v="2017-11-19T00:00:00"/>
    <x v="3"/>
    <s v="Q4"/>
    <x v="23"/>
    <d v="2017-11-25T00:00:00"/>
    <s v="Standard Class"/>
    <x v="18"/>
    <x v="18"/>
    <s v="Corporate"/>
    <s v="United States"/>
    <s v="San Angelo"/>
    <x v="5"/>
    <n v="76903"/>
    <x v="2"/>
    <x v="635"/>
    <x v="0"/>
    <x v="1"/>
    <x v="635"/>
    <n v="305.31200000000001"/>
    <s v="High"/>
    <n v="2"/>
    <n v="0.3"/>
    <x v="1"/>
    <x v="4"/>
    <n v="-8.7232000000000003"/>
    <n v="-2.8571428571428571E-2"/>
    <n v="1"/>
  </r>
  <r>
    <n v="2173"/>
    <s v="CA-2014-152296"/>
    <d v="2014-08-01T00:00:00"/>
    <x v="2"/>
    <s v="Q3"/>
    <x v="9"/>
    <d v="2014-08-03T00:00:00"/>
    <s v="First Class"/>
    <x v="582"/>
    <x v="582"/>
    <s v="Consumer"/>
    <s v="United States"/>
    <s v="San Francisco"/>
    <x v="1"/>
    <n v="94122"/>
    <x v="1"/>
    <x v="1263"/>
    <x v="1"/>
    <x v="8"/>
    <x v="1247"/>
    <n v="19.751999999999999"/>
    <s v="Low"/>
    <n v="3"/>
    <n v="0.2"/>
    <x v="2"/>
    <x v="2"/>
    <n v="6.9131999999999998"/>
    <n v="0.35000000000000003"/>
    <n v="0"/>
  </r>
  <r>
    <n v="2174"/>
    <s v="CA-2016-112025"/>
    <d v="2016-07-30T00:00:00"/>
    <x v="0"/>
    <s v="Q3"/>
    <x v="16"/>
    <d v="2016-08-04T00:00:00"/>
    <s v="Standard Class"/>
    <x v="60"/>
    <x v="60"/>
    <s v="Home Office"/>
    <s v="United States"/>
    <s v="Houston"/>
    <x v="5"/>
    <n v="77070"/>
    <x v="2"/>
    <x v="1087"/>
    <x v="1"/>
    <x v="8"/>
    <x v="1077"/>
    <n v="9.2639999999999993"/>
    <s v="Low"/>
    <n v="3"/>
    <n v="0.8"/>
    <x v="1"/>
    <x v="3"/>
    <n v="-13.896000000000001"/>
    <n v="-1.5000000000000002"/>
    <n v="1"/>
  </r>
  <r>
    <n v="2175"/>
    <s v="CA-2015-132507"/>
    <d v="2015-07-30T00:00:00"/>
    <x v="1"/>
    <s v="Q3"/>
    <x v="38"/>
    <d v="2015-08-03T00:00:00"/>
    <s v="Second Class"/>
    <x v="566"/>
    <x v="566"/>
    <s v="Corporate"/>
    <s v="United States"/>
    <s v="Houston"/>
    <x v="5"/>
    <n v="77041"/>
    <x v="2"/>
    <x v="1220"/>
    <x v="1"/>
    <x v="4"/>
    <x v="1204"/>
    <n v="61.792000000000002"/>
    <s v="Medium"/>
    <n v="4"/>
    <n v="0.2"/>
    <x v="2"/>
    <x v="2"/>
    <n v="6.1791999999999998"/>
    <n v="9.9999999999999992E-2"/>
    <n v="0"/>
  </r>
  <r>
    <n v="2176"/>
    <s v="CA-2016-125738"/>
    <d v="2016-10-15T00:00:00"/>
    <x v="0"/>
    <s v="Q4"/>
    <x v="32"/>
    <d v="2016-10-21T00:00:00"/>
    <s v="Standard Class"/>
    <x v="583"/>
    <x v="583"/>
    <s v="Home Office"/>
    <s v="United States"/>
    <s v="Salt Lake City"/>
    <x v="7"/>
    <n v="84106"/>
    <x v="1"/>
    <x v="1264"/>
    <x v="1"/>
    <x v="10"/>
    <x v="1248"/>
    <n v="45.68"/>
    <s v="Medium"/>
    <n v="2"/>
    <n v="0"/>
    <x v="0"/>
    <x v="0"/>
    <n v="21.012799999999999"/>
    <n v="0.45999999999999996"/>
    <n v="0"/>
  </r>
  <r>
    <n v="2177"/>
    <s v="CA-2016-125738"/>
    <d v="2016-10-15T00:00:00"/>
    <x v="0"/>
    <s v="Q4"/>
    <x v="32"/>
    <d v="2016-10-21T00:00:00"/>
    <s v="Standard Class"/>
    <x v="583"/>
    <x v="583"/>
    <s v="Home Office"/>
    <s v="United States"/>
    <s v="Salt Lake City"/>
    <x v="7"/>
    <n v="84106"/>
    <x v="1"/>
    <x v="1083"/>
    <x v="1"/>
    <x v="10"/>
    <x v="1073"/>
    <n v="60.12"/>
    <s v="Medium"/>
    <n v="9"/>
    <n v="0"/>
    <x v="0"/>
    <x v="0"/>
    <n v="28.857600000000001"/>
    <n v="0.48000000000000004"/>
    <n v="0"/>
  </r>
  <r>
    <n v="2178"/>
    <s v="CA-2016-125738"/>
    <d v="2016-10-15T00:00:00"/>
    <x v="0"/>
    <s v="Q4"/>
    <x v="32"/>
    <d v="2016-10-21T00:00:00"/>
    <s v="Standard Class"/>
    <x v="583"/>
    <x v="583"/>
    <s v="Home Office"/>
    <s v="United States"/>
    <s v="Salt Lake City"/>
    <x v="7"/>
    <n v="84106"/>
    <x v="1"/>
    <x v="1124"/>
    <x v="1"/>
    <x v="8"/>
    <x v="1112"/>
    <n v="41.72"/>
    <s v="Medium"/>
    <n v="5"/>
    <n v="0.2"/>
    <x v="2"/>
    <x v="2"/>
    <n v="13.0375"/>
    <n v="0.3125"/>
    <n v="0"/>
  </r>
  <r>
    <n v="2179"/>
    <s v="CA-2016-125738"/>
    <d v="2016-10-15T00:00:00"/>
    <x v="0"/>
    <s v="Q4"/>
    <x v="32"/>
    <d v="2016-10-21T00:00:00"/>
    <s v="Standard Class"/>
    <x v="583"/>
    <x v="583"/>
    <s v="Home Office"/>
    <s v="United States"/>
    <s v="Salt Lake City"/>
    <x v="7"/>
    <n v="84106"/>
    <x v="1"/>
    <x v="422"/>
    <x v="1"/>
    <x v="10"/>
    <x v="422"/>
    <n v="71.599999999999994"/>
    <s v="Medium"/>
    <n v="8"/>
    <n v="0"/>
    <x v="0"/>
    <x v="0"/>
    <n v="32.936"/>
    <n v="0.46"/>
    <n v="0"/>
  </r>
  <r>
    <n v="2180"/>
    <s v="CA-2016-128818"/>
    <d v="2016-05-07T00:00:00"/>
    <x v="0"/>
    <s v="Q2"/>
    <x v="35"/>
    <d v="2016-05-11T00:00:00"/>
    <s v="Standard Class"/>
    <x v="170"/>
    <x v="170"/>
    <s v="Consumer"/>
    <s v="United States"/>
    <s v="New York City"/>
    <x v="15"/>
    <n v="10009"/>
    <x v="3"/>
    <x v="338"/>
    <x v="1"/>
    <x v="8"/>
    <x v="338"/>
    <n v="85.231999999999999"/>
    <s v="Medium"/>
    <n v="7"/>
    <n v="0.2"/>
    <x v="2"/>
    <x v="2"/>
    <n v="30.896599999999999"/>
    <n v="0.36249999999999999"/>
    <n v="0"/>
  </r>
  <r>
    <n v="2181"/>
    <s v="CA-2016-128818"/>
    <d v="2016-05-07T00:00:00"/>
    <x v="0"/>
    <s v="Q2"/>
    <x v="35"/>
    <d v="2016-05-11T00:00:00"/>
    <s v="Standard Class"/>
    <x v="170"/>
    <x v="170"/>
    <s v="Consumer"/>
    <s v="United States"/>
    <s v="New York City"/>
    <x v="15"/>
    <n v="10009"/>
    <x v="3"/>
    <x v="429"/>
    <x v="1"/>
    <x v="2"/>
    <x v="429"/>
    <n v="44.4"/>
    <s v="Medium"/>
    <n v="3"/>
    <n v="0"/>
    <x v="0"/>
    <x v="0"/>
    <n v="22.2"/>
    <n v="0.5"/>
    <n v="0"/>
  </r>
  <r>
    <n v="2182"/>
    <s v="CA-2016-128818"/>
    <d v="2016-05-07T00:00:00"/>
    <x v="0"/>
    <s v="Q2"/>
    <x v="35"/>
    <d v="2016-05-11T00:00:00"/>
    <s v="Standard Class"/>
    <x v="170"/>
    <x v="170"/>
    <s v="Consumer"/>
    <s v="United States"/>
    <s v="New York City"/>
    <x v="15"/>
    <n v="10009"/>
    <x v="3"/>
    <x v="1265"/>
    <x v="0"/>
    <x v="1"/>
    <x v="1249"/>
    <n v="442.76400000000001"/>
    <s v="High"/>
    <n v="4"/>
    <n v="0.1"/>
    <x v="3"/>
    <x v="8"/>
    <n v="59.035200000000003"/>
    <n v="0.13333333333333333"/>
    <n v="0"/>
  </r>
  <r>
    <n v="2183"/>
    <s v="CA-2016-128818"/>
    <d v="2016-05-07T00:00:00"/>
    <x v="0"/>
    <s v="Q2"/>
    <x v="35"/>
    <d v="2016-05-11T00:00:00"/>
    <s v="Standard Class"/>
    <x v="170"/>
    <x v="170"/>
    <s v="Consumer"/>
    <s v="United States"/>
    <s v="New York City"/>
    <x v="15"/>
    <n v="10009"/>
    <x v="3"/>
    <x v="1150"/>
    <x v="2"/>
    <x v="15"/>
    <x v="1138"/>
    <n v="3999.95"/>
    <s v="High"/>
    <n v="5"/>
    <n v="0"/>
    <x v="0"/>
    <x v="0"/>
    <n v="1159.9855"/>
    <n v="0.29000000000000004"/>
    <n v="0"/>
  </r>
  <r>
    <n v="2184"/>
    <s v="CA-2016-128818"/>
    <d v="2016-05-07T00:00:00"/>
    <x v="0"/>
    <s v="Q2"/>
    <x v="35"/>
    <d v="2016-05-11T00:00:00"/>
    <s v="Standard Class"/>
    <x v="170"/>
    <x v="170"/>
    <s v="Consumer"/>
    <s v="United States"/>
    <s v="New York City"/>
    <x v="15"/>
    <n v="10009"/>
    <x v="3"/>
    <x v="97"/>
    <x v="2"/>
    <x v="11"/>
    <x v="97"/>
    <n v="199.95"/>
    <s v="High"/>
    <n v="5"/>
    <n v="0"/>
    <x v="0"/>
    <x v="0"/>
    <n v="21.994499999999999"/>
    <n v="0.11"/>
    <n v="0"/>
  </r>
  <r>
    <n v="2185"/>
    <s v="CA-2016-128818"/>
    <d v="2016-05-07T00:00:00"/>
    <x v="0"/>
    <s v="Q2"/>
    <x v="35"/>
    <d v="2016-05-11T00:00:00"/>
    <s v="Standard Class"/>
    <x v="170"/>
    <x v="170"/>
    <s v="Consumer"/>
    <s v="United States"/>
    <s v="New York City"/>
    <x v="15"/>
    <n v="10009"/>
    <x v="3"/>
    <x v="740"/>
    <x v="0"/>
    <x v="5"/>
    <x v="222"/>
    <n v="63.68"/>
    <s v="Medium"/>
    <n v="8"/>
    <n v="0"/>
    <x v="0"/>
    <x v="0"/>
    <n v="28.019200000000001"/>
    <n v="0.44"/>
    <n v="0"/>
  </r>
  <r>
    <n v="2186"/>
    <s v="CA-2017-124576"/>
    <d v="2017-08-01T00:00:00"/>
    <x v="3"/>
    <s v="Q3"/>
    <x v="43"/>
    <d v="2017-08-04T00:00:00"/>
    <s v="Second Class"/>
    <x v="96"/>
    <x v="96"/>
    <s v="Corporate"/>
    <s v="United States"/>
    <s v="Salinas"/>
    <x v="1"/>
    <n v="93905"/>
    <x v="1"/>
    <x v="141"/>
    <x v="1"/>
    <x v="8"/>
    <x v="142"/>
    <n v="54.896000000000001"/>
    <s v="Medium"/>
    <n v="2"/>
    <n v="0.2"/>
    <x v="2"/>
    <x v="2"/>
    <n v="18.5274"/>
    <n v="0.33750000000000002"/>
    <n v="0"/>
  </r>
  <r>
    <n v="2187"/>
    <s v="CA-2016-101378"/>
    <d v="2016-07-14T00:00:00"/>
    <x v="0"/>
    <s v="Q3"/>
    <x v="16"/>
    <d v="2016-07-14T00:00:00"/>
    <s v="Same Day"/>
    <x v="584"/>
    <x v="584"/>
    <s v="Consumer"/>
    <s v="United States"/>
    <s v="Huntsville"/>
    <x v="19"/>
    <n v="35810"/>
    <x v="0"/>
    <x v="174"/>
    <x v="2"/>
    <x v="11"/>
    <x v="175"/>
    <n v="29"/>
    <s v="Medium"/>
    <n v="2"/>
    <n v="0"/>
    <x v="0"/>
    <x v="0"/>
    <n v="7.25"/>
    <n v="0.25"/>
    <n v="0"/>
  </r>
  <r>
    <n v="2188"/>
    <s v="CA-2017-143063"/>
    <d v="2017-08-10T00:00:00"/>
    <x v="3"/>
    <s v="Q3"/>
    <x v="43"/>
    <d v="2017-08-15T00:00:00"/>
    <s v="Standard Class"/>
    <x v="582"/>
    <x v="582"/>
    <s v="Consumer"/>
    <s v="United States"/>
    <s v="Columbus"/>
    <x v="14"/>
    <n v="47201"/>
    <x v="2"/>
    <x v="1040"/>
    <x v="1"/>
    <x v="12"/>
    <x v="153"/>
    <n v="70.08"/>
    <s v="Medium"/>
    <n v="6"/>
    <n v="0"/>
    <x v="0"/>
    <x v="0"/>
    <n v="35.04"/>
    <n v="0.5"/>
    <n v="0"/>
  </r>
  <r>
    <n v="2189"/>
    <s v="CA-2017-143063"/>
    <d v="2017-08-10T00:00:00"/>
    <x v="3"/>
    <s v="Q3"/>
    <x v="43"/>
    <d v="2017-08-15T00:00:00"/>
    <s v="Standard Class"/>
    <x v="582"/>
    <x v="582"/>
    <s v="Consumer"/>
    <s v="United States"/>
    <s v="Columbus"/>
    <x v="14"/>
    <n v="47201"/>
    <x v="2"/>
    <x v="71"/>
    <x v="0"/>
    <x v="5"/>
    <x v="71"/>
    <n v="121.3"/>
    <s v="Medium"/>
    <n v="2"/>
    <n v="0"/>
    <x v="0"/>
    <x v="0"/>
    <n v="25.472999999999999"/>
    <n v="0.21"/>
    <n v="0"/>
  </r>
  <r>
    <n v="2190"/>
    <s v="CA-2017-143063"/>
    <d v="2017-08-10T00:00:00"/>
    <x v="3"/>
    <s v="Q3"/>
    <x v="43"/>
    <d v="2017-08-15T00:00:00"/>
    <s v="Standard Class"/>
    <x v="582"/>
    <x v="582"/>
    <s v="Consumer"/>
    <s v="United States"/>
    <s v="Columbus"/>
    <x v="14"/>
    <n v="47201"/>
    <x v="2"/>
    <x v="297"/>
    <x v="2"/>
    <x v="7"/>
    <x v="297"/>
    <n v="1454.49"/>
    <s v="High"/>
    <n v="9"/>
    <n v="0"/>
    <x v="0"/>
    <x v="0"/>
    <n v="378.16739999999999"/>
    <n v="0.26"/>
    <n v="0"/>
  </r>
  <r>
    <n v="2191"/>
    <s v="CA-2016-118913"/>
    <d v="2016-06-25T00:00:00"/>
    <x v="0"/>
    <s v="Q2"/>
    <x v="1"/>
    <d v="2016-06-29T00:00:00"/>
    <s v="Standard Class"/>
    <x v="238"/>
    <x v="238"/>
    <s v="Consumer"/>
    <s v="United States"/>
    <s v="Los Angeles"/>
    <x v="1"/>
    <n v="90049"/>
    <x v="1"/>
    <x v="1266"/>
    <x v="1"/>
    <x v="9"/>
    <x v="1250"/>
    <n v="60.81"/>
    <s v="Medium"/>
    <n v="3"/>
    <n v="0"/>
    <x v="0"/>
    <x v="0"/>
    <n v="17.026800000000001"/>
    <n v="0.28000000000000003"/>
    <n v="0"/>
  </r>
  <r>
    <n v="2192"/>
    <s v="CA-2016-128412"/>
    <d v="2016-12-10T00:00:00"/>
    <x v="0"/>
    <s v="Q4"/>
    <x v="5"/>
    <d v="2016-12-17T00:00:00"/>
    <s v="Standard Class"/>
    <x v="275"/>
    <x v="275"/>
    <s v="Consumer"/>
    <s v="United States"/>
    <s v="Seattle"/>
    <x v="4"/>
    <n v="98105"/>
    <x v="1"/>
    <x v="1242"/>
    <x v="1"/>
    <x v="8"/>
    <x v="1225"/>
    <n v="153.55199999999999"/>
    <s v="High"/>
    <n v="3"/>
    <n v="0.2"/>
    <x v="2"/>
    <x v="2"/>
    <n v="51.823799999999999"/>
    <n v="0.33750000000000002"/>
    <n v="0"/>
  </r>
  <r>
    <n v="2193"/>
    <s v="CA-2016-128412"/>
    <d v="2016-12-10T00:00:00"/>
    <x v="0"/>
    <s v="Q4"/>
    <x v="5"/>
    <d v="2016-12-17T00:00:00"/>
    <s v="Standard Class"/>
    <x v="275"/>
    <x v="275"/>
    <s v="Consumer"/>
    <s v="United States"/>
    <s v="Seattle"/>
    <x v="4"/>
    <n v="98105"/>
    <x v="1"/>
    <x v="1112"/>
    <x v="1"/>
    <x v="9"/>
    <x v="1101"/>
    <n v="65.34"/>
    <s v="Medium"/>
    <n v="3"/>
    <n v="0"/>
    <x v="0"/>
    <x v="0"/>
    <n v="22.869"/>
    <n v="0.35"/>
    <n v="0"/>
  </r>
  <r>
    <n v="2194"/>
    <s v="CA-2016-128412"/>
    <d v="2016-12-10T00:00:00"/>
    <x v="0"/>
    <s v="Q4"/>
    <x v="5"/>
    <d v="2016-12-17T00:00:00"/>
    <s v="Standard Class"/>
    <x v="275"/>
    <x v="275"/>
    <s v="Consumer"/>
    <s v="United States"/>
    <s v="Seattle"/>
    <x v="4"/>
    <n v="98105"/>
    <x v="1"/>
    <x v="1030"/>
    <x v="1"/>
    <x v="10"/>
    <x v="1021"/>
    <n v="123.92"/>
    <s v="High"/>
    <n v="4"/>
    <n v="0"/>
    <x v="0"/>
    <x v="0"/>
    <n v="55.764000000000003"/>
    <n v="0.45"/>
    <n v="0"/>
  </r>
  <r>
    <n v="2195"/>
    <s v="CA-2016-128412"/>
    <d v="2016-12-10T00:00:00"/>
    <x v="0"/>
    <s v="Q4"/>
    <x v="5"/>
    <d v="2016-12-17T00:00:00"/>
    <s v="Standard Class"/>
    <x v="275"/>
    <x v="275"/>
    <s v="Consumer"/>
    <s v="United States"/>
    <s v="Seattle"/>
    <x v="4"/>
    <n v="98105"/>
    <x v="1"/>
    <x v="1267"/>
    <x v="1"/>
    <x v="9"/>
    <x v="1251"/>
    <n v="35.1"/>
    <s v="Medium"/>
    <n v="3"/>
    <n v="0"/>
    <x v="0"/>
    <x v="0"/>
    <n v="12.285"/>
    <n v="0.35"/>
    <n v="0"/>
  </r>
  <r>
    <n v="2196"/>
    <s v="CA-2016-128412"/>
    <d v="2016-12-10T00:00:00"/>
    <x v="0"/>
    <s v="Q4"/>
    <x v="5"/>
    <d v="2016-12-17T00:00:00"/>
    <s v="Standard Class"/>
    <x v="275"/>
    <x v="275"/>
    <s v="Consumer"/>
    <s v="United States"/>
    <s v="Seattle"/>
    <x v="4"/>
    <n v="98105"/>
    <x v="1"/>
    <x v="1044"/>
    <x v="2"/>
    <x v="11"/>
    <x v="1033"/>
    <n v="44.75"/>
    <s v="Medium"/>
    <n v="5"/>
    <n v="0"/>
    <x v="0"/>
    <x v="0"/>
    <n v="8.5024999999999995"/>
    <n v="0.19"/>
    <n v="0"/>
  </r>
  <r>
    <n v="2197"/>
    <s v="CA-2016-136483"/>
    <d v="2016-12-01T00:00:00"/>
    <x v="0"/>
    <s v="Q4"/>
    <x v="5"/>
    <d v="2016-12-06T00:00:00"/>
    <s v="Standard Class"/>
    <x v="369"/>
    <x v="369"/>
    <s v="Consumer"/>
    <s v="United States"/>
    <s v="Knoxville"/>
    <x v="18"/>
    <n v="37918"/>
    <x v="0"/>
    <x v="134"/>
    <x v="1"/>
    <x v="6"/>
    <x v="135"/>
    <n v="4.7039999999999997"/>
    <s v="Low"/>
    <n v="2"/>
    <n v="0.2"/>
    <x v="2"/>
    <x v="2"/>
    <n v="0.41160000000000002"/>
    <n v="8.7500000000000008E-2"/>
    <n v="0"/>
  </r>
  <r>
    <n v="2198"/>
    <s v="CA-2014-163013"/>
    <d v="2014-11-28T00:00:00"/>
    <x v="2"/>
    <s v="Q4"/>
    <x v="7"/>
    <d v="2014-12-04T00:00:00"/>
    <s v="Standard Class"/>
    <x v="569"/>
    <x v="569"/>
    <s v="Consumer"/>
    <s v="United States"/>
    <s v="Montgomery"/>
    <x v="19"/>
    <n v="36116"/>
    <x v="0"/>
    <x v="563"/>
    <x v="1"/>
    <x v="6"/>
    <x v="563"/>
    <n v="14.67"/>
    <s v="Low"/>
    <n v="3"/>
    <n v="0"/>
    <x v="0"/>
    <x v="0"/>
    <n v="3.9609000000000001"/>
    <n v="0.27"/>
    <n v="0"/>
  </r>
  <r>
    <n v="2199"/>
    <s v="CA-2015-135363"/>
    <d v="2015-03-28T00:00:00"/>
    <x v="1"/>
    <s v="Q1"/>
    <x v="29"/>
    <d v="2015-04-02T00:00:00"/>
    <s v="Standard Class"/>
    <x v="237"/>
    <x v="237"/>
    <s v="Consumer"/>
    <s v="United States"/>
    <s v="Philadelphia"/>
    <x v="9"/>
    <n v="19120"/>
    <x v="3"/>
    <x v="89"/>
    <x v="1"/>
    <x v="10"/>
    <x v="89"/>
    <n v="15.552"/>
    <s v="Low"/>
    <n v="3"/>
    <n v="0.2"/>
    <x v="2"/>
    <x v="2"/>
    <n v="5.4432"/>
    <n v="0.35000000000000003"/>
    <n v="0"/>
  </r>
  <r>
    <n v="2200"/>
    <s v="CA-2015-135363"/>
    <d v="2015-03-28T00:00:00"/>
    <x v="1"/>
    <s v="Q1"/>
    <x v="29"/>
    <d v="2015-04-02T00:00:00"/>
    <s v="Standard Class"/>
    <x v="237"/>
    <x v="237"/>
    <s v="Consumer"/>
    <s v="United States"/>
    <s v="Philadelphia"/>
    <x v="9"/>
    <n v="19120"/>
    <x v="3"/>
    <x v="1221"/>
    <x v="1"/>
    <x v="10"/>
    <x v="1205"/>
    <n v="5.2320000000000002"/>
    <s v="Low"/>
    <n v="1"/>
    <n v="0.2"/>
    <x v="2"/>
    <x v="2"/>
    <n v="1.7003999999999999"/>
    <n v="0.32499999999999996"/>
    <n v="0"/>
  </r>
  <r>
    <n v="2201"/>
    <s v="US-2014-165659"/>
    <d v="2014-06-01T00:00:00"/>
    <x v="2"/>
    <s v="Q2"/>
    <x v="3"/>
    <d v="2014-06-06T00:00:00"/>
    <s v="Standard Class"/>
    <x v="299"/>
    <x v="299"/>
    <s v="Consumer"/>
    <s v="United States"/>
    <s v="Little Rock"/>
    <x v="36"/>
    <n v="72209"/>
    <x v="0"/>
    <x v="345"/>
    <x v="0"/>
    <x v="5"/>
    <x v="345"/>
    <n v="22.2"/>
    <s v="Low"/>
    <n v="6"/>
    <n v="0"/>
    <x v="0"/>
    <x v="0"/>
    <n v="9.1020000000000003"/>
    <n v="0.41000000000000003"/>
    <n v="0"/>
  </r>
  <r>
    <n v="2202"/>
    <s v="US-2014-165659"/>
    <d v="2014-06-01T00:00:00"/>
    <x v="2"/>
    <s v="Q2"/>
    <x v="3"/>
    <d v="2014-06-06T00:00:00"/>
    <s v="Standard Class"/>
    <x v="299"/>
    <x v="299"/>
    <s v="Consumer"/>
    <s v="United States"/>
    <s v="Little Rock"/>
    <x v="36"/>
    <n v="72209"/>
    <x v="0"/>
    <x v="202"/>
    <x v="2"/>
    <x v="7"/>
    <x v="203"/>
    <n v="881.93"/>
    <s v="High"/>
    <n v="7"/>
    <n v="0"/>
    <x v="0"/>
    <x v="0"/>
    <n v="229.30179999999999"/>
    <n v="0.26"/>
    <n v="0"/>
  </r>
  <r>
    <n v="2203"/>
    <s v="CA-2015-138002"/>
    <d v="2015-09-06T00:00:00"/>
    <x v="1"/>
    <s v="Q3"/>
    <x v="11"/>
    <d v="2015-09-12T00:00:00"/>
    <s v="Standard Class"/>
    <x v="457"/>
    <x v="457"/>
    <s v="Home Office"/>
    <s v="United States"/>
    <s v="Seattle"/>
    <x v="4"/>
    <n v="98103"/>
    <x v="1"/>
    <x v="315"/>
    <x v="1"/>
    <x v="8"/>
    <x v="315"/>
    <n v="6.0960000000000001"/>
    <s v="Low"/>
    <n v="2"/>
    <n v="0.2"/>
    <x v="2"/>
    <x v="2"/>
    <n v="2.1335999999999999"/>
    <n v="0.35"/>
    <n v="0"/>
  </r>
  <r>
    <n v="2204"/>
    <s v="CA-2015-138002"/>
    <d v="2015-09-06T00:00:00"/>
    <x v="1"/>
    <s v="Q3"/>
    <x v="11"/>
    <d v="2015-09-12T00:00:00"/>
    <s v="Standard Class"/>
    <x v="457"/>
    <x v="457"/>
    <s v="Home Office"/>
    <s v="United States"/>
    <s v="Seattle"/>
    <x v="4"/>
    <n v="98103"/>
    <x v="1"/>
    <x v="1268"/>
    <x v="0"/>
    <x v="5"/>
    <x v="1252"/>
    <n v="191.82"/>
    <s v="High"/>
    <n v="3"/>
    <n v="0"/>
    <x v="0"/>
    <x v="0"/>
    <n v="74.809799999999996"/>
    <n v="0.39"/>
    <n v="0"/>
  </r>
  <r>
    <n v="2205"/>
    <s v="CA-2015-128860"/>
    <d v="2015-06-29T00:00:00"/>
    <x v="1"/>
    <s v="Q2"/>
    <x v="40"/>
    <d v="2015-07-05T00:00:00"/>
    <s v="Standard Class"/>
    <x v="56"/>
    <x v="56"/>
    <s v="Consumer"/>
    <s v="United States"/>
    <s v="Lancaster"/>
    <x v="9"/>
    <n v="17602"/>
    <x v="3"/>
    <x v="1001"/>
    <x v="0"/>
    <x v="5"/>
    <x v="1253"/>
    <n v="20.103999999999999"/>
    <s v="Low"/>
    <n v="1"/>
    <n v="0.2"/>
    <x v="2"/>
    <x v="2"/>
    <n v="1.7591000000000001"/>
    <n v="8.7500000000000008E-2"/>
    <n v="0"/>
  </r>
  <r>
    <n v="2206"/>
    <s v="CA-2016-164350"/>
    <d v="2016-09-10T00:00:00"/>
    <x v="0"/>
    <s v="Q3"/>
    <x v="21"/>
    <d v="2016-09-12T00:00:00"/>
    <s v="Second Class"/>
    <x v="344"/>
    <x v="344"/>
    <s v="Home Office"/>
    <s v="United States"/>
    <s v="Bristol"/>
    <x v="18"/>
    <n v="37620"/>
    <x v="0"/>
    <x v="1269"/>
    <x v="1"/>
    <x v="6"/>
    <x v="1254"/>
    <n v="67.56"/>
    <s v="Medium"/>
    <n v="3"/>
    <n v="0.2"/>
    <x v="2"/>
    <x v="2"/>
    <n v="8.4450000000000003"/>
    <n v="0.125"/>
    <n v="0"/>
  </r>
  <r>
    <n v="2207"/>
    <s v="US-2014-103905"/>
    <d v="2014-07-14T00:00:00"/>
    <x v="2"/>
    <s v="Q3"/>
    <x v="39"/>
    <d v="2014-07-20T00:00:00"/>
    <s v="Standard Class"/>
    <x v="585"/>
    <x v="585"/>
    <s v="Home Office"/>
    <s v="United States"/>
    <s v="Aurora"/>
    <x v="10"/>
    <n v="60505"/>
    <x v="2"/>
    <x v="410"/>
    <x v="1"/>
    <x v="8"/>
    <x v="410"/>
    <n v="29.931999999999999"/>
    <s v="Medium"/>
    <n v="7"/>
    <n v="0.8"/>
    <x v="1"/>
    <x v="3"/>
    <n v="-46.394599999999997"/>
    <n v="-1.55"/>
    <n v="1"/>
  </r>
  <r>
    <n v="2208"/>
    <s v="US-2014-103905"/>
    <d v="2014-07-14T00:00:00"/>
    <x v="2"/>
    <s v="Q3"/>
    <x v="39"/>
    <d v="2014-07-20T00:00:00"/>
    <s v="Standard Class"/>
    <x v="585"/>
    <x v="585"/>
    <s v="Home Office"/>
    <s v="United States"/>
    <s v="Aurora"/>
    <x v="10"/>
    <n v="60505"/>
    <x v="2"/>
    <x v="179"/>
    <x v="2"/>
    <x v="7"/>
    <x v="180"/>
    <n v="38.271999999999998"/>
    <s v="Medium"/>
    <n v="4"/>
    <n v="0.2"/>
    <x v="2"/>
    <x v="2"/>
    <n v="3.8271999999999999"/>
    <n v="0.1"/>
    <n v="0"/>
  </r>
  <r>
    <n v="2209"/>
    <s v="CA-2015-129854"/>
    <d v="2015-08-22T00:00:00"/>
    <x v="1"/>
    <s v="Q3"/>
    <x v="37"/>
    <d v="2015-08-26T00:00:00"/>
    <s v="Standard Class"/>
    <x v="42"/>
    <x v="42"/>
    <s v="Home Office"/>
    <s v="United States"/>
    <s v="New York City"/>
    <x v="15"/>
    <n v="10009"/>
    <x v="3"/>
    <x v="105"/>
    <x v="1"/>
    <x v="6"/>
    <x v="105"/>
    <n v="16.52"/>
    <s v="Low"/>
    <n v="4"/>
    <n v="0"/>
    <x v="0"/>
    <x v="0"/>
    <n v="7.5991999999999997"/>
    <n v="0.46"/>
    <n v="0"/>
  </r>
  <r>
    <n v="2210"/>
    <s v="CA-2014-125556"/>
    <d v="2014-11-14T00:00:00"/>
    <x v="2"/>
    <s v="Q4"/>
    <x v="7"/>
    <d v="2014-11-16T00:00:00"/>
    <s v="Second Class"/>
    <x v="586"/>
    <x v="586"/>
    <s v="Consumer"/>
    <s v="United States"/>
    <s v="Fairfield"/>
    <x v="29"/>
    <n v="6824"/>
    <x v="3"/>
    <x v="1270"/>
    <x v="2"/>
    <x v="7"/>
    <x v="1255"/>
    <n v="832.93"/>
    <s v="High"/>
    <n v="7"/>
    <n v="0"/>
    <x v="0"/>
    <x v="0"/>
    <n v="233.22040000000001"/>
    <n v="0.28000000000000003"/>
    <n v="0"/>
  </r>
  <r>
    <n v="2211"/>
    <s v="CA-2014-125556"/>
    <d v="2014-11-14T00:00:00"/>
    <x v="2"/>
    <s v="Q4"/>
    <x v="7"/>
    <d v="2014-11-16T00:00:00"/>
    <s v="Second Class"/>
    <x v="586"/>
    <x v="586"/>
    <s v="Consumer"/>
    <s v="United States"/>
    <s v="Fairfield"/>
    <x v="29"/>
    <n v="6824"/>
    <x v="3"/>
    <x v="236"/>
    <x v="1"/>
    <x v="8"/>
    <x v="237"/>
    <n v="43.8"/>
    <s v="Medium"/>
    <n v="10"/>
    <n v="0"/>
    <x v="0"/>
    <x v="0"/>
    <n v="21.024000000000001"/>
    <n v="0.48000000000000004"/>
    <n v="0"/>
  </r>
  <r>
    <n v="2212"/>
    <s v="CA-2016-162313"/>
    <d v="2016-11-27T00:00:00"/>
    <x v="0"/>
    <s v="Q4"/>
    <x v="0"/>
    <d v="2016-11-30T00:00:00"/>
    <s v="First Class"/>
    <x v="146"/>
    <x v="146"/>
    <s v="Corporate"/>
    <s v="United States"/>
    <s v="Lincoln Park"/>
    <x v="12"/>
    <n v="48146"/>
    <x v="2"/>
    <x v="1271"/>
    <x v="1"/>
    <x v="9"/>
    <x v="1256"/>
    <n v="167.292"/>
    <s v="High"/>
    <n v="6"/>
    <n v="0.1"/>
    <x v="3"/>
    <x v="8"/>
    <n v="29.7408"/>
    <n v="0.17777777777777778"/>
    <n v="0"/>
  </r>
  <r>
    <n v="2213"/>
    <s v="CA-2017-107874"/>
    <d v="2017-11-21T00:00:00"/>
    <x v="3"/>
    <s v="Q4"/>
    <x v="23"/>
    <d v="2017-11-25T00:00:00"/>
    <s v="Standard Class"/>
    <x v="349"/>
    <x v="349"/>
    <s v="Consumer"/>
    <s v="United States"/>
    <s v="New York City"/>
    <x v="15"/>
    <n v="10035"/>
    <x v="3"/>
    <x v="905"/>
    <x v="0"/>
    <x v="5"/>
    <x v="897"/>
    <n v="27.42"/>
    <s v="Medium"/>
    <n v="1"/>
    <n v="0"/>
    <x v="0"/>
    <x v="0"/>
    <n v="11.2422"/>
    <n v="0.41"/>
    <n v="0"/>
  </r>
  <r>
    <n v="2214"/>
    <s v="CA-2017-129378"/>
    <d v="2017-10-01T00:00:00"/>
    <x v="3"/>
    <s v="Q4"/>
    <x v="13"/>
    <d v="2017-10-02T00:00:00"/>
    <s v="First Class"/>
    <x v="515"/>
    <x v="515"/>
    <s v="Consumer"/>
    <s v="United States"/>
    <s v="San Jose"/>
    <x v="1"/>
    <n v="95123"/>
    <x v="1"/>
    <x v="751"/>
    <x v="1"/>
    <x v="8"/>
    <x v="749"/>
    <n v="1.44"/>
    <s v="Low"/>
    <n v="1"/>
    <n v="0.2"/>
    <x v="2"/>
    <x v="2"/>
    <n v="0.504"/>
    <n v="0.35000000000000003"/>
    <n v="0"/>
  </r>
  <r>
    <n v="2215"/>
    <s v="CA-2017-129378"/>
    <d v="2017-10-01T00:00:00"/>
    <x v="3"/>
    <s v="Q4"/>
    <x v="13"/>
    <d v="2017-10-02T00:00:00"/>
    <s v="First Class"/>
    <x v="515"/>
    <x v="515"/>
    <s v="Consumer"/>
    <s v="United States"/>
    <s v="San Jose"/>
    <x v="1"/>
    <n v="95123"/>
    <x v="1"/>
    <x v="305"/>
    <x v="1"/>
    <x v="8"/>
    <x v="305"/>
    <n v="61.776000000000003"/>
    <s v="Medium"/>
    <n v="13"/>
    <n v="0.2"/>
    <x v="2"/>
    <x v="2"/>
    <n v="20.849399999999999"/>
    <n v="0.33749999999999997"/>
    <n v="0"/>
  </r>
  <r>
    <n v="2216"/>
    <s v="CA-2017-129378"/>
    <d v="2017-10-01T00:00:00"/>
    <x v="3"/>
    <s v="Q4"/>
    <x v="13"/>
    <d v="2017-10-02T00:00:00"/>
    <s v="First Class"/>
    <x v="515"/>
    <x v="515"/>
    <s v="Consumer"/>
    <s v="United States"/>
    <s v="San Jose"/>
    <x v="1"/>
    <n v="95123"/>
    <x v="1"/>
    <x v="643"/>
    <x v="1"/>
    <x v="9"/>
    <x v="850"/>
    <n v="241.96"/>
    <s v="High"/>
    <n v="2"/>
    <n v="0"/>
    <x v="0"/>
    <x v="0"/>
    <n v="60.49"/>
    <n v="0.25"/>
    <n v="0"/>
  </r>
  <r>
    <n v="2217"/>
    <s v="CA-2017-129378"/>
    <d v="2017-10-01T00:00:00"/>
    <x v="3"/>
    <s v="Q4"/>
    <x v="13"/>
    <d v="2017-10-02T00:00:00"/>
    <s v="First Class"/>
    <x v="515"/>
    <x v="515"/>
    <s v="Consumer"/>
    <s v="United States"/>
    <s v="San Jose"/>
    <x v="1"/>
    <n v="95123"/>
    <x v="1"/>
    <x v="1272"/>
    <x v="0"/>
    <x v="1"/>
    <x v="1257"/>
    <n v="108.608"/>
    <s v="Medium"/>
    <n v="4"/>
    <n v="0.2"/>
    <x v="2"/>
    <x v="2"/>
    <n v="9.5031999999999996"/>
    <n v="8.7499999999999994E-2"/>
    <n v="0"/>
  </r>
  <r>
    <n v="2218"/>
    <s v="CA-2014-151953"/>
    <d v="2014-09-20T00:00:00"/>
    <x v="2"/>
    <s v="Q3"/>
    <x v="30"/>
    <d v="2014-09-25T00:00:00"/>
    <s v="Standard Class"/>
    <x v="587"/>
    <x v="587"/>
    <s v="Corporate"/>
    <s v="United States"/>
    <s v="Jacksonville"/>
    <x v="2"/>
    <n v="32216"/>
    <x v="0"/>
    <x v="1273"/>
    <x v="1"/>
    <x v="6"/>
    <x v="1258"/>
    <n v="2.8159999999999998"/>
    <s v="Low"/>
    <n v="2"/>
    <n v="0.2"/>
    <x v="2"/>
    <x v="2"/>
    <n v="0.98560000000000003"/>
    <n v="0.35000000000000003"/>
    <n v="0"/>
  </r>
  <r>
    <n v="2219"/>
    <s v="CA-2017-130841"/>
    <d v="2017-07-28T00:00:00"/>
    <x v="3"/>
    <s v="Q3"/>
    <x v="10"/>
    <d v="2017-08-01T00:00:00"/>
    <s v="Standard Class"/>
    <x v="588"/>
    <x v="588"/>
    <s v="Corporate"/>
    <s v="United States"/>
    <s v="San Francisco"/>
    <x v="1"/>
    <n v="94110"/>
    <x v="1"/>
    <x v="744"/>
    <x v="1"/>
    <x v="8"/>
    <x v="742"/>
    <n v="9.984"/>
    <s v="Low"/>
    <n v="4"/>
    <n v="0.2"/>
    <x v="2"/>
    <x v="2"/>
    <n v="3.6192000000000002"/>
    <n v="0.36250000000000004"/>
    <n v="0"/>
  </r>
  <r>
    <n v="2220"/>
    <s v="CA-2017-130841"/>
    <d v="2017-07-28T00:00:00"/>
    <x v="3"/>
    <s v="Q3"/>
    <x v="10"/>
    <d v="2017-08-01T00:00:00"/>
    <s v="Standard Class"/>
    <x v="588"/>
    <x v="588"/>
    <s v="Corporate"/>
    <s v="United States"/>
    <s v="San Francisco"/>
    <x v="1"/>
    <n v="94110"/>
    <x v="1"/>
    <x v="355"/>
    <x v="1"/>
    <x v="4"/>
    <x v="355"/>
    <n v="14.98"/>
    <s v="Low"/>
    <n v="1"/>
    <n v="0"/>
    <x v="0"/>
    <x v="0"/>
    <n v="4.1943999999999999"/>
    <n v="0.27999999999999997"/>
    <n v="0"/>
  </r>
  <r>
    <n v="2221"/>
    <s v="CA-2017-130841"/>
    <d v="2017-07-28T00:00:00"/>
    <x v="3"/>
    <s v="Q3"/>
    <x v="10"/>
    <d v="2017-08-01T00:00:00"/>
    <s v="Standard Class"/>
    <x v="588"/>
    <x v="588"/>
    <s v="Corporate"/>
    <s v="United States"/>
    <s v="San Francisco"/>
    <x v="1"/>
    <n v="94110"/>
    <x v="1"/>
    <x v="1118"/>
    <x v="2"/>
    <x v="7"/>
    <x v="1106"/>
    <n v="1145.5999999999999"/>
    <s v="High"/>
    <n v="4"/>
    <n v="0.2"/>
    <x v="2"/>
    <x v="2"/>
    <n v="100.24"/>
    <n v="8.7500000000000008E-2"/>
    <n v="0"/>
  </r>
  <r>
    <n v="2222"/>
    <s v="CA-2015-131884"/>
    <d v="2015-12-06T00:00:00"/>
    <x v="1"/>
    <s v="Q4"/>
    <x v="14"/>
    <d v="2015-12-06T00:00:00"/>
    <s v="Same Day"/>
    <x v="589"/>
    <x v="589"/>
    <s v="Consumer"/>
    <s v="United States"/>
    <s v="Marion"/>
    <x v="24"/>
    <n v="43302"/>
    <x v="3"/>
    <x v="1246"/>
    <x v="2"/>
    <x v="7"/>
    <x v="1230"/>
    <n v="485.94"/>
    <s v="High"/>
    <n v="2"/>
    <n v="0.4"/>
    <x v="1"/>
    <x v="7"/>
    <n v="-89.088999999999999"/>
    <n v="-0.18333333333333332"/>
    <n v="1"/>
  </r>
  <r>
    <n v="2223"/>
    <s v="CA-2015-131884"/>
    <d v="2015-12-06T00:00:00"/>
    <x v="1"/>
    <s v="Q4"/>
    <x v="14"/>
    <d v="2015-12-06T00:00:00"/>
    <s v="Same Day"/>
    <x v="589"/>
    <x v="589"/>
    <s v="Consumer"/>
    <s v="United States"/>
    <s v="Marion"/>
    <x v="24"/>
    <n v="43302"/>
    <x v="3"/>
    <x v="512"/>
    <x v="1"/>
    <x v="6"/>
    <x v="512"/>
    <n v="37.375999999999998"/>
    <s v="Medium"/>
    <n v="8"/>
    <n v="0.2"/>
    <x v="2"/>
    <x v="2"/>
    <n v="4.6719999999999997"/>
    <n v="0.125"/>
    <n v="0"/>
  </r>
  <r>
    <n v="2224"/>
    <s v="CA-2015-131884"/>
    <d v="2015-12-06T00:00:00"/>
    <x v="1"/>
    <s v="Q4"/>
    <x v="14"/>
    <d v="2015-12-06T00:00:00"/>
    <s v="Same Day"/>
    <x v="589"/>
    <x v="589"/>
    <s v="Consumer"/>
    <s v="United States"/>
    <s v="Marion"/>
    <x v="24"/>
    <n v="43302"/>
    <x v="3"/>
    <x v="211"/>
    <x v="0"/>
    <x v="1"/>
    <x v="212"/>
    <n v="70.686000000000007"/>
    <s v="Medium"/>
    <n v="1"/>
    <n v="0.3"/>
    <x v="1"/>
    <x v="4"/>
    <n v="-24.235199999999999"/>
    <n v="-0.3428571428571428"/>
    <n v="1"/>
  </r>
  <r>
    <n v="2225"/>
    <s v="CA-2017-121909"/>
    <d v="2017-07-31T00:00:00"/>
    <x v="3"/>
    <s v="Q3"/>
    <x v="10"/>
    <d v="2017-08-05T00:00:00"/>
    <s v="Standard Class"/>
    <x v="105"/>
    <x v="105"/>
    <s v="Corporate"/>
    <s v="United States"/>
    <s v="Philadelphia"/>
    <x v="9"/>
    <n v="19134"/>
    <x v="3"/>
    <x v="1274"/>
    <x v="1"/>
    <x v="10"/>
    <x v="1259"/>
    <n v="54.816000000000003"/>
    <s v="Medium"/>
    <n v="3"/>
    <n v="0.2"/>
    <x v="2"/>
    <x v="2"/>
    <n v="17.815200000000001"/>
    <n v="0.32500000000000001"/>
    <n v="0"/>
  </r>
  <r>
    <n v="2226"/>
    <s v="CA-2016-106383"/>
    <d v="2016-03-19T00:00:00"/>
    <x v="0"/>
    <s v="Q1"/>
    <x v="17"/>
    <d v="2016-03-21T00:00:00"/>
    <s v="Second Class"/>
    <x v="590"/>
    <x v="590"/>
    <s v="Consumer"/>
    <s v="United States"/>
    <s v="Littleton"/>
    <x v="22"/>
    <n v="80122"/>
    <x v="1"/>
    <x v="1275"/>
    <x v="0"/>
    <x v="0"/>
    <x v="1260"/>
    <n v="72.293999999999997"/>
    <s v="Medium"/>
    <n v="1"/>
    <n v="0.7"/>
    <x v="1"/>
    <x v="5"/>
    <n v="-98.8018"/>
    <n v="-1.3666666666666667"/>
    <n v="1"/>
  </r>
  <r>
    <n v="2227"/>
    <s v="CA-2017-130771"/>
    <d v="2017-07-29T00:00:00"/>
    <x v="3"/>
    <s v="Q3"/>
    <x v="10"/>
    <d v="2017-08-03T00:00:00"/>
    <s v="Standard Class"/>
    <x v="156"/>
    <x v="156"/>
    <s v="Corporate"/>
    <s v="United States"/>
    <s v="Austin"/>
    <x v="5"/>
    <n v="78745"/>
    <x v="2"/>
    <x v="804"/>
    <x v="1"/>
    <x v="13"/>
    <x v="802"/>
    <n v="2.8959999999999999"/>
    <s v="Low"/>
    <n v="2"/>
    <n v="0.2"/>
    <x v="2"/>
    <x v="2"/>
    <n v="0.47060000000000002"/>
    <n v="0.16250000000000001"/>
    <n v="0"/>
  </r>
  <r>
    <n v="2228"/>
    <s v="CA-2017-130771"/>
    <d v="2017-07-29T00:00:00"/>
    <x v="3"/>
    <s v="Q3"/>
    <x v="10"/>
    <d v="2017-08-03T00:00:00"/>
    <s v="Standard Class"/>
    <x v="156"/>
    <x v="156"/>
    <s v="Corporate"/>
    <s v="United States"/>
    <s v="Austin"/>
    <x v="5"/>
    <n v="78745"/>
    <x v="2"/>
    <x v="495"/>
    <x v="2"/>
    <x v="7"/>
    <x v="495"/>
    <n v="124.792"/>
    <s v="High"/>
    <n v="1"/>
    <n v="0.2"/>
    <x v="2"/>
    <x v="2"/>
    <n v="15.599"/>
    <n v="0.125"/>
    <n v="0"/>
  </r>
  <r>
    <n v="2229"/>
    <s v="CA-2016-139157"/>
    <d v="2016-10-01T00:00:00"/>
    <x v="0"/>
    <s v="Q4"/>
    <x v="32"/>
    <d v="2016-10-05T00:00:00"/>
    <s v="Standard Class"/>
    <x v="411"/>
    <x v="411"/>
    <s v="Consumer"/>
    <s v="United States"/>
    <s v="New York City"/>
    <x v="15"/>
    <n v="10024"/>
    <x v="3"/>
    <x v="1258"/>
    <x v="0"/>
    <x v="3"/>
    <x v="1242"/>
    <n v="330.58800000000002"/>
    <s v="High"/>
    <n v="1"/>
    <n v="0.4"/>
    <x v="1"/>
    <x v="7"/>
    <n v="-115.7058"/>
    <n v="-0.35"/>
    <n v="1"/>
  </r>
  <r>
    <n v="2230"/>
    <s v="CA-2014-128055"/>
    <d v="2014-03-31T00:00:00"/>
    <x v="2"/>
    <s v="Q1"/>
    <x v="34"/>
    <d v="2014-04-05T00:00:00"/>
    <s v="Standard Class"/>
    <x v="397"/>
    <x v="397"/>
    <s v="Consumer"/>
    <s v="United States"/>
    <s v="San Francisco"/>
    <x v="1"/>
    <n v="94122"/>
    <x v="1"/>
    <x v="1178"/>
    <x v="1"/>
    <x v="8"/>
    <x v="1164"/>
    <n v="673.56799999999998"/>
    <s v="High"/>
    <n v="2"/>
    <n v="0.2"/>
    <x v="2"/>
    <x v="2"/>
    <n v="252.58799999999999"/>
    <n v="0.375"/>
    <n v="0"/>
  </r>
  <r>
    <n v="2231"/>
    <s v="CA-2014-128055"/>
    <d v="2014-03-31T00:00:00"/>
    <x v="2"/>
    <s v="Q1"/>
    <x v="34"/>
    <d v="2014-04-05T00:00:00"/>
    <s v="Standard Class"/>
    <x v="397"/>
    <x v="397"/>
    <s v="Consumer"/>
    <s v="United States"/>
    <s v="San Francisco"/>
    <x v="1"/>
    <n v="94122"/>
    <x v="1"/>
    <x v="1276"/>
    <x v="1"/>
    <x v="9"/>
    <x v="1261"/>
    <n v="52.98"/>
    <s v="Medium"/>
    <n v="2"/>
    <n v="0"/>
    <x v="0"/>
    <x v="0"/>
    <n v="14.8344"/>
    <n v="0.28000000000000003"/>
    <n v="0"/>
  </r>
  <r>
    <n v="2232"/>
    <s v="CA-2017-157091"/>
    <d v="2017-06-26T00:00:00"/>
    <x v="3"/>
    <s v="Q2"/>
    <x v="27"/>
    <d v="2017-07-01T00:00:00"/>
    <s v="Standard Class"/>
    <x v="591"/>
    <x v="591"/>
    <s v="Consumer"/>
    <s v="United States"/>
    <s v="La Porte"/>
    <x v="14"/>
    <n v="46350"/>
    <x v="2"/>
    <x v="793"/>
    <x v="0"/>
    <x v="5"/>
    <x v="791"/>
    <n v="526.45000000000005"/>
    <s v="High"/>
    <n v="5"/>
    <n v="0"/>
    <x v="0"/>
    <x v="0"/>
    <n v="31.587"/>
    <n v="0.06"/>
    <n v="0"/>
  </r>
  <r>
    <n v="2233"/>
    <s v="CA-2017-132122"/>
    <d v="2017-07-09T00:00:00"/>
    <x v="3"/>
    <s v="Q3"/>
    <x v="10"/>
    <d v="2017-07-14T00:00:00"/>
    <s v="Standard Class"/>
    <x v="581"/>
    <x v="581"/>
    <s v="Consumer"/>
    <s v="United States"/>
    <s v="Chicago"/>
    <x v="10"/>
    <n v="60610"/>
    <x v="2"/>
    <x v="1277"/>
    <x v="1"/>
    <x v="4"/>
    <x v="1262"/>
    <n v="228.92"/>
    <s v="High"/>
    <n v="5"/>
    <n v="0.2"/>
    <x v="2"/>
    <x v="2"/>
    <n v="14.307499999999999"/>
    <n v="6.25E-2"/>
    <n v="0"/>
  </r>
  <r>
    <n v="2234"/>
    <s v="CA-2015-123232"/>
    <d v="2015-12-14T00:00:00"/>
    <x v="1"/>
    <s v="Q4"/>
    <x v="14"/>
    <d v="2015-12-16T00:00:00"/>
    <s v="Second Class"/>
    <x v="264"/>
    <x v="264"/>
    <s v="Consumer"/>
    <s v="United States"/>
    <s v="Portland"/>
    <x v="21"/>
    <n v="97206"/>
    <x v="1"/>
    <x v="1278"/>
    <x v="2"/>
    <x v="7"/>
    <x v="1263"/>
    <n v="319.96800000000002"/>
    <s v="High"/>
    <n v="4"/>
    <n v="0.2"/>
    <x v="2"/>
    <x v="2"/>
    <n v="35.996400000000001"/>
    <n v="0.1125"/>
    <n v="0"/>
  </r>
  <r>
    <n v="2235"/>
    <s v="CA-2017-104066"/>
    <d v="2017-12-05T00:00:00"/>
    <x v="3"/>
    <s v="Q4"/>
    <x v="22"/>
    <d v="2017-12-10T00:00:00"/>
    <s v="Standard Class"/>
    <x v="425"/>
    <x v="425"/>
    <s v="Corporate"/>
    <s v="United States"/>
    <s v="Burlington"/>
    <x v="42"/>
    <s v="05408"/>
    <x v="3"/>
    <x v="825"/>
    <x v="2"/>
    <x v="11"/>
    <x v="821"/>
    <n v="205.03"/>
    <s v="High"/>
    <n v="7"/>
    <n v="0"/>
    <x v="0"/>
    <x v="0"/>
    <n v="67.659899999999993"/>
    <n v="0.32999999999999996"/>
    <n v="0"/>
  </r>
  <r>
    <n v="2236"/>
    <s v="CA-2015-145849"/>
    <d v="2015-09-15T00:00:00"/>
    <x v="1"/>
    <s v="Q3"/>
    <x v="11"/>
    <d v="2015-09-17T00:00:00"/>
    <s v="Second Class"/>
    <x v="564"/>
    <x v="564"/>
    <s v="Consumer"/>
    <s v="United States"/>
    <s v="Indianapolis"/>
    <x v="14"/>
    <n v="46203"/>
    <x v="2"/>
    <x v="621"/>
    <x v="1"/>
    <x v="4"/>
    <x v="621"/>
    <n v="190.86"/>
    <s v="High"/>
    <n v="2"/>
    <n v="0"/>
    <x v="0"/>
    <x v="0"/>
    <n v="11.451599999999999"/>
    <n v="5.9999999999999991E-2"/>
    <n v="0"/>
  </r>
  <r>
    <n v="2237"/>
    <s v="CA-2015-145849"/>
    <d v="2015-09-15T00:00:00"/>
    <x v="1"/>
    <s v="Q3"/>
    <x v="11"/>
    <d v="2015-09-17T00:00:00"/>
    <s v="Second Class"/>
    <x v="564"/>
    <x v="564"/>
    <s v="Consumer"/>
    <s v="United States"/>
    <s v="Indianapolis"/>
    <x v="14"/>
    <n v="46203"/>
    <x v="2"/>
    <x v="1279"/>
    <x v="1"/>
    <x v="6"/>
    <x v="1264"/>
    <n v="24.32"/>
    <s v="Low"/>
    <n v="8"/>
    <n v="0"/>
    <x v="0"/>
    <x v="0"/>
    <n v="8.2688000000000006"/>
    <n v="0.34"/>
    <n v="0"/>
  </r>
  <r>
    <n v="2238"/>
    <s v="CA-2016-122322"/>
    <d v="2016-07-15T00:00:00"/>
    <x v="0"/>
    <s v="Q3"/>
    <x v="16"/>
    <d v="2016-07-21T00:00:00"/>
    <s v="Standard Class"/>
    <x v="563"/>
    <x v="563"/>
    <s v="Home Office"/>
    <s v="United States"/>
    <s v="Provo"/>
    <x v="7"/>
    <n v="84604"/>
    <x v="1"/>
    <x v="1280"/>
    <x v="1"/>
    <x v="14"/>
    <x v="1265"/>
    <n v="44.4"/>
    <s v="Medium"/>
    <n v="5"/>
    <n v="0"/>
    <x v="0"/>
    <x v="0"/>
    <n v="12.432"/>
    <n v="0.28000000000000003"/>
    <n v="0"/>
  </r>
  <r>
    <n v="2239"/>
    <s v="CA-2017-166849"/>
    <d v="2017-04-20T00:00:00"/>
    <x v="3"/>
    <s v="Q2"/>
    <x v="4"/>
    <d v="2017-04-26T00:00:00"/>
    <s v="Standard Class"/>
    <x v="319"/>
    <x v="319"/>
    <s v="Home Office"/>
    <s v="United States"/>
    <s v="Chicago"/>
    <x v="10"/>
    <n v="60610"/>
    <x v="2"/>
    <x v="1281"/>
    <x v="0"/>
    <x v="5"/>
    <x v="1266"/>
    <n v="44.4"/>
    <s v="Medium"/>
    <n v="2"/>
    <n v="0.6"/>
    <x v="1"/>
    <x v="6"/>
    <n v="-52.17"/>
    <n v="-1.175"/>
    <n v="1"/>
  </r>
  <r>
    <n v="2240"/>
    <s v="CA-2016-146633"/>
    <d v="2016-11-15T00:00:00"/>
    <x v="0"/>
    <s v="Q4"/>
    <x v="0"/>
    <d v="2016-11-17T00:00:00"/>
    <s v="Second Class"/>
    <x v="592"/>
    <x v="592"/>
    <s v="Consumer"/>
    <s v="United States"/>
    <s v="Los Angeles"/>
    <x v="1"/>
    <n v="90049"/>
    <x v="1"/>
    <x v="450"/>
    <x v="1"/>
    <x v="8"/>
    <x v="451"/>
    <n v="1016.792"/>
    <s v="High"/>
    <n v="1"/>
    <n v="0.2"/>
    <x v="2"/>
    <x v="2"/>
    <n v="381.29700000000003"/>
    <n v="0.375"/>
    <n v="0"/>
  </r>
  <r>
    <n v="2241"/>
    <s v="CA-2016-146633"/>
    <d v="2016-11-15T00:00:00"/>
    <x v="0"/>
    <s v="Q4"/>
    <x v="0"/>
    <d v="2016-11-17T00:00:00"/>
    <s v="Second Class"/>
    <x v="592"/>
    <x v="592"/>
    <s v="Consumer"/>
    <s v="United States"/>
    <s v="Los Angeles"/>
    <x v="1"/>
    <n v="90049"/>
    <x v="1"/>
    <x v="1282"/>
    <x v="1"/>
    <x v="8"/>
    <x v="1267"/>
    <n v="38.136000000000003"/>
    <s v="Medium"/>
    <n v="7"/>
    <n v="0.2"/>
    <x v="2"/>
    <x v="2"/>
    <n v="13.3476"/>
    <n v="0.35"/>
    <n v="0"/>
  </r>
  <r>
    <n v="2242"/>
    <s v="US-2016-126893"/>
    <d v="2016-11-26T00:00:00"/>
    <x v="0"/>
    <s v="Q4"/>
    <x v="0"/>
    <d v="2016-12-01T00:00:00"/>
    <s v="Standard Class"/>
    <x v="564"/>
    <x v="564"/>
    <s v="Consumer"/>
    <s v="United States"/>
    <s v="Philadelphia"/>
    <x v="9"/>
    <n v="19134"/>
    <x v="3"/>
    <x v="903"/>
    <x v="2"/>
    <x v="7"/>
    <x v="895"/>
    <n v="494.98200000000003"/>
    <s v="High"/>
    <n v="3"/>
    <n v="0.4"/>
    <x v="1"/>
    <x v="7"/>
    <n v="-115.4958"/>
    <n v="-0.23333333333333334"/>
    <n v="1"/>
  </r>
  <r>
    <n v="2243"/>
    <s v="CA-2017-103380"/>
    <d v="2017-11-21T00:00:00"/>
    <x v="3"/>
    <s v="Q4"/>
    <x v="23"/>
    <d v="2017-11-25T00:00:00"/>
    <s v="Standard Class"/>
    <x v="593"/>
    <x v="593"/>
    <s v="Home Office"/>
    <s v="United States"/>
    <s v="Pasadena"/>
    <x v="1"/>
    <n v="91104"/>
    <x v="1"/>
    <x v="86"/>
    <x v="1"/>
    <x v="4"/>
    <x v="86"/>
    <n v="56.56"/>
    <s v="Medium"/>
    <n v="2"/>
    <n v="0"/>
    <x v="0"/>
    <x v="0"/>
    <n v="15.2712"/>
    <n v="0.27"/>
    <n v="0"/>
  </r>
  <r>
    <n v="2244"/>
    <s v="CA-2017-103380"/>
    <d v="2017-11-21T00:00:00"/>
    <x v="3"/>
    <s v="Q4"/>
    <x v="23"/>
    <d v="2017-11-25T00:00:00"/>
    <s v="Standard Class"/>
    <x v="593"/>
    <x v="593"/>
    <s v="Home Office"/>
    <s v="United States"/>
    <s v="Pasadena"/>
    <x v="1"/>
    <n v="91104"/>
    <x v="1"/>
    <x v="449"/>
    <x v="1"/>
    <x v="6"/>
    <x v="449"/>
    <n v="5.56"/>
    <s v="Low"/>
    <n v="2"/>
    <n v="0"/>
    <x v="0"/>
    <x v="0"/>
    <n v="1.4456"/>
    <n v="0.26"/>
    <n v="0"/>
  </r>
  <r>
    <n v="2245"/>
    <s v="CA-2017-103380"/>
    <d v="2017-11-21T00:00:00"/>
    <x v="3"/>
    <s v="Q4"/>
    <x v="23"/>
    <d v="2017-11-25T00:00:00"/>
    <s v="Standard Class"/>
    <x v="593"/>
    <x v="593"/>
    <s v="Home Office"/>
    <s v="United States"/>
    <s v="Pasadena"/>
    <x v="1"/>
    <n v="91104"/>
    <x v="1"/>
    <x v="485"/>
    <x v="1"/>
    <x v="13"/>
    <x v="485"/>
    <n v="9.02"/>
    <s v="Low"/>
    <n v="2"/>
    <n v="0"/>
    <x v="0"/>
    <x v="0"/>
    <n v="3.5177999999999998"/>
    <n v="0.39"/>
    <n v="0"/>
  </r>
  <r>
    <n v="2246"/>
    <s v="CA-2017-103380"/>
    <d v="2017-11-21T00:00:00"/>
    <x v="3"/>
    <s v="Q4"/>
    <x v="23"/>
    <d v="2017-11-25T00:00:00"/>
    <s v="Standard Class"/>
    <x v="593"/>
    <x v="593"/>
    <s v="Home Office"/>
    <s v="United States"/>
    <s v="Pasadena"/>
    <x v="1"/>
    <n v="91104"/>
    <x v="1"/>
    <x v="22"/>
    <x v="1"/>
    <x v="9"/>
    <x v="22"/>
    <n v="8.6199999999999992"/>
    <s v="Low"/>
    <n v="1"/>
    <n v="0"/>
    <x v="0"/>
    <x v="0"/>
    <n v="2.2412000000000001"/>
    <n v="0.26"/>
    <n v="0"/>
  </r>
  <r>
    <n v="2247"/>
    <s v="CA-2017-103380"/>
    <d v="2017-11-21T00:00:00"/>
    <x v="3"/>
    <s v="Q4"/>
    <x v="23"/>
    <d v="2017-11-25T00:00:00"/>
    <s v="Standard Class"/>
    <x v="593"/>
    <x v="593"/>
    <s v="Home Office"/>
    <s v="United States"/>
    <s v="Pasadena"/>
    <x v="1"/>
    <n v="91104"/>
    <x v="1"/>
    <x v="903"/>
    <x v="2"/>
    <x v="7"/>
    <x v="895"/>
    <n v="659.976"/>
    <s v="High"/>
    <n v="3"/>
    <n v="0.2"/>
    <x v="2"/>
    <x v="2"/>
    <n v="49.498199999999997"/>
    <n v="7.4999999999999997E-2"/>
    <n v="0"/>
  </r>
  <r>
    <n v="2248"/>
    <s v="CA-2015-116092"/>
    <d v="2015-02-15T00:00:00"/>
    <x v="1"/>
    <s v="Q1"/>
    <x v="36"/>
    <d v="2015-02-18T00:00:00"/>
    <s v="Second Class"/>
    <x v="594"/>
    <x v="594"/>
    <s v="Consumer"/>
    <s v="United States"/>
    <s v="Los Angeles"/>
    <x v="1"/>
    <n v="90004"/>
    <x v="1"/>
    <x v="1283"/>
    <x v="1"/>
    <x v="10"/>
    <x v="1268"/>
    <n v="13.36"/>
    <s v="Low"/>
    <n v="2"/>
    <n v="0"/>
    <x v="0"/>
    <x v="0"/>
    <n v="6.4127999999999998"/>
    <n v="0.48"/>
    <n v="0"/>
  </r>
  <r>
    <n v="2249"/>
    <s v="CA-2015-116092"/>
    <d v="2015-02-15T00:00:00"/>
    <x v="1"/>
    <s v="Q1"/>
    <x v="36"/>
    <d v="2015-02-18T00:00:00"/>
    <s v="Second Class"/>
    <x v="594"/>
    <x v="594"/>
    <s v="Consumer"/>
    <s v="United States"/>
    <s v="Los Angeles"/>
    <x v="1"/>
    <n v="90004"/>
    <x v="1"/>
    <x v="1124"/>
    <x v="1"/>
    <x v="8"/>
    <x v="1112"/>
    <n v="41.72"/>
    <s v="Medium"/>
    <n v="5"/>
    <n v="0.2"/>
    <x v="2"/>
    <x v="2"/>
    <n v="13.0375"/>
    <n v="0.3125"/>
    <n v="0"/>
  </r>
  <r>
    <n v="2250"/>
    <s v="CA-2015-116092"/>
    <d v="2015-02-15T00:00:00"/>
    <x v="1"/>
    <s v="Q1"/>
    <x v="36"/>
    <d v="2015-02-18T00:00:00"/>
    <s v="Second Class"/>
    <x v="594"/>
    <x v="594"/>
    <s v="Consumer"/>
    <s v="United States"/>
    <s v="Los Angeles"/>
    <x v="1"/>
    <n v="90004"/>
    <x v="1"/>
    <x v="614"/>
    <x v="1"/>
    <x v="8"/>
    <x v="614"/>
    <n v="11.52"/>
    <s v="Low"/>
    <n v="5"/>
    <n v="0.2"/>
    <x v="2"/>
    <x v="2"/>
    <n v="4.1760000000000002"/>
    <n v="0.36250000000000004"/>
    <n v="0"/>
  </r>
  <r>
    <n v="2251"/>
    <s v="CA-2015-116092"/>
    <d v="2015-02-15T00:00:00"/>
    <x v="1"/>
    <s v="Q1"/>
    <x v="36"/>
    <d v="2015-02-18T00:00:00"/>
    <s v="Second Class"/>
    <x v="594"/>
    <x v="594"/>
    <s v="Consumer"/>
    <s v="United States"/>
    <s v="Los Angeles"/>
    <x v="1"/>
    <n v="90004"/>
    <x v="1"/>
    <x v="1284"/>
    <x v="1"/>
    <x v="9"/>
    <x v="1269"/>
    <n v="541.44000000000005"/>
    <s v="High"/>
    <n v="6"/>
    <n v="0"/>
    <x v="0"/>
    <x v="0"/>
    <n v="157.01759999999999"/>
    <n v="0.28999999999999992"/>
    <n v="0"/>
  </r>
  <r>
    <n v="2252"/>
    <s v="CA-2015-116092"/>
    <d v="2015-02-15T00:00:00"/>
    <x v="1"/>
    <s v="Q1"/>
    <x v="36"/>
    <d v="2015-02-18T00:00:00"/>
    <s v="Second Class"/>
    <x v="594"/>
    <x v="594"/>
    <s v="Consumer"/>
    <s v="United States"/>
    <s v="Los Angeles"/>
    <x v="1"/>
    <n v="90004"/>
    <x v="1"/>
    <x v="1231"/>
    <x v="1"/>
    <x v="10"/>
    <x v="1270"/>
    <n v="19.440000000000001"/>
    <s v="Low"/>
    <n v="3"/>
    <n v="0"/>
    <x v="0"/>
    <x v="0"/>
    <n v="9.3312000000000008"/>
    <n v="0.48000000000000004"/>
    <n v="0"/>
  </r>
  <r>
    <n v="2253"/>
    <s v="CA-2016-117849"/>
    <d v="2016-04-15T00:00:00"/>
    <x v="0"/>
    <s v="Q2"/>
    <x v="25"/>
    <d v="2016-04-17T00:00:00"/>
    <s v="Second Class"/>
    <x v="451"/>
    <x v="451"/>
    <s v="Home Office"/>
    <s v="United States"/>
    <s v="San Diego"/>
    <x v="1"/>
    <n v="92105"/>
    <x v="1"/>
    <x v="136"/>
    <x v="1"/>
    <x v="10"/>
    <x v="137"/>
    <n v="143.69999999999999"/>
    <s v="High"/>
    <n v="3"/>
    <n v="0"/>
    <x v="0"/>
    <x v="0"/>
    <n v="68.975999999999999"/>
    <n v="0.48000000000000004"/>
    <n v="0"/>
  </r>
  <r>
    <n v="2254"/>
    <s v="CA-2015-169201"/>
    <d v="2015-09-28T00:00:00"/>
    <x v="1"/>
    <s v="Q3"/>
    <x v="11"/>
    <d v="2015-10-01T00:00:00"/>
    <s v="First Class"/>
    <x v="428"/>
    <x v="428"/>
    <s v="Corporate"/>
    <s v="United States"/>
    <s v="San Francisco"/>
    <x v="1"/>
    <n v="94110"/>
    <x v="1"/>
    <x v="336"/>
    <x v="1"/>
    <x v="9"/>
    <x v="336"/>
    <n v="43.26"/>
    <s v="Medium"/>
    <n v="3"/>
    <n v="0"/>
    <x v="0"/>
    <x v="0"/>
    <n v="14.2758"/>
    <n v="0.33"/>
    <n v="0"/>
  </r>
  <r>
    <n v="2255"/>
    <s v="CA-2015-169201"/>
    <d v="2015-09-28T00:00:00"/>
    <x v="1"/>
    <s v="Q3"/>
    <x v="11"/>
    <d v="2015-10-01T00:00:00"/>
    <s v="First Class"/>
    <x v="428"/>
    <x v="428"/>
    <s v="Corporate"/>
    <s v="United States"/>
    <s v="San Francisco"/>
    <x v="1"/>
    <n v="94110"/>
    <x v="1"/>
    <x v="1112"/>
    <x v="1"/>
    <x v="9"/>
    <x v="1101"/>
    <n v="43.56"/>
    <s v="Medium"/>
    <n v="2"/>
    <n v="0"/>
    <x v="0"/>
    <x v="0"/>
    <n v="15.246"/>
    <n v="0.35"/>
    <n v="0"/>
  </r>
  <r>
    <n v="2256"/>
    <s v="CA-2016-164091"/>
    <d v="2016-09-17T00:00:00"/>
    <x v="0"/>
    <s v="Q3"/>
    <x v="21"/>
    <d v="2016-09-22T00:00:00"/>
    <s v="Standard Class"/>
    <x v="156"/>
    <x v="156"/>
    <s v="Corporate"/>
    <s v="United States"/>
    <s v="Bangor"/>
    <x v="43"/>
    <n v="4401"/>
    <x v="3"/>
    <x v="1285"/>
    <x v="2"/>
    <x v="7"/>
    <x v="1271"/>
    <n v="437.85"/>
    <s v="High"/>
    <n v="3"/>
    <n v="0"/>
    <x v="0"/>
    <x v="0"/>
    <n v="131.35499999999999"/>
    <n v="0.29999999999999993"/>
    <n v="0"/>
  </r>
  <r>
    <n v="2257"/>
    <s v="CA-2016-164091"/>
    <d v="2016-09-17T00:00:00"/>
    <x v="0"/>
    <s v="Q3"/>
    <x v="21"/>
    <d v="2016-09-22T00:00:00"/>
    <s v="Standard Class"/>
    <x v="156"/>
    <x v="156"/>
    <s v="Corporate"/>
    <s v="United States"/>
    <s v="Bangor"/>
    <x v="43"/>
    <n v="4401"/>
    <x v="3"/>
    <x v="859"/>
    <x v="0"/>
    <x v="5"/>
    <x v="853"/>
    <n v="109.48"/>
    <s v="Medium"/>
    <n v="2"/>
    <n v="0"/>
    <x v="0"/>
    <x v="0"/>
    <n v="33.938800000000001"/>
    <n v="0.31"/>
    <n v="0"/>
  </r>
  <r>
    <n v="2258"/>
    <s v="CA-2017-105214"/>
    <d v="2017-06-16T00:00:00"/>
    <x v="3"/>
    <s v="Q2"/>
    <x v="27"/>
    <d v="2017-06-19T00:00:00"/>
    <s v="First Class"/>
    <x v="59"/>
    <x v="59"/>
    <s v="Consumer"/>
    <s v="United States"/>
    <s v="San Francisco"/>
    <x v="1"/>
    <n v="94122"/>
    <x v="1"/>
    <x v="377"/>
    <x v="0"/>
    <x v="1"/>
    <x v="378"/>
    <n v="1212.96"/>
    <s v="High"/>
    <n v="7"/>
    <n v="0.2"/>
    <x v="2"/>
    <x v="2"/>
    <n v="90.971999999999994"/>
    <n v="7.4999999999999997E-2"/>
    <n v="0"/>
  </r>
  <r>
    <n v="2259"/>
    <s v="CA-2017-105214"/>
    <d v="2017-06-16T00:00:00"/>
    <x v="3"/>
    <s v="Q2"/>
    <x v="27"/>
    <d v="2017-06-19T00:00:00"/>
    <s v="First Class"/>
    <x v="59"/>
    <x v="59"/>
    <s v="Consumer"/>
    <s v="United States"/>
    <s v="San Francisco"/>
    <x v="1"/>
    <n v="94122"/>
    <x v="1"/>
    <x v="1286"/>
    <x v="1"/>
    <x v="10"/>
    <x v="1272"/>
    <n v="18.54"/>
    <s v="Low"/>
    <n v="2"/>
    <n v="0"/>
    <x v="0"/>
    <x v="0"/>
    <n v="8.7138000000000009"/>
    <n v="0.47000000000000008"/>
    <n v="0"/>
  </r>
  <r>
    <n v="2260"/>
    <s v="CA-2015-117611"/>
    <d v="2015-11-08T00:00:00"/>
    <x v="1"/>
    <s v="Q4"/>
    <x v="6"/>
    <d v="2015-11-10T00:00:00"/>
    <s v="Second Class"/>
    <x v="595"/>
    <x v="595"/>
    <s v="Home Office"/>
    <s v="United States"/>
    <s v="San Diego"/>
    <x v="1"/>
    <n v="92024"/>
    <x v="1"/>
    <x v="659"/>
    <x v="1"/>
    <x v="13"/>
    <x v="659"/>
    <n v="5"/>
    <s v="Low"/>
    <n v="1"/>
    <n v="0"/>
    <x v="0"/>
    <x v="0"/>
    <n v="2.4"/>
    <n v="0.48"/>
    <n v="0"/>
  </r>
  <r>
    <n v="2261"/>
    <s v="CA-2015-117611"/>
    <d v="2015-11-08T00:00:00"/>
    <x v="1"/>
    <s v="Q4"/>
    <x v="6"/>
    <d v="2015-11-10T00:00:00"/>
    <s v="Second Class"/>
    <x v="595"/>
    <x v="595"/>
    <s v="Home Office"/>
    <s v="United States"/>
    <s v="San Diego"/>
    <x v="1"/>
    <n v="92024"/>
    <x v="1"/>
    <x v="695"/>
    <x v="2"/>
    <x v="11"/>
    <x v="695"/>
    <n v="371.97"/>
    <s v="High"/>
    <n v="3"/>
    <n v="0"/>
    <x v="0"/>
    <x v="0"/>
    <n v="66.954599999999999"/>
    <n v="0.18"/>
    <n v="0"/>
  </r>
  <r>
    <n v="2262"/>
    <s v="US-2015-137960"/>
    <d v="2015-12-18T00:00:00"/>
    <x v="1"/>
    <s v="Q4"/>
    <x v="14"/>
    <d v="2015-12-18T00:00:00"/>
    <s v="Same Day"/>
    <x v="596"/>
    <x v="596"/>
    <s v="Consumer"/>
    <s v="United States"/>
    <s v="New York City"/>
    <x v="15"/>
    <n v="10035"/>
    <x v="3"/>
    <x v="577"/>
    <x v="2"/>
    <x v="11"/>
    <x v="577"/>
    <n v="166.24"/>
    <s v="High"/>
    <n v="1"/>
    <n v="0"/>
    <x v="0"/>
    <x v="0"/>
    <n v="24.936"/>
    <n v="0.15"/>
    <n v="0"/>
  </r>
  <r>
    <n v="2263"/>
    <s v="CA-2017-122994"/>
    <d v="2017-02-06T00:00:00"/>
    <x v="3"/>
    <s v="Q1"/>
    <x v="31"/>
    <d v="2017-02-09T00:00:00"/>
    <s v="First Class"/>
    <x v="597"/>
    <x v="597"/>
    <s v="Consumer"/>
    <s v="United States"/>
    <s v="Arlington"/>
    <x v="17"/>
    <n v="22204"/>
    <x v="0"/>
    <x v="574"/>
    <x v="0"/>
    <x v="0"/>
    <x v="574"/>
    <n v="359.97"/>
    <s v="High"/>
    <n v="3"/>
    <n v="0"/>
    <x v="0"/>
    <x v="0"/>
    <n v="79.193399999999997"/>
    <n v="0.21999999999999997"/>
    <n v="0"/>
  </r>
  <r>
    <n v="2264"/>
    <s v="CA-2016-131065"/>
    <d v="2016-11-14T00:00:00"/>
    <x v="0"/>
    <s v="Q4"/>
    <x v="0"/>
    <d v="2016-11-16T00:00:00"/>
    <s v="Second Class"/>
    <x v="211"/>
    <x v="211"/>
    <s v="Consumer"/>
    <s v="United States"/>
    <s v="Atlanta"/>
    <x v="32"/>
    <n v="30318"/>
    <x v="0"/>
    <x v="1287"/>
    <x v="2"/>
    <x v="11"/>
    <x v="1273"/>
    <n v="499.98"/>
    <s v="High"/>
    <n v="2"/>
    <n v="0"/>
    <x v="0"/>
    <x v="0"/>
    <n v="114.9954"/>
    <n v="0.23"/>
    <n v="0"/>
  </r>
  <r>
    <n v="2265"/>
    <s v="CA-2016-131065"/>
    <d v="2016-11-14T00:00:00"/>
    <x v="0"/>
    <s v="Q4"/>
    <x v="0"/>
    <d v="2016-11-16T00:00:00"/>
    <s v="Second Class"/>
    <x v="211"/>
    <x v="211"/>
    <s v="Consumer"/>
    <s v="United States"/>
    <s v="Atlanta"/>
    <x v="32"/>
    <n v="30318"/>
    <x v="0"/>
    <x v="218"/>
    <x v="1"/>
    <x v="10"/>
    <x v="219"/>
    <n v="5.28"/>
    <s v="Low"/>
    <n v="1"/>
    <n v="0"/>
    <x v="0"/>
    <x v="0"/>
    <n v="2.3759999999999999"/>
    <n v="0.44999999999999996"/>
    <n v="0"/>
  </r>
  <r>
    <n v="2266"/>
    <s v="CA-2016-131065"/>
    <d v="2016-11-14T00:00:00"/>
    <x v="0"/>
    <s v="Q4"/>
    <x v="0"/>
    <d v="2016-11-16T00:00:00"/>
    <s v="Second Class"/>
    <x v="211"/>
    <x v="211"/>
    <s v="Consumer"/>
    <s v="United States"/>
    <s v="Atlanta"/>
    <x v="32"/>
    <n v="30318"/>
    <x v="0"/>
    <x v="925"/>
    <x v="1"/>
    <x v="8"/>
    <x v="917"/>
    <n v="8.26"/>
    <s v="Low"/>
    <n v="2"/>
    <n v="0"/>
    <x v="0"/>
    <x v="0"/>
    <n v="3.8822000000000001"/>
    <n v="0.47000000000000003"/>
    <n v="0"/>
  </r>
  <r>
    <n v="2267"/>
    <s v="CA-2017-149146"/>
    <d v="2017-10-12T00:00:00"/>
    <x v="3"/>
    <s v="Q4"/>
    <x v="13"/>
    <d v="2017-10-12T00:00:00"/>
    <s v="Same Day"/>
    <x v="598"/>
    <x v="598"/>
    <s v="Home Office"/>
    <s v="United States"/>
    <s v="Monroe"/>
    <x v="3"/>
    <n v="28110"/>
    <x v="0"/>
    <x v="1288"/>
    <x v="1"/>
    <x v="10"/>
    <x v="1274"/>
    <n v="7.968"/>
    <s v="Low"/>
    <n v="2"/>
    <n v="0.2"/>
    <x v="2"/>
    <x v="2"/>
    <n v="2.6892"/>
    <n v="0.33750000000000002"/>
    <n v="0"/>
  </r>
  <r>
    <n v="2268"/>
    <s v="CA-2017-137470"/>
    <d v="2017-09-17T00:00:00"/>
    <x v="3"/>
    <s v="Q3"/>
    <x v="15"/>
    <d v="2017-09-17T00:00:00"/>
    <s v="Same Day"/>
    <x v="599"/>
    <x v="599"/>
    <s v="Consumer"/>
    <s v="United States"/>
    <s v="Seattle"/>
    <x v="4"/>
    <n v="98115"/>
    <x v="1"/>
    <x v="1289"/>
    <x v="1"/>
    <x v="10"/>
    <x v="1275"/>
    <n v="12.96"/>
    <s v="Low"/>
    <n v="2"/>
    <n v="0"/>
    <x v="0"/>
    <x v="0"/>
    <n v="6.3503999999999996"/>
    <n v="0.48999999999999994"/>
    <n v="0"/>
  </r>
  <r>
    <n v="2269"/>
    <s v="CA-2017-105480"/>
    <d v="2017-12-20T00:00:00"/>
    <x v="3"/>
    <s v="Q4"/>
    <x v="22"/>
    <d v="2017-12-26T00:00:00"/>
    <s v="Standard Class"/>
    <x v="158"/>
    <x v="158"/>
    <s v="Corporate"/>
    <s v="United States"/>
    <s v="Rochester"/>
    <x v="15"/>
    <n v="14609"/>
    <x v="3"/>
    <x v="1290"/>
    <x v="1"/>
    <x v="10"/>
    <x v="1276"/>
    <n v="6.48"/>
    <s v="Low"/>
    <n v="1"/>
    <n v="0"/>
    <x v="0"/>
    <x v="0"/>
    <n v="3.1103999999999998"/>
    <n v="0.47999999999999993"/>
    <n v="0"/>
  </r>
  <r>
    <n v="2270"/>
    <s v="CA-2017-105480"/>
    <d v="2017-12-20T00:00:00"/>
    <x v="3"/>
    <s v="Q4"/>
    <x v="22"/>
    <d v="2017-12-26T00:00:00"/>
    <s v="Standard Class"/>
    <x v="158"/>
    <x v="158"/>
    <s v="Corporate"/>
    <s v="United States"/>
    <s v="Rochester"/>
    <x v="15"/>
    <n v="14609"/>
    <x v="3"/>
    <x v="44"/>
    <x v="1"/>
    <x v="8"/>
    <x v="44"/>
    <n v="6.984"/>
    <s v="Low"/>
    <n v="1"/>
    <n v="0.2"/>
    <x v="2"/>
    <x v="2"/>
    <n v="2.3571"/>
    <n v="0.33750000000000002"/>
    <n v="0"/>
  </r>
  <r>
    <n v="2271"/>
    <s v="CA-2017-164917"/>
    <d v="2017-12-02T00:00:00"/>
    <x v="3"/>
    <s v="Q4"/>
    <x v="22"/>
    <d v="2017-12-07T00:00:00"/>
    <s v="Standard Class"/>
    <x v="149"/>
    <x v="149"/>
    <s v="Corporate"/>
    <s v="United States"/>
    <s v="Miami"/>
    <x v="2"/>
    <n v="33180"/>
    <x v="0"/>
    <x v="369"/>
    <x v="1"/>
    <x v="6"/>
    <x v="370"/>
    <n v="47.96"/>
    <s v="Medium"/>
    <n v="5"/>
    <n v="0.2"/>
    <x v="2"/>
    <x v="2"/>
    <n v="4.1965000000000003"/>
    <n v="8.7500000000000008E-2"/>
    <n v="0"/>
  </r>
  <r>
    <n v="2272"/>
    <s v="CA-2015-102036"/>
    <d v="2015-09-21T00:00:00"/>
    <x v="1"/>
    <s v="Q3"/>
    <x v="11"/>
    <d v="2015-09-27T00:00:00"/>
    <s v="Standard Class"/>
    <x v="79"/>
    <x v="79"/>
    <s v="Consumer"/>
    <s v="United States"/>
    <s v="Seattle"/>
    <x v="4"/>
    <n v="98105"/>
    <x v="1"/>
    <x v="1291"/>
    <x v="1"/>
    <x v="4"/>
    <x v="1277"/>
    <n v="199.74"/>
    <s v="High"/>
    <n v="6"/>
    <n v="0"/>
    <x v="0"/>
    <x v="0"/>
    <n v="47.937600000000003"/>
    <n v="0.24000000000000002"/>
    <n v="0"/>
  </r>
  <r>
    <n v="2273"/>
    <s v="CA-2015-142944"/>
    <d v="2015-03-06T00:00:00"/>
    <x v="1"/>
    <s v="Q1"/>
    <x v="29"/>
    <d v="2015-03-11T00:00:00"/>
    <s v="Standard Class"/>
    <x v="139"/>
    <x v="139"/>
    <s v="Consumer"/>
    <s v="United States"/>
    <s v="San Francisco"/>
    <x v="1"/>
    <n v="94122"/>
    <x v="1"/>
    <x v="1292"/>
    <x v="0"/>
    <x v="5"/>
    <x v="1278"/>
    <n v="435.26"/>
    <s v="High"/>
    <n v="7"/>
    <n v="0"/>
    <x v="0"/>
    <x v="0"/>
    <n v="95.757199999999997"/>
    <n v="0.22"/>
    <n v="0"/>
  </r>
  <r>
    <n v="2274"/>
    <s v="CA-2015-142944"/>
    <d v="2015-03-06T00:00:00"/>
    <x v="1"/>
    <s v="Q1"/>
    <x v="29"/>
    <d v="2015-03-11T00:00:00"/>
    <s v="Standard Class"/>
    <x v="139"/>
    <x v="139"/>
    <s v="Consumer"/>
    <s v="United States"/>
    <s v="San Francisco"/>
    <x v="1"/>
    <n v="94122"/>
    <x v="1"/>
    <x v="1293"/>
    <x v="2"/>
    <x v="16"/>
    <x v="1279"/>
    <n v="1119.9839999999999"/>
    <s v="High"/>
    <n v="2"/>
    <n v="0.2"/>
    <x v="2"/>
    <x v="2"/>
    <n v="377.99459999999999"/>
    <n v="0.33750000000000002"/>
    <n v="0"/>
  </r>
  <r>
    <n v="2275"/>
    <s v="CA-2014-157882"/>
    <d v="2014-10-03T00:00:00"/>
    <x v="2"/>
    <s v="Q4"/>
    <x v="18"/>
    <d v="2014-10-08T00:00:00"/>
    <s v="Second Class"/>
    <x v="153"/>
    <x v="153"/>
    <s v="Corporate"/>
    <s v="United States"/>
    <s v="Los Angeles"/>
    <x v="1"/>
    <n v="90036"/>
    <x v="1"/>
    <x v="1294"/>
    <x v="0"/>
    <x v="3"/>
    <x v="1280"/>
    <n v="143.43199999999999"/>
    <s v="High"/>
    <n v="1"/>
    <n v="0.2"/>
    <x v="2"/>
    <x v="2"/>
    <n v="3.5857999999999999"/>
    <n v="2.5000000000000001E-2"/>
    <n v="0"/>
  </r>
  <r>
    <n v="2276"/>
    <s v="CA-2014-157882"/>
    <d v="2014-10-03T00:00:00"/>
    <x v="2"/>
    <s v="Q4"/>
    <x v="18"/>
    <d v="2014-10-08T00:00:00"/>
    <s v="Second Class"/>
    <x v="153"/>
    <x v="153"/>
    <s v="Corporate"/>
    <s v="United States"/>
    <s v="Los Angeles"/>
    <x v="1"/>
    <n v="90036"/>
    <x v="1"/>
    <x v="23"/>
    <x v="0"/>
    <x v="1"/>
    <x v="23"/>
    <n v="122.352"/>
    <s v="Medium"/>
    <n v="3"/>
    <n v="0.2"/>
    <x v="2"/>
    <x v="2"/>
    <n v="13.7646"/>
    <n v="0.11249999999999999"/>
    <n v="0"/>
  </r>
  <r>
    <n v="2277"/>
    <s v="CA-2014-104283"/>
    <d v="2014-06-27T00:00:00"/>
    <x v="2"/>
    <s v="Q2"/>
    <x v="3"/>
    <d v="2014-07-01T00:00:00"/>
    <s v="Standard Class"/>
    <x v="215"/>
    <x v="215"/>
    <s v="Consumer"/>
    <s v="United States"/>
    <s v="Southaven"/>
    <x v="35"/>
    <n v="38671"/>
    <x v="0"/>
    <x v="854"/>
    <x v="1"/>
    <x v="4"/>
    <x v="847"/>
    <n v="306.2"/>
    <s v="High"/>
    <n v="5"/>
    <n v="0"/>
    <x v="0"/>
    <x v="0"/>
    <n v="0"/>
    <n v="0"/>
    <n v="0"/>
  </r>
  <r>
    <n v="2278"/>
    <s v="CA-2014-104283"/>
    <d v="2014-06-27T00:00:00"/>
    <x v="2"/>
    <s v="Q2"/>
    <x v="3"/>
    <d v="2014-07-01T00:00:00"/>
    <s v="Standard Class"/>
    <x v="215"/>
    <x v="215"/>
    <s v="Consumer"/>
    <s v="United States"/>
    <s v="Southaven"/>
    <x v="35"/>
    <n v="38671"/>
    <x v="0"/>
    <x v="977"/>
    <x v="0"/>
    <x v="3"/>
    <x v="832"/>
    <n v="85.98"/>
    <s v="Medium"/>
    <n v="1"/>
    <n v="0"/>
    <x v="0"/>
    <x v="0"/>
    <n v="22.354800000000001"/>
    <n v="0.26"/>
    <n v="0"/>
  </r>
  <r>
    <n v="2279"/>
    <s v="CA-2014-104283"/>
    <d v="2014-06-27T00:00:00"/>
    <x v="2"/>
    <s v="Q2"/>
    <x v="3"/>
    <d v="2014-07-01T00:00:00"/>
    <s v="Standard Class"/>
    <x v="215"/>
    <x v="215"/>
    <s v="Consumer"/>
    <s v="United States"/>
    <s v="Southaven"/>
    <x v="35"/>
    <n v="38671"/>
    <x v="0"/>
    <x v="201"/>
    <x v="2"/>
    <x v="11"/>
    <x v="202"/>
    <n v="223.96"/>
    <s v="High"/>
    <n v="4"/>
    <n v="0"/>
    <x v="0"/>
    <x v="0"/>
    <n v="53.750399999999999"/>
    <n v="0.24"/>
    <n v="0"/>
  </r>
  <r>
    <n v="2280"/>
    <s v="CA-2017-142622"/>
    <d v="2017-10-30T00:00:00"/>
    <x v="3"/>
    <s v="Q4"/>
    <x v="13"/>
    <d v="2017-11-02T00:00:00"/>
    <s v="First Class"/>
    <x v="600"/>
    <x v="600"/>
    <s v="Consumer"/>
    <s v="United States"/>
    <s v="Seattle"/>
    <x v="4"/>
    <n v="98115"/>
    <x v="1"/>
    <x v="1225"/>
    <x v="0"/>
    <x v="1"/>
    <x v="1209"/>
    <n v="97.567999999999998"/>
    <s v="Medium"/>
    <n v="2"/>
    <n v="0.2"/>
    <x v="2"/>
    <x v="2"/>
    <n v="-6.0979999999999999"/>
    <n v="-6.25E-2"/>
    <n v="1"/>
  </r>
  <r>
    <n v="2281"/>
    <s v="CA-2017-142622"/>
    <d v="2017-10-30T00:00:00"/>
    <x v="3"/>
    <s v="Q4"/>
    <x v="13"/>
    <d v="2017-11-02T00:00:00"/>
    <s v="First Class"/>
    <x v="600"/>
    <x v="600"/>
    <s v="Consumer"/>
    <s v="United States"/>
    <s v="Seattle"/>
    <x v="4"/>
    <n v="98115"/>
    <x v="1"/>
    <x v="992"/>
    <x v="0"/>
    <x v="1"/>
    <x v="984"/>
    <n v="614.27200000000005"/>
    <s v="High"/>
    <n v="8"/>
    <n v="0.2"/>
    <x v="2"/>
    <x v="2"/>
    <n v="-23.0352"/>
    <n v="-3.7499999999999999E-2"/>
    <n v="1"/>
  </r>
  <r>
    <n v="2282"/>
    <s v="CA-2017-142622"/>
    <d v="2017-10-30T00:00:00"/>
    <x v="3"/>
    <s v="Q4"/>
    <x v="13"/>
    <d v="2017-11-02T00:00:00"/>
    <s v="First Class"/>
    <x v="600"/>
    <x v="600"/>
    <s v="Consumer"/>
    <s v="United States"/>
    <s v="Seattle"/>
    <x v="4"/>
    <n v="98115"/>
    <x v="1"/>
    <x v="899"/>
    <x v="0"/>
    <x v="0"/>
    <x v="892"/>
    <n v="199.98"/>
    <s v="High"/>
    <n v="2"/>
    <n v="0"/>
    <x v="0"/>
    <x v="0"/>
    <n v="37.996200000000002"/>
    <n v="0.19000000000000003"/>
    <n v="0"/>
  </r>
  <r>
    <n v="2283"/>
    <s v="CA-2016-132143"/>
    <d v="2016-09-03T00:00:00"/>
    <x v="0"/>
    <s v="Q3"/>
    <x v="21"/>
    <d v="2016-09-05T00:00:00"/>
    <s v="First Class"/>
    <x v="524"/>
    <x v="524"/>
    <s v="Corporate"/>
    <s v="United States"/>
    <s v="Middletown"/>
    <x v="29"/>
    <n v="6457"/>
    <x v="3"/>
    <x v="320"/>
    <x v="1"/>
    <x v="10"/>
    <x v="320"/>
    <n v="48.16"/>
    <s v="Medium"/>
    <n v="7"/>
    <n v="0"/>
    <x v="0"/>
    <x v="0"/>
    <n v="22.153600000000001"/>
    <n v="0.46000000000000008"/>
    <n v="0"/>
  </r>
  <r>
    <n v="2284"/>
    <s v="CA-2015-153108"/>
    <d v="2015-03-05T00:00:00"/>
    <x v="1"/>
    <s v="Q1"/>
    <x v="29"/>
    <d v="2015-03-09T00:00:00"/>
    <s v="Standard Class"/>
    <x v="227"/>
    <x v="227"/>
    <s v="Consumer"/>
    <s v="United States"/>
    <s v="New Castle"/>
    <x v="14"/>
    <n v="47362"/>
    <x v="2"/>
    <x v="179"/>
    <x v="2"/>
    <x v="7"/>
    <x v="180"/>
    <n v="23.92"/>
    <s v="Low"/>
    <n v="2"/>
    <n v="0"/>
    <x v="0"/>
    <x v="0"/>
    <n v="6.6976000000000004"/>
    <n v="0.27999999999999997"/>
    <n v="0"/>
  </r>
  <r>
    <n v="2285"/>
    <s v="CA-2015-153108"/>
    <d v="2015-03-05T00:00:00"/>
    <x v="1"/>
    <s v="Q1"/>
    <x v="29"/>
    <d v="2015-03-09T00:00:00"/>
    <s v="Standard Class"/>
    <x v="227"/>
    <x v="227"/>
    <s v="Consumer"/>
    <s v="United States"/>
    <s v="New Castle"/>
    <x v="14"/>
    <n v="47362"/>
    <x v="2"/>
    <x v="1295"/>
    <x v="1"/>
    <x v="9"/>
    <x v="360"/>
    <n v="60.69"/>
    <s v="Medium"/>
    <n v="7"/>
    <n v="0"/>
    <x v="0"/>
    <x v="0"/>
    <n v="16.386299999999999"/>
    <n v="0.26999999999999996"/>
    <n v="0"/>
  </r>
  <r>
    <n v="2286"/>
    <s v="CA-2016-112676"/>
    <d v="2016-05-05T00:00:00"/>
    <x v="0"/>
    <s v="Q2"/>
    <x v="35"/>
    <d v="2016-05-08T00:00:00"/>
    <s v="First Class"/>
    <x v="601"/>
    <x v="601"/>
    <s v="Corporate"/>
    <s v="United States"/>
    <s v="Murfreesboro"/>
    <x v="18"/>
    <n v="37130"/>
    <x v="0"/>
    <x v="1296"/>
    <x v="1"/>
    <x v="10"/>
    <x v="1281"/>
    <n v="14.352"/>
    <s v="Low"/>
    <n v="3"/>
    <n v="0.2"/>
    <x v="2"/>
    <x v="2"/>
    <n v="5.2026000000000003"/>
    <n v="0.36249999999999999"/>
    <n v="0"/>
  </r>
  <r>
    <n v="2287"/>
    <s v="CA-2017-165687"/>
    <d v="2017-11-17T00:00:00"/>
    <x v="3"/>
    <s v="Q4"/>
    <x v="23"/>
    <d v="2017-11-23T00:00:00"/>
    <s v="Standard Class"/>
    <x v="394"/>
    <x v="394"/>
    <s v="Consumer"/>
    <s v="United States"/>
    <s v="Salem"/>
    <x v="17"/>
    <n v="24153"/>
    <x v="0"/>
    <x v="1297"/>
    <x v="1"/>
    <x v="9"/>
    <x v="1282"/>
    <n v="35.04"/>
    <s v="Medium"/>
    <n v="2"/>
    <n v="0"/>
    <x v="0"/>
    <x v="0"/>
    <n v="12.263999999999999"/>
    <n v="0.35"/>
    <n v="0"/>
  </r>
  <r>
    <n v="2288"/>
    <s v="US-2017-112928"/>
    <d v="2017-06-01T00:00:00"/>
    <x v="3"/>
    <s v="Q2"/>
    <x v="27"/>
    <d v="2017-06-05T00:00:00"/>
    <s v="Second Class"/>
    <x v="121"/>
    <x v="121"/>
    <s v="Corporate"/>
    <s v="United States"/>
    <s v="Toledo"/>
    <x v="24"/>
    <n v="43615"/>
    <x v="3"/>
    <x v="1298"/>
    <x v="1"/>
    <x v="9"/>
    <x v="1283"/>
    <n v="17.48"/>
    <s v="Low"/>
    <n v="5"/>
    <n v="0.2"/>
    <x v="2"/>
    <x v="2"/>
    <n v="1.3109999999999999"/>
    <n v="7.4999999999999997E-2"/>
    <n v="0"/>
  </r>
  <r>
    <n v="2289"/>
    <s v="CA-2017-143343"/>
    <d v="2017-06-10T00:00:00"/>
    <x v="3"/>
    <s v="Q2"/>
    <x v="27"/>
    <d v="2017-06-13T00:00:00"/>
    <s v="First Class"/>
    <x v="572"/>
    <x v="572"/>
    <s v="Consumer"/>
    <s v="United States"/>
    <s v="Los Angeles"/>
    <x v="1"/>
    <n v="90032"/>
    <x v="1"/>
    <x v="836"/>
    <x v="1"/>
    <x v="6"/>
    <x v="831"/>
    <n v="16.399999999999999"/>
    <s v="Low"/>
    <n v="5"/>
    <n v="0"/>
    <x v="0"/>
    <x v="0"/>
    <n v="4.7560000000000002"/>
    <n v="0.29000000000000004"/>
    <n v="0"/>
  </r>
  <r>
    <n v="2290"/>
    <s v="CA-2017-115154"/>
    <d v="2017-01-08T00:00:00"/>
    <x v="3"/>
    <s v="Q1"/>
    <x v="44"/>
    <d v="2017-01-11T00:00:00"/>
    <s v="First Class"/>
    <x v="602"/>
    <x v="602"/>
    <s v="Corporate"/>
    <s v="United States"/>
    <s v="Seattle"/>
    <x v="4"/>
    <n v="98115"/>
    <x v="1"/>
    <x v="1299"/>
    <x v="0"/>
    <x v="3"/>
    <x v="1284"/>
    <n v="892.98"/>
    <s v="High"/>
    <n v="2"/>
    <n v="0"/>
    <x v="0"/>
    <x v="0"/>
    <n v="80.368200000000002"/>
    <n v="0.09"/>
    <n v="0"/>
  </r>
  <r>
    <n v="2291"/>
    <s v="CA-2015-149342"/>
    <d v="2015-04-20T00:00:00"/>
    <x v="1"/>
    <s v="Q2"/>
    <x v="19"/>
    <d v="2015-04-25T00:00:00"/>
    <s v="Standard Class"/>
    <x v="378"/>
    <x v="378"/>
    <s v="Corporate"/>
    <s v="United States"/>
    <s v="Columbus"/>
    <x v="32"/>
    <n v="31907"/>
    <x v="0"/>
    <x v="664"/>
    <x v="2"/>
    <x v="7"/>
    <x v="664"/>
    <n v="287.97000000000003"/>
    <s v="High"/>
    <n v="3"/>
    <n v="0"/>
    <x v="0"/>
    <x v="0"/>
    <n v="77.751900000000006"/>
    <n v="0.27"/>
    <n v="0"/>
  </r>
  <r>
    <n v="2292"/>
    <s v="CA-2015-149342"/>
    <d v="2015-04-20T00:00:00"/>
    <x v="1"/>
    <s v="Q2"/>
    <x v="19"/>
    <d v="2015-04-25T00:00:00"/>
    <s v="Standard Class"/>
    <x v="378"/>
    <x v="378"/>
    <s v="Corporate"/>
    <s v="United States"/>
    <s v="Columbus"/>
    <x v="32"/>
    <n v="31907"/>
    <x v="0"/>
    <x v="1071"/>
    <x v="0"/>
    <x v="5"/>
    <x v="1060"/>
    <n v="595.38"/>
    <s v="High"/>
    <n v="6"/>
    <n v="0"/>
    <x v="0"/>
    <x v="0"/>
    <n v="297.69"/>
    <n v="0.5"/>
    <n v="0"/>
  </r>
  <r>
    <n v="2293"/>
    <s v="CA-2015-149342"/>
    <d v="2015-04-20T00:00:00"/>
    <x v="1"/>
    <s v="Q2"/>
    <x v="19"/>
    <d v="2015-04-25T00:00:00"/>
    <s v="Standard Class"/>
    <x v="378"/>
    <x v="378"/>
    <s v="Corporate"/>
    <s v="United States"/>
    <s v="Columbus"/>
    <x v="32"/>
    <n v="31907"/>
    <x v="0"/>
    <x v="778"/>
    <x v="1"/>
    <x v="10"/>
    <x v="777"/>
    <n v="12.96"/>
    <s v="Low"/>
    <n v="2"/>
    <n v="0"/>
    <x v="0"/>
    <x v="0"/>
    <n v="6.2207999999999997"/>
    <n v="0.47999999999999993"/>
    <n v="0"/>
  </r>
  <r>
    <n v="2294"/>
    <s v="CA-2015-130995"/>
    <d v="2015-11-01T00:00:00"/>
    <x v="1"/>
    <s v="Q4"/>
    <x v="6"/>
    <d v="2015-11-06T00:00:00"/>
    <s v="Standard Class"/>
    <x v="425"/>
    <x v="425"/>
    <s v="Corporate"/>
    <s v="United States"/>
    <s v="New York City"/>
    <x v="15"/>
    <n v="10009"/>
    <x v="3"/>
    <x v="500"/>
    <x v="2"/>
    <x v="7"/>
    <x v="500"/>
    <n v="4.95"/>
    <s v="Low"/>
    <n v="1"/>
    <n v="0"/>
    <x v="0"/>
    <x v="0"/>
    <n v="1.3365"/>
    <n v="0.27"/>
    <n v="0"/>
  </r>
  <r>
    <n v="2295"/>
    <s v="CA-2017-127929"/>
    <d v="2017-12-23T00:00:00"/>
    <x v="3"/>
    <s v="Q4"/>
    <x v="22"/>
    <d v="2017-12-27T00:00:00"/>
    <s v="Standard Class"/>
    <x v="524"/>
    <x v="524"/>
    <s v="Corporate"/>
    <s v="United States"/>
    <s v="Middletown"/>
    <x v="29"/>
    <n v="6457"/>
    <x v="3"/>
    <x v="71"/>
    <x v="0"/>
    <x v="5"/>
    <x v="71"/>
    <n v="181.95"/>
    <s v="High"/>
    <n v="3"/>
    <n v="0"/>
    <x v="0"/>
    <x v="0"/>
    <n v="38.209499999999998"/>
    <n v="0.21"/>
    <n v="0"/>
  </r>
  <r>
    <n v="2296"/>
    <s v="CA-2015-113145"/>
    <d v="2015-11-01T00:00:00"/>
    <x v="1"/>
    <s v="Q4"/>
    <x v="6"/>
    <d v="2015-11-05T00:00:00"/>
    <s v="Standard Class"/>
    <x v="104"/>
    <x v="104"/>
    <s v="Consumer"/>
    <s v="United States"/>
    <s v="New York City"/>
    <x v="15"/>
    <n v="10011"/>
    <x v="3"/>
    <x v="938"/>
    <x v="1"/>
    <x v="10"/>
    <x v="931"/>
    <n v="13.52"/>
    <s v="Low"/>
    <n v="4"/>
    <n v="0"/>
    <x v="0"/>
    <x v="0"/>
    <n v="6.2191999999999998"/>
    <n v="0.46"/>
    <n v="0"/>
  </r>
  <r>
    <n v="2297"/>
    <s v="CA-2015-113145"/>
    <d v="2015-11-01T00:00:00"/>
    <x v="1"/>
    <s v="Q4"/>
    <x v="6"/>
    <d v="2015-11-05T00:00:00"/>
    <s v="Standard Class"/>
    <x v="104"/>
    <x v="104"/>
    <s v="Consumer"/>
    <s v="United States"/>
    <s v="New York City"/>
    <x v="15"/>
    <n v="10011"/>
    <x v="3"/>
    <x v="689"/>
    <x v="0"/>
    <x v="5"/>
    <x v="689"/>
    <n v="259.7"/>
    <s v="High"/>
    <n v="5"/>
    <n v="0"/>
    <x v="0"/>
    <x v="0"/>
    <n v="106.477"/>
    <n v="0.41000000000000003"/>
    <n v="0"/>
  </r>
  <r>
    <n v="2298"/>
    <s v="CA-2015-113145"/>
    <d v="2015-11-01T00:00:00"/>
    <x v="1"/>
    <s v="Q4"/>
    <x v="6"/>
    <d v="2015-11-05T00:00:00"/>
    <s v="Standard Class"/>
    <x v="104"/>
    <x v="104"/>
    <s v="Consumer"/>
    <s v="United States"/>
    <s v="New York City"/>
    <x v="15"/>
    <n v="10011"/>
    <x v="3"/>
    <x v="1300"/>
    <x v="2"/>
    <x v="7"/>
    <x v="1285"/>
    <n v="42.95"/>
    <s v="Medium"/>
    <n v="1"/>
    <n v="0"/>
    <x v="0"/>
    <x v="0"/>
    <n v="1.2885"/>
    <n v="0.03"/>
    <n v="0"/>
  </r>
  <r>
    <n v="2299"/>
    <s v="CA-2015-113145"/>
    <d v="2015-11-01T00:00:00"/>
    <x v="1"/>
    <s v="Q4"/>
    <x v="6"/>
    <d v="2015-11-05T00:00:00"/>
    <s v="Standard Class"/>
    <x v="104"/>
    <x v="104"/>
    <s v="Consumer"/>
    <s v="United States"/>
    <s v="New York City"/>
    <x v="15"/>
    <n v="10011"/>
    <x v="3"/>
    <x v="651"/>
    <x v="2"/>
    <x v="11"/>
    <x v="651"/>
    <n v="1399.93"/>
    <s v="High"/>
    <n v="7"/>
    <n v="0"/>
    <x v="0"/>
    <x v="0"/>
    <n v="601.96990000000005"/>
    <n v="0.43"/>
    <n v="0"/>
  </r>
  <r>
    <n v="2300"/>
    <s v="CA-2015-113145"/>
    <d v="2015-11-01T00:00:00"/>
    <x v="1"/>
    <s v="Q4"/>
    <x v="6"/>
    <d v="2015-11-05T00:00:00"/>
    <s v="Standard Class"/>
    <x v="104"/>
    <x v="104"/>
    <s v="Consumer"/>
    <s v="United States"/>
    <s v="New York City"/>
    <x v="15"/>
    <n v="10011"/>
    <x v="3"/>
    <x v="478"/>
    <x v="2"/>
    <x v="7"/>
    <x v="479"/>
    <n v="503.96"/>
    <s v="High"/>
    <n v="4"/>
    <n v="0"/>
    <x v="0"/>
    <x v="0"/>
    <n v="125.99"/>
    <n v="0.25"/>
    <n v="0"/>
  </r>
  <r>
    <n v="2301"/>
    <s v="CA-2014-162362"/>
    <d v="2014-11-14T00:00:00"/>
    <x v="2"/>
    <s v="Q4"/>
    <x v="7"/>
    <d v="2014-11-18T00:00:00"/>
    <s v="Standard Class"/>
    <x v="145"/>
    <x v="145"/>
    <s v="Consumer"/>
    <s v="United States"/>
    <s v="Midland"/>
    <x v="12"/>
    <n v="48640"/>
    <x v="2"/>
    <x v="15"/>
    <x v="1"/>
    <x v="8"/>
    <x v="15"/>
    <n v="12.72"/>
    <s v="Low"/>
    <n v="3"/>
    <n v="0"/>
    <x v="0"/>
    <x v="0"/>
    <n v="6.36"/>
    <n v="0.5"/>
    <n v="0"/>
  </r>
  <r>
    <n v="2302"/>
    <s v="CA-2014-162362"/>
    <d v="2014-11-14T00:00:00"/>
    <x v="2"/>
    <s v="Q4"/>
    <x v="7"/>
    <d v="2014-11-18T00:00:00"/>
    <s v="Standard Class"/>
    <x v="145"/>
    <x v="145"/>
    <s v="Consumer"/>
    <s v="United States"/>
    <s v="Midland"/>
    <x v="12"/>
    <n v="48640"/>
    <x v="2"/>
    <x v="614"/>
    <x v="1"/>
    <x v="8"/>
    <x v="614"/>
    <n v="11.52"/>
    <s v="Low"/>
    <n v="4"/>
    <n v="0"/>
    <x v="0"/>
    <x v="0"/>
    <n v="5.6448"/>
    <n v="0.49000000000000005"/>
    <n v="0"/>
  </r>
  <r>
    <n v="2303"/>
    <s v="CA-2016-106558"/>
    <d v="2016-01-17T00:00:00"/>
    <x v="0"/>
    <s v="Q1"/>
    <x v="12"/>
    <d v="2016-01-21T00:00:00"/>
    <s v="Standard Class"/>
    <x v="393"/>
    <x v="393"/>
    <s v="Corporate"/>
    <s v="United States"/>
    <s v="Columbus"/>
    <x v="32"/>
    <n v="31907"/>
    <x v="0"/>
    <x v="552"/>
    <x v="2"/>
    <x v="11"/>
    <x v="551"/>
    <n v="316"/>
    <s v="High"/>
    <n v="4"/>
    <n v="0"/>
    <x v="0"/>
    <x v="0"/>
    <n v="31.6"/>
    <n v="0.1"/>
    <n v="0"/>
  </r>
  <r>
    <n v="2304"/>
    <s v="CA-2017-157931"/>
    <d v="2017-09-17T00:00:00"/>
    <x v="3"/>
    <s v="Q3"/>
    <x v="15"/>
    <d v="2017-09-22T00:00:00"/>
    <s v="Second Class"/>
    <x v="246"/>
    <x v="246"/>
    <s v="Home Office"/>
    <s v="United States"/>
    <s v="Roswell"/>
    <x v="32"/>
    <n v="30076"/>
    <x v="0"/>
    <x v="323"/>
    <x v="0"/>
    <x v="1"/>
    <x v="323"/>
    <n v="723.92"/>
    <s v="High"/>
    <n v="4"/>
    <n v="0"/>
    <x v="0"/>
    <x v="0"/>
    <n v="188.2192"/>
    <n v="0.26"/>
    <n v="0"/>
  </r>
  <r>
    <n v="2305"/>
    <s v="CA-2017-157931"/>
    <d v="2017-09-17T00:00:00"/>
    <x v="3"/>
    <s v="Q3"/>
    <x v="15"/>
    <d v="2017-09-22T00:00:00"/>
    <s v="Second Class"/>
    <x v="246"/>
    <x v="246"/>
    <s v="Home Office"/>
    <s v="United States"/>
    <s v="Roswell"/>
    <x v="32"/>
    <n v="30076"/>
    <x v="0"/>
    <x v="258"/>
    <x v="1"/>
    <x v="10"/>
    <x v="33"/>
    <n v="106.32"/>
    <s v="Medium"/>
    <n v="3"/>
    <n v="0"/>
    <x v="0"/>
    <x v="0"/>
    <n v="49.970399999999998"/>
    <n v="0.47000000000000003"/>
    <n v="0"/>
  </r>
  <r>
    <n v="2306"/>
    <s v="CA-2016-115574"/>
    <d v="2016-12-23T00:00:00"/>
    <x v="0"/>
    <s v="Q4"/>
    <x v="5"/>
    <d v="2016-12-24T00:00:00"/>
    <s v="First Class"/>
    <x v="130"/>
    <x v="130"/>
    <s v="Corporate"/>
    <s v="United States"/>
    <s v="Chicago"/>
    <x v="10"/>
    <n v="60623"/>
    <x v="2"/>
    <x v="713"/>
    <x v="0"/>
    <x v="0"/>
    <x v="712"/>
    <n v="141.37200000000001"/>
    <s v="High"/>
    <n v="2"/>
    <n v="0.3"/>
    <x v="1"/>
    <x v="4"/>
    <n v="-14.1372"/>
    <n v="-9.9999999999999992E-2"/>
    <n v="1"/>
  </r>
  <r>
    <n v="2307"/>
    <s v="CA-2015-160794"/>
    <d v="2015-08-06T00:00:00"/>
    <x v="1"/>
    <s v="Q3"/>
    <x v="37"/>
    <d v="2015-08-08T00:00:00"/>
    <s v="First Class"/>
    <x v="99"/>
    <x v="99"/>
    <s v="Corporate"/>
    <s v="United States"/>
    <s v="Houston"/>
    <x v="5"/>
    <n v="77041"/>
    <x v="2"/>
    <x v="752"/>
    <x v="1"/>
    <x v="10"/>
    <x v="750"/>
    <n v="27.216000000000001"/>
    <s v="Medium"/>
    <n v="3"/>
    <n v="0.2"/>
    <x v="2"/>
    <x v="2"/>
    <n v="9.8658000000000001"/>
    <n v="0.36249999999999999"/>
    <n v="0"/>
  </r>
  <r>
    <n v="2308"/>
    <s v="CA-2017-116225"/>
    <d v="2017-11-05T00:00:00"/>
    <x v="3"/>
    <s v="Q4"/>
    <x v="23"/>
    <d v="2017-11-09T00:00:00"/>
    <s v="Standard Class"/>
    <x v="603"/>
    <x v="603"/>
    <s v="Consumer"/>
    <s v="United States"/>
    <s v="New York City"/>
    <x v="15"/>
    <n v="10009"/>
    <x v="3"/>
    <x v="475"/>
    <x v="2"/>
    <x v="11"/>
    <x v="476"/>
    <n v="390.75"/>
    <s v="High"/>
    <n v="5"/>
    <n v="0"/>
    <x v="0"/>
    <x v="0"/>
    <n v="171.93"/>
    <n v="0.44"/>
    <n v="0"/>
  </r>
  <r>
    <n v="2309"/>
    <s v="US-2017-120418"/>
    <d v="2017-06-11T00:00:00"/>
    <x v="3"/>
    <s v="Q2"/>
    <x v="27"/>
    <d v="2017-06-12T00:00:00"/>
    <s v="First Class"/>
    <x v="604"/>
    <x v="604"/>
    <s v="Home Office"/>
    <s v="United States"/>
    <s v="Peoria"/>
    <x v="16"/>
    <n v="85345"/>
    <x v="1"/>
    <x v="654"/>
    <x v="0"/>
    <x v="1"/>
    <x v="654"/>
    <n v="280.79199999999997"/>
    <s v="High"/>
    <n v="1"/>
    <n v="0.2"/>
    <x v="2"/>
    <x v="2"/>
    <n v="35.098999999999997"/>
    <n v="0.125"/>
    <n v="0"/>
  </r>
  <r>
    <n v="2310"/>
    <s v="US-2017-120418"/>
    <d v="2017-06-11T00:00:00"/>
    <x v="3"/>
    <s v="Q2"/>
    <x v="27"/>
    <d v="2017-06-12T00:00:00"/>
    <s v="First Class"/>
    <x v="604"/>
    <x v="604"/>
    <s v="Home Office"/>
    <s v="United States"/>
    <s v="Peoria"/>
    <x v="16"/>
    <n v="85345"/>
    <x v="1"/>
    <x v="80"/>
    <x v="1"/>
    <x v="4"/>
    <x v="80"/>
    <n v="68.447999999999993"/>
    <s v="Medium"/>
    <n v="4"/>
    <n v="0.2"/>
    <x v="2"/>
    <x v="2"/>
    <n v="7.7004000000000001"/>
    <n v="0.11250000000000002"/>
    <n v="0"/>
  </r>
  <r>
    <n v="2311"/>
    <s v="US-2017-120418"/>
    <d v="2017-06-11T00:00:00"/>
    <x v="3"/>
    <s v="Q2"/>
    <x v="27"/>
    <d v="2017-06-12T00:00:00"/>
    <s v="First Class"/>
    <x v="604"/>
    <x v="604"/>
    <s v="Home Office"/>
    <s v="United States"/>
    <s v="Peoria"/>
    <x v="16"/>
    <n v="85345"/>
    <x v="1"/>
    <x v="666"/>
    <x v="1"/>
    <x v="6"/>
    <x v="666"/>
    <n v="88.04"/>
    <s v="Medium"/>
    <n v="5"/>
    <n v="0.2"/>
    <x v="2"/>
    <x v="2"/>
    <n v="6.6029999999999998"/>
    <n v="7.4999999999999997E-2"/>
    <n v="0"/>
  </r>
  <r>
    <n v="2312"/>
    <s v="US-2017-120418"/>
    <d v="2017-06-11T00:00:00"/>
    <x v="3"/>
    <s v="Q2"/>
    <x v="27"/>
    <d v="2017-06-12T00:00:00"/>
    <s v="First Class"/>
    <x v="604"/>
    <x v="604"/>
    <s v="Home Office"/>
    <s v="United States"/>
    <s v="Peoria"/>
    <x v="16"/>
    <n v="85345"/>
    <x v="1"/>
    <x v="1041"/>
    <x v="1"/>
    <x v="6"/>
    <x v="1030"/>
    <n v="15.872"/>
    <s v="Low"/>
    <n v="1"/>
    <n v="0.2"/>
    <x v="2"/>
    <x v="2"/>
    <n v="1.984"/>
    <n v="0.125"/>
    <n v="0"/>
  </r>
  <r>
    <n v="2313"/>
    <s v="US-2017-120418"/>
    <d v="2017-06-11T00:00:00"/>
    <x v="3"/>
    <s v="Q2"/>
    <x v="27"/>
    <d v="2017-06-12T00:00:00"/>
    <s v="First Class"/>
    <x v="604"/>
    <x v="604"/>
    <s v="Home Office"/>
    <s v="United States"/>
    <s v="Peoria"/>
    <x v="16"/>
    <n v="85345"/>
    <x v="1"/>
    <x v="435"/>
    <x v="1"/>
    <x v="4"/>
    <x v="435"/>
    <n v="215.59200000000001"/>
    <s v="High"/>
    <n v="3"/>
    <n v="0.2"/>
    <x v="2"/>
    <x v="2"/>
    <n v="-48.508200000000002"/>
    <n v="-0.22500000000000001"/>
    <n v="1"/>
  </r>
  <r>
    <n v="2314"/>
    <s v="CA-2017-122035"/>
    <d v="2017-07-20T00:00:00"/>
    <x v="3"/>
    <s v="Q3"/>
    <x v="10"/>
    <d v="2017-07-25T00:00:00"/>
    <s v="Standard Class"/>
    <x v="605"/>
    <x v="605"/>
    <s v="Corporate"/>
    <s v="United States"/>
    <s v="Sioux Falls"/>
    <x v="44"/>
    <n v="57103"/>
    <x v="2"/>
    <x v="676"/>
    <x v="1"/>
    <x v="2"/>
    <x v="676"/>
    <n v="14.62"/>
    <s v="Low"/>
    <n v="2"/>
    <n v="0"/>
    <x v="0"/>
    <x v="0"/>
    <n v="6.8714000000000004"/>
    <n v="0.47000000000000003"/>
    <n v="0"/>
  </r>
  <r>
    <n v="2315"/>
    <s v="CA-2017-122035"/>
    <d v="2017-07-20T00:00:00"/>
    <x v="3"/>
    <s v="Q3"/>
    <x v="10"/>
    <d v="2017-07-25T00:00:00"/>
    <s v="Standard Class"/>
    <x v="605"/>
    <x v="605"/>
    <s v="Corporate"/>
    <s v="United States"/>
    <s v="Sioux Falls"/>
    <x v="44"/>
    <n v="57103"/>
    <x v="2"/>
    <x v="77"/>
    <x v="1"/>
    <x v="9"/>
    <x v="77"/>
    <n v="416.32"/>
    <s v="High"/>
    <n v="2"/>
    <n v="0"/>
    <x v="0"/>
    <x v="0"/>
    <n v="112.4064"/>
    <n v="0.27"/>
    <n v="0"/>
  </r>
  <r>
    <n v="2316"/>
    <s v="CA-2017-122035"/>
    <d v="2017-07-20T00:00:00"/>
    <x v="3"/>
    <s v="Q3"/>
    <x v="10"/>
    <d v="2017-07-25T00:00:00"/>
    <s v="Standard Class"/>
    <x v="605"/>
    <x v="605"/>
    <s v="Corporate"/>
    <s v="United States"/>
    <s v="Sioux Falls"/>
    <x v="44"/>
    <n v="57103"/>
    <x v="2"/>
    <x v="480"/>
    <x v="1"/>
    <x v="8"/>
    <x v="481"/>
    <n v="43"/>
    <s v="Medium"/>
    <n v="5"/>
    <n v="0"/>
    <x v="0"/>
    <x v="0"/>
    <n v="20.21"/>
    <n v="0.47000000000000003"/>
    <n v="0"/>
  </r>
  <r>
    <n v="2317"/>
    <s v="CA-2017-122035"/>
    <d v="2017-07-20T00:00:00"/>
    <x v="3"/>
    <s v="Q3"/>
    <x v="10"/>
    <d v="2017-07-25T00:00:00"/>
    <s v="Standard Class"/>
    <x v="605"/>
    <x v="605"/>
    <s v="Corporate"/>
    <s v="United States"/>
    <s v="Sioux Falls"/>
    <x v="44"/>
    <n v="57103"/>
    <x v="2"/>
    <x v="1225"/>
    <x v="0"/>
    <x v="1"/>
    <x v="1209"/>
    <n v="182.94"/>
    <s v="High"/>
    <n v="3"/>
    <n v="0"/>
    <x v="0"/>
    <x v="0"/>
    <n v="27.440999999999999"/>
    <n v="0.15"/>
    <n v="0"/>
  </r>
  <r>
    <n v="2318"/>
    <s v="CA-2017-122035"/>
    <d v="2017-07-20T00:00:00"/>
    <x v="3"/>
    <s v="Q3"/>
    <x v="10"/>
    <d v="2017-07-25T00:00:00"/>
    <s v="Standard Class"/>
    <x v="605"/>
    <x v="605"/>
    <s v="Corporate"/>
    <s v="United States"/>
    <s v="Sioux Falls"/>
    <x v="44"/>
    <n v="57103"/>
    <x v="2"/>
    <x v="844"/>
    <x v="1"/>
    <x v="8"/>
    <x v="838"/>
    <n v="60.83"/>
    <s v="Medium"/>
    <n v="7"/>
    <n v="0"/>
    <x v="0"/>
    <x v="0"/>
    <n v="30.414999999999999"/>
    <n v="0.5"/>
    <n v="0"/>
  </r>
  <r>
    <n v="2319"/>
    <s v="CA-2017-122035"/>
    <d v="2017-07-20T00:00:00"/>
    <x v="3"/>
    <s v="Q3"/>
    <x v="10"/>
    <d v="2017-07-25T00:00:00"/>
    <s v="Standard Class"/>
    <x v="605"/>
    <x v="605"/>
    <s v="Corporate"/>
    <s v="United States"/>
    <s v="Sioux Falls"/>
    <x v="44"/>
    <n v="57103"/>
    <x v="2"/>
    <x v="1301"/>
    <x v="2"/>
    <x v="11"/>
    <x v="1286"/>
    <n v="389.97"/>
    <s v="High"/>
    <n v="3"/>
    <n v="0"/>
    <x v="0"/>
    <x v="0"/>
    <n v="132.5898"/>
    <n v="0.33999999999999997"/>
    <n v="0"/>
  </r>
  <r>
    <n v="2320"/>
    <s v="CA-2015-117828"/>
    <d v="2015-12-23T00:00:00"/>
    <x v="1"/>
    <s v="Q4"/>
    <x v="14"/>
    <d v="2015-12-26T00:00:00"/>
    <s v="First Class"/>
    <x v="214"/>
    <x v="214"/>
    <s v="Consumer"/>
    <s v="United States"/>
    <s v="Richmond"/>
    <x v="17"/>
    <n v="23223"/>
    <x v="0"/>
    <x v="535"/>
    <x v="1"/>
    <x v="9"/>
    <x v="535"/>
    <n v="194.32"/>
    <s v="High"/>
    <n v="4"/>
    <n v="0"/>
    <x v="0"/>
    <x v="0"/>
    <n v="56.352800000000002"/>
    <n v="0.29000000000000004"/>
    <n v="0"/>
  </r>
  <r>
    <n v="2321"/>
    <s v="CA-2017-165491"/>
    <d v="2017-03-20T00:00:00"/>
    <x v="3"/>
    <s v="Q1"/>
    <x v="42"/>
    <d v="2017-03-24T00:00:00"/>
    <s v="Standard Class"/>
    <x v="304"/>
    <x v="304"/>
    <s v="Corporate"/>
    <s v="United States"/>
    <s v="Seattle"/>
    <x v="4"/>
    <n v="98115"/>
    <x v="1"/>
    <x v="1302"/>
    <x v="2"/>
    <x v="11"/>
    <x v="1287"/>
    <n v="265.93"/>
    <s v="High"/>
    <n v="7"/>
    <n v="0"/>
    <x v="0"/>
    <x v="0"/>
    <n v="63.8232"/>
    <n v="0.24"/>
    <n v="0"/>
  </r>
  <r>
    <n v="2322"/>
    <s v="CA-2015-109470"/>
    <d v="2015-12-31T00:00:00"/>
    <x v="1"/>
    <s v="Q4"/>
    <x v="14"/>
    <d v="2016-01-03T00:00:00"/>
    <s v="Second Class"/>
    <x v="346"/>
    <x v="346"/>
    <s v="Corporate"/>
    <s v="United States"/>
    <s v="Henderson"/>
    <x v="0"/>
    <n v="42420"/>
    <x v="0"/>
    <x v="351"/>
    <x v="1"/>
    <x v="8"/>
    <x v="351"/>
    <n v="94.74"/>
    <s v="Medium"/>
    <n v="3"/>
    <n v="0"/>
    <x v="0"/>
    <x v="0"/>
    <n v="44.527799999999999"/>
    <n v="0.47000000000000003"/>
    <n v="0"/>
  </r>
  <r>
    <n v="2323"/>
    <s v="CA-2015-109470"/>
    <d v="2015-12-31T00:00:00"/>
    <x v="1"/>
    <s v="Q4"/>
    <x v="14"/>
    <d v="2016-01-03T00:00:00"/>
    <s v="Second Class"/>
    <x v="346"/>
    <x v="346"/>
    <s v="Corporate"/>
    <s v="United States"/>
    <s v="Henderson"/>
    <x v="0"/>
    <n v="42420"/>
    <x v="0"/>
    <x v="280"/>
    <x v="1"/>
    <x v="8"/>
    <x v="280"/>
    <n v="60.64"/>
    <s v="Medium"/>
    <n v="4"/>
    <n v="0"/>
    <x v="0"/>
    <x v="0"/>
    <n v="27.894400000000001"/>
    <n v="0.46"/>
    <n v="0"/>
  </r>
  <r>
    <n v="2324"/>
    <s v="CA-2015-109470"/>
    <d v="2015-12-31T00:00:00"/>
    <x v="1"/>
    <s v="Q4"/>
    <x v="14"/>
    <d v="2016-01-03T00:00:00"/>
    <s v="Second Class"/>
    <x v="346"/>
    <x v="346"/>
    <s v="Corporate"/>
    <s v="United States"/>
    <s v="Henderson"/>
    <x v="0"/>
    <n v="42420"/>
    <x v="0"/>
    <x v="785"/>
    <x v="1"/>
    <x v="8"/>
    <x v="784"/>
    <n v="76.3"/>
    <s v="Medium"/>
    <n v="5"/>
    <n v="0"/>
    <x v="0"/>
    <x v="0"/>
    <n v="38.15"/>
    <n v="0.5"/>
    <n v="0"/>
  </r>
  <r>
    <n v="2325"/>
    <s v="CA-2015-109470"/>
    <d v="2015-12-31T00:00:00"/>
    <x v="1"/>
    <s v="Q4"/>
    <x v="14"/>
    <d v="2016-01-03T00:00:00"/>
    <s v="Second Class"/>
    <x v="346"/>
    <x v="346"/>
    <s v="Corporate"/>
    <s v="United States"/>
    <s v="Henderson"/>
    <x v="0"/>
    <n v="42420"/>
    <x v="0"/>
    <x v="999"/>
    <x v="1"/>
    <x v="8"/>
    <x v="991"/>
    <n v="364.8"/>
    <s v="High"/>
    <n v="12"/>
    <n v="0"/>
    <x v="0"/>
    <x v="0"/>
    <n v="167.80799999999999"/>
    <n v="0.45999999999999996"/>
    <n v="0"/>
  </r>
  <r>
    <n v="2326"/>
    <s v="CA-2015-105102"/>
    <d v="2015-09-15T00:00:00"/>
    <x v="1"/>
    <s v="Q3"/>
    <x v="11"/>
    <d v="2015-09-19T00:00:00"/>
    <s v="Second Class"/>
    <x v="606"/>
    <x v="606"/>
    <s v="Corporate"/>
    <s v="United States"/>
    <s v="New York City"/>
    <x v="15"/>
    <n v="10035"/>
    <x v="3"/>
    <x v="1197"/>
    <x v="1"/>
    <x v="8"/>
    <x v="1182"/>
    <n v="79.872"/>
    <s v="Medium"/>
    <n v="3"/>
    <n v="0.2"/>
    <x v="2"/>
    <x v="2"/>
    <n v="29.952000000000002"/>
    <n v="0.375"/>
    <n v="0"/>
  </r>
  <r>
    <n v="2327"/>
    <s v="CA-2015-105102"/>
    <d v="2015-09-15T00:00:00"/>
    <x v="1"/>
    <s v="Q3"/>
    <x v="11"/>
    <d v="2015-09-19T00:00:00"/>
    <s v="Second Class"/>
    <x v="606"/>
    <x v="606"/>
    <s v="Corporate"/>
    <s v="United States"/>
    <s v="New York City"/>
    <x v="15"/>
    <n v="10035"/>
    <x v="3"/>
    <x v="266"/>
    <x v="0"/>
    <x v="0"/>
    <x v="266"/>
    <n v="46.384"/>
    <s v="Medium"/>
    <n v="1"/>
    <n v="0.2"/>
    <x v="2"/>
    <x v="2"/>
    <n v="1.1596"/>
    <n v="2.4999999999999998E-2"/>
    <n v="0"/>
  </r>
  <r>
    <n v="2328"/>
    <s v="CA-2015-105102"/>
    <d v="2015-09-15T00:00:00"/>
    <x v="1"/>
    <s v="Q3"/>
    <x v="11"/>
    <d v="2015-09-19T00:00:00"/>
    <s v="Second Class"/>
    <x v="606"/>
    <x v="606"/>
    <s v="Corporate"/>
    <s v="United States"/>
    <s v="New York City"/>
    <x v="15"/>
    <n v="10035"/>
    <x v="3"/>
    <x v="12"/>
    <x v="1"/>
    <x v="10"/>
    <x v="12"/>
    <n v="12.96"/>
    <s v="Low"/>
    <n v="2"/>
    <n v="0"/>
    <x v="0"/>
    <x v="0"/>
    <n v="6.2207999999999997"/>
    <n v="0.47999999999999993"/>
    <n v="0"/>
  </r>
  <r>
    <n v="2329"/>
    <s v="CA-2017-138422"/>
    <d v="2017-09-23T00:00:00"/>
    <x v="3"/>
    <s v="Q3"/>
    <x v="15"/>
    <d v="2017-09-26T00:00:00"/>
    <s v="First Class"/>
    <x v="607"/>
    <x v="607"/>
    <s v="Home Office"/>
    <s v="United States"/>
    <s v="Fort Collins"/>
    <x v="22"/>
    <n v="80525"/>
    <x v="1"/>
    <x v="1303"/>
    <x v="1"/>
    <x v="12"/>
    <x v="1288"/>
    <n v="14.352"/>
    <s v="Low"/>
    <n v="3"/>
    <n v="0.2"/>
    <x v="2"/>
    <x v="2"/>
    <n v="5.2026000000000003"/>
    <n v="0.36249999999999999"/>
    <n v="0"/>
  </r>
  <r>
    <n v="2330"/>
    <s v="US-2015-147739"/>
    <d v="2015-12-25T00:00:00"/>
    <x v="1"/>
    <s v="Q4"/>
    <x v="14"/>
    <d v="2015-12-29T00:00:00"/>
    <s v="Standard Class"/>
    <x v="251"/>
    <x v="251"/>
    <s v="Corporate"/>
    <s v="United States"/>
    <s v="Philadelphia"/>
    <x v="9"/>
    <n v="19140"/>
    <x v="3"/>
    <x v="1304"/>
    <x v="0"/>
    <x v="5"/>
    <x v="1289"/>
    <n v="547.13599999999997"/>
    <s v="High"/>
    <n v="4"/>
    <n v="0.2"/>
    <x v="2"/>
    <x v="2"/>
    <n v="-68.391999999999996"/>
    <n v="-0.125"/>
    <n v="1"/>
  </r>
  <r>
    <n v="2331"/>
    <s v="CA-2016-155187"/>
    <d v="2016-09-24T00:00:00"/>
    <x v="0"/>
    <s v="Q3"/>
    <x v="21"/>
    <d v="2016-09-26T00:00:00"/>
    <s v="Second Class"/>
    <x v="156"/>
    <x v="156"/>
    <s v="Corporate"/>
    <s v="United States"/>
    <s v="Los Angeles"/>
    <x v="1"/>
    <n v="90004"/>
    <x v="1"/>
    <x v="193"/>
    <x v="1"/>
    <x v="4"/>
    <x v="194"/>
    <n v="41.96"/>
    <s v="Medium"/>
    <n v="2"/>
    <n v="0"/>
    <x v="0"/>
    <x v="0"/>
    <n v="2.9371999999999998"/>
    <n v="6.9999999999999993E-2"/>
    <n v="0"/>
  </r>
  <r>
    <n v="2332"/>
    <s v="CA-2016-155187"/>
    <d v="2016-09-24T00:00:00"/>
    <x v="0"/>
    <s v="Q3"/>
    <x v="21"/>
    <d v="2016-09-26T00:00:00"/>
    <s v="Second Class"/>
    <x v="156"/>
    <x v="156"/>
    <s v="Corporate"/>
    <s v="United States"/>
    <s v="Los Angeles"/>
    <x v="1"/>
    <n v="90004"/>
    <x v="1"/>
    <x v="1305"/>
    <x v="1"/>
    <x v="10"/>
    <x v="1290"/>
    <n v="41.7"/>
    <s v="Medium"/>
    <n v="5"/>
    <n v="0"/>
    <x v="0"/>
    <x v="0"/>
    <n v="20.85"/>
    <n v="0.5"/>
    <n v="0"/>
  </r>
  <r>
    <n v="2333"/>
    <s v="CA-2017-169285"/>
    <d v="2017-03-21T00:00:00"/>
    <x v="3"/>
    <s v="Q1"/>
    <x v="42"/>
    <d v="2017-03-25T00:00:00"/>
    <s v="Standard Class"/>
    <x v="355"/>
    <x v="355"/>
    <s v="Consumer"/>
    <s v="United States"/>
    <s v="Lafayette"/>
    <x v="14"/>
    <n v="47905"/>
    <x v="2"/>
    <x v="417"/>
    <x v="1"/>
    <x v="10"/>
    <x v="417"/>
    <n v="277.39999999999998"/>
    <s v="High"/>
    <n v="5"/>
    <n v="0"/>
    <x v="0"/>
    <x v="0"/>
    <n v="133.15199999999999"/>
    <n v="0.48"/>
    <n v="0"/>
  </r>
  <r>
    <n v="2334"/>
    <s v="CA-2017-169285"/>
    <d v="2017-03-21T00:00:00"/>
    <x v="3"/>
    <s v="Q1"/>
    <x v="42"/>
    <d v="2017-03-25T00:00:00"/>
    <s v="Standard Class"/>
    <x v="355"/>
    <x v="355"/>
    <s v="Consumer"/>
    <s v="United States"/>
    <s v="Lafayette"/>
    <x v="14"/>
    <n v="47905"/>
    <x v="2"/>
    <x v="609"/>
    <x v="1"/>
    <x v="10"/>
    <x v="609"/>
    <n v="5.78"/>
    <s v="Low"/>
    <n v="1"/>
    <n v="0"/>
    <x v="0"/>
    <x v="0"/>
    <n v="2.8321999999999998"/>
    <n v="0.48999999999999994"/>
    <n v="0"/>
  </r>
  <r>
    <n v="2335"/>
    <s v="CA-2014-140886"/>
    <d v="2014-09-30T00:00:00"/>
    <x v="2"/>
    <s v="Q3"/>
    <x v="30"/>
    <d v="2014-10-04T00:00:00"/>
    <s v="Standard Class"/>
    <x v="608"/>
    <x v="608"/>
    <s v="Consumer"/>
    <s v="United States"/>
    <s v="Clarksville"/>
    <x v="18"/>
    <n v="37042"/>
    <x v="0"/>
    <x v="336"/>
    <x v="1"/>
    <x v="9"/>
    <x v="336"/>
    <n v="69.215999999999994"/>
    <s v="Medium"/>
    <n v="6"/>
    <n v="0.2"/>
    <x v="2"/>
    <x v="2"/>
    <n v="11.2476"/>
    <n v="0.16250000000000001"/>
    <n v="0"/>
  </r>
  <r>
    <n v="2336"/>
    <s v="CA-2017-152695"/>
    <d v="2017-12-10T00:00:00"/>
    <x v="3"/>
    <s v="Q4"/>
    <x v="22"/>
    <d v="2017-12-10T00:00:00"/>
    <s v="Same Day"/>
    <x v="417"/>
    <x v="417"/>
    <s v="Consumer"/>
    <s v="United States"/>
    <s v="Fairfield"/>
    <x v="29"/>
    <n v="6824"/>
    <x v="3"/>
    <x v="135"/>
    <x v="1"/>
    <x v="12"/>
    <x v="136"/>
    <n v="10.86"/>
    <s v="Low"/>
    <n v="3"/>
    <n v="0"/>
    <x v="0"/>
    <x v="0"/>
    <n v="5.1041999999999996"/>
    <n v="0.47"/>
    <n v="0"/>
  </r>
  <r>
    <n v="2337"/>
    <s v="CA-2017-152695"/>
    <d v="2017-12-10T00:00:00"/>
    <x v="3"/>
    <s v="Q4"/>
    <x v="22"/>
    <d v="2017-12-10T00:00:00"/>
    <s v="Same Day"/>
    <x v="417"/>
    <x v="417"/>
    <s v="Consumer"/>
    <s v="United States"/>
    <s v="Fairfield"/>
    <x v="29"/>
    <n v="6824"/>
    <x v="3"/>
    <x v="1306"/>
    <x v="1"/>
    <x v="9"/>
    <x v="1291"/>
    <n v="426.79"/>
    <s v="High"/>
    <n v="7"/>
    <n v="0"/>
    <x v="0"/>
    <x v="0"/>
    <n v="123.76909999999999"/>
    <n v="0.28999999999999998"/>
    <n v="0"/>
  </r>
  <r>
    <n v="2338"/>
    <s v="CA-2014-110639"/>
    <d v="2014-08-23T00:00:00"/>
    <x v="2"/>
    <s v="Q3"/>
    <x v="9"/>
    <d v="2014-08-23T00:00:00"/>
    <s v="Same Day"/>
    <x v="302"/>
    <x v="302"/>
    <s v="Consumer"/>
    <s v="United States"/>
    <s v="New York City"/>
    <x v="15"/>
    <n v="10009"/>
    <x v="3"/>
    <x v="1307"/>
    <x v="1"/>
    <x v="10"/>
    <x v="1292"/>
    <n v="25.92"/>
    <s v="Medium"/>
    <n v="4"/>
    <n v="0"/>
    <x v="0"/>
    <x v="0"/>
    <n v="12.441599999999999"/>
    <n v="0.47999999999999993"/>
    <n v="0"/>
  </r>
  <r>
    <n v="2339"/>
    <s v="CA-2014-110639"/>
    <d v="2014-08-23T00:00:00"/>
    <x v="2"/>
    <s v="Q3"/>
    <x v="9"/>
    <d v="2014-08-23T00:00:00"/>
    <s v="Same Day"/>
    <x v="302"/>
    <x v="302"/>
    <s v="Consumer"/>
    <s v="United States"/>
    <s v="New York City"/>
    <x v="15"/>
    <n v="10009"/>
    <x v="3"/>
    <x v="496"/>
    <x v="1"/>
    <x v="10"/>
    <x v="496"/>
    <n v="45.92"/>
    <s v="Medium"/>
    <n v="4"/>
    <n v="0"/>
    <x v="0"/>
    <x v="0"/>
    <n v="22.500800000000002"/>
    <n v="0.49"/>
    <n v="0"/>
  </r>
  <r>
    <n v="2340"/>
    <s v="CA-2014-121727"/>
    <d v="2014-08-19T00:00:00"/>
    <x v="2"/>
    <s v="Q3"/>
    <x v="9"/>
    <d v="2014-08-24T00:00:00"/>
    <s v="Standard Class"/>
    <x v="600"/>
    <x v="600"/>
    <s v="Consumer"/>
    <s v="United States"/>
    <s v="Columbus"/>
    <x v="24"/>
    <n v="43229"/>
    <x v="3"/>
    <x v="87"/>
    <x v="1"/>
    <x v="6"/>
    <x v="87"/>
    <n v="10.72"/>
    <s v="Low"/>
    <n v="2"/>
    <n v="0.2"/>
    <x v="2"/>
    <x v="2"/>
    <n v="1.742"/>
    <n v="0.16249999999999998"/>
    <n v="0"/>
  </r>
  <r>
    <n v="2341"/>
    <s v="CA-2016-137736"/>
    <d v="2016-11-10T00:00:00"/>
    <x v="0"/>
    <s v="Q4"/>
    <x v="0"/>
    <d v="2016-11-15T00:00:00"/>
    <s v="Standard Class"/>
    <x v="290"/>
    <x v="290"/>
    <s v="Consumer"/>
    <s v="United States"/>
    <s v="Warner Robins"/>
    <x v="32"/>
    <n v="31088"/>
    <x v="0"/>
    <x v="879"/>
    <x v="1"/>
    <x v="6"/>
    <x v="873"/>
    <n v="41.86"/>
    <s v="Medium"/>
    <n v="7"/>
    <n v="0"/>
    <x v="0"/>
    <x v="0"/>
    <n v="10.465"/>
    <n v="0.25"/>
    <n v="0"/>
  </r>
  <r>
    <n v="2342"/>
    <s v="US-2014-143231"/>
    <d v="2014-12-31T00:00:00"/>
    <x v="2"/>
    <s v="Q4"/>
    <x v="20"/>
    <d v="2015-01-03T00:00:00"/>
    <s v="First Class"/>
    <x v="39"/>
    <x v="39"/>
    <s v="Home Office"/>
    <s v="United States"/>
    <s v="Franklin"/>
    <x v="31"/>
    <n v="2038"/>
    <x v="3"/>
    <x v="1308"/>
    <x v="0"/>
    <x v="5"/>
    <x v="1293"/>
    <n v="63.2"/>
    <s v="Medium"/>
    <n v="5"/>
    <n v="0"/>
    <x v="0"/>
    <x v="0"/>
    <n v="23.384"/>
    <n v="0.37"/>
    <n v="0"/>
  </r>
  <r>
    <n v="2343"/>
    <s v="US-2014-143231"/>
    <d v="2014-12-31T00:00:00"/>
    <x v="2"/>
    <s v="Q4"/>
    <x v="20"/>
    <d v="2015-01-03T00:00:00"/>
    <s v="First Class"/>
    <x v="39"/>
    <x v="39"/>
    <s v="Home Office"/>
    <s v="United States"/>
    <s v="Franklin"/>
    <x v="31"/>
    <n v="2038"/>
    <x v="3"/>
    <x v="1302"/>
    <x v="2"/>
    <x v="11"/>
    <x v="1287"/>
    <n v="113.97"/>
    <s v="Medium"/>
    <n v="3"/>
    <n v="0"/>
    <x v="0"/>
    <x v="0"/>
    <n v="27.352799999999998"/>
    <n v="0.24"/>
    <n v="0"/>
  </r>
  <r>
    <n v="2344"/>
    <s v="US-2014-155894"/>
    <d v="2014-07-26T00:00:00"/>
    <x v="2"/>
    <s v="Q3"/>
    <x v="39"/>
    <d v="2014-07-30T00:00:00"/>
    <s v="Second Class"/>
    <x v="488"/>
    <x v="488"/>
    <s v="Consumer"/>
    <s v="United States"/>
    <s v="Chicago"/>
    <x v="10"/>
    <n v="60623"/>
    <x v="2"/>
    <x v="232"/>
    <x v="1"/>
    <x v="4"/>
    <x v="233"/>
    <n v="123.55200000000001"/>
    <s v="High"/>
    <n v="3"/>
    <n v="0.2"/>
    <x v="2"/>
    <x v="2"/>
    <n v="-29.343599999999999"/>
    <n v="-0.23749999999999999"/>
    <n v="1"/>
  </r>
  <r>
    <n v="2345"/>
    <s v="CA-2016-119025"/>
    <d v="2016-02-22T00:00:00"/>
    <x v="0"/>
    <s v="Q1"/>
    <x v="47"/>
    <d v="2016-02-28T00:00:00"/>
    <s v="Standard Class"/>
    <x v="391"/>
    <x v="391"/>
    <s v="Home Office"/>
    <s v="United States"/>
    <s v="Milwaukee"/>
    <x v="6"/>
    <n v="53209"/>
    <x v="2"/>
    <x v="1309"/>
    <x v="1"/>
    <x v="9"/>
    <x v="1294"/>
    <n v="490.32"/>
    <s v="High"/>
    <n v="9"/>
    <n v="0"/>
    <x v="0"/>
    <x v="0"/>
    <n v="137.28960000000001"/>
    <n v="0.28000000000000003"/>
    <n v="0"/>
  </r>
  <r>
    <n v="2346"/>
    <s v="CA-2016-159373"/>
    <d v="2016-03-13T00:00:00"/>
    <x v="0"/>
    <s v="Q1"/>
    <x v="17"/>
    <d v="2016-03-18T00:00:00"/>
    <s v="Standard Class"/>
    <x v="299"/>
    <x v="299"/>
    <s v="Consumer"/>
    <s v="United States"/>
    <s v="San Antonio"/>
    <x v="5"/>
    <n v="78207"/>
    <x v="2"/>
    <x v="161"/>
    <x v="1"/>
    <x v="10"/>
    <x v="1295"/>
    <n v="70.08"/>
    <s v="Medium"/>
    <n v="5"/>
    <n v="0.2"/>
    <x v="2"/>
    <x v="2"/>
    <n v="24.527999999999999"/>
    <n v="0.35"/>
    <n v="0"/>
  </r>
  <r>
    <n v="2347"/>
    <s v="CA-2016-159373"/>
    <d v="2016-03-13T00:00:00"/>
    <x v="0"/>
    <s v="Q1"/>
    <x v="17"/>
    <d v="2016-03-18T00:00:00"/>
    <s v="Standard Class"/>
    <x v="299"/>
    <x v="299"/>
    <s v="Consumer"/>
    <s v="United States"/>
    <s v="San Antonio"/>
    <x v="5"/>
    <n v="78207"/>
    <x v="2"/>
    <x v="1310"/>
    <x v="1"/>
    <x v="8"/>
    <x v="1296"/>
    <n v="1.272"/>
    <s v="Low"/>
    <n v="2"/>
    <n v="0.8"/>
    <x v="1"/>
    <x v="3"/>
    <n v="-2.1623999999999999"/>
    <n v="-1.7"/>
    <n v="1"/>
  </r>
  <r>
    <n v="2348"/>
    <s v="CA-2016-159373"/>
    <d v="2016-03-13T00:00:00"/>
    <x v="0"/>
    <s v="Q1"/>
    <x v="17"/>
    <d v="2016-03-18T00:00:00"/>
    <s v="Standard Class"/>
    <x v="299"/>
    <x v="299"/>
    <s v="Consumer"/>
    <s v="United States"/>
    <s v="San Antonio"/>
    <x v="5"/>
    <n v="78207"/>
    <x v="2"/>
    <x v="898"/>
    <x v="0"/>
    <x v="3"/>
    <x v="891"/>
    <n v="557.58500000000004"/>
    <s v="High"/>
    <n v="5"/>
    <n v="0.3"/>
    <x v="1"/>
    <x v="4"/>
    <n v="0"/>
    <n v="0"/>
    <n v="0"/>
  </r>
  <r>
    <n v="2349"/>
    <s v="CA-2017-109701"/>
    <d v="2017-12-02T00:00:00"/>
    <x v="3"/>
    <s v="Q4"/>
    <x v="22"/>
    <d v="2017-12-03T00:00:00"/>
    <s v="Same Day"/>
    <x v="87"/>
    <x v="87"/>
    <s v="Corporate"/>
    <s v="United States"/>
    <s v="Los Angeles"/>
    <x v="1"/>
    <n v="90032"/>
    <x v="1"/>
    <x v="620"/>
    <x v="1"/>
    <x v="8"/>
    <x v="620"/>
    <n v="9.0239999999999991"/>
    <s v="Low"/>
    <n v="6"/>
    <n v="0.2"/>
    <x v="2"/>
    <x v="2"/>
    <n v="3.1583999999999999"/>
    <n v="0.35000000000000003"/>
    <n v="0"/>
  </r>
  <r>
    <n v="2350"/>
    <s v="CA-2017-109701"/>
    <d v="2017-12-02T00:00:00"/>
    <x v="3"/>
    <s v="Q4"/>
    <x v="22"/>
    <d v="2017-12-03T00:00:00"/>
    <s v="Same Day"/>
    <x v="87"/>
    <x v="87"/>
    <s v="Corporate"/>
    <s v="United States"/>
    <s v="Los Angeles"/>
    <x v="1"/>
    <n v="90032"/>
    <x v="1"/>
    <x v="1311"/>
    <x v="1"/>
    <x v="8"/>
    <x v="1297"/>
    <n v="69.456000000000003"/>
    <s v="Medium"/>
    <n v="2"/>
    <n v="0.2"/>
    <x v="2"/>
    <x v="2"/>
    <n v="22.5732"/>
    <n v="0.32500000000000001"/>
    <n v="0"/>
  </r>
  <r>
    <n v="2351"/>
    <s v="CA-2017-109701"/>
    <d v="2017-12-02T00:00:00"/>
    <x v="3"/>
    <s v="Q4"/>
    <x v="22"/>
    <d v="2017-12-03T00:00:00"/>
    <s v="Same Day"/>
    <x v="87"/>
    <x v="87"/>
    <s v="Corporate"/>
    <s v="United States"/>
    <s v="Los Angeles"/>
    <x v="1"/>
    <n v="90032"/>
    <x v="1"/>
    <x v="362"/>
    <x v="1"/>
    <x v="10"/>
    <x v="362"/>
    <n v="10.86"/>
    <s v="Low"/>
    <n v="2"/>
    <n v="0"/>
    <x v="0"/>
    <x v="0"/>
    <n v="5.3213999999999997"/>
    <n v="0.49"/>
    <n v="0"/>
  </r>
  <r>
    <n v="2352"/>
    <s v="CA-2017-109701"/>
    <d v="2017-12-02T00:00:00"/>
    <x v="3"/>
    <s v="Q4"/>
    <x v="22"/>
    <d v="2017-12-03T00:00:00"/>
    <s v="Same Day"/>
    <x v="87"/>
    <x v="87"/>
    <s v="Corporate"/>
    <s v="United States"/>
    <s v="Los Angeles"/>
    <x v="1"/>
    <n v="90032"/>
    <x v="1"/>
    <x v="1276"/>
    <x v="1"/>
    <x v="9"/>
    <x v="1261"/>
    <n v="79.47"/>
    <s v="Medium"/>
    <n v="3"/>
    <n v="0"/>
    <x v="0"/>
    <x v="0"/>
    <n v="22.2516"/>
    <n v="0.28000000000000003"/>
    <n v="0"/>
  </r>
  <r>
    <n v="2353"/>
    <s v="CA-2017-109701"/>
    <d v="2017-12-02T00:00:00"/>
    <x v="3"/>
    <s v="Q4"/>
    <x v="22"/>
    <d v="2017-12-03T00:00:00"/>
    <s v="Same Day"/>
    <x v="87"/>
    <x v="87"/>
    <s v="Corporate"/>
    <s v="United States"/>
    <s v="Los Angeles"/>
    <x v="1"/>
    <n v="90032"/>
    <x v="1"/>
    <x v="59"/>
    <x v="1"/>
    <x v="6"/>
    <x v="59"/>
    <n v="10.08"/>
    <s v="Low"/>
    <n v="6"/>
    <n v="0"/>
    <x v="0"/>
    <x v="0"/>
    <n v="5.04"/>
    <n v="0.5"/>
    <n v="0"/>
  </r>
  <r>
    <n v="2354"/>
    <s v="CA-2015-111514"/>
    <d v="2015-08-31T00:00:00"/>
    <x v="1"/>
    <s v="Q3"/>
    <x v="37"/>
    <d v="2015-09-02T00:00:00"/>
    <s v="First Class"/>
    <x v="609"/>
    <x v="609"/>
    <s v="Corporate"/>
    <s v="United States"/>
    <s v="San Francisco"/>
    <x v="1"/>
    <n v="94122"/>
    <x v="1"/>
    <x v="37"/>
    <x v="0"/>
    <x v="0"/>
    <x v="37"/>
    <n v="1552.8309999999999"/>
    <s v="High"/>
    <n v="7"/>
    <n v="0.15"/>
    <x v="2"/>
    <x v="2"/>
    <n v="200.9546"/>
    <n v="0.12941176470588237"/>
    <n v="0"/>
  </r>
  <r>
    <n v="2355"/>
    <s v="CA-2015-111514"/>
    <d v="2015-08-31T00:00:00"/>
    <x v="1"/>
    <s v="Q3"/>
    <x v="37"/>
    <d v="2015-09-02T00:00:00"/>
    <s v="First Class"/>
    <x v="609"/>
    <x v="609"/>
    <s v="Corporate"/>
    <s v="United States"/>
    <s v="San Francisco"/>
    <x v="1"/>
    <n v="94122"/>
    <x v="1"/>
    <x v="141"/>
    <x v="1"/>
    <x v="8"/>
    <x v="142"/>
    <n v="137.24"/>
    <s v="High"/>
    <n v="5"/>
    <n v="0.2"/>
    <x v="2"/>
    <x v="2"/>
    <n v="46.3185"/>
    <n v="0.33749999999999997"/>
    <n v="0"/>
  </r>
  <r>
    <n v="2356"/>
    <s v="CA-2015-111514"/>
    <d v="2015-08-31T00:00:00"/>
    <x v="1"/>
    <s v="Q3"/>
    <x v="37"/>
    <d v="2015-09-02T00:00:00"/>
    <s v="First Class"/>
    <x v="609"/>
    <x v="609"/>
    <s v="Corporate"/>
    <s v="United States"/>
    <s v="San Francisco"/>
    <x v="1"/>
    <n v="94122"/>
    <x v="1"/>
    <x v="1312"/>
    <x v="2"/>
    <x v="11"/>
    <x v="1298"/>
    <n v="36.51"/>
    <s v="Medium"/>
    <n v="1"/>
    <n v="0"/>
    <x v="0"/>
    <x v="0"/>
    <n v="15.699299999999999"/>
    <n v="0.43"/>
    <n v="0"/>
  </r>
  <r>
    <n v="2357"/>
    <s v="CA-2015-111514"/>
    <d v="2015-08-31T00:00:00"/>
    <x v="1"/>
    <s v="Q3"/>
    <x v="37"/>
    <d v="2015-09-02T00:00:00"/>
    <s v="First Class"/>
    <x v="609"/>
    <x v="609"/>
    <s v="Corporate"/>
    <s v="United States"/>
    <s v="San Francisco"/>
    <x v="1"/>
    <n v="94122"/>
    <x v="1"/>
    <x v="1313"/>
    <x v="2"/>
    <x v="15"/>
    <x v="1299"/>
    <n v="239.976"/>
    <s v="High"/>
    <n v="3"/>
    <n v="0.2"/>
    <x v="2"/>
    <x v="2"/>
    <n v="80.991900000000001"/>
    <n v="0.33750000000000002"/>
    <n v="0"/>
  </r>
  <r>
    <n v="2358"/>
    <s v="US-2014-148838"/>
    <d v="2014-03-17T00:00:00"/>
    <x v="2"/>
    <s v="Q1"/>
    <x v="34"/>
    <d v="2014-03-21T00:00:00"/>
    <s v="Standard Class"/>
    <x v="291"/>
    <x v="291"/>
    <s v="Corporate"/>
    <s v="United States"/>
    <s v="New York City"/>
    <x v="15"/>
    <n v="10024"/>
    <x v="3"/>
    <x v="215"/>
    <x v="0"/>
    <x v="3"/>
    <x v="216"/>
    <n v="1579.7460000000001"/>
    <s v="High"/>
    <n v="7"/>
    <n v="0.4"/>
    <x v="1"/>
    <x v="7"/>
    <n v="-447.59469999999999"/>
    <n v="-0.28333333333333333"/>
    <n v="1"/>
  </r>
  <r>
    <n v="2359"/>
    <s v="US-2014-148838"/>
    <d v="2014-03-17T00:00:00"/>
    <x v="2"/>
    <s v="Q1"/>
    <x v="34"/>
    <d v="2014-03-21T00:00:00"/>
    <s v="Standard Class"/>
    <x v="291"/>
    <x v="291"/>
    <s v="Corporate"/>
    <s v="United States"/>
    <s v="New York City"/>
    <x v="15"/>
    <n v="10024"/>
    <x v="3"/>
    <x v="1299"/>
    <x v="0"/>
    <x v="3"/>
    <x v="1284"/>
    <n v="1071.576"/>
    <s v="High"/>
    <n v="4"/>
    <n v="0.4"/>
    <x v="1"/>
    <x v="7"/>
    <n v="-553.64760000000001"/>
    <n v="-0.51666666666666672"/>
    <n v="1"/>
  </r>
  <r>
    <n v="2360"/>
    <s v="US-2014-148838"/>
    <d v="2014-03-17T00:00:00"/>
    <x v="2"/>
    <s v="Q1"/>
    <x v="34"/>
    <d v="2014-03-21T00:00:00"/>
    <s v="Standard Class"/>
    <x v="291"/>
    <x v="291"/>
    <s v="Corporate"/>
    <s v="United States"/>
    <s v="New York City"/>
    <x v="15"/>
    <n v="10024"/>
    <x v="3"/>
    <x v="1168"/>
    <x v="0"/>
    <x v="3"/>
    <x v="1155"/>
    <n v="613.90800000000002"/>
    <s v="High"/>
    <n v="3"/>
    <n v="0.4"/>
    <x v="1"/>
    <x v="7"/>
    <n v="-122.7816"/>
    <n v="-0.19999999999999998"/>
    <n v="1"/>
  </r>
  <r>
    <n v="2361"/>
    <s v="US-2014-148838"/>
    <d v="2014-03-17T00:00:00"/>
    <x v="2"/>
    <s v="Q1"/>
    <x v="34"/>
    <d v="2014-03-21T00:00:00"/>
    <s v="Standard Class"/>
    <x v="291"/>
    <x v="291"/>
    <s v="Corporate"/>
    <s v="United States"/>
    <s v="New York City"/>
    <x v="15"/>
    <n v="10024"/>
    <x v="3"/>
    <x v="1314"/>
    <x v="1"/>
    <x v="10"/>
    <x v="1300"/>
    <n v="34.86"/>
    <s v="Medium"/>
    <n v="7"/>
    <n v="0"/>
    <x v="0"/>
    <x v="0"/>
    <n v="16.3842"/>
    <n v="0.47000000000000003"/>
    <n v="0"/>
  </r>
  <r>
    <n v="2362"/>
    <s v="US-2014-148838"/>
    <d v="2014-03-17T00:00:00"/>
    <x v="2"/>
    <s v="Q1"/>
    <x v="34"/>
    <d v="2014-03-21T00:00:00"/>
    <s v="Standard Class"/>
    <x v="291"/>
    <x v="291"/>
    <s v="Corporate"/>
    <s v="United States"/>
    <s v="New York City"/>
    <x v="15"/>
    <n v="10024"/>
    <x v="3"/>
    <x v="1315"/>
    <x v="1"/>
    <x v="10"/>
    <x v="1301"/>
    <n v="155.04"/>
    <s v="High"/>
    <n v="4"/>
    <n v="0"/>
    <x v="0"/>
    <x v="0"/>
    <n v="75.9696"/>
    <n v="0.49000000000000005"/>
    <n v="0"/>
  </r>
  <r>
    <n v="2363"/>
    <s v="CA-2017-136497"/>
    <d v="2017-04-16T00:00:00"/>
    <x v="3"/>
    <s v="Q2"/>
    <x v="4"/>
    <d v="2017-04-20T00:00:00"/>
    <s v="Standard Class"/>
    <x v="167"/>
    <x v="167"/>
    <s v="Consumer"/>
    <s v="United States"/>
    <s v="Columbus"/>
    <x v="24"/>
    <n v="43229"/>
    <x v="3"/>
    <x v="1316"/>
    <x v="1"/>
    <x v="8"/>
    <x v="1302"/>
    <n v="13.71"/>
    <s v="Low"/>
    <n v="5"/>
    <n v="0.7"/>
    <x v="1"/>
    <x v="5"/>
    <n v="-10.054"/>
    <n v="-0.73333333333333328"/>
    <n v="1"/>
  </r>
  <r>
    <n v="2364"/>
    <s v="US-2016-108637"/>
    <d v="2016-03-13T00:00:00"/>
    <x v="0"/>
    <s v="Q1"/>
    <x v="17"/>
    <d v="2016-03-18T00:00:00"/>
    <s v="Standard Class"/>
    <x v="144"/>
    <x v="144"/>
    <s v="Home Office"/>
    <s v="United States"/>
    <s v="Waynesboro"/>
    <x v="17"/>
    <n v="22980"/>
    <x v="0"/>
    <x v="441"/>
    <x v="0"/>
    <x v="5"/>
    <x v="441"/>
    <n v="127.88"/>
    <s v="High"/>
    <n v="2"/>
    <n v="0"/>
    <x v="0"/>
    <x v="0"/>
    <n v="40.921599999999998"/>
    <n v="0.32"/>
    <n v="0"/>
  </r>
  <r>
    <n v="2365"/>
    <s v="US-2016-108637"/>
    <d v="2016-03-13T00:00:00"/>
    <x v="0"/>
    <s v="Q1"/>
    <x v="17"/>
    <d v="2016-03-18T00:00:00"/>
    <s v="Standard Class"/>
    <x v="144"/>
    <x v="144"/>
    <s v="Home Office"/>
    <s v="United States"/>
    <s v="Waynesboro"/>
    <x v="17"/>
    <n v="22980"/>
    <x v="0"/>
    <x v="1317"/>
    <x v="1"/>
    <x v="9"/>
    <x v="1303"/>
    <n v="160.32"/>
    <s v="High"/>
    <n v="2"/>
    <n v="0"/>
    <x v="0"/>
    <x v="0"/>
    <n v="44.889600000000002"/>
    <n v="0.28000000000000003"/>
    <n v="0"/>
  </r>
  <r>
    <n v="2366"/>
    <s v="US-2016-108637"/>
    <d v="2016-03-13T00:00:00"/>
    <x v="0"/>
    <s v="Q1"/>
    <x v="17"/>
    <d v="2016-03-18T00:00:00"/>
    <s v="Standard Class"/>
    <x v="144"/>
    <x v="144"/>
    <s v="Home Office"/>
    <s v="United States"/>
    <s v="Waynesboro"/>
    <x v="17"/>
    <n v="22980"/>
    <x v="0"/>
    <x v="1023"/>
    <x v="1"/>
    <x v="8"/>
    <x v="1014"/>
    <n v="46"/>
    <s v="Medium"/>
    <n v="4"/>
    <n v="0"/>
    <x v="0"/>
    <x v="0"/>
    <n v="20.7"/>
    <n v="0.45"/>
    <n v="0"/>
  </r>
  <r>
    <n v="2367"/>
    <s v="CA-2014-102295"/>
    <d v="2014-11-24T00:00:00"/>
    <x v="2"/>
    <s v="Q4"/>
    <x v="7"/>
    <d v="2014-11-26T00:00:00"/>
    <s v="Second Class"/>
    <x v="552"/>
    <x v="552"/>
    <s v="Consumer"/>
    <s v="United States"/>
    <s v="Sacramento"/>
    <x v="1"/>
    <n v="95823"/>
    <x v="1"/>
    <x v="1318"/>
    <x v="0"/>
    <x v="1"/>
    <x v="1304"/>
    <n v="120.712"/>
    <s v="Medium"/>
    <n v="1"/>
    <n v="0.2"/>
    <x v="2"/>
    <x v="2"/>
    <n v="-18.1068"/>
    <n v="-0.15"/>
    <n v="1"/>
  </r>
  <r>
    <n v="2368"/>
    <s v="CA-2017-123659"/>
    <d v="2017-02-10T00:00:00"/>
    <x v="3"/>
    <s v="Q1"/>
    <x v="31"/>
    <d v="2017-02-13T00:00:00"/>
    <s v="First Class"/>
    <x v="438"/>
    <x v="438"/>
    <s v="Consumer"/>
    <s v="United States"/>
    <s v="Clinton"/>
    <x v="39"/>
    <n v="20735"/>
    <x v="3"/>
    <x v="1010"/>
    <x v="1"/>
    <x v="10"/>
    <x v="1002"/>
    <n v="23.12"/>
    <s v="Low"/>
    <n v="4"/>
    <n v="0"/>
    <x v="0"/>
    <x v="0"/>
    <n v="11.328799999999999"/>
    <n v="0.48999999999999994"/>
    <n v="0"/>
  </r>
  <r>
    <n v="2369"/>
    <s v="US-2016-129469"/>
    <d v="2016-09-23T00:00:00"/>
    <x v="0"/>
    <s v="Q3"/>
    <x v="21"/>
    <d v="2016-09-27T00:00:00"/>
    <s v="Standard Class"/>
    <x v="126"/>
    <x v="126"/>
    <s v="Corporate"/>
    <s v="United States"/>
    <s v="Fairfield"/>
    <x v="24"/>
    <n v="45014"/>
    <x v="3"/>
    <x v="1319"/>
    <x v="0"/>
    <x v="5"/>
    <x v="1305"/>
    <n v="532.70399999999995"/>
    <s v="High"/>
    <n v="6"/>
    <n v="0.2"/>
    <x v="2"/>
    <x v="2"/>
    <n v="-26.635200000000001"/>
    <n v="-5.000000000000001E-2"/>
    <n v="1"/>
  </r>
  <r>
    <n v="2370"/>
    <s v="US-2016-129469"/>
    <d v="2016-09-23T00:00:00"/>
    <x v="0"/>
    <s v="Q3"/>
    <x v="21"/>
    <d v="2016-09-27T00:00:00"/>
    <s v="Standard Class"/>
    <x v="126"/>
    <x v="126"/>
    <s v="Corporate"/>
    <s v="United States"/>
    <s v="Fairfield"/>
    <x v="24"/>
    <n v="45014"/>
    <x v="3"/>
    <x v="1320"/>
    <x v="1"/>
    <x v="6"/>
    <x v="1306"/>
    <n v="4.9119999999999999"/>
    <s v="Low"/>
    <n v="2"/>
    <n v="0.2"/>
    <x v="2"/>
    <x v="2"/>
    <n v="0.307"/>
    <n v="6.25E-2"/>
    <n v="0"/>
  </r>
  <r>
    <n v="2371"/>
    <s v="CA-2017-155152"/>
    <d v="2017-07-07T00:00:00"/>
    <x v="3"/>
    <s v="Q3"/>
    <x v="10"/>
    <d v="2017-07-09T00:00:00"/>
    <s v="Second Class"/>
    <x v="172"/>
    <x v="172"/>
    <s v="Corporate"/>
    <s v="United States"/>
    <s v="Warwick"/>
    <x v="34"/>
    <n v="2886"/>
    <x v="3"/>
    <x v="725"/>
    <x v="2"/>
    <x v="11"/>
    <x v="724"/>
    <n v="252"/>
    <s v="High"/>
    <n v="4"/>
    <n v="0"/>
    <x v="0"/>
    <x v="0"/>
    <n v="93.24"/>
    <n v="0.37"/>
    <n v="0"/>
  </r>
  <r>
    <n v="2372"/>
    <s v="CA-2016-159940"/>
    <d v="2016-07-07T00:00:00"/>
    <x v="0"/>
    <s v="Q3"/>
    <x v="16"/>
    <d v="2016-07-11T00:00:00"/>
    <s v="Second Class"/>
    <x v="292"/>
    <x v="292"/>
    <s v="Corporate"/>
    <s v="United States"/>
    <s v="Aurora"/>
    <x v="10"/>
    <n v="60505"/>
    <x v="2"/>
    <x v="1155"/>
    <x v="0"/>
    <x v="5"/>
    <x v="1143"/>
    <n v="60.287999999999997"/>
    <s v="Medium"/>
    <n v="8"/>
    <n v="0.6"/>
    <x v="1"/>
    <x v="6"/>
    <n v="-27.1296"/>
    <n v="-0.45"/>
    <n v="1"/>
  </r>
  <r>
    <n v="2373"/>
    <s v="CA-2016-159940"/>
    <d v="2016-07-07T00:00:00"/>
    <x v="0"/>
    <s v="Q3"/>
    <x v="16"/>
    <d v="2016-07-11T00:00:00"/>
    <s v="Second Class"/>
    <x v="292"/>
    <x v="292"/>
    <s v="Corporate"/>
    <s v="United States"/>
    <s v="Aurora"/>
    <x v="10"/>
    <n v="60505"/>
    <x v="2"/>
    <x v="1321"/>
    <x v="1"/>
    <x v="13"/>
    <x v="1307"/>
    <n v="2.6320000000000001"/>
    <s v="Low"/>
    <n v="1"/>
    <n v="0.2"/>
    <x v="2"/>
    <x v="2"/>
    <n v="0.82250000000000001"/>
    <n v="0.3125"/>
    <n v="0"/>
  </r>
  <r>
    <n v="2374"/>
    <s v="CA-2016-159940"/>
    <d v="2016-07-07T00:00:00"/>
    <x v="0"/>
    <s v="Q3"/>
    <x v="16"/>
    <d v="2016-07-11T00:00:00"/>
    <s v="Second Class"/>
    <x v="292"/>
    <x v="292"/>
    <s v="Corporate"/>
    <s v="United States"/>
    <s v="Aurora"/>
    <x v="10"/>
    <n v="60505"/>
    <x v="2"/>
    <x v="1128"/>
    <x v="1"/>
    <x v="10"/>
    <x v="1116"/>
    <n v="23.687999999999999"/>
    <s v="Low"/>
    <n v="9"/>
    <n v="0.2"/>
    <x v="2"/>
    <x v="2"/>
    <n v="7.6985999999999999"/>
    <n v="0.32500000000000001"/>
    <n v="0"/>
  </r>
  <r>
    <n v="2375"/>
    <s v="CA-2016-159940"/>
    <d v="2016-07-07T00:00:00"/>
    <x v="0"/>
    <s v="Q3"/>
    <x v="16"/>
    <d v="2016-07-11T00:00:00"/>
    <s v="Second Class"/>
    <x v="292"/>
    <x v="292"/>
    <s v="Corporate"/>
    <s v="United States"/>
    <s v="Aurora"/>
    <x v="10"/>
    <n v="60505"/>
    <x v="2"/>
    <x v="323"/>
    <x v="0"/>
    <x v="1"/>
    <x v="323"/>
    <n v="253.37200000000001"/>
    <s v="High"/>
    <n v="2"/>
    <n v="0.3"/>
    <x v="1"/>
    <x v="4"/>
    <n v="-14.478400000000001"/>
    <n v="-5.7142857142857141E-2"/>
    <n v="1"/>
  </r>
  <r>
    <n v="2376"/>
    <s v="CA-2017-119669"/>
    <d v="2017-01-24T00:00:00"/>
    <x v="3"/>
    <s v="Q1"/>
    <x v="44"/>
    <d v="2017-01-30T00:00:00"/>
    <s v="Standard Class"/>
    <x v="236"/>
    <x v="236"/>
    <s v="Consumer"/>
    <s v="United States"/>
    <s v="Smyrna"/>
    <x v="32"/>
    <n v="30080"/>
    <x v="0"/>
    <x v="969"/>
    <x v="1"/>
    <x v="13"/>
    <x v="962"/>
    <n v="5.67"/>
    <s v="Low"/>
    <n v="3"/>
    <n v="0"/>
    <x v="0"/>
    <x v="0"/>
    <n v="0.1134"/>
    <n v="0.02"/>
    <n v="0"/>
  </r>
  <r>
    <n v="2377"/>
    <s v="US-2014-164616"/>
    <d v="2014-08-19T00:00:00"/>
    <x v="2"/>
    <s v="Q3"/>
    <x v="9"/>
    <d v="2014-08-21T00:00:00"/>
    <s v="Second Class"/>
    <x v="474"/>
    <x v="474"/>
    <s v="Consumer"/>
    <s v="United States"/>
    <s v="Columbus"/>
    <x v="24"/>
    <n v="43229"/>
    <x v="3"/>
    <x v="1242"/>
    <x v="1"/>
    <x v="8"/>
    <x v="1225"/>
    <n v="76.775999999999996"/>
    <s v="Medium"/>
    <n v="4"/>
    <n v="0.7"/>
    <x v="1"/>
    <x v="5"/>
    <n v="-58.861600000000003"/>
    <n v="-0.76666666666666672"/>
    <n v="1"/>
  </r>
  <r>
    <n v="2378"/>
    <s v="US-2014-164616"/>
    <d v="2014-08-19T00:00:00"/>
    <x v="2"/>
    <s v="Q3"/>
    <x v="9"/>
    <d v="2014-08-21T00:00:00"/>
    <s v="Second Class"/>
    <x v="474"/>
    <x v="474"/>
    <s v="Consumer"/>
    <s v="United States"/>
    <s v="Columbus"/>
    <x v="24"/>
    <n v="43229"/>
    <x v="3"/>
    <x v="1322"/>
    <x v="1"/>
    <x v="14"/>
    <x v="1308"/>
    <n v="9.1839999999999993"/>
    <s v="Low"/>
    <n v="2"/>
    <n v="0.2"/>
    <x v="2"/>
    <x v="2"/>
    <n v="1.1479999999999999"/>
    <n v="0.125"/>
    <n v="0"/>
  </r>
  <r>
    <n v="2379"/>
    <s v="CA-2015-148628"/>
    <d v="2015-12-06T00:00:00"/>
    <x v="1"/>
    <s v="Q4"/>
    <x v="14"/>
    <d v="2015-12-11T00:00:00"/>
    <s v="Standard Class"/>
    <x v="454"/>
    <x v="454"/>
    <s v="Home Office"/>
    <s v="United States"/>
    <s v="Thousand Oaks"/>
    <x v="1"/>
    <n v="91360"/>
    <x v="1"/>
    <x v="1254"/>
    <x v="1"/>
    <x v="10"/>
    <x v="1238"/>
    <n v="32.75"/>
    <s v="Medium"/>
    <n v="5"/>
    <n v="0"/>
    <x v="0"/>
    <x v="0"/>
    <n v="15.065"/>
    <n v="0.45999999999999996"/>
    <n v="0"/>
  </r>
  <r>
    <n v="2380"/>
    <s v="CA-2016-118052"/>
    <d v="2016-05-06T00:00:00"/>
    <x v="0"/>
    <s v="Q2"/>
    <x v="35"/>
    <d v="2016-05-10T00:00:00"/>
    <s v="Standard Class"/>
    <x v="534"/>
    <x v="534"/>
    <s v="Home Office"/>
    <s v="United States"/>
    <s v="Lorain"/>
    <x v="24"/>
    <n v="44052"/>
    <x v="3"/>
    <x v="485"/>
    <x v="1"/>
    <x v="13"/>
    <x v="485"/>
    <n v="7.2160000000000002"/>
    <s v="Low"/>
    <n v="2"/>
    <n v="0.2"/>
    <x v="2"/>
    <x v="2"/>
    <n v="1.7138"/>
    <n v="0.23749999999999999"/>
    <n v="0"/>
  </r>
  <r>
    <n v="2381"/>
    <s v="CA-2016-118052"/>
    <d v="2016-05-06T00:00:00"/>
    <x v="0"/>
    <s v="Q2"/>
    <x v="35"/>
    <d v="2016-05-10T00:00:00"/>
    <s v="Standard Class"/>
    <x v="534"/>
    <x v="534"/>
    <s v="Home Office"/>
    <s v="United States"/>
    <s v="Lorain"/>
    <x v="24"/>
    <n v="44052"/>
    <x v="3"/>
    <x v="1323"/>
    <x v="1"/>
    <x v="10"/>
    <x v="1309"/>
    <n v="49.567999999999998"/>
    <s v="Medium"/>
    <n v="2"/>
    <n v="0.2"/>
    <x v="2"/>
    <x v="2"/>
    <n v="15.49"/>
    <n v="0.3125"/>
    <n v="0"/>
  </r>
  <r>
    <n v="2382"/>
    <s v="CA-2016-118052"/>
    <d v="2016-05-06T00:00:00"/>
    <x v="0"/>
    <s v="Q2"/>
    <x v="35"/>
    <d v="2016-05-10T00:00:00"/>
    <s v="Standard Class"/>
    <x v="534"/>
    <x v="534"/>
    <s v="Home Office"/>
    <s v="United States"/>
    <s v="Lorain"/>
    <x v="24"/>
    <n v="44052"/>
    <x v="3"/>
    <x v="28"/>
    <x v="0"/>
    <x v="5"/>
    <x v="1310"/>
    <n v="54.712000000000003"/>
    <s v="Medium"/>
    <n v="7"/>
    <n v="0.2"/>
    <x v="2"/>
    <x v="2"/>
    <n v="11.626300000000001"/>
    <n v="0.21249999999999999"/>
    <n v="0"/>
  </r>
  <r>
    <n v="2383"/>
    <s v="US-2017-117534"/>
    <d v="2017-03-25T00:00:00"/>
    <x v="3"/>
    <s v="Q1"/>
    <x v="42"/>
    <d v="2017-03-26T00:00:00"/>
    <s v="First Class"/>
    <x v="610"/>
    <x v="610"/>
    <s v="Consumer"/>
    <s v="United States"/>
    <s v="Fresno"/>
    <x v="1"/>
    <n v="93727"/>
    <x v="1"/>
    <x v="1324"/>
    <x v="1"/>
    <x v="9"/>
    <x v="1311"/>
    <n v="176.04"/>
    <s v="High"/>
    <n v="4"/>
    <n v="0"/>
    <x v="0"/>
    <x v="0"/>
    <n v="45.770400000000002"/>
    <n v="0.26"/>
    <n v="0"/>
  </r>
  <r>
    <n v="2384"/>
    <s v="US-2017-117534"/>
    <d v="2017-03-25T00:00:00"/>
    <x v="3"/>
    <s v="Q1"/>
    <x v="42"/>
    <d v="2017-03-26T00:00:00"/>
    <s v="First Class"/>
    <x v="610"/>
    <x v="610"/>
    <s v="Consumer"/>
    <s v="United States"/>
    <s v="Fresno"/>
    <x v="1"/>
    <n v="93727"/>
    <x v="1"/>
    <x v="1325"/>
    <x v="1"/>
    <x v="6"/>
    <x v="772"/>
    <n v="16.02"/>
    <s v="Low"/>
    <n v="9"/>
    <n v="0"/>
    <x v="0"/>
    <x v="0"/>
    <n v="4.4855999999999998"/>
    <n v="0.27999999999999997"/>
    <n v="0"/>
  </r>
  <r>
    <n v="2385"/>
    <s v="US-2017-117534"/>
    <d v="2017-03-25T00:00:00"/>
    <x v="3"/>
    <s v="Q1"/>
    <x v="42"/>
    <d v="2017-03-26T00:00:00"/>
    <s v="First Class"/>
    <x v="610"/>
    <x v="610"/>
    <s v="Consumer"/>
    <s v="United States"/>
    <s v="Fresno"/>
    <x v="1"/>
    <n v="93727"/>
    <x v="1"/>
    <x v="920"/>
    <x v="1"/>
    <x v="8"/>
    <x v="912"/>
    <n v="185.92"/>
    <s v="High"/>
    <n v="4"/>
    <n v="0.2"/>
    <x v="2"/>
    <x v="2"/>
    <n v="62.747999999999998"/>
    <n v="0.33750000000000002"/>
    <n v="0"/>
  </r>
  <r>
    <n v="2386"/>
    <s v="US-2017-117534"/>
    <d v="2017-03-25T00:00:00"/>
    <x v="3"/>
    <s v="Q1"/>
    <x v="42"/>
    <d v="2017-03-26T00:00:00"/>
    <s v="First Class"/>
    <x v="610"/>
    <x v="610"/>
    <s v="Consumer"/>
    <s v="United States"/>
    <s v="Fresno"/>
    <x v="1"/>
    <n v="93727"/>
    <x v="1"/>
    <x v="1326"/>
    <x v="2"/>
    <x v="7"/>
    <x v="1312"/>
    <n v="211.16800000000001"/>
    <s v="High"/>
    <n v="4"/>
    <n v="0.2"/>
    <x v="2"/>
    <x v="2"/>
    <n v="15.8376"/>
    <n v="7.4999999999999997E-2"/>
    <n v="0"/>
  </r>
  <r>
    <n v="2387"/>
    <s v="US-2017-117534"/>
    <d v="2017-03-25T00:00:00"/>
    <x v="3"/>
    <s v="Q1"/>
    <x v="42"/>
    <d v="2017-03-26T00:00:00"/>
    <s v="First Class"/>
    <x v="610"/>
    <x v="610"/>
    <s v="Consumer"/>
    <s v="United States"/>
    <s v="Fresno"/>
    <x v="1"/>
    <n v="93727"/>
    <x v="1"/>
    <x v="1327"/>
    <x v="2"/>
    <x v="16"/>
    <x v="1313"/>
    <n v="479.98399999999998"/>
    <s v="High"/>
    <n v="2"/>
    <n v="0.2"/>
    <x v="2"/>
    <x v="2"/>
    <n v="59.997999999999998"/>
    <n v="0.125"/>
    <n v="0"/>
  </r>
  <r>
    <n v="2388"/>
    <s v="CA-2015-145065"/>
    <d v="2015-12-12T00:00:00"/>
    <x v="1"/>
    <s v="Q4"/>
    <x v="14"/>
    <d v="2015-12-15T00:00:00"/>
    <s v="First Class"/>
    <x v="589"/>
    <x v="589"/>
    <s v="Consumer"/>
    <s v="United States"/>
    <s v="San Diego"/>
    <x v="1"/>
    <n v="92105"/>
    <x v="1"/>
    <x v="1328"/>
    <x v="1"/>
    <x v="13"/>
    <x v="128"/>
    <n v="7.86"/>
    <s v="Low"/>
    <n v="2"/>
    <n v="0"/>
    <x v="0"/>
    <x v="0"/>
    <n v="3.6156000000000001"/>
    <n v="0.46"/>
    <n v="0"/>
  </r>
  <r>
    <n v="2389"/>
    <s v="CA-2015-145065"/>
    <d v="2015-12-12T00:00:00"/>
    <x v="1"/>
    <s v="Q4"/>
    <x v="14"/>
    <d v="2015-12-15T00:00:00"/>
    <s v="First Class"/>
    <x v="589"/>
    <x v="589"/>
    <s v="Consumer"/>
    <s v="United States"/>
    <s v="San Diego"/>
    <x v="1"/>
    <n v="92105"/>
    <x v="1"/>
    <x v="1329"/>
    <x v="1"/>
    <x v="8"/>
    <x v="1314"/>
    <n v="24.448"/>
    <s v="Low"/>
    <n v="2"/>
    <n v="0.2"/>
    <x v="2"/>
    <x v="2"/>
    <n v="8.8623999999999992"/>
    <n v="0.36249999999999993"/>
    <n v="0"/>
  </r>
  <r>
    <n v="2390"/>
    <s v="US-2015-127040"/>
    <d v="2015-12-06T00:00:00"/>
    <x v="1"/>
    <s v="Q4"/>
    <x v="14"/>
    <d v="2015-12-10T00:00:00"/>
    <s v="Standard Class"/>
    <x v="611"/>
    <x v="611"/>
    <s v="Consumer"/>
    <s v="United States"/>
    <s v="New York City"/>
    <x v="15"/>
    <n v="10009"/>
    <x v="3"/>
    <x v="1330"/>
    <x v="1"/>
    <x v="10"/>
    <x v="1315"/>
    <n v="6.48"/>
    <s v="Low"/>
    <n v="1"/>
    <n v="0"/>
    <x v="0"/>
    <x v="0"/>
    <n v="3.1103999999999998"/>
    <n v="0.47999999999999993"/>
    <n v="0"/>
  </r>
  <r>
    <n v="2391"/>
    <s v="US-2015-127040"/>
    <d v="2015-12-06T00:00:00"/>
    <x v="1"/>
    <s v="Q4"/>
    <x v="14"/>
    <d v="2015-12-10T00:00:00"/>
    <s v="Standard Class"/>
    <x v="611"/>
    <x v="611"/>
    <s v="Consumer"/>
    <s v="United States"/>
    <s v="New York City"/>
    <x v="15"/>
    <n v="10009"/>
    <x v="3"/>
    <x v="1331"/>
    <x v="1"/>
    <x v="10"/>
    <x v="1316"/>
    <n v="41.86"/>
    <s v="Medium"/>
    <n v="7"/>
    <n v="0"/>
    <x v="0"/>
    <x v="0"/>
    <n v="20.511399999999998"/>
    <n v="0.49"/>
    <n v="0"/>
  </r>
  <r>
    <n v="2392"/>
    <s v="US-2015-127040"/>
    <d v="2015-12-06T00:00:00"/>
    <x v="1"/>
    <s v="Q4"/>
    <x v="14"/>
    <d v="2015-12-10T00:00:00"/>
    <s v="Standard Class"/>
    <x v="611"/>
    <x v="611"/>
    <s v="Consumer"/>
    <s v="United States"/>
    <s v="New York City"/>
    <x v="15"/>
    <n v="10009"/>
    <x v="3"/>
    <x v="1332"/>
    <x v="2"/>
    <x v="11"/>
    <x v="1317"/>
    <n v="1619.91"/>
    <s v="High"/>
    <n v="9"/>
    <n v="0"/>
    <x v="0"/>
    <x v="0"/>
    <n v="97.194599999999994"/>
    <n v="5.9999999999999991E-2"/>
    <n v="0"/>
  </r>
  <r>
    <n v="2393"/>
    <s v="US-2015-127040"/>
    <d v="2015-12-06T00:00:00"/>
    <x v="1"/>
    <s v="Q4"/>
    <x v="14"/>
    <d v="2015-12-10T00:00:00"/>
    <s v="Standard Class"/>
    <x v="611"/>
    <x v="611"/>
    <s v="Consumer"/>
    <s v="United States"/>
    <s v="New York City"/>
    <x v="15"/>
    <n v="10009"/>
    <x v="3"/>
    <x v="1146"/>
    <x v="0"/>
    <x v="5"/>
    <x v="1134"/>
    <n v="113.92"/>
    <s v="Medium"/>
    <n v="4"/>
    <n v="0"/>
    <x v="0"/>
    <x v="0"/>
    <n v="42.150399999999998"/>
    <n v="0.37"/>
    <n v="0"/>
  </r>
  <r>
    <n v="2394"/>
    <s v="CA-2016-128111"/>
    <d v="2016-03-17T00:00:00"/>
    <x v="0"/>
    <s v="Q1"/>
    <x v="17"/>
    <d v="2016-03-23T00:00:00"/>
    <s v="Standard Class"/>
    <x v="394"/>
    <x v="394"/>
    <s v="Consumer"/>
    <s v="United States"/>
    <s v="Malden"/>
    <x v="31"/>
    <n v="2148"/>
    <x v="3"/>
    <x v="397"/>
    <x v="1"/>
    <x v="6"/>
    <x v="398"/>
    <n v="39.68"/>
    <s v="Medium"/>
    <n v="2"/>
    <n v="0"/>
    <x v="0"/>
    <x v="0"/>
    <n v="10.316800000000001"/>
    <n v="0.26"/>
    <n v="0"/>
  </r>
  <r>
    <n v="2395"/>
    <s v="CA-2015-137897"/>
    <d v="2015-11-14T00:00:00"/>
    <x v="1"/>
    <s v="Q4"/>
    <x v="6"/>
    <d v="2015-11-19T00:00:00"/>
    <s v="Standard Class"/>
    <x v="601"/>
    <x v="601"/>
    <s v="Corporate"/>
    <s v="United States"/>
    <s v="New York City"/>
    <x v="15"/>
    <n v="10035"/>
    <x v="3"/>
    <x v="1202"/>
    <x v="2"/>
    <x v="11"/>
    <x v="1187"/>
    <n v="37.6"/>
    <s v="Medium"/>
    <n v="2"/>
    <n v="0"/>
    <x v="0"/>
    <x v="0"/>
    <n v="2.2559999999999998"/>
    <n v="5.9999999999999991E-2"/>
    <n v="0"/>
  </r>
  <r>
    <n v="2396"/>
    <s v="CA-2015-137897"/>
    <d v="2015-11-14T00:00:00"/>
    <x v="1"/>
    <s v="Q4"/>
    <x v="6"/>
    <d v="2015-11-19T00:00:00"/>
    <s v="Standard Class"/>
    <x v="601"/>
    <x v="601"/>
    <s v="Corporate"/>
    <s v="United States"/>
    <s v="New York City"/>
    <x v="15"/>
    <n v="10035"/>
    <x v="3"/>
    <x v="538"/>
    <x v="2"/>
    <x v="11"/>
    <x v="538"/>
    <n v="59.9"/>
    <s v="Medium"/>
    <n v="2"/>
    <n v="0"/>
    <x v="0"/>
    <x v="0"/>
    <n v="23.96"/>
    <n v="0.4"/>
    <n v="0"/>
  </r>
  <r>
    <n v="2397"/>
    <s v="CA-2015-137897"/>
    <d v="2015-11-14T00:00:00"/>
    <x v="1"/>
    <s v="Q4"/>
    <x v="6"/>
    <d v="2015-11-19T00:00:00"/>
    <s v="Standard Class"/>
    <x v="601"/>
    <x v="601"/>
    <s v="Corporate"/>
    <s v="United States"/>
    <s v="New York City"/>
    <x v="15"/>
    <n v="10035"/>
    <x v="3"/>
    <x v="956"/>
    <x v="1"/>
    <x v="10"/>
    <x v="949"/>
    <n v="37"/>
    <s v="Medium"/>
    <n v="5"/>
    <n v="0"/>
    <x v="0"/>
    <x v="0"/>
    <n v="16.649999999999999"/>
    <n v="0.44999999999999996"/>
    <n v="0"/>
  </r>
  <r>
    <n v="2398"/>
    <s v="CA-2017-169264"/>
    <d v="2017-08-14T00:00:00"/>
    <x v="3"/>
    <s v="Q3"/>
    <x v="43"/>
    <d v="2017-08-16T00:00:00"/>
    <s v="Second Class"/>
    <x v="413"/>
    <x v="413"/>
    <s v="Consumer"/>
    <s v="United States"/>
    <s v="San Francisco"/>
    <x v="1"/>
    <n v="94109"/>
    <x v="1"/>
    <x v="745"/>
    <x v="1"/>
    <x v="2"/>
    <x v="743"/>
    <n v="5.76"/>
    <s v="Low"/>
    <n v="2"/>
    <n v="0"/>
    <x v="0"/>
    <x v="0"/>
    <n v="2.8224"/>
    <n v="0.49000000000000005"/>
    <n v="0"/>
  </r>
  <r>
    <n v="2399"/>
    <s v="CA-2017-169264"/>
    <d v="2017-08-14T00:00:00"/>
    <x v="3"/>
    <s v="Q3"/>
    <x v="43"/>
    <d v="2017-08-16T00:00:00"/>
    <s v="Second Class"/>
    <x v="413"/>
    <x v="413"/>
    <s v="Consumer"/>
    <s v="United States"/>
    <s v="San Francisco"/>
    <x v="1"/>
    <n v="94109"/>
    <x v="1"/>
    <x v="21"/>
    <x v="1"/>
    <x v="6"/>
    <x v="21"/>
    <n v="16.68"/>
    <s v="Low"/>
    <n v="6"/>
    <n v="0"/>
    <x v="0"/>
    <x v="0"/>
    <n v="4.3368000000000002"/>
    <n v="0.26"/>
    <n v="0"/>
  </r>
  <r>
    <n v="2400"/>
    <s v="CA-2017-147361"/>
    <d v="2017-09-09T00:00:00"/>
    <x v="3"/>
    <s v="Q3"/>
    <x v="15"/>
    <d v="2017-09-15T00:00:00"/>
    <s v="Standard Class"/>
    <x v="115"/>
    <x v="115"/>
    <s v="Corporate"/>
    <s v="United States"/>
    <s v="Florence"/>
    <x v="20"/>
    <n v="29501"/>
    <x v="0"/>
    <x v="435"/>
    <x v="1"/>
    <x v="4"/>
    <x v="435"/>
    <n v="628.80999999999995"/>
    <s v="High"/>
    <n v="7"/>
    <n v="0"/>
    <x v="0"/>
    <x v="0"/>
    <n v="12.5762"/>
    <n v="0.02"/>
    <n v="0"/>
  </r>
  <r>
    <n v="2401"/>
    <s v="CA-2017-147361"/>
    <d v="2017-09-09T00:00:00"/>
    <x v="3"/>
    <s v="Q3"/>
    <x v="15"/>
    <d v="2017-09-15T00:00:00"/>
    <s v="Standard Class"/>
    <x v="115"/>
    <x v="115"/>
    <s v="Corporate"/>
    <s v="United States"/>
    <s v="Florence"/>
    <x v="20"/>
    <n v="29501"/>
    <x v="0"/>
    <x v="1011"/>
    <x v="1"/>
    <x v="4"/>
    <x v="1003"/>
    <n v="56.45"/>
    <s v="Medium"/>
    <n v="5"/>
    <n v="0"/>
    <x v="0"/>
    <x v="0"/>
    <n v="14.677"/>
    <n v="0.25999999999999995"/>
    <n v="0"/>
  </r>
  <r>
    <n v="2402"/>
    <s v="CA-2017-145877"/>
    <d v="2017-04-01T00:00:00"/>
    <x v="3"/>
    <s v="Q2"/>
    <x v="4"/>
    <d v="2017-04-04T00:00:00"/>
    <s v="Second Class"/>
    <x v="548"/>
    <x v="548"/>
    <s v="Consumer"/>
    <s v="United States"/>
    <s v="Springfield"/>
    <x v="25"/>
    <n v="65807"/>
    <x v="2"/>
    <x v="953"/>
    <x v="1"/>
    <x v="4"/>
    <x v="946"/>
    <n v="94.2"/>
    <s v="Medium"/>
    <n v="6"/>
    <n v="0"/>
    <x v="0"/>
    <x v="0"/>
    <n v="23.55"/>
    <n v="0.25"/>
    <n v="0"/>
  </r>
  <r>
    <n v="2403"/>
    <s v="CA-2017-145877"/>
    <d v="2017-04-01T00:00:00"/>
    <x v="3"/>
    <s v="Q2"/>
    <x v="4"/>
    <d v="2017-04-04T00:00:00"/>
    <s v="Second Class"/>
    <x v="548"/>
    <x v="548"/>
    <s v="Consumer"/>
    <s v="United States"/>
    <s v="Springfield"/>
    <x v="25"/>
    <n v="65807"/>
    <x v="2"/>
    <x v="152"/>
    <x v="1"/>
    <x v="12"/>
    <x v="153"/>
    <n v="28.4"/>
    <s v="Medium"/>
    <n v="5"/>
    <n v="0"/>
    <x v="0"/>
    <x v="0"/>
    <n v="13.348000000000001"/>
    <n v="0.47000000000000003"/>
    <n v="0"/>
  </r>
  <r>
    <n v="2404"/>
    <s v="US-2016-110170"/>
    <d v="2016-09-27T00:00:00"/>
    <x v="0"/>
    <s v="Q3"/>
    <x v="21"/>
    <d v="2016-10-03T00:00:00"/>
    <s v="Standard Class"/>
    <x v="447"/>
    <x v="447"/>
    <s v="Corporate"/>
    <s v="United States"/>
    <s v="Huntsville"/>
    <x v="5"/>
    <n v="77340"/>
    <x v="2"/>
    <x v="1333"/>
    <x v="0"/>
    <x v="0"/>
    <x v="1318"/>
    <n v="956.66480000000001"/>
    <s v="High"/>
    <n v="7"/>
    <n v="0.32"/>
    <x v="1"/>
    <x v="7"/>
    <n v="-225.0976"/>
    <n v="-0.23529411764705882"/>
    <n v="1"/>
  </r>
  <r>
    <n v="2405"/>
    <s v="CA-2017-108574"/>
    <d v="2017-10-07T00:00:00"/>
    <x v="3"/>
    <s v="Q4"/>
    <x v="13"/>
    <d v="2017-10-11T00:00:00"/>
    <s v="Standard Class"/>
    <x v="207"/>
    <x v="207"/>
    <s v="Consumer"/>
    <s v="United States"/>
    <s v="Los Angeles"/>
    <x v="1"/>
    <n v="90045"/>
    <x v="1"/>
    <x v="695"/>
    <x v="2"/>
    <x v="11"/>
    <x v="695"/>
    <n v="1115.9100000000001"/>
    <s v="High"/>
    <n v="9"/>
    <n v="0"/>
    <x v="0"/>
    <x v="0"/>
    <n v="200.8638"/>
    <n v="0.18"/>
    <n v="0"/>
  </r>
  <r>
    <n v="2406"/>
    <s v="CA-2017-108574"/>
    <d v="2017-10-07T00:00:00"/>
    <x v="3"/>
    <s v="Q4"/>
    <x v="13"/>
    <d v="2017-10-11T00:00:00"/>
    <s v="Standard Class"/>
    <x v="207"/>
    <x v="207"/>
    <s v="Consumer"/>
    <s v="United States"/>
    <s v="Los Angeles"/>
    <x v="1"/>
    <n v="90045"/>
    <x v="1"/>
    <x v="461"/>
    <x v="2"/>
    <x v="7"/>
    <x v="462"/>
    <n v="128.744"/>
    <s v="High"/>
    <n v="7"/>
    <n v="0.2"/>
    <x v="2"/>
    <x v="2"/>
    <n v="-28.967400000000001"/>
    <n v="-0.22500000000000001"/>
    <n v="1"/>
  </r>
  <r>
    <n v="2407"/>
    <s v="CA-2017-108574"/>
    <d v="2017-10-07T00:00:00"/>
    <x v="3"/>
    <s v="Q4"/>
    <x v="13"/>
    <d v="2017-10-11T00:00:00"/>
    <s v="Standard Class"/>
    <x v="207"/>
    <x v="207"/>
    <s v="Consumer"/>
    <s v="United States"/>
    <s v="Los Angeles"/>
    <x v="1"/>
    <n v="90045"/>
    <x v="1"/>
    <x v="312"/>
    <x v="2"/>
    <x v="7"/>
    <x v="312"/>
    <n v="79.92"/>
    <s v="Medium"/>
    <n v="10"/>
    <n v="0.2"/>
    <x v="2"/>
    <x v="2"/>
    <n v="26.972999999999999"/>
    <n v="0.33749999999999997"/>
    <n v="0"/>
  </r>
  <r>
    <n v="2408"/>
    <s v="CA-2017-144589"/>
    <d v="2017-01-20T00:00:00"/>
    <x v="3"/>
    <s v="Q1"/>
    <x v="44"/>
    <d v="2017-01-25T00:00:00"/>
    <s v="Standard Class"/>
    <x v="612"/>
    <x v="612"/>
    <s v="Consumer"/>
    <s v="United States"/>
    <s v="San Francisco"/>
    <x v="1"/>
    <n v="94122"/>
    <x v="1"/>
    <x v="1159"/>
    <x v="1"/>
    <x v="6"/>
    <x v="772"/>
    <n v="24.2"/>
    <s v="Low"/>
    <n v="5"/>
    <n v="0"/>
    <x v="0"/>
    <x v="0"/>
    <n v="7.9859999999999998"/>
    <n v="0.33"/>
    <n v="0"/>
  </r>
  <r>
    <n v="2409"/>
    <s v="CA-2017-144589"/>
    <d v="2017-01-20T00:00:00"/>
    <x v="3"/>
    <s v="Q1"/>
    <x v="44"/>
    <d v="2017-01-25T00:00:00"/>
    <s v="Standard Class"/>
    <x v="612"/>
    <x v="612"/>
    <s v="Consumer"/>
    <s v="United States"/>
    <s v="San Francisco"/>
    <x v="1"/>
    <n v="94122"/>
    <x v="1"/>
    <x v="1334"/>
    <x v="2"/>
    <x v="7"/>
    <x v="1319"/>
    <n v="359.976"/>
    <s v="High"/>
    <n v="3"/>
    <n v="0.2"/>
    <x v="2"/>
    <x v="2"/>
    <n v="130.4913"/>
    <n v="0.36249999999999999"/>
    <n v="0"/>
  </r>
  <r>
    <n v="2410"/>
    <s v="CA-2017-155985"/>
    <d v="2017-03-23T00:00:00"/>
    <x v="3"/>
    <s v="Q1"/>
    <x v="42"/>
    <d v="2017-03-25T00:00:00"/>
    <s v="First Class"/>
    <x v="336"/>
    <x v="336"/>
    <s v="Home Office"/>
    <s v="United States"/>
    <s v="San Francisco"/>
    <x v="1"/>
    <n v="94122"/>
    <x v="1"/>
    <x v="1092"/>
    <x v="0"/>
    <x v="5"/>
    <x v="1082"/>
    <n v="211.84"/>
    <s v="High"/>
    <n v="8"/>
    <n v="0"/>
    <x v="0"/>
    <x v="0"/>
    <n v="76.2624"/>
    <n v="0.36"/>
    <n v="0"/>
  </r>
  <r>
    <n v="2411"/>
    <s v="CA-2014-162684"/>
    <d v="2014-08-01T00:00:00"/>
    <x v="2"/>
    <s v="Q3"/>
    <x v="9"/>
    <d v="2014-08-06T00:00:00"/>
    <s v="Standard Class"/>
    <x v="357"/>
    <x v="357"/>
    <s v="Home Office"/>
    <s v="United States"/>
    <s v="Philadelphia"/>
    <x v="9"/>
    <n v="19120"/>
    <x v="3"/>
    <x v="1053"/>
    <x v="1"/>
    <x v="13"/>
    <x v="1042"/>
    <n v="5.68"/>
    <s v="Low"/>
    <n v="2"/>
    <n v="0.2"/>
    <x v="2"/>
    <x v="2"/>
    <n v="1.917"/>
    <n v="0.33750000000000002"/>
    <n v="0"/>
  </r>
  <r>
    <n v="2412"/>
    <s v="CA-2015-142041"/>
    <d v="2015-06-07T00:00:00"/>
    <x v="1"/>
    <s v="Q2"/>
    <x v="40"/>
    <d v="2015-06-09T00:00:00"/>
    <s v="Second Class"/>
    <x v="613"/>
    <x v="613"/>
    <s v="Corporate"/>
    <s v="United States"/>
    <s v="Los Angeles"/>
    <x v="1"/>
    <n v="90036"/>
    <x v="1"/>
    <x v="620"/>
    <x v="1"/>
    <x v="8"/>
    <x v="620"/>
    <n v="7.52"/>
    <s v="Low"/>
    <n v="5"/>
    <n v="0.2"/>
    <x v="2"/>
    <x v="2"/>
    <n v="2.6320000000000001"/>
    <n v="0.35000000000000003"/>
    <n v="0"/>
  </r>
  <r>
    <n v="2413"/>
    <s v="CA-2014-151295"/>
    <d v="2014-11-12T00:00:00"/>
    <x v="2"/>
    <s v="Q4"/>
    <x v="7"/>
    <d v="2014-11-16T00:00:00"/>
    <s v="Standard Class"/>
    <x v="350"/>
    <x v="350"/>
    <s v="Consumer"/>
    <s v="United States"/>
    <s v="Los Angeles"/>
    <x v="1"/>
    <n v="90045"/>
    <x v="1"/>
    <x v="358"/>
    <x v="1"/>
    <x v="10"/>
    <x v="358"/>
    <n v="11.96"/>
    <s v="Low"/>
    <n v="2"/>
    <n v="0"/>
    <x v="0"/>
    <x v="0"/>
    <n v="5.8604000000000003"/>
    <n v="0.49"/>
    <n v="0"/>
  </r>
  <r>
    <n v="2414"/>
    <s v="CA-2014-151295"/>
    <d v="2014-11-12T00:00:00"/>
    <x v="2"/>
    <s v="Q4"/>
    <x v="7"/>
    <d v="2014-11-16T00:00:00"/>
    <s v="Standard Class"/>
    <x v="350"/>
    <x v="350"/>
    <s v="Consumer"/>
    <s v="United States"/>
    <s v="Los Angeles"/>
    <x v="1"/>
    <n v="90045"/>
    <x v="1"/>
    <x v="736"/>
    <x v="0"/>
    <x v="3"/>
    <x v="735"/>
    <n v="629.06399999999996"/>
    <s v="High"/>
    <n v="3"/>
    <n v="0.2"/>
    <x v="2"/>
    <x v="2"/>
    <n v="31.453199999999999"/>
    <n v="0.05"/>
    <n v="0"/>
  </r>
  <r>
    <n v="2415"/>
    <s v="CA-2016-156300"/>
    <d v="2016-12-29T00:00:00"/>
    <x v="0"/>
    <s v="Q4"/>
    <x v="5"/>
    <d v="2017-01-02T00:00:00"/>
    <s v="Standard Class"/>
    <x v="180"/>
    <x v="180"/>
    <s v="Consumer"/>
    <s v="United States"/>
    <s v="Milwaukee"/>
    <x v="6"/>
    <n v="53209"/>
    <x v="2"/>
    <x v="1318"/>
    <x v="0"/>
    <x v="1"/>
    <x v="1304"/>
    <n v="754.45"/>
    <s v="High"/>
    <n v="5"/>
    <n v="0"/>
    <x v="0"/>
    <x v="0"/>
    <n v="60.356000000000002"/>
    <n v="0.08"/>
    <n v="0"/>
  </r>
  <r>
    <n v="2416"/>
    <s v="CA-2015-146087"/>
    <d v="2015-07-06T00:00:00"/>
    <x v="1"/>
    <s v="Q3"/>
    <x v="38"/>
    <d v="2015-07-11T00:00:00"/>
    <s v="Standard Class"/>
    <x v="452"/>
    <x v="452"/>
    <s v="Home Office"/>
    <s v="United States"/>
    <s v="Holyoke"/>
    <x v="31"/>
    <n v="1040"/>
    <x v="3"/>
    <x v="415"/>
    <x v="0"/>
    <x v="0"/>
    <x v="415"/>
    <n v="301.95999999999998"/>
    <s v="High"/>
    <n v="2"/>
    <n v="0"/>
    <x v="0"/>
    <x v="0"/>
    <n v="60.392000000000003"/>
    <n v="0.2"/>
    <n v="0"/>
  </r>
  <r>
    <n v="2417"/>
    <s v="CA-2017-168655"/>
    <d v="2017-10-12T00:00:00"/>
    <x v="3"/>
    <s v="Q4"/>
    <x v="13"/>
    <d v="2017-10-18T00:00:00"/>
    <s v="Standard Class"/>
    <x v="614"/>
    <x v="614"/>
    <s v="Corporate"/>
    <s v="United States"/>
    <s v="Albuquerque"/>
    <x v="27"/>
    <n v="87105"/>
    <x v="1"/>
    <x v="1200"/>
    <x v="2"/>
    <x v="11"/>
    <x v="1185"/>
    <n v="595"/>
    <s v="High"/>
    <n v="5"/>
    <n v="0"/>
    <x v="0"/>
    <x v="0"/>
    <n v="95.2"/>
    <n v="0.16"/>
    <n v="0"/>
  </r>
  <r>
    <n v="2418"/>
    <s v="CA-2017-168655"/>
    <d v="2017-10-12T00:00:00"/>
    <x v="3"/>
    <s v="Q4"/>
    <x v="13"/>
    <d v="2017-10-18T00:00:00"/>
    <s v="Standard Class"/>
    <x v="614"/>
    <x v="614"/>
    <s v="Corporate"/>
    <s v="United States"/>
    <s v="Albuquerque"/>
    <x v="27"/>
    <n v="87105"/>
    <x v="1"/>
    <x v="1197"/>
    <x v="1"/>
    <x v="8"/>
    <x v="1182"/>
    <n v="79.872"/>
    <s v="Medium"/>
    <n v="3"/>
    <n v="0.2"/>
    <x v="2"/>
    <x v="2"/>
    <n v="29.952000000000002"/>
    <n v="0.375"/>
    <n v="0"/>
  </r>
  <r>
    <n v="2419"/>
    <s v="CA-2016-107202"/>
    <d v="2016-05-21T00:00:00"/>
    <x v="0"/>
    <s v="Q2"/>
    <x v="35"/>
    <d v="2016-05-28T00:00:00"/>
    <s v="Standard Class"/>
    <x v="18"/>
    <x v="18"/>
    <s v="Corporate"/>
    <s v="United States"/>
    <s v="Sparks"/>
    <x v="33"/>
    <n v="89431"/>
    <x v="1"/>
    <x v="1335"/>
    <x v="2"/>
    <x v="15"/>
    <x v="1320"/>
    <n v="2396.4"/>
    <s v="High"/>
    <n v="10"/>
    <n v="0.2"/>
    <x v="2"/>
    <x v="2"/>
    <n v="179.73"/>
    <n v="7.4999999999999997E-2"/>
    <n v="0"/>
  </r>
  <r>
    <n v="2420"/>
    <s v="CA-2017-159597"/>
    <d v="2017-11-09T00:00:00"/>
    <x v="3"/>
    <s v="Q4"/>
    <x v="23"/>
    <d v="2017-11-14T00:00:00"/>
    <s v="Standard Class"/>
    <x v="565"/>
    <x v="565"/>
    <s v="Corporate"/>
    <s v="United States"/>
    <s v="Coachella"/>
    <x v="1"/>
    <n v="92236"/>
    <x v="1"/>
    <x v="967"/>
    <x v="1"/>
    <x v="4"/>
    <x v="960"/>
    <n v="63.56"/>
    <s v="Medium"/>
    <n v="2"/>
    <n v="0"/>
    <x v="0"/>
    <x v="0"/>
    <n v="3.1779999999999999"/>
    <n v="4.9999999999999996E-2"/>
    <n v="0"/>
  </r>
  <r>
    <n v="2421"/>
    <s v="CA-2017-159597"/>
    <d v="2017-11-09T00:00:00"/>
    <x v="3"/>
    <s v="Q4"/>
    <x v="23"/>
    <d v="2017-11-14T00:00:00"/>
    <s v="Standard Class"/>
    <x v="565"/>
    <x v="565"/>
    <s v="Corporate"/>
    <s v="United States"/>
    <s v="Coachella"/>
    <x v="1"/>
    <n v="92236"/>
    <x v="1"/>
    <x v="1336"/>
    <x v="2"/>
    <x v="11"/>
    <x v="1321"/>
    <n v="99.99"/>
    <s v="Medium"/>
    <n v="1"/>
    <n v="0"/>
    <x v="0"/>
    <x v="0"/>
    <n v="43.995600000000003"/>
    <n v="0.44000000000000006"/>
    <n v="0"/>
  </r>
  <r>
    <n v="2422"/>
    <s v="CA-2016-155551"/>
    <d v="2016-04-18T00:00:00"/>
    <x v="0"/>
    <s v="Q2"/>
    <x v="25"/>
    <d v="2016-04-23T00:00:00"/>
    <s v="Standard Class"/>
    <x v="615"/>
    <x v="615"/>
    <s v="Home Office"/>
    <s v="United States"/>
    <s v="Elmhurst"/>
    <x v="10"/>
    <n v="60126"/>
    <x v="2"/>
    <x v="82"/>
    <x v="1"/>
    <x v="4"/>
    <x v="82"/>
    <n v="230.376"/>
    <s v="High"/>
    <n v="3"/>
    <n v="0.2"/>
    <x v="2"/>
    <x v="2"/>
    <n v="-48.954900000000002"/>
    <n v="-0.21249999999999999"/>
    <n v="1"/>
  </r>
  <r>
    <n v="2423"/>
    <s v="CA-2016-155551"/>
    <d v="2016-04-18T00:00:00"/>
    <x v="0"/>
    <s v="Q2"/>
    <x v="25"/>
    <d v="2016-04-23T00:00:00"/>
    <s v="Standard Class"/>
    <x v="615"/>
    <x v="615"/>
    <s v="Home Office"/>
    <s v="United States"/>
    <s v="Elmhurst"/>
    <x v="10"/>
    <n v="60126"/>
    <x v="2"/>
    <x v="670"/>
    <x v="1"/>
    <x v="10"/>
    <x v="670"/>
    <n v="9.6639999999999997"/>
    <s v="Low"/>
    <n v="2"/>
    <n v="0.2"/>
    <x v="2"/>
    <x v="2"/>
    <n v="3.2616000000000001"/>
    <n v="0.33750000000000002"/>
    <n v="0"/>
  </r>
  <r>
    <n v="2424"/>
    <s v="US-2017-147669"/>
    <d v="2017-12-25T00:00:00"/>
    <x v="3"/>
    <s v="Q4"/>
    <x v="22"/>
    <d v="2017-12-30T00:00:00"/>
    <s v="Standard Class"/>
    <x v="603"/>
    <x v="603"/>
    <s v="Consumer"/>
    <s v="United States"/>
    <s v="Fairfield"/>
    <x v="24"/>
    <n v="45014"/>
    <x v="3"/>
    <x v="721"/>
    <x v="2"/>
    <x v="11"/>
    <x v="720"/>
    <n v="158.928"/>
    <s v="High"/>
    <n v="7"/>
    <n v="0.2"/>
    <x v="2"/>
    <x v="2"/>
    <n v="41.718600000000002"/>
    <n v="0.26250000000000001"/>
    <n v="0"/>
  </r>
  <r>
    <n v="2425"/>
    <s v="US-2017-147669"/>
    <d v="2017-12-25T00:00:00"/>
    <x v="3"/>
    <s v="Q4"/>
    <x v="22"/>
    <d v="2017-12-30T00:00:00"/>
    <s v="Standard Class"/>
    <x v="603"/>
    <x v="603"/>
    <s v="Consumer"/>
    <s v="United States"/>
    <s v="Fairfield"/>
    <x v="24"/>
    <n v="45014"/>
    <x v="3"/>
    <x v="1311"/>
    <x v="1"/>
    <x v="8"/>
    <x v="1297"/>
    <n v="13.023"/>
    <s v="Low"/>
    <n v="1"/>
    <n v="0.7"/>
    <x v="1"/>
    <x v="5"/>
    <n v="-10.4184"/>
    <n v="-0.8"/>
    <n v="1"/>
  </r>
  <r>
    <n v="2426"/>
    <s v="US-2017-147669"/>
    <d v="2017-12-25T00:00:00"/>
    <x v="3"/>
    <s v="Q4"/>
    <x v="22"/>
    <d v="2017-12-30T00:00:00"/>
    <s v="Standard Class"/>
    <x v="603"/>
    <x v="603"/>
    <s v="Consumer"/>
    <s v="United States"/>
    <s v="Fairfield"/>
    <x v="24"/>
    <n v="45014"/>
    <x v="3"/>
    <x v="1337"/>
    <x v="0"/>
    <x v="3"/>
    <x v="1322"/>
    <n v="273.06"/>
    <s v="High"/>
    <n v="2"/>
    <n v="0.4"/>
    <x v="1"/>
    <x v="7"/>
    <n v="-104.673"/>
    <n v="-0.38333333333333336"/>
    <n v="1"/>
  </r>
  <r>
    <n v="2427"/>
    <s v="US-2017-147669"/>
    <d v="2017-12-25T00:00:00"/>
    <x v="3"/>
    <s v="Q4"/>
    <x v="22"/>
    <d v="2017-12-30T00:00:00"/>
    <s v="Standard Class"/>
    <x v="603"/>
    <x v="603"/>
    <s v="Consumer"/>
    <s v="United States"/>
    <s v="Fairfield"/>
    <x v="24"/>
    <n v="45014"/>
    <x v="3"/>
    <x v="1228"/>
    <x v="1"/>
    <x v="13"/>
    <x v="128"/>
    <n v="39.311999999999998"/>
    <s v="Medium"/>
    <n v="13"/>
    <n v="0.2"/>
    <x v="2"/>
    <x v="2"/>
    <n v="12.776400000000001"/>
    <n v="0.32500000000000001"/>
    <n v="0"/>
  </r>
  <r>
    <n v="2428"/>
    <s v="CA-2016-169922"/>
    <d v="2016-06-11T00:00:00"/>
    <x v="0"/>
    <s v="Q2"/>
    <x v="1"/>
    <d v="2016-06-17T00:00:00"/>
    <s v="Standard Class"/>
    <x v="89"/>
    <x v="89"/>
    <s v="Corporate"/>
    <s v="United States"/>
    <s v="Arlington"/>
    <x v="5"/>
    <n v="76017"/>
    <x v="2"/>
    <x v="1338"/>
    <x v="1"/>
    <x v="8"/>
    <x v="1323"/>
    <n v="1.3440000000000001"/>
    <s v="Low"/>
    <n v="4"/>
    <n v="0.8"/>
    <x v="1"/>
    <x v="3"/>
    <n v="-2.1503999999999999"/>
    <n v="-1.5999999999999999"/>
    <n v="1"/>
  </r>
  <r>
    <n v="2429"/>
    <s v="CA-2016-169922"/>
    <d v="2016-06-11T00:00:00"/>
    <x v="0"/>
    <s v="Q2"/>
    <x v="1"/>
    <d v="2016-06-17T00:00:00"/>
    <s v="Standard Class"/>
    <x v="89"/>
    <x v="89"/>
    <s v="Corporate"/>
    <s v="United States"/>
    <s v="Arlington"/>
    <x v="5"/>
    <n v="76017"/>
    <x v="2"/>
    <x v="1339"/>
    <x v="1"/>
    <x v="8"/>
    <x v="1324"/>
    <n v="8.2720000000000002"/>
    <s v="Low"/>
    <n v="4"/>
    <n v="0.8"/>
    <x v="1"/>
    <x v="3"/>
    <n v="-13.6488"/>
    <n v="-1.65"/>
    <n v="1"/>
  </r>
  <r>
    <n v="2430"/>
    <s v="CA-2016-169922"/>
    <d v="2016-06-11T00:00:00"/>
    <x v="0"/>
    <s v="Q2"/>
    <x v="1"/>
    <d v="2016-06-17T00:00:00"/>
    <s v="Standard Class"/>
    <x v="89"/>
    <x v="89"/>
    <s v="Corporate"/>
    <s v="United States"/>
    <s v="Arlington"/>
    <x v="5"/>
    <n v="76017"/>
    <x v="2"/>
    <x v="1073"/>
    <x v="0"/>
    <x v="5"/>
    <x v="1063"/>
    <n v="12.544"/>
    <s v="Low"/>
    <n v="7"/>
    <n v="0.6"/>
    <x v="1"/>
    <x v="6"/>
    <n v="-9.0944000000000003"/>
    <n v="-0.72499999999999998"/>
    <n v="1"/>
  </r>
  <r>
    <n v="2431"/>
    <s v="CA-2017-100748"/>
    <d v="2017-05-13T00:00:00"/>
    <x v="3"/>
    <s v="Q2"/>
    <x v="24"/>
    <d v="2017-05-20T00:00:00"/>
    <s v="Standard Class"/>
    <x v="176"/>
    <x v="176"/>
    <s v="Home Office"/>
    <s v="United States"/>
    <s v="San Francisco"/>
    <x v="1"/>
    <n v="94110"/>
    <x v="1"/>
    <x v="2"/>
    <x v="1"/>
    <x v="2"/>
    <x v="2"/>
    <n v="58.48"/>
    <s v="Medium"/>
    <n v="8"/>
    <n v="0"/>
    <x v="0"/>
    <x v="0"/>
    <n v="27.485600000000002"/>
    <n v="0.47000000000000003"/>
    <n v="0"/>
  </r>
  <r>
    <n v="2432"/>
    <s v="CA-2017-129805"/>
    <d v="2017-12-28T00:00:00"/>
    <x v="3"/>
    <s v="Q4"/>
    <x v="22"/>
    <d v="2018-01-02T00:00:00"/>
    <s v="Standard Class"/>
    <x v="447"/>
    <x v="447"/>
    <s v="Corporate"/>
    <s v="United States"/>
    <s v="Seattle"/>
    <x v="4"/>
    <n v="98103"/>
    <x v="1"/>
    <x v="345"/>
    <x v="0"/>
    <x v="5"/>
    <x v="345"/>
    <n v="7.4"/>
    <s v="Low"/>
    <n v="2"/>
    <n v="0"/>
    <x v="0"/>
    <x v="0"/>
    <n v="3.0339999999999998"/>
    <n v="0.41"/>
    <n v="0"/>
  </r>
  <r>
    <n v="2433"/>
    <s v="CA-2014-148586"/>
    <d v="2014-03-25T00:00:00"/>
    <x v="2"/>
    <s v="Q1"/>
    <x v="34"/>
    <d v="2014-04-01T00:00:00"/>
    <s v="Standard Class"/>
    <x v="616"/>
    <x v="616"/>
    <s v="Consumer"/>
    <s v="United States"/>
    <s v="New York City"/>
    <x v="15"/>
    <n v="10009"/>
    <x v="3"/>
    <x v="1340"/>
    <x v="0"/>
    <x v="1"/>
    <x v="1325"/>
    <n v="366.786"/>
    <s v="High"/>
    <n v="7"/>
    <n v="0.1"/>
    <x v="3"/>
    <x v="8"/>
    <n v="65.206400000000002"/>
    <n v="0.17777777777777778"/>
    <n v="0"/>
  </r>
  <r>
    <n v="2434"/>
    <s v="US-2017-112613"/>
    <d v="2017-05-28T00:00:00"/>
    <x v="3"/>
    <s v="Q2"/>
    <x v="24"/>
    <d v="2017-06-01T00:00:00"/>
    <s v="Standard Class"/>
    <x v="101"/>
    <x v="101"/>
    <s v="Consumer"/>
    <s v="United States"/>
    <s v="Houston"/>
    <x v="5"/>
    <n v="77070"/>
    <x v="2"/>
    <x v="1259"/>
    <x v="2"/>
    <x v="7"/>
    <x v="1243"/>
    <n v="54.368000000000002"/>
    <s v="Medium"/>
    <n v="4"/>
    <n v="0.2"/>
    <x v="2"/>
    <x v="2"/>
    <n v="4.0776000000000003"/>
    <n v="7.4999999999999997E-2"/>
    <n v="0"/>
  </r>
  <r>
    <n v="2435"/>
    <s v="CA-2015-154746"/>
    <d v="2015-11-14T00:00:00"/>
    <x v="1"/>
    <s v="Q4"/>
    <x v="6"/>
    <d v="2015-11-17T00:00:00"/>
    <s v="First Class"/>
    <x v="601"/>
    <x v="601"/>
    <s v="Corporate"/>
    <s v="United States"/>
    <s v="Springfield"/>
    <x v="17"/>
    <n v="22153"/>
    <x v="0"/>
    <x v="618"/>
    <x v="1"/>
    <x v="12"/>
    <x v="618"/>
    <n v="33.96"/>
    <s v="Medium"/>
    <n v="2"/>
    <n v="0"/>
    <x v="0"/>
    <x v="0"/>
    <n v="16.98"/>
    <n v="0.5"/>
    <n v="0"/>
  </r>
  <r>
    <n v="2436"/>
    <s v="CA-2015-154746"/>
    <d v="2015-11-14T00:00:00"/>
    <x v="1"/>
    <s v="Q4"/>
    <x v="6"/>
    <d v="2015-11-17T00:00:00"/>
    <s v="First Class"/>
    <x v="601"/>
    <x v="601"/>
    <s v="Corporate"/>
    <s v="United States"/>
    <s v="Springfield"/>
    <x v="17"/>
    <n v="22153"/>
    <x v="0"/>
    <x v="1341"/>
    <x v="1"/>
    <x v="9"/>
    <x v="1326"/>
    <n v="826.11"/>
    <s v="High"/>
    <n v="3"/>
    <n v="0"/>
    <x v="0"/>
    <x v="0"/>
    <n v="322.18290000000002"/>
    <n v="0.39"/>
    <n v="0"/>
  </r>
  <r>
    <n v="2437"/>
    <s v="CA-2017-140053"/>
    <d v="2017-07-03T00:00:00"/>
    <x v="3"/>
    <s v="Q3"/>
    <x v="10"/>
    <d v="2017-07-10T00:00:00"/>
    <s v="Standard Class"/>
    <x v="244"/>
    <x v="244"/>
    <s v="Consumer"/>
    <s v="United States"/>
    <s v="Farmington"/>
    <x v="27"/>
    <n v="87401"/>
    <x v="1"/>
    <x v="71"/>
    <x v="0"/>
    <x v="5"/>
    <x v="71"/>
    <n v="545.85"/>
    <s v="High"/>
    <n v="9"/>
    <n v="0"/>
    <x v="0"/>
    <x v="0"/>
    <n v="114.6285"/>
    <n v="0.21"/>
    <n v="0"/>
  </r>
  <r>
    <n v="2438"/>
    <s v="CA-2014-164210"/>
    <d v="2014-11-18T00:00:00"/>
    <x v="2"/>
    <s v="Q4"/>
    <x v="7"/>
    <d v="2014-11-20T00:00:00"/>
    <s v="Second Class"/>
    <x v="617"/>
    <x v="617"/>
    <s v="Consumer"/>
    <s v="United States"/>
    <s v="Louisville"/>
    <x v="22"/>
    <n v="80027"/>
    <x v="1"/>
    <x v="1342"/>
    <x v="0"/>
    <x v="3"/>
    <x v="1327"/>
    <n v="145.97999999999999"/>
    <s v="High"/>
    <n v="2"/>
    <n v="0.5"/>
    <x v="1"/>
    <x v="1"/>
    <n v="-99.266400000000004"/>
    <n v="-0.68"/>
    <n v="1"/>
  </r>
  <r>
    <n v="2439"/>
    <s v="CA-2014-164210"/>
    <d v="2014-11-18T00:00:00"/>
    <x v="2"/>
    <s v="Q4"/>
    <x v="7"/>
    <d v="2014-11-20T00:00:00"/>
    <s v="Second Class"/>
    <x v="617"/>
    <x v="617"/>
    <s v="Consumer"/>
    <s v="United States"/>
    <s v="Louisville"/>
    <x v="22"/>
    <n v="80027"/>
    <x v="1"/>
    <x v="862"/>
    <x v="1"/>
    <x v="10"/>
    <x v="856"/>
    <n v="35.808"/>
    <s v="Medium"/>
    <n v="4"/>
    <n v="0.2"/>
    <x v="2"/>
    <x v="2"/>
    <n v="12.5328"/>
    <n v="0.35"/>
    <n v="0"/>
  </r>
  <r>
    <n v="2440"/>
    <s v="CA-2017-139948"/>
    <d v="2017-07-17T00:00:00"/>
    <x v="3"/>
    <s v="Q3"/>
    <x v="10"/>
    <d v="2017-07-22T00:00:00"/>
    <s v="Standard Class"/>
    <x v="517"/>
    <x v="517"/>
    <s v="Consumer"/>
    <s v="United States"/>
    <s v="Tampa"/>
    <x v="2"/>
    <n v="33614"/>
    <x v="0"/>
    <x v="627"/>
    <x v="0"/>
    <x v="5"/>
    <x v="627"/>
    <n v="7.9039999999999999"/>
    <s v="Low"/>
    <n v="2"/>
    <n v="0.2"/>
    <x v="2"/>
    <x v="2"/>
    <n v="2.1736"/>
    <n v="0.27500000000000002"/>
    <n v="0"/>
  </r>
  <r>
    <n v="2441"/>
    <s v="CA-2016-146934"/>
    <d v="2016-05-22T00:00:00"/>
    <x v="0"/>
    <s v="Q2"/>
    <x v="35"/>
    <d v="2016-05-27T00:00:00"/>
    <s v="Standard Class"/>
    <x v="578"/>
    <x v="578"/>
    <s v="Consumer"/>
    <s v="United States"/>
    <s v="Passaic"/>
    <x v="30"/>
    <n v="7055"/>
    <x v="3"/>
    <x v="302"/>
    <x v="2"/>
    <x v="7"/>
    <x v="302"/>
    <n v="345"/>
    <s v="High"/>
    <n v="5"/>
    <n v="0"/>
    <x v="0"/>
    <x v="0"/>
    <n v="86.25"/>
    <n v="0.25"/>
    <n v="0"/>
  </r>
  <r>
    <n v="2442"/>
    <s v="CA-2016-146934"/>
    <d v="2016-05-22T00:00:00"/>
    <x v="0"/>
    <s v="Q2"/>
    <x v="35"/>
    <d v="2016-05-27T00:00:00"/>
    <s v="Standard Class"/>
    <x v="578"/>
    <x v="578"/>
    <s v="Consumer"/>
    <s v="United States"/>
    <s v="Passaic"/>
    <x v="30"/>
    <n v="7055"/>
    <x v="3"/>
    <x v="209"/>
    <x v="0"/>
    <x v="3"/>
    <x v="210"/>
    <n v="174.286"/>
    <s v="High"/>
    <n v="2"/>
    <n v="0.3"/>
    <x v="1"/>
    <x v="4"/>
    <n v="-19.918399999999998"/>
    <n v="-0.11428571428571428"/>
    <n v="1"/>
  </r>
  <r>
    <n v="2443"/>
    <s v="CA-2016-146934"/>
    <d v="2016-05-22T00:00:00"/>
    <x v="0"/>
    <s v="Q2"/>
    <x v="35"/>
    <d v="2016-05-27T00:00:00"/>
    <s v="Standard Class"/>
    <x v="578"/>
    <x v="578"/>
    <s v="Consumer"/>
    <s v="United States"/>
    <s v="Passaic"/>
    <x v="30"/>
    <n v="7055"/>
    <x v="3"/>
    <x v="190"/>
    <x v="1"/>
    <x v="9"/>
    <x v="191"/>
    <n v="662.84"/>
    <s v="High"/>
    <n v="4"/>
    <n v="0"/>
    <x v="0"/>
    <x v="0"/>
    <n v="172.33840000000001"/>
    <n v="0.26"/>
    <n v="0"/>
  </r>
  <r>
    <n v="2444"/>
    <s v="CA-2016-146934"/>
    <d v="2016-05-22T00:00:00"/>
    <x v="0"/>
    <s v="Q2"/>
    <x v="35"/>
    <d v="2016-05-27T00:00:00"/>
    <s v="Standard Class"/>
    <x v="578"/>
    <x v="578"/>
    <s v="Consumer"/>
    <s v="United States"/>
    <s v="Passaic"/>
    <x v="30"/>
    <n v="7055"/>
    <x v="3"/>
    <x v="452"/>
    <x v="2"/>
    <x v="11"/>
    <x v="453"/>
    <n v="95.1"/>
    <s v="Medium"/>
    <n v="5"/>
    <n v="0"/>
    <x v="0"/>
    <x v="0"/>
    <n v="30.431999999999999"/>
    <n v="0.32"/>
    <n v="0"/>
  </r>
  <r>
    <n v="2445"/>
    <s v="CA-2016-146934"/>
    <d v="2016-05-22T00:00:00"/>
    <x v="0"/>
    <s v="Q2"/>
    <x v="35"/>
    <d v="2016-05-27T00:00:00"/>
    <s v="Standard Class"/>
    <x v="578"/>
    <x v="578"/>
    <s v="Consumer"/>
    <s v="United States"/>
    <s v="Passaic"/>
    <x v="30"/>
    <n v="7055"/>
    <x v="3"/>
    <x v="1343"/>
    <x v="1"/>
    <x v="12"/>
    <x v="1328"/>
    <n v="26.88"/>
    <s v="Medium"/>
    <n v="6"/>
    <n v="0"/>
    <x v="0"/>
    <x v="0"/>
    <n v="12.9024"/>
    <n v="0.48000000000000004"/>
    <n v="0"/>
  </r>
  <r>
    <n v="2446"/>
    <s v="CA-2016-146934"/>
    <d v="2016-05-22T00:00:00"/>
    <x v="0"/>
    <s v="Q2"/>
    <x v="35"/>
    <d v="2016-05-27T00:00:00"/>
    <s v="Standard Class"/>
    <x v="578"/>
    <x v="578"/>
    <s v="Consumer"/>
    <s v="United States"/>
    <s v="Passaic"/>
    <x v="30"/>
    <n v="7055"/>
    <x v="3"/>
    <x v="957"/>
    <x v="2"/>
    <x v="7"/>
    <x v="950"/>
    <n v="257.98"/>
    <s v="High"/>
    <n v="2"/>
    <n v="0"/>
    <x v="0"/>
    <x v="0"/>
    <n v="74.8142"/>
    <n v="0.28999999999999998"/>
    <n v="0"/>
  </r>
  <r>
    <n v="2447"/>
    <s v="CA-2015-100573"/>
    <d v="2015-09-25T00:00:00"/>
    <x v="1"/>
    <s v="Q3"/>
    <x v="11"/>
    <d v="2015-10-01T00:00:00"/>
    <s v="Standard Class"/>
    <x v="562"/>
    <x v="562"/>
    <s v="Consumer"/>
    <s v="United States"/>
    <s v="Los Angeles"/>
    <x v="1"/>
    <n v="90004"/>
    <x v="1"/>
    <x v="755"/>
    <x v="1"/>
    <x v="12"/>
    <x v="753"/>
    <n v="17.48"/>
    <s v="Low"/>
    <n v="2"/>
    <n v="0"/>
    <x v="0"/>
    <x v="0"/>
    <n v="8.2156000000000002"/>
    <n v="0.47000000000000003"/>
    <n v="0"/>
  </r>
  <r>
    <n v="2448"/>
    <s v="CA-2016-119165"/>
    <d v="2016-10-31T00:00:00"/>
    <x v="0"/>
    <s v="Q4"/>
    <x v="32"/>
    <d v="2016-11-06T00:00:00"/>
    <s v="Standard Class"/>
    <x v="217"/>
    <x v="217"/>
    <s v="Consumer"/>
    <s v="United States"/>
    <s v="Philadelphia"/>
    <x v="9"/>
    <n v="19143"/>
    <x v="3"/>
    <x v="1153"/>
    <x v="0"/>
    <x v="1"/>
    <x v="1141"/>
    <n v="492.83499999999998"/>
    <s v="High"/>
    <n v="5"/>
    <n v="0.3"/>
    <x v="1"/>
    <x v="4"/>
    <n v="-14.081"/>
    <n v="-2.8571428571428571E-2"/>
    <n v="1"/>
  </r>
  <r>
    <n v="2449"/>
    <s v="CA-2015-128027"/>
    <d v="2015-09-14T00:00:00"/>
    <x v="1"/>
    <s v="Q3"/>
    <x v="11"/>
    <d v="2015-09-17T00:00:00"/>
    <s v="Second Class"/>
    <x v="200"/>
    <x v="200"/>
    <s v="Consumer"/>
    <s v="United States"/>
    <s v="North Charleston"/>
    <x v="20"/>
    <n v="29406"/>
    <x v="0"/>
    <x v="435"/>
    <x v="1"/>
    <x v="4"/>
    <x v="435"/>
    <n v="269.49"/>
    <s v="High"/>
    <n v="3"/>
    <n v="0"/>
    <x v="0"/>
    <x v="0"/>
    <n v="5.3898000000000001"/>
    <n v="0.02"/>
    <n v="0"/>
  </r>
  <r>
    <n v="2450"/>
    <s v="CA-2016-140207"/>
    <d v="2016-11-05T00:00:00"/>
    <x v="0"/>
    <s v="Q4"/>
    <x v="0"/>
    <d v="2016-11-10T00:00:00"/>
    <s v="Standard Class"/>
    <x v="37"/>
    <x v="37"/>
    <s v="Home Office"/>
    <s v="United States"/>
    <s v="San Jose"/>
    <x v="1"/>
    <n v="95123"/>
    <x v="1"/>
    <x v="1344"/>
    <x v="1"/>
    <x v="8"/>
    <x v="1329"/>
    <n v="29.12"/>
    <s v="Medium"/>
    <n v="5"/>
    <n v="0.2"/>
    <x v="2"/>
    <x v="2"/>
    <n v="9.8279999999999994"/>
    <n v="0.33749999999999997"/>
    <n v="0"/>
  </r>
  <r>
    <n v="2451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1345"/>
    <x v="1"/>
    <x v="2"/>
    <x v="1330"/>
    <n v="18.75"/>
    <s v="Low"/>
    <n v="5"/>
    <n v="0"/>
    <x v="0"/>
    <x v="0"/>
    <n v="9"/>
    <n v="0.48"/>
    <n v="0"/>
  </r>
  <r>
    <n v="2452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424"/>
    <x v="2"/>
    <x v="7"/>
    <x v="424"/>
    <n v="119.7"/>
    <s v="Medium"/>
    <n v="6"/>
    <n v="0"/>
    <x v="0"/>
    <x v="0"/>
    <n v="31.122"/>
    <n v="0.26"/>
    <n v="0"/>
  </r>
  <r>
    <n v="2453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536"/>
    <x v="1"/>
    <x v="8"/>
    <x v="536"/>
    <n v="9.1440000000000001"/>
    <s v="Low"/>
    <n v="3"/>
    <n v="0.2"/>
    <x v="2"/>
    <x v="2"/>
    <n v="3.0861000000000001"/>
    <n v="0.33750000000000002"/>
    <n v="0"/>
  </r>
  <r>
    <n v="2454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452"/>
    <x v="2"/>
    <x v="11"/>
    <x v="453"/>
    <n v="57.06"/>
    <s v="Medium"/>
    <n v="3"/>
    <n v="0"/>
    <x v="0"/>
    <x v="0"/>
    <n v="18.2592"/>
    <n v="0.32"/>
    <n v="0"/>
  </r>
  <r>
    <n v="2455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1044"/>
    <x v="2"/>
    <x v="11"/>
    <x v="1033"/>
    <n v="71.599999999999994"/>
    <s v="Medium"/>
    <n v="8"/>
    <n v="0"/>
    <x v="0"/>
    <x v="0"/>
    <n v="13.603999999999999"/>
    <n v="0.19"/>
    <n v="0"/>
  </r>
  <r>
    <n v="2456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1031"/>
    <x v="1"/>
    <x v="4"/>
    <x v="1022"/>
    <n v="107.44"/>
    <s v="Medium"/>
    <n v="8"/>
    <n v="0"/>
    <x v="0"/>
    <x v="0"/>
    <n v="27.9344"/>
    <n v="0.26"/>
    <n v="0"/>
  </r>
  <r>
    <n v="2457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676"/>
    <x v="1"/>
    <x v="2"/>
    <x v="676"/>
    <n v="7.31"/>
    <s v="Low"/>
    <n v="1"/>
    <n v="0"/>
    <x v="0"/>
    <x v="0"/>
    <n v="3.4357000000000002"/>
    <n v="0.47000000000000003"/>
    <n v="0"/>
  </r>
  <r>
    <n v="2458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32"/>
    <x v="1"/>
    <x v="6"/>
    <x v="32"/>
    <n v="59.1"/>
    <s v="Medium"/>
    <n v="6"/>
    <n v="0"/>
    <x v="0"/>
    <x v="0"/>
    <n v="22.457999999999998"/>
    <n v="0.37999999999999995"/>
    <n v="0"/>
  </r>
  <r>
    <n v="2459"/>
    <s v="CA-2017-140949"/>
    <d v="2017-03-17T00:00:00"/>
    <x v="3"/>
    <s v="Q1"/>
    <x v="42"/>
    <d v="2017-03-22T00:00:00"/>
    <s v="Second Class"/>
    <x v="591"/>
    <x v="591"/>
    <s v="Consumer"/>
    <s v="United States"/>
    <s v="New York City"/>
    <x v="15"/>
    <n v="10011"/>
    <x v="3"/>
    <x v="170"/>
    <x v="1"/>
    <x v="4"/>
    <x v="171"/>
    <n v="46.53"/>
    <s v="Medium"/>
    <n v="3"/>
    <n v="0"/>
    <x v="0"/>
    <x v="0"/>
    <n v="12.097799999999999"/>
    <n v="0.26"/>
    <n v="0"/>
  </r>
  <r>
    <n v="2460"/>
    <s v="CA-2017-138548"/>
    <d v="2017-08-15T00:00:00"/>
    <x v="3"/>
    <s v="Q3"/>
    <x v="43"/>
    <d v="2017-08-21T00:00:00"/>
    <s v="Standard Class"/>
    <x v="506"/>
    <x v="506"/>
    <s v="Consumer"/>
    <s v="United States"/>
    <s v="Plainfield"/>
    <x v="30"/>
    <n v="7060"/>
    <x v="3"/>
    <x v="414"/>
    <x v="1"/>
    <x v="9"/>
    <x v="414"/>
    <n v="97.84"/>
    <s v="Medium"/>
    <n v="2"/>
    <n v="0"/>
    <x v="0"/>
    <x v="0"/>
    <n v="25.438400000000001"/>
    <n v="0.26"/>
    <n v="0"/>
  </r>
  <r>
    <n v="2461"/>
    <s v="CA-2015-142419"/>
    <d v="2015-07-11T00:00:00"/>
    <x v="1"/>
    <s v="Q3"/>
    <x v="38"/>
    <d v="2015-07-13T00:00:00"/>
    <s v="Second Class"/>
    <x v="618"/>
    <x v="618"/>
    <s v="Consumer"/>
    <s v="United States"/>
    <s v="Seattle"/>
    <x v="4"/>
    <n v="98115"/>
    <x v="1"/>
    <x v="843"/>
    <x v="1"/>
    <x v="10"/>
    <x v="837"/>
    <n v="29.97"/>
    <s v="Medium"/>
    <n v="3"/>
    <n v="0"/>
    <x v="0"/>
    <x v="0"/>
    <n v="13.486499999999999"/>
    <n v="0.45"/>
    <n v="0"/>
  </r>
  <r>
    <n v="2462"/>
    <s v="CA-2015-142419"/>
    <d v="2015-07-11T00:00:00"/>
    <x v="1"/>
    <s v="Q3"/>
    <x v="38"/>
    <d v="2015-07-13T00:00:00"/>
    <s v="Second Class"/>
    <x v="618"/>
    <x v="618"/>
    <s v="Consumer"/>
    <s v="United States"/>
    <s v="Seattle"/>
    <x v="4"/>
    <n v="98115"/>
    <x v="1"/>
    <x v="800"/>
    <x v="1"/>
    <x v="8"/>
    <x v="798"/>
    <n v="98.352000000000004"/>
    <s v="Medium"/>
    <n v="3"/>
    <n v="0.2"/>
    <x v="2"/>
    <x v="2"/>
    <n v="34.423200000000001"/>
    <n v="0.35"/>
    <n v="0"/>
  </r>
  <r>
    <n v="2463"/>
    <s v="CA-2017-148691"/>
    <d v="2017-12-03T00:00:00"/>
    <x v="3"/>
    <s v="Q4"/>
    <x v="22"/>
    <d v="2017-12-09T00:00:00"/>
    <s v="Standard Class"/>
    <x v="427"/>
    <x v="427"/>
    <s v="Consumer"/>
    <s v="United States"/>
    <s v="New York City"/>
    <x v="15"/>
    <n v="10009"/>
    <x v="3"/>
    <x v="301"/>
    <x v="1"/>
    <x v="8"/>
    <x v="301"/>
    <n v="83.92"/>
    <s v="Medium"/>
    <n v="5"/>
    <n v="0.2"/>
    <x v="2"/>
    <x v="2"/>
    <n v="29.372"/>
    <n v="0.35"/>
    <n v="0"/>
  </r>
  <r>
    <n v="2464"/>
    <s v="CA-2017-148691"/>
    <d v="2017-12-03T00:00:00"/>
    <x v="3"/>
    <s v="Q4"/>
    <x v="22"/>
    <d v="2017-12-09T00:00:00"/>
    <s v="Standard Class"/>
    <x v="427"/>
    <x v="427"/>
    <s v="Consumer"/>
    <s v="United States"/>
    <s v="New York City"/>
    <x v="15"/>
    <n v="10009"/>
    <x v="3"/>
    <x v="1316"/>
    <x v="1"/>
    <x v="8"/>
    <x v="1302"/>
    <n v="14.624000000000001"/>
    <s v="Low"/>
    <n v="2"/>
    <n v="0.2"/>
    <x v="2"/>
    <x v="2"/>
    <n v="5.1184000000000003"/>
    <n v="0.35000000000000003"/>
    <n v="0"/>
  </r>
  <r>
    <n v="2465"/>
    <s v="CA-2017-148691"/>
    <d v="2017-12-03T00:00:00"/>
    <x v="3"/>
    <s v="Q4"/>
    <x v="22"/>
    <d v="2017-12-09T00:00:00"/>
    <s v="Standard Class"/>
    <x v="427"/>
    <x v="427"/>
    <s v="Consumer"/>
    <s v="United States"/>
    <s v="New York City"/>
    <x v="15"/>
    <n v="10009"/>
    <x v="3"/>
    <x v="819"/>
    <x v="2"/>
    <x v="7"/>
    <x v="815"/>
    <n v="136.99"/>
    <s v="High"/>
    <n v="1"/>
    <n v="0"/>
    <x v="0"/>
    <x v="0"/>
    <n v="36.987299999999998"/>
    <n v="0.26999999999999996"/>
    <n v="0"/>
  </r>
  <r>
    <n v="2466"/>
    <s v="CA-2017-148691"/>
    <d v="2017-12-03T00:00:00"/>
    <x v="3"/>
    <s v="Q4"/>
    <x v="22"/>
    <d v="2017-12-09T00:00:00"/>
    <s v="Standard Class"/>
    <x v="427"/>
    <x v="427"/>
    <s v="Consumer"/>
    <s v="United States"/>
    <s v="New York City"/>
    <x v="15"/>
    <n v="10009"/>
    <x v="3"/>
    <x v="395"/>
    <x v="1"/>
    <x v="2"/>
    <x v="396"/>
    <n v="3.15"/>
    <s v="Low"/>
    <n v="1"/>
    <n v="0"/>
    <x v="0"/>
    <x v="0"/>
    <n v="1.512"/>
    <n v="0.48000000000000004"/>
    <n v="0"/>
  </r>
  <r>
    <n v="2467"/>
    <s v="CA-2017-128755"/>
    <d v="2017-05-04T00:00:00"/>
    <x v="3"/>
    <s v="Q2"/>
    <x v="24"/>
    <d v="2017-05-08T00:00:00"/>
    <s v="Standard Class"/>
    <x v="177"/>
    <x v="177"/>
    <s v="Consumer"/>
    <s v="United States"/>
    <s v="Newport News"/>
    <x v="17"/>
    <n v="23602"/>
    <x v="0"/>
    <x v="1346"/>
    <x v="1"/>
    <x v="10"/>
    <x v="1331"/>
    <n v="9.11"/>
    <s v="Low"/>
    <n v="1"/>
    <n v="0"/>
    <x v="0"/>
    <x v="0"/>
    <n v="4.0994999999999999"/>
    <n v="0.45"/>
    <n v="0"/>
  </r>
  <r>
    <n v="2468"/>
    <s v="CA-2017-128755"/>
    <d v="2017-05-04T00:00:00"/>
    <x v="3"/>
    <s v="Q2"/>
    <x v="24"/>
    <d v="2017-05-08T00:00:00"/>
    <s v="Standard Class"/>
    <x v="177"/>
    <x v="177"/>
    <s v="Consumer"/>
    <s v="United States"/>
    <s v="Newport News"/>
    <x v="17"/>
    <n v="23602"/>
    <x v="0"/>
    <x v="384"/>
    <x v="1"/>
    <x v="4"/>
    <x v="385"/>
    <n v="571.44000000000005"/>
    <s v="High"/>
    <n v="4"/>
    <n v="0"/>
    <x v="0"/>
    <x v="0"/>
    <n v="165.7176"/>
    <n v="0.28999999999999998"/>
    <n v="0"/>
  </r>
  <r>
    <n v="2469"/>
    <s v="CA-2017-128755"/>
    <d v="2017-05-04T00:00:00"/>
    <x v="3"/>
    <s v="Q2"/>
    <x v="24"/>
    <d v="2017-05-08T00:00:00"/>
    <s v="Standard Class"/>
    <x v="177"/>
    <x v="177"/>
    <s v="Consumer"/>
    <s v="United States"/>
    <s v="Newport News"/>
    <x v="17"/>
    <n v="23602"/>
    <x v="0"/>
    <x v="1347"/>
    <x v="1"/>
    <x v="10"/>
    <x v="1332"/>
    <n v="32.4"/>
    <s v="Medium"/>
    <n v="5"/>
    <n v="0"/>
    <x v="0"/>
    <x v="0"/>
    <n v="15.552"/>
    <n v="0.48"/>
    <n v="0"/>
  </r>
  <r>
    <n v="2470"/>
    <s v="CA-2017-128755"/>
    <d v="2017-05-04T00:00:00"/>
    <x v="3"/>
    <s v="Q2"/>
    <x v="24"/>
    <d v="2017-05-08T00:00:00"/>
    <s v="Standard Class"/>
    <x v="177"/>
    <x v="177"/>
    <s v="Consumer"/>
    <s v="United States"/>
    <s v="Newport News"/>
    <x v="17"/>
    <n v="23602"/>
    <x v="0"/>
    <x v="1036"/>
    <x v="1"/>
    <x v="4"/>
    <x v="1026"/>
    <n v="16.91"/>
    <s v="Low"/>
    <n v="1"/>
    <n v="0"/>
    <x v="0"/>
    <x v="0"/>
    <n v="4.5656999999999996"/>
    <n v="0.26999999999999996"/>
    <n v="0"/>
  </r>
  <r>
    <n v="2471"/>
    <s v="US-2016-135923"/>
    <d v="2016-01-22T00:00:00"/>
    <x v="0"/>
    <s v="Q1"/>
    <x v="12"/>
    <d v="2016-01-28T00:00:00"/>
    <s v="Standard Class"/>
    <x v="619"/>
    <x v="619"/>
    <s v="Consumer"/>
    <s v="United States"/>
    <s v="Fayetteville"/>
    <x v="3"/>
    <n v="28314"/>
    <x v="0"/>
    <x v="1348"/>
    <x v="0"/>
    <x v="5"/>
    <x v="1333"/>
    <n v="14.272"/>
    <s v="Low"/>
    <n v="8"/>
    <n v="0.2"/>
    <x v="2"/>
    <x v="2"/>
    <n v="4.2816000000000001"/>
    <n v="0.3"/>
    <n v="0"/>
  </r>
  <r>
    <n v="2472"/>
    <s v="US-2016-135923"/>
    <d v="2016-01-22T00:00:00"/>
    <x v="0"/>
    <s v="Q1"/>
    <x v="12"/>
    <d v="2016-01-28T00:00:00"/>
    <s v="Standard Class"/>
    <x v="619"/>
    <x v="619"/>
    <s v="Consumer"/>
    <s v="United States"/>
    <s v="Fayetteville"/>
    <x v="3"/>
    <n v="28314"/>
    <x v="0"/>
    <x v="1248"/>
    <x v="0"/>
    <x v="0"/>
    <x v="1334"/>
    <n v="451.13600000000002"/>
    <s v="High"/>
    <n v="4"/>
    <n v="0.2"/>
    <x v="2"/>
    <x v="2"/>
    <n v="-67.670400000000001"/>
    <n v="-0.15"/>
    <n v="1"/>
  </r>
  <r>
    <n v="2473"/>
    <s v="US-2016-135923"/>
    <d v="2016-01-22T00:00:00"/>
    <x v="0"/>
    <s v="Q1"/>
    <x v="12"/>
    <d v="2016-01-28T00:00:00"/>
    <s v="Standard Class"/>
    <x v="619"/>
    <x v="619"/>
    <s v="Consumer"/>
    <s v="United States"/>
    <s v="Fayetteville"/>
    <x v="3"/>
    <n v="28314"/>
    <x v="0"/>
    <x v="1266"/>
    <x v="1"/>
    <x v="9"/>
    <x v="1250"/>
    <n v="64.864000000000004"/>
    <s v="Medium"/>
    <n v="4"/>
    <n v="0.2"/>
    <x v="2"/>
    <x v="2"/>
    <n v="6.4863999999999997"/>
    <n v="9.9999999999999992E-2"/>
    <n v="0"/>
  </r>
  <r>
    <n v="2474"/>
    <s v="CA-2016-114972"/>
    <d v="2016-11-03T00:00:00"/>
    <x v="0"/>
    <s v="Q4"/>
    <x v="0"/>
    <d v="2016-11-06T00:00:00"/>
    <s v="First Class"/>
    <x v="418"/>
    <x v="418"/>
    <s v="Consumer"/>
    <s v="United States"/>
    <s v="Los Angeles"/>
    <x v="1"/>
    <n v="90032"/>
    <x v="1"/>
    <x v="1349"/>
    <x v="0"/>
    <x v="1"/>
    <x v="1335"/>
    <n v="217.584"/>
    <s v="High"/>
    <n v="2"/>
    <n v="0.2"/>
    <x v="2"/>
    <x v="2"/>
    <n v="-29.9178"/>
    <n v="-0.13749999999999998"/>
    <n v="1"/>
  </r>
  <r>
    <n v="2475"/>
    <s v="CA-2016-114972"/>
    <d v="2016-11-03T00:00:00"/>
    <x v="0"/>
    <s v="Q4"/>
    <x v="0"/>
    <d v="2016-11-06T00:00:00"/>
    <s v="First Class"/>
    <x v="418"/>
    <x v="418"/>
    <s v="Consumer"/>
    <s v="United States"/>
    <s v="Los Angeles"/>
    <x v="1"/>
    <n v="90032"/>
    <x v="1"/>
    <x v="1350"/>
    <x v="2"/>
    <x v="11"/>
    <x v="1336"/>
    <n v="82.95"/>
    <s v="Medium"/>
    <n v="5"/>
    <n v="0"/>
    <x v="0"/>
    <x v="0"/>
    <n v="29.032499999999999"/>
    <n v="0.35"/>
    <n v="0"/>
  </r>
  <r>
    <n v="2476"/>
    <s v="CA-2016-114972"/>
    <d v="2016-11-03T00:00:00"/>
    <x v="0"/>
    <s v="Q4"/>
    <x v="0"/>
    <d v="2016-11-06T00:00:00"/>
    <s v="First Class"/>
    <x v="418"/>
    <x v="418"/>
    <s v="Consumer"/>
    <s v="United States"/>
    <s v="Los Angeles"/>
    <x v="1"/>
    <n v="90032"/>
    <x v="1"/>
    <x v="1351"/>
    <x v="1"/>
    <x v="2"/>
    <x v="1337"/>
    <n v="87.71"/>
    <s v="Medium"/>
    <n v="7"/>
    <n v="0"/>
    <x v="0"/>
    <x v="0"/>
    <n v="41.223700000000001"/>
    <n v="0.47000000000000003"/>
    <n v="0"/>
  </r>
  <r>
    <n v="2477"/>
    <s v="CA-2016-114972"/>
    <d v="2016-11-03T00:00:00"/>
    <x v="0"/>
    <s v="Q4"/>
    <x v="0"/>
    <d v="2016-11-06T00:00:00"/>
    <s v="First Class"/>
    <x v="418"/>
    <x v="418"/>
    <s v="Consumer"/>
    <s v="United States"/>
    <s v="Los Angeles"/>
    <x v="1"/>
    <n v="90032"/>
    <x v="1"/>
    <x v="1341"/>
    <x v="1"/>
    <x v="9"/>
    <x v="1326"/>
    <n v="1101.48"/>
    <s v="High"/>
    <n v="4"/>
    <n v="0"/>
    <x v="0"/>
    <x v="0"/>
    <n v="429.5772"/>
    <n v="0.39"/>
    <n v="0"/>
  </r>
  <r>
    <n v="2478"/>
    <s v="CA-2017-102750"/>
    <d v="2017-09-04T00:00:00"/>
    <x v="3"/>
    <s v="Q3"/>
    <x v="15"/>
    <d v="2017-09-08T00:00:00"/>
    <s v="Second Class"/>
    <x v="620"/>
    <x v="620"/>
    <s v="Corporate"/>
    <s v="United States"/>
    <s v="Los Angeles"/>
    <x v="1"/>
    <n v="90036"/>
    <x v="1"/>
    <x v="594"/>
    <x v="0"/>
    <x v="3"/>
    <x v="594"/>
    <n v="1322.3520000000001"/>
    <s v="High"/>
    <n v="3"/>
    <n v="0.2"/>
    <x v="2"/>
    <x v="2"/>
    <n v="-99.176400000000001"/>
    <n v="-7.4999999999999997E-2"/>
    <n v="1"/>
  </r>
  <r>
    <n v="2479"/>
    <s v="CA-2014-145212"/>
    <d v="2014-09-13T00:00:00"/>
    <x v="2"/>
    <s v="Q3"/>
    <x v="30"/>
    <d v="2014-09-19T00:00:00"/>
    <s v="Standard Class"/>
    <x v="419"/>
    <x v="419"/>
    <s v="Consumer"/>
    <s v="United States"/>
    <s v="New York City"/>
    <x v="15"/>
    <n v="10011"/>
    <x v="3"/>
    <x v="6"/>
    <x v="1"/>
    <x v="6"/>
    <x v="6"/>
    <n v="5.46"/>
    <s v="Low"/>
    <n v="3"/>
    <n v="0"/>
    <x v="0"/>
    <x v="0"/>
    <n v="1.4742"/>
    <n v="0.27"/>
    <n v="0"/>
  </r>
  <r>
    <n v="2480"/>
    <s v="CA-2017-141992"/>
    <d v="2017-06-19T00:00:00"/>
    <x v="3"/>
    <s v="Q2"/>
    <x v="27"/>
    <d v="2017-06-25T00:00:00"/>
    <s v="Standard Class"/>
    <x v="383"/>
    <x v="383"/>
    <s v="Consumer"/>
    <s v="United States"/>
    <s v="Dallas"/>
    <x v="5"/>
    <n v="75220"/>
    <x v="2"/>
    <x v="1352"/>
    <x v="1"/>
    <x v="14"/>
    <x v="1338"/>
    <n v="11.183999999999999"/>
    <s v="Low"/>
    <n v="1"/>
    <n v="0.2"/>
    <x v="2"/>
    <x v="2"/>
    <n v="0.83879999999999999"/>
    <n v="7.4999999999999997E-2"/>
    <n v="0"/>
  </r>
  <r>
    <n v="2481"/>
    <s v="CA-2017-141992"/>
    <d v="2017-06-19T00:00:00"/>
    <x v="3"/>
    <s v="Q2"/>
    <x v="27"/>
    <d v="2017-06-25T00:00:00"/>
    <s v="Standard Class"/>
    <x v="383"/>
    <x v="383"/>
    <s v="Consumer"/>
    <s v="United States"/>
    <s v="Dallas"/>
    <x v="5"/>
    <n v="75220"/>
    <x v="2"/>
    <x v="82"/>
    <x v="1"/>
    <x v="4"/>
    <x v="82"/>
    <n v="153.584"/>
    <s v="High"/>
    <n v="2"/>
    <n v="0.2"/>
    <x v="2"/>
    <x v="2"/>
    <n v="-32.636600000000001"/>
    <n v="-0.21249999999999999"/>
    <n v="1"/>
  </r>
  <r>
    <n v="2482"/>
    <s v="CA-2017-147956"/>
    <d v="2017-12-24T00:00:00"/>
    <x v="3"/>
    <s v="Q4"/>
    <x v="22"/>
    <d v="2017-12-31T00:00:00"/>
    <s v="Standard Class"/>
    <x v="117"/>
    <x v="117"/>
    <s v="Consumer"/>
    <s v="United States"/>
    <s v="Seattle"/>
    <x v="4"/>
    <n v="98105"/>
    <x v="1"/>
    <x v="749"/>
    <x v="1"/>
    <x v="4"/>
    <x v="747"/>
    <n v="1003.62"/>
    <s v="High"/>
    <n v="6"/>
    <n v="0"/>
    <x v="0"/>
    <x v="0"/>
    <n v="0"/>
    <n v="0"/>
    <n v="0"/>
  </r>
  <r>
    <n v="2483"/>
    <s v="CA-2017-126067"/>
    <d v="2017-08-28T00:00:00"/>
    <x v="3"/>
    <s v="Q3"/>
    <x v="43"/>
    <d v="2017-09-03T00:00:00"/>
    <s v="Standard Class"/>
    <x v="607"/>
    <x v="607"/>
    <s v="Home Office"/>
    <s v="United States"/>
    <s v="Seattle"/>
    <x v="4"/>
    <n v="98105"/>
    <x v="1"/>
    <x v="1353"/>
    <x v="2"/>
    <x v="7"/>
    <x v="1339"/>
    <n v="35.167999999999999"/>
    <s v="Medium"/>
    <n v="4"/>
    <n v="0.2"/>
    <x v="2"/>
    <x v="2"/>
    <n v="11.429600000000001"/>
    <n v="0.32500000000000001"/>
    <n v="0"/>
  </r>
  <r>
    <n v="2484"/>
    <s v="CA-2017-126067"/>
    <d v="2017-08-28T00:00:00"/>
    <x v="3"/>
    <s v="Q3"/>
    <x v="43"/>
    <d v="2017-09-03T00:00:00"/>
    <s v="Standard Class"/>
    <x v="607"/>
    <x v="607"/>
    <s v="Home Office"/>
    <s v="United States"/>
    <s v="Seattle"/>
    <x v="4"/>
    <n v="98105"/>
    <x v="1"/>
    <x v="342"/>
    <x v="0"/>
    <x v="3"/>
    <x v="342"/>
    <n v="1137.75"/>
    <s v="High"/>
    <n v="5"/>
    <n v="0"/>
    <x v="0"/>
    <x v="0"/>
    <n v="250.30500000000001"/>
    <n v="0.22"/>
    <n v="0"/>
  </r>
  <r>
    <n v="2485"/>
    <s v="CA-2017-126067"/>
    <d v="2017-08-28T00:00:00"/>
    <x v="3"/>
    <s v="Q3"/>
    <x v="43"/>
    <d v="2017-09-03T00:00:00"/>
    <s v="Standard Class"/>
    <x v="607"/>
    <x v="607"/>
    <s v="Home Office"/>
    <s v="United States"/>
    <s v="Seattle"/>
    <x v="4"/>
    <n v="98105"/>
    <x v="1"/>
    <x v="444"/>
    <x v="1"/>
    <x v="8"/>
    <x v="444"/>
    <n v="99.68"/>
    <s v="Medium"/>
    <n v="5"/>
    <n v="0.2"/>
    <x v="2"/>
    <x v="2"/>
    <n v="32.396000000000001"/>
    <n v="0.32500000000000001"/>
    <n v="0"/>
  </r>
  <r>
    <n v="2486"/>
    <s v="CA-2017-126067"/>
    <d v="2017-08-28T00:00:00"/>
    <x v="3"/>
    <s v="Q3"/>
    <x v="43"/>
    <d v="2017-09-03T00:00:00"/>
    <s v="Standard Class"/>
    <x v="607"/>
    <x v="607"/>
    <s v="Home Office"/>
    <s v="United States"/>
    <s v="Seattle"/>
    <x v="4"/>
    <n v="98105"/>
    <x v="1"/>
    <x v="449"/>
    <x v="1"/>
    <x v="6"/>
    <x v="449"/>
    <n v="5.56"/>
    <s v="Low"/>
    <n v="2"/>
    <n v="0"/>
    <x v="0"/>
    <x v="0"/>
    <n v="1.4456"/>
    <n v="0.26"/>
    <n v="0"/>
  </r>
  <r>
    <n v="2487"/>
    <s v="CA-2015-104514"/>
    <d v="2015-01-02T00:00:00"/>
    <x v="1"/>
    <s v="Q1"/>
    <x v="26"/>
    <d v="2015-01-04T00:00:00"/>
    <s v="Second Class"/>
    <x v="118"/>
    <x v="118"/>
    <s v="Corporate"/>
    <s v="United States"/>
    <s v="Newark"/>
    <x v="13"/>
    <n v="19711"/>
    <x v="3"/>
    <x v="1354"/>
    <x v="1"/>
    <x v="4"/>
    <x v="1340"/>
    <n v="85.52"/>
    <s v="Medium"/>
    <n v="2"/>
    <n v="0"/>
    <x v="0"/>
    <x v="0"/>
    <n v="22.235199999999999"/>
    <n v="0.26"/>
    <n v="0"/>
  </r>
  <r>
    <n v="2488"/>
    <s v="CA-2015-104514"/>
    <d v="2015-01-02T00:00:00"/>
    <x v="1"/>
    <s v="Q1"/>
    <x v="26"/>
    <d v="2015-01-04T00:00:00"/>
    <s v="Second Class"/>
    <x v="118"/>
    <x v="118"/>
    <s v="Corporate"/>
    <s v="United States"/>
    <s v="Newark"/>
    <x v="13"/>
    <n v="19711"/>
    <x v="3"/>
    <x v="1355"/>
    <x v="1"/>
    <x v="6"/>
    <x v="1341"/>
    <n v="9.84"/>
    <s v="Low"/>
    <n v="3"/>
    <n v="0"/>
    <x v="0"/>
    <x v="0"/>
    <n v="2.6568000000000001"/>
    <n v="0.27"/>
    <n v="0"/>
  </r>
  <r>
    <n v="2489"/>
    <s v="CA-2015-104514"/>
    <d v="2015-01-02T00:00:00"/>
    <x v="1"/>
    <s v="Q1"/>
    <x v="26"/>
    <d v="2015-01-04T00:00:00"/>
    <s v="Second Class"/>
    <x v="118"/>
    <x v="118"/>
    <s v="Corporate"/>
    <s v="United States"/>
    <s v="Newark"/>
    <x v="13"/>
    <n v="19711"/>
    <x v="3"/>
    <x v="1283"/>
    <x v="1"/>
    <x v="10"/>
    <x v="1268"/>
    <n v="20.04"/>
    <s v="Low"/>
    <n v="3"/>
    <n v="0"/>
    <x v="0"/>
    <x v="0"/>
    <n v="9.6191999999999993"/>
    <n v="0.48"/>
    <n v="0"/>
  </r>
  <r>
    <n v="2490"/>
    <s v="CA-2015-141040"/>
    <d v="2015-10-09T00:00:00"/>
    <x v="1"/>
    <s v="Q4"/>
    <x v="2"/>
    <d v="2015-10-13T00:00:00"/>
    <s v="Second Class"/>
    <x v="621"/>
    <x v="621"/>
    <s v="Consumer"/>
    <s v="United States"/>
    <s v="New York City"/>
    <x v="15"/>
    <n v="10024"/>
    <x v="3"/>
    <x v="1356"/>
    <x v="2"/>
    <x v="7"/>
    <x v="1342"/>
    <n v="631.96"/>
    <s v="High"/>
    <n v="4"/>
    <n v="0"/>
    <x v="0"/>
    <x v="0"/>
    <n v="303.3408"/>
    <n v="0.48"/>
    <n v="0"/>
  </r>
  <r>
    <n v="2491"/>
    <s v="CA-2015-141040"/>
    <d v="2015-10-09T00:00:00"/>
    <x v="1"/>
    <s v="Q4"/>
    <x v="2"/>
    <d v="2015-10-13T00:00:00"/>
    <s v="Second Class"/>
    <x v="621"/>
    <x v="621"/>
    <s v="Consumer"/>
    <s v="United States"/>
    <s v="New York City"/>
    <x v="15"/>
    <n v="10024"/>
    <x v="3"/>
    <x v="1357"/>
    <x v="1"/>
    <x v="10"/>
    <x v="1343"/>
    <n v="23.92"/>
    <s v="Low"/>
    <n v="4"/>
    <n v="0"/>
    <x v="0"/>
    <x v="0"/>
    <n v="10.763999999999999"/>
    <n v="0.44999999999999996"/>
    <n v="0"/>
  </r>
  <r>
    <n v="2492"/>
    <s v="CA-2014-113579"/>
    <d v="2014-12-13T00:00:00"/>
    <x v="2"/>
    <s v="Q4"/>
    <x v="20"/>
    <d v="2014-12-15T00:00:00"/>
    <s v="Second Class"/>
    <x v="44"/>
    <x v="44"/>
    <s v="Consumer"/>
    <s v="United States"/>
    <s v="Los Angeles"/>
    <x v="1"/>
    <n v="90049"/>
    <x v="1"/>
    <x v="1111"/>
    <x v="1"/>
    <x v="10"/>
    <x v="1100"/>
    <n v="90.24"/>
    <s v="Medium"/>
    <n v="6"/>
    <n v="0"/>
    <x v="0"/>
    <x v="0"/>
    <n v="41.510399999999997"/>
    <n v="0.46"/>
    <n v="0"/>
  </r>
  <r>
    <n v="2493"/>
    <s v="CA-2014-144624"/>
    <d v="2014-11-19T00:00:00"/>
    <x v="2"/>
    <s v="Q4"/>
    <x v="7"/>
    <d v="2014-11-23T00:00:00"/>
    <s v="Standard Class"/>
    <x v="622"/>
    <x v="622"/>
    <s v="Consumer"/>
    <s v="United States"/>
    <s v="Jamestown"/>
    <x v="15"/>
    <n v="14701"/>
    <x v="3"/>
    <x v="1148"/>
    <x v="2"/>
    <x v="7"/>
    <x v="1136"/>
    <n v="4548.8100000000004"/>
    <s v="High"/>
    <n v="7"/>
    <n v="0"/>
    <x v="0"/>
    <x v="0"/>
    <n v="1228.1786999999999"/>
    <n v="0.26999999999999996"/>
    <n v="0"/>
  </r>
  <r>
    <n v="2494"/>
    <s v="CA-2016-146206"/>
    <d v="2016-09-10T00:00:00"/>
    <x v="0"/>
    <s v="Q3"/>
    <x v="21"/>
    <d v="2016-09-14T00:00:00"/>
    <s v="Second Class"/>
    <x v="409"/>
    <x v="409"/>
    <s v="Consumer"/>
    <s v="United States"/>
    <s v="Houston"/>
    <x v="5"/>
    <n v="77095"/>
    <x v="2"/>
    <x v="838"/>
    <x v="0"/>
    <x v="3"/>
    <x v="832"/>
    <n v="300.93"/>
    <s v="High"/>
    <n v="5"/>
    <n v="0.3"/>
    <x v="1"/>
    <x v="4"/>
    <n v="-34.392000000000003"/>
    <n v="-0.1142857142857143"/>
    <n v="1"/>
  </r>
  <r>
    <n v="2495"/>
    <s v="CA-2016-146206"/>
    <d v="2016-09-10T00:00:00"/>
    <x v="0"/>
    <s v="Q3"/>
    <x v="21"/>
    <d v="2016-09-14T00:00:00"/>
    <s v="Second Class"/>
    <x v="409"/>
    <x v="409"/>
    <s v="Consumer"/>
    <s v="United States"/>
    <s v="Houston"/>
    <x v="5"/>
    <n v="77095"/>
    <x v="2"/>
    <x v="1149"/>
    <x v="2"/>
    <x v="7"/>
    <x v="1137"/>
    <n v="719.96"/>
    <s v="High"/>
    <n v="5"/>
    <n v="0.2"/>
    <x v="2"/>
    <x v="2"/>
    <n v="53.997"/>
    <n v="7.4999999999999997E-2"/>
    <n v="0"/>
  </r>
  <r>
    <n v="2496"/>
    <s v="CA-2014-136644"/>
    <d v="2014-06-16T00:00:00"/>
    <x v="2"/>
    <s v="Q2"/>
    <x v="3"/>
    <d v="2014-06-22T00:00:00"/>
    <s v="Standard Class"/>
    <x v="623"/>
    <x v="623"/>
    <s v="Consumer"/>
    <s v="United States"/>
    <s v="Mishawaka"/>
    <x v="14"/>
    <n v="46544"/>
    <x v="2"/>
    <x v="405"/>
    <x v="0"/>
    <x v="1"/>
    <x v="406"/>
    <n v="647.84"/>
    <s v="High"/>
    <n v="8"/>
    <n v="0"/>
    <x v="0"/>
    <x v="0"/>
    <n v="32.392000000000003"/>
    <n v="0.05"/>
    <n v="0"/>
  </r>
  <r>
    <n v="2497"/>
    <s v="CA-2015-122371"/>
    <d v="2015-09-26T00:00:00"/>
    <x v="1"/>
    <s v="Q3"/>
    <x v="11"/>
    <d v="2015-10-01T00:00:00"/>
    <s v="Standard Class"/>
    <x v="354"/>
    <x v="354"/>
    <s v="Home Office"/>
    <s v="United States"/>
    <s v="San Diego"/>
    <x v="1"/>
    <n v="92037"/>
    <x v="1"/>
    <x v="80"/>
    <x v="1"/>
    <x v="4"/>
    <x v="80"/>
    <n v="64.17"/>
    <s v="Medium"/>
    <n v="3"/>
    <n v="0"/>
    <x v="0"/>
    <x v="0"/>
    <n v="18.609300000000001"/>
    <n v="0.29000000000000004"/>
    <n v="0"/>
  </r>
  <r>
    <n v="2498"/>
    <s v="CA-2015-122371"/>
    <d v="2015-09-26T00:00:00"/>
    <x v="1"/>
    <s v="Q3"/>
    <x v="11"/>
    <d v="2015-10-01T00:00:00"/>
    <s v="Standard Class"/>
    <x v="354"/>
    <x v="354"/>
    <s v="Home Office"/>
    <s v="United States"/>
    <s v="San Diego"/>
    <x v="1"/>
    <n v="92037"/>
    <x v="1"/>
    <x v="633"/>
    <x v="1"/>
    <x v="12"/>
    <x v="633"/>
    <n v="124.46"/>
    <s v="High"/>
    <n v="2"/>
    <n v="0"/>
    <x v="0"/>
    <x v="0"/>
    <n v="58.496200000000002"/>
    <n v="0.47000000000000003"/>
    <n v="0"/>
  </r>
  <r>
    <n v="2499"/>
    <s v="CA-2016-126935"/>
    <d v="2016-05-19T00:00:00"/>
    <x v="0"/>
    <s v="Q2"/>
    <x v="35"/>
    <d v="2016-05-24T00:00:00"/>
    <s v="Standard Class"/>
    <x v="387"/>
    <x v="387"/>
    <s v="Corporate"/>
    <s v="United States"/>
    <s v="San Francisco"/>
    <x v="1"/>
    <n v="94109"/>
    <x v="1"/>
    <x v="1224"/>
    <x v="1"/>
    <x v="8"/>
    <x v="1208"/>
    <n v="9.5839999999999996"/>
    <s v="Low"/>
    <n v="1"/>
    <n v="0.2"/>
    <x v="2"/>
    <x v="2"/>
    <n v="3.3544"/>
    <n v="0.35000000000000003"/>
    <n v="0"/>
  </r>
  <r>
    <n v="2500"/>
    <s v="US-2017-133781"/>
    <d v="2017-06-22T00:00:00"/>
    <x v="3"/>
    <s v="Q2"/>
    <x v="27"/>
    <d v="2017-06-23T00:00:00"/>
    <s v="First Class"/>
    <x v="419"/>
    <x v="419"/>
    <s v="Consumer"/>
    <s v="United States"/>
    <s v="Miami"/>
    <x v="2"/>
    <n v="33178"/>
    <x v="0"/>
    <x v="1358"/>
    <x v="1"/>
    <x v="12"/>
    <x v="1344"/>
    <n v="37.607999999999997"/>
    <s v="Medium"/>
    <n v="3"/>
    <n v="0.2"/>
    <x v="2"/>
    <x v="2"/>
    <n v="12.6927"/>
    <n v="0.33750000000000002"/>
    <n v="0"/>
  </r>
  <r>
    <n v="2501"/>
    <s v="CA-2017-131618"/>
    <d v="2017-06-17T00:00:00"/>
    <x v="3"/>
    <s v="Q2"/>
    <x v="27"/>
    <d v="2017-06-20T00:00:00"/>
    <s v="First Class"/>
    <x v="624"/>
    <x v="624"/>
    <s v="Corporate"/>
    <s v="United States"/>
    <s v="Skokie"/>
    <x v="10"/>
    <n v="60076"/>
    <x v="2"/>
    <x v="827"/>
    <x v="1"/>
    <x v="10"/>
    <x v="823"/>
    <n v="12.224"/>
    <s v="Low"/>
    <n v="2"/>
    <n v="0.2"/>
    <x v="2"/>
    <x v="2"/>
    <n v="4.4311999999999996"/>
    <n v="0.36249999999999993"/>
    <n v="0"/>
  </r>
  <r>
    <n v="2502"/>
    <s v="CA-2017-131618"/>
    <d v="2017-06-17T00:00:00"/>
    <x v="3"/>
    <s v="Q2"/>
    <x v="27"/>
    <d v="2017-06-20T00:00:00"/>
    <s v="First Class"/>
    <x v="624"/>
    <x v="624"/>
    <s v="Corporate"/>
    <s v="United States"/>
    <s v="Skokie"/>
    <x v="10"/>
    <n v="60076"/>
    <x v="2"/>
    <x v="614"/>
    <x v="1"/>
    <x v="8"/>
    <x v="614"/>
    <n v="2.3039999999999998"/>
    <s v="Low"/>
    <n v="4"/>
    <n v="0.8"/>
    <x v="1"/>
    <x v="3"/>
    <n v="-3.5712000000000002"/>
    <n v="-1.5500000000000003"/>
    <n v="1"/>
  </r>
  <r>
    <n v="2503"/>
    <s v="CA-2017-131618"/>
    <d v="2017-06-17T00:00:00"/>
    <x v="3"/>
    <s v="Q2"/>
    <x v="27"/>
    <d v="2017-06-20T00:00:00"/>
    <s v="First Class"/>
    <x v="624"/>
    <x v="624"/>
    <s v="Corporate"/>
    <s v="United States"/>
    <s v="Skokie"/>
    <x v="10"/>
    <n v="60076"/>
    <x v="2"/>
    <x v="673"/>
    <x v="1"/>
    <x v="8"/>
    <x v="673"/>
    <n v="9.36"/>
    <s v="Low"/>
    <n v="4"/>
    <n v="0.8"/>
    <x v="1"/>
    <x v="3"/>
    <n v="-16.38"/>
    <n v="-1.75"/>
    <n v="1"/>
  </r>
  <r>
    <n v="2504"/>
    <s v="CA-2016-149482"/>
    <d v="2016-11-14T00:00:00"/>
    <x v="0"/>
    <s v="Q4"/>
    <x v="0"/>
    <d v="2016-11-19T00:00:00"/>
    <s v="Standard Class"/>
    <x v="625"/>
    <x v="625"/>
    <s v="Consumer"/>
    <s v="United States"/>
    <s v="San Francisco"/>
    <x v="1"/>
    <n v="94110"/>
    <x v="1"/>
    <x v="1238"/>
    <x v="1"/>
    <x v="2"/>
    <x v="1221"/>
    <n v="7.38"/>
    <s v="Low"/>
    <n v="2"/>
    <n v="0"/>
    <x v="0"/>
    <x v="0"/>
    <n v="3.4685999999999999"/>
    <n v="0.47"/>
    <n v="0"/>
  </r>
  <r>
    <n v="2505"/>
    <s v="CA-2014-143917"/>
    <d v="2014-07-25T00:00:00"/>
    <x v="2"/>
    <s v="Q3"/>
    <x v="39"/>
    <d v="2014-07-27T00:00:00"/>
    <s v="Second Class"/>
    <x v="107"/>
    <x v="107"/>
    <s v="Consumer"/>
    <s v="United States"/>
    <s v="San Francisco"/>
    <x v="1"/>
    <n v="94122"/>
    <x v="1"/>
    <x v="230"/>
    <x v="1"/>
    <x v="4"/>
    <x v="231"/>
    <n v="53.72"/>
    <s v="Medium"/>
    <n v="4"/>
    <n v="0"/>
    <x v="0"/>
    <x v="0"/>
    <n v="15.041600000000001"/>
    <n v="0.28000000000000003"/>
    <n v="0"/>
  </r>
  <r>
    <n v="2506"/>
    <s v="CA-2014-143917"/>
    <d v="2014-07-25T00:00:00"/>
    <x v="2"/>
    <s v="Q3"/>
    <x v="39"/>
    <d v="2014-07-27T00:00:00"/>
    <s v="Second Class"/>
    <x v="107"/>
    <x v="107"/>
    <s v="Consumer"/>
    <s v="United States"/>
    <s v="San Francisco"/>
    <x v="1"/>
    <n v="94122"/>
    <x v="1"/>
    <x v="1359"/>
    <x v="1"/>
    <x v="14"/>
    <x v="1345"/>
    <n v="8187.65"/>
    <s v="High"/>
    <n v="5"/>
    <n v="0"/>
    <x v="0"/>
    <x v="0"/>
    <n v="327.50599999999997"/>
    <n v="0.04"/>
    <n v="0"/>
  </r>
  <r>
    <n v="2507"/>
    <s v="CA-2014-143917"/>
    <d v="2014-07-25T00:00:00"/>
    <x v="2"/>
    <s v="Q3"/>
    <x v="39"/>
    <d v="2014-07-27T00:00:00"/>
    <s v="Second Class"/>
    <x v="107"/>
    <x v="107"/>
    <s v="Consumer"/>
    <s v="United States"/>
    <s v="San Francisco"/>
    <x v="1"/>
    <n v="94122"/>
    <x v="1"/>
    <x v="221"/>
    <x v="0"/>
    <x v="5"/>
    <x v="222"/>
    <n v="77.92"/>
    <s v="Medium"/>
    <n v="8"/>
    <n v="0"/>
    <x v="0"/>
    <x v="0"/>
    <n v="34.284799999999997"/>
    <n v="0.43999999999999995"/>
    <n v="0"/>
  </r>
  <r>
    <n v="2508"/>
    <s v="CA-2015-120397"/>
    <d v="2015-07-02T00:00:00"/>
    <x v="1"/>
    <s v="Q3"/>
    <x v="38"/>
    <d v="2015-07-02T00:00:00"/>
    <s v="Same Day"/>
    <x v="579"/>
    <x v="579"/>
    <s v="Consumer"/>
    <s v="United States"/>
    <s v="Houston"/>
    <x v="5"/>
    <n v="77070"/>
    <x v="2"/>
    <x v="1360"/>
    <x v="1"/>
    <x v="9"/>
    <x v="1346"/>
    <n v="32.783999999999999"/>
    <s v="Medium"/>
    <n v="4"/>
    <n v="0.8"/>
    <x v="1"/>
    <x v="3"/>
    <n v="-85.238399999999999"/>
    <n v="-2.6"/>
    <n v="1"/>
  </r>
  <r>
    <n v="2509"/>
    <s v="CA-2017-163902"/>
    <d v="2017-03-02T00:00:00"/>
    <x v="3"/>
    <s v="Q1"/>
    <x v="42"/>
    <d v="2017-03-08T00:00:00"/>
    <s v="Standard Class"/>
    <x v="199"/>
    <x v="199"/>
    <s v="Corporate"/>
    <s v="United States"/>
    <s v="Los Angeles"/>
    <x v="1"/>
    <n v="90045"/>
    <x v="1"/>
    <x v="1361"/>
    <x v="2"/>
    <x v="7"/>
    <x v="1347"/>
    <n v="196.77600000000001"/>
    <s v="High"/>
    <n v="3"/>
    <n v="0.2"/>
    <x v="2"/>
    <x v="2"/>
    <n v="14.7582"/>
    <n v="7.4999999999999997E-2"/>
    <n v="0"/>
  </r>
  <r>
    <n v="2510"/>
    <s v="CA-2017-163902"/>
    <d v="2017-03-02T00:00:00"/>
    <x v="3"/>
    <s v="Q1"/>
    <x v="42"/>
    <d v="2017-03-08T00:00:00"/>
    <s v="Standard Class"/>
    <x v="199"/>
    <x v="199"/>
    <s v="Corporate"/>
    <s v="United States"/>
    <s v="Los Angeles"/>
    <x v="1"/>
    <n v="90045"/>
    <x v="1"/>
    <x v="914"/>
    <x v="2"/>
    <x v="11"/>
    <x v="906"/>
    <n v="479.94"/>
    <s v="High"/>
    <n v="6"/>
    <n v="0"/>
    <x v="0"/>
    <x v="0"/>
    <n v="52.793399999999998"/>
    <n v="0.11"/>
    <n v="0"/>
  </r>
  <r>
    <n v="2511"/>
    <s v="CA-2016-136812"/>
    <d v="2016-11-18T00:00:00"/>
    <x v="0"/>
    <s v="Q4"/>
    <x v="0"/>
    <d v="2016-11-23T00:00:00"/>
    <s v="Standard Class"/>
    <x v="585"/>
    <x v="585"/>
    <s v="Home Office"/>
    <s v="United States"/>
    <s v="Oklahoma City"/>
    <x v="26"/>
    <n v="73120"/>
    <x v="2"/>
    <x v="1362"/>
    <x v="1"/>
    <x v="4"/>
    <x v="1348"/>
    <n v="1117.92"/>
    <s v="High"/>
    <n v="4"/>
    <n v="0"/>
    <x v="0"/>
    <x v="0"/>
    <n v="55.896000000000001"/>
    <n v="4.9999999999999996E-2"/>
    <n v="0"/>
  </r>
  <r>
    <n v="2512"/>
    <s v="CA-2015-102722"/>
    <d v="2015-04-18T00:00:00"/>
    <x v="1"/>
    <s v="Q2"/>
    <x v="19"/>
    <d v="2015-04-19T00:00:00"/>
    <s v="First Class"/>
    <x v="608"/>
    <x v="608"/>
    <s v="Consumer"/>
    <s v="United States"/>
    <s v="Monroe"/>
    <x v="28"/>
    <n v="71203"/>
    <x v="0"/>
    <x v="936"/>
    <x v="2"/>
    <x v="11"/>
    <x v="929"/>
    <n v="106.5"/>
    <s v="Medium"/>
    <n v="6"/>
    <n v="0"/>
    <x v="0"/>
    <x v="0"/>
    <n v="41.534999999999997"/>
    <n v="0.38999999999999996"/>
    <n v="0"/>
  </r>
  <r>
    <n v="2513"/>
    <s v="CA-2017-155089"/>
    <d v="2017-12-02T00:00:00"/>
    <x v="3"/>
    <s v="Q4"/>
    <x v="22"/>
    <d v="2017-12-06T00:00:00"/>
    <s v="Standard Class"/>
    <x v="626"/>
    <x v="626"/>
    <s v="Home Office"/>
    <s v="United States"/>
    <s v="Tampa"/>
    <x v="2"/>
    <n v="33614"/>
    <x v="0"/>
    <x v="471"/>
    <x v="1"/>
    <x v="8"/>
    <x v="472"/>
    <n v="45.66"/>
    <s v="Medium"/>
    <n v="5"/>
    <n v="0.7"/>
    <x v="1"/>
    <x v="5"/>
    <n v="-33.484000000000002"/>
    <n v="-0.73333333333333339"/>
    <n v="1"/>
  </r>
  <r>
    <n v="2514"/>
    <s v="CA-2016-124506"/>
    <d v="2016-11-11T00:00:00"/>
    <x v="0"/>
    <s v="Q4"/>
    <x v="0"/>
    <d v="2016-11-17T00:00:00"/>
    <s v="Standard Class"/>
    <x v="179"/>
    <x v="179"/>
    <s v="Corporate"/>
    <s v="United States"/>
    <s v="Chicago"/>
    <x v="10"/>
    <n v="60623"/>
    <x v="2"/>
    <x v="1048"/>
    <x v="2"/>
    <x v="11"/>
    <x v="1037"/>
    <n v="95.968000000000004"/>
    <s v="Medium"/>
    <n v="4"/>
    <n v="0.2"/>
    <x v="2"/>
    <x v="2"/>
    <n v="1.1996"/>
    <n v="1.2499999999999999E-2"/>
    <n v="0"/>
  </r>
  <r>
    <n v="2515"/>
    <s v="CA-2016-124506"/>
    <d v="2016-11-11T00:00:00"/>
    <x v="0"/>
    <s v="Q4"/>
    <x v="0"/>
    <d v="2016-11-17T00:00:00"/>
    <s v="Standard Class"/>
    <x v="179"/>
    <x v="179"/>
    <s v="Corporate"/>
    <s v="United States"/>
    <s v="Chicago"/>
    <x v="10"/>
    <n v="60623"/>
    <x v="2"/>
    <x v="877"/>
    <x v="0"/>
    <x v="1"/>
    <x v="871"/>
    <n v="47.991999999999997"/>
    <s v="Medium"/>
    <n v="2"/>
    <n v="0.3"/>
    <x v="1"/>
    <x v="4"/>
    <n v="-2.0568"/>
    <n v="-4.2857142857142858E-2"/>
    <n v="1"/>
  </r>
  <r>
    <n v="2516"/>
    <s v="CA-2014-106572"/>
    <d v="2014-09-05T00:00:00"/>
    <x v="2"/>
    <s v="Q3"/>
    <x v="30"/>
    <d v="2014-09-10T00:00:00"/>
    <s v="Standard Class"/>
    <x v="413"/>
    <x v="413"/>
    <s v="Consumer"/>
    <s v="United States"/>
    <s v="Bowling Green"/>
    <x v="24"/>
    <n v="43402"/>
    <x v="3"/>
    <x v="546"/>
    <x v="1"/>
    <x v="4"/>
    <x v="546"/>
    <n v="264.32"/>
    <s v="High"/>
    <n v="2"/>
    <n v="0.2"/>
    <x v="2"/>
    <x v="2"/>
    <n v="19.824000000000002"/>
    <n v="7.5000000000000011E-2"/>
    <n v="0"/>
  </r>
  <r>
    <n v="2517"/>
    <s v="CA-2014-128888"/>
    <d v="2014-11-15T00:00:00"/>
    <x v="2"/>
    <s v="Q4"/>
    <x v="7"/>
    <d v="2014-11-22T00:00:00"/>
    <s v="Standard Class"/>
    <x v="287"/>
    <x v="287"/>
    <s v="Consumer"/>
    <s v="United States"/>
    <s v="Houston"/>
    <x v="5"/>
    <n v="77095"/>
    <x v="2"/>
    <x v="970"/>
    <x v="1"/>
    <x v="12"/>
    <x v="964"/>
    <n v="604.65599999999995"/>
    <s v="High"/>
    <n v="9"/>
    <n v="0.2"/>
    <x v="2"/>
    <x v="2"/>
    <n v="204.07140000000001"/>
    <n v="0.33750000000000002"/>
    <n v="0"/>
  </r>
  <r>
    <n v="2518"/>
    <s v="CA-2017-123134"/>
    <d v="2017-05-02T00:00:00"/>
    <x v="3"/>
    <s v="Q2"/>
    <x v="24"/>
    <d v="2017-05-07T00:00:00"/>
    <s v="Standard Class"/>
    <x v="61"/>
    <x v="61"/>
    <s v="Corporate"/>
    <s v="United States"/>
    <s v="Westfield"/>
    <x v="30"/>
    <n v="7090"/>
    <x v="3"/>
    <x v="784"/>
    <x v="0"/>
    <x v="5"/>
    <x v="783"/>
    <n v="129.93"/>
    <s v="High"/>
    <n v="3"/>
    <n v="0"/>
    <x v="0"/>
    <x v="0"/>
    <n v="12.993"/>
    <n v="9.9999999999999992E-2"/>
    <n v="0"/>
  </r>
  <r>
    <n v="2519"/>
    <s v="CA-2016-124352"/>
    <d v="2016-10-15T00:00:00"/>
    <x v="0"/>
    <s v="Q4"/>
    <x v="32"/>
    <d v="2016-10-21T00:00:00"/>
    <s v="Standard Class"/>
    <x v="522"/>
    <x v="522"/>
    <s v="Home Office"/>
    <s v="United States"/>
    <s v="Oklahoma City"/>
    <x v="26"/>
    <n v="73120"/>
    <x v="2"/>
    <x v="1363"/>
    <x v="1"/>
    <x v="2"/>
    <x v="1349"/>
    <n v="20.16"/>
    <s v="Low"/>
    <n v="7"/>
    <n v="0"/>
    <x v="0"/>
    <x v="0"/>
    <n v="9.8783999999999992"/>
    <n v="0.48999999999999994"/>
    <n v="0"/>
  </r>
  <r>
    <n v="2520"/>
    <s v="CA-2016-124352"/>
    <d v="2016-10-15T00:00:00"/>
    <x v="0"/>
    <s v="Q4"/>
    <x v="32"/>
    <d v="2016-10-21T00:00:00"/>
    <s v="Standard Class"/>
    <x v="522"/>
    <x v="522"/>
    <s v="Home Office"/>
    <s v="United States"/>
    <s v="Oklahoma City"/>
    <x v="26"/>
    <n v="73120"/>
    <x v="2"/>
    <x v="607"/>
    <x v="1"/>
    <x v="2"/>
    <x v="607"/>
    <n v="29.46"/>
    <s v="Medium"/>
    <n v="6"/>
    <n v="0"/>
    <x v="0"/>
    <x v="0"/>
    <n v="14.4354"/>
    <n v="0.49"/>
    <n v="0"/>
  </r>
  <r>
    <n v="2521"/>
    <s v="CA-2016-124352"/>
    <d v="2016-10-15T00:00:00"/>
    <x v="0"/>
    <s v="Q4"/>
    <x v="32"/>
    <d v="2016-10-21T00:00:00"/>
    <s v="Standard Class"/>
    <x v="522"/>
    <x v="522"/>
    <s v="Home Office"/>
    <s v="United States"/>
    <s v="Oklahoma City"/>
    <x v="26"/>
    <n v="73120"/>
    <x v="2"/>
    <x v="1364"/>
    <x v="1"/>
    <x v="9"/>
    <x v="1350"/>
    <n v="868.59"/>
    <s v="High"/>
    <n v="3"/>
    <n v="0"/>
    <x v="0"/>
    <x v="0"/>
    <n v="251.89109999999999"/>
    <n v="0.28999999999999998"/>
    <n v="0"/>
  </r>
  <r>
    <n v="2522"/>
    <s v="CA-2016-124352"/>
    <d v="2016-10-15T00:00:00"/>
    <x v="0"/>
    <s v="Q4"/>
    <x v="32"/>
    <d v="2016-10-21T00:00:00"/>
    <s v="Standard Class"/>
    <x v="522"/>
    <x v="522"/>
    <s v="Home Office"/>
    <s v="United States"/>
    <s v="Oklahoma City"/>
    <x v="26"/>
    <n v="73120"/>
    <x v="2"/>
    <x v="89"/>
    <x v="1"/>
    <x v="10"/>
    <x v="89"/>
    <n v="12.96"/>
    <s v="Low"/>
    <n v="2"/>
    <n v="0"/>
    <x v="0"/>
    <x v="0"/>
    <n v="6.2207999999999997"/>
    <n v="0.47999999999999993"/>
    <n v="0"/>
  </r>
  <r>
    <n v="2523"/>
    <s v="CA-2016-124352"/>
    <d v="2016-10-15T00:00:00"/>
    <x v="0"/>
    <s v="Q4"/>
    <x v="32"/>
    <d v="2016-10-21T00:00:00"/>
    <s v="Standard Class"/>
    <x v="522"/>
    <x v="522"/>
    <s v="Home Office"/>
    <s v="United States"/>
    <s v="Oklahoma City"/>
    <x v="26"/>
    <n v="73120"/>
    <x v="2"/>
    <x v="895"/>
    <x v="2"/>
    <x v="7"/>
    <x v="888"/>
    <n v="5.5"/>
    <s v="Low"/>
    <n v="1"/>
    <n v="0"/>
    <x v="0"/>
    <x v="0"/>
    <n v="1.375"/>
    <n v="0.25"/>
    <n v="0"/>
  </r>
  <r>
    <n v="2524"/>
    <s v="CA-2016-124352"/>
    <d v="2016-10-15T00:00:00"/>
    <x v="0"/>
    <s v="Q4"/>
    <x v="32"/>
    <d v="2016-10-21T00:00:00"/>
    <s v="Standard Class"/>
    <x v="522"/>
    <x v="522"/>
    <s v="Home Office"/>
    <s v="United States"/>
    <s v="Oklahoma City"/>
    <x v="26"/>
    <n v="73120"/>
    <x v="2"/>
    <x v="999"/>
    <x v="1"/>
    <x v="8"/>
    <x v="991"/>
    <n v="121.6"/>
    <s v="Medium"/>
    <n v="4"/>
    <n v="0"/>
    <x v="0"/>
    <x v="0"/>
    <n v="55.936"/>
    <n v="0.46"/>
    <n v="0"/>
  </r>
  <r>
    <n v="2525"/>
    <s v="CA-2015-124541"/>
    <d v="2015-04-06T00:00:00"/>
    <x v="1"/>
    <s v="Q2"/>
    <x v="19"/>
    <d v="2015-04-10T00:00:00"/>
    <s v="Standard Class"/>
    <x v="627"/>
    <x v="627"/>
    <s v="Consumer"/>
    <s v="United States"/>
    <s v="Houston"/>
    <x v="5"/>
    <n v="77041"/>
    <x v="2"/>
    <x v="512"/>
    <x v="1"/>
    <x v="6"/>
    <x v="512"/>
    <n v="42.048000000000002"/>
    <s v="Medium"/>
    <n v="9"/>
    <n v="0.2"/>
    <x v="2"/>
    <x v="2"/>
    <n v="5.2560000000000002"/>
    <n v="0.125"/>
    <n v="0"/>
  </r>
  <r>
    <n v="2526"/>
    <s v="CA-2015-124541"/>
    <d v="2015-04-06T00:00:00"/>
    <x v="1"/>
    <s v="Q2"/>
    <x v="19"/>
    <d v="2015-04-10T00:00:00"/>
    <s v="Standard Class"/>
    <x v="627"/>
    <x v="627"/>
    <s v="Consumer"/>
    <s v="United States"/>
    <s v="Houston"/>
    <x v="5"/>
    <n v="77041"/>
    <x v="2"/>
    <x v="1365"/>
    <x v="2"/>
    <x v="11"/>
    <x v="1351"/>
    <n v="25.488"/>
    <s v="Medium"/>
    <n v="2"/>
    <n v="0.2"/>
    <x v="2"/>
    <x v="2"/>
    <n v="4.4603999999999999"/>
    <n v="0.17499999999999999"/>
    <n v="0"/>
  </r>
  <r>
    <n v="2527"/>
    <s v="CA-2015-124541"/>
    <d v="2015-04-06T00:00:00"/>
    <x v="1"/>
    <s v="Q2"/>
    <x v="19"/>
    <d v="2015-04-10T00:00:00"/>
    <s v="Standard Class"/>
    <x v="627"/>
    <x v="627"/>
    <s v="Consumer"/>
    <s v="United States"/>
    <s v="Houston"/>
    <x v="5"/>
    <n v="77041"/>
    <x v="2"/>
    <x v="1023"/>
    <x v="1"/>
    <x v="8"/>
    <x v="1014"/>
    <n v="6.9"/>
    <s v="Low"/>
    <n v="3"/>
    <n v="0.8"/>
    <x v="1"/>
    <x v="3"/>
    <n v="-12.074999999999999"/>
    <n v="-1.7499999999999998"/>
    <n v="1"/>
  </r>
  <r>
    <n v="2528"/>
    <s v="CA-2015-124541"/>
    <d v="2015-04-06T00:00:00"/>
    <x v="1"/>
    <s v="Q2"/>
    <x v="19"/>
    <d v="2015-04-10T00:00:00"/>
    <s v="Standard Class"/>
    <x v="627"/>
    <x v="627"/>
    <s v="Consumer"/>
    <s v="United States"/>
    <s v="Houston"/>
    <x v="5"/>
    <n v="77041"/>
    <x v="2"/>
    <x v="1232"/>
    <x v="1"/>
    <x v="8"/>
    <x v="1215"/>
    <n v="9.6479999999999997"/>
    <s v="Low"/>
    <n v="6"/>
    <n v="0.8"/>
    <x v="1"/>
    <x v="3"/>
    <n v="-16.884"/>
    <n v="-1.75"/>
    <n v="1"/>
  </r>
  <r>
    <n v="2529"/>
    <s v="CA-2015-124541"/>
    <d v="2015-04-06T00:00:00"/>
    <x v="1"/>
    <s v="Q2"/>
    <x v="19"/>
    <d v="2015-04-10T00:00:00"/>
    <s v="Standard Class"/>
    <x v="627"/>
    <x v="627"/>
    <s v="Consumer"/>
    <s v="United States"/>
    <s v="Houston"/>
    <x v="5"/>
    <n v="77041"/>
    <x v="2"/>
    <x v="1050"/>
    <x v="1"/>
    <x v="10"/>
    <x v="1039"/>
    <n v="7.968"/>
    <s v="Low"/>
    <n v="2"/>
    <n v="0.2"/>
    <x v="2"/>
    <x v="2"/>
    <n v="2.8883999999999999"/>
    <n v="0.36249999999999999"/>
    <n v="0"/>
  </r>
  <r>
    <n v="2530"/>
    <s v="CA-2014-108707"/>
    <d v="2014-10-24T00:00:00"/>
    <x v="2"/>
    <s v="Q4"/>
    <x v="18"/>
    <d v="2014-10-29T00:00:00"/>
    <s v="Standard Class"/>
    <x v="626"/>
    <x v="626"/>
    <s v="Home Office"/>
    <s v="United States"/>
    <s v="Fort Lauderdale"/>
    <x v="2"/>
    <n v="33311"/>
    <x v="0"/>
    <x v="739"/>
    <x v="1"/>
    <x v="10"/>
    <x v="738"/>
    <n v="10.368"/>
    <s v="Low"/>
    <n v="2"/>
    <n v="0.2"/>
    <x v="2"/>
    <x v="2"/>
    <n v="3.6288"/>
    <n v="0.35"/>
    <n v="0"/>
  </r>
  <r>
    <n v="2531"/>
    <s v="CA-2014-111500"/>
    <d v="2014-08-17T00:00:00"/>
    <x v="2"/>
    <s v="Q3"/>
    <x v="9"/>
    <d v="2014-08-21T00:00:00"/>
    <s v="Standard Class"/>
    <x v="137"/>
    <x v="137"/>
    <s v="Corporate"/>
    <s v="United States"/>
    <s v="Little Rock"/>
    <x v="36"/>
    <n v="72209"/>
    <x v="0"/>
    <x v="1138"/>
    <x v="1"/>
    <x v="10"/>
    <x v="1126"/>
    <n v="114.2"/>
    <s v="Medium"/>
    <n v="5"/>
    <n v="0"/>
    <x v="0"/>
    <x v="0"/>
    <n v="52.531999999999996"/>
    <n v="0.45999999999999996"/>
    <n v="0"/>
  </r>
  <r>
    <n v="2532"/>
    <s v="CA-2014-111500"/>
    <d v="2014-08-17T00:00:00"/>
    <x v="2"/>
    <s v="Q3"/>
    <x v="9"/>
    <d v="2014-08-21T00:00:00"/>
    <s v="Standard Class"/>
    <x v="137"/>
    <x v="137"/>
    <s v="Corporate"/>
    <s v="United States"/>
    <s v="Little Rock"/>
    <x v="36"/>
    <n v="72209"/>
    <x v="0"/>
    <x v="1366"/>
    <x v="1"/>
    <x v="8"/>
    <x v="307"/>
    <n v="17.96"/>
    <s v="Low"/>
    <n v="4"/>
    <n v="0"/>
    <x v="0"/>
    <x v="0"/>
    <n v="8.2615999999999996"/>
    <n v="0.45999999999999996"/>
    <n v="0"/>
  </r>
  <r>
    <n v="2533"/>
    <s v="CA-2014-111500"/>
    <d v="2014-08-17T00:00:00"/>
    <x v="2"/>
    <s v="Q3"/>
    <x v="9"/>
    <d v="2014-08-21T00:00:00"/>
    <s v="Standard Class"/>
    <x v="137"/>
    <x v="137"/>
    <s v="Corporate"/>
    <s v="United States"/>
    <s v="Little Rock"/>
    <x v="36"/>
    <n v="72209"/>
    <x v="0"/>
    <x v="1088"/>
    <x v="1"/>
    <x v="13"/>
    <x v="1078"/>
    <n v="12.67"/>
    <s v="Low"/>
    <n v="7"/>
    <n v="0"/>
    <x v="0"/>
    <x v="0"/>
    <n v="4.5612000000000004"/>
    <n v="0.36000000000000004"/>
    <n v="0"/>
  </r>
  <r>
    <n v="2534"/>
    <s v="CA-2014-111500"/>
    <d v="2014-08-17T00:00:00"/>
    <x v="2"/>
    <s v="Q3"/>
    <x v="9"/>
    <d v="2014-08-21T00:00:00"/>
    <s v="Standard Class"/>
    <x v="137"/>
    <x v="137"/>
    <s v="Corporate"/>
    <s v="United States"/>
    <s v="Little Rock"/>
    <x v="36"/>
    <n v="72209"/>
    <x v="0"/>
    <x v="106"/>
    <x v="2"/>
    <x v="11"/>
    <x v="106"/>
    <n v="339.96"/>
    <s v="High"/>
    <n v="4"/>
    <n v="0"/>
    <x v="0"/>
    <x v="0"/>
    <n v="122.3856"/>
    <n v="0.36"/>
    <n v="0"/>
  </r>
  <r>
    <n v="2535"/>
    <s v="US-2017-117723"/>
    <d v="2017-08-15T00:00:00"/>
    <x v="3"/>
    <s v="Q3"/>
    <x v="43"/>
    <d v="2017-08-18T00:00:00"/>
    <s v="Second Class"/>
    <x v="393"/>
    <x v="393"/>
    <s v="Corporate"/>
    <s v="United States"/>
    <s v="Philadelphia"/>
    <x v="9"/>
    <n v="19120"/>
    <x v="3"/>
    <x v="458"/>
    <x v="1"/>
    <x v="4"/>
    <x v="459"/>
    <n v="1801.6320000000001"/>
    <s v="High"/>
    <n v="6"/>
    <n v="0.2"/>
    <x v="2"/>
    <x v="2"/>
    <n v="-337.80599999999998"/>
    <n v="-0.18749999999999997"/>
    <n v="1"/>
  </r>
  <r>
    <n v="2536"/>
    <s v="CA-2015-143238"/>
    <d v="2015-09-06T00:00:00"/>
    <x v="1"/>
    <s v="Q3"/>
    <x v="11"/>
    <d v="2015-09-08T00:00:00"/>
    <s v="First Class"/>
    <x v="628"/>
    <x v="628"/>
    <s v="Corporate"/>
    <s v="United States"/>
    <s v="La Quinta"/>
    <x v="1"/>
    <n v="92253"/>
    <x v="1"/>
    <x v="103"/>
    <x v="2"/>
    <x v="11"/>
    <x v="103"/>
    <n v="46.32"/>
    <s v="Medium"/>
    <n v="4"/>
    <n v="0"/>
    <x v="0"/>
    <x v="0"/>
    <n v="18.064800000000002"/>
    <n v="0.39"/>
    <n v="0"/>
  </r>
  <r>
    <n v="2537"/>
    <s v="CA-2015-168746"/>
    <d v="2015-01-27T00:00:00"/>
    <x v="1"/>
    <s v="Q1"/>
    <x v="26"/>
    <d v="2015-01-29T00:00:00"/>
    <s v="Second Class"/>
    <x v="277"/>
    <x v="277"/>
    <s v="Consumer"/>
    <s v="United States"/>
    <s v="Cleveland"/>
    <x v="24"/>
    <n v="44105"/>
    <x v="3"/>
    <x v="70"/>
    <x v="0"/>
    <x v="1"/>
    <x v="70"/>
    <n v="181.98599999999999"/>
    <s v="High"/>
    <n v="2"/>
    <n v="0.3"/>
    <x v="1"/>
    <x v="4"/>
    <n v="-54.595799999999997"/>
    <n v="-0.3"/>
    <n v="1"/>
  </r>
  <r>
    <n v="2538"/>
    <s v="CA-2015-168746"/>
    <d v="2015-01-27T00:00:00"/>
    <x v="1"/>
    <s v="Q1"/>
    <x v="26"/>
    <d v="2015-01-29T00:00:00"/>
    <s v="Second Class"/>
    <x v="277"/>
    <x v="277"/>
    <s v="Consumer"/>
    <s v="United States"/>
    <s v="Cleveland"/>
    <x v="24"/>
    <n v="44105"/>
    <x v="3"/>
    <x v="1149"/>
    <x v="2"/>
    <x v="7"/>
    <x v="1137"/>
    <n v="431.976"/>
    <s v="High"/>
    <n v="4"/>
    <n v="0.4"/>
    <x v="1"/>
    <x v="7"/>
    <n v="-100.7944"/>
    <n v="-0.23333333333333334"/>
    <n v="1"/>
  </r>
  <r>
    <n v="2539"/>
    <s v="CA-2015-168746"/>
    <d v="2015-01-27T00:00:00"/>
    <x v="1"/>
    <s v="Q1"/>
    <x v="26"/>
    <d v="2015-01-29T00:00:00"/>
    <s v="Second Class"/>
    <x v="277"/>
    <x v="277"/>
    <s v="Consumer"/>
    <s v="United States"/>
    <s v="Cleveland"/>
    <x v="24"/>
    <n v="44105"/>
    <x v="3"/>
    <x v="1367"/>
    <x v="2"/>
    <x v="7"/>
    <x v="1352"/>
    <n v="155.37"/>
    <s v="High"/>
    <n v="1"/>
    <n v="0.4"/>
    <x v="1"/>
    <x v="7"/>
    <n v="-36.253"/>
    <n v="-0.23333333333333334"/>
    <n v="1"/>
  </r>
  <r>
    <n v="2540"/>
    <s v="CA-2015-113404"/>
    <d v="2015-07-16T00:00:00"/>
    <x v="1"/>
    <s v="Q3"/>
    <x v="38"/>
    <d v="2015-07-16T00:00:00"/>
    <s v="Same Day"/>
    <x v="613"/>
    <x v="613"/>
    <s v="Corporate"/>
    <s v="United States"/>
    <s v="San Francisco"/>
    <x v="1"/>
    <n v="94122"/>
    <x v="1"/>
    <x v="299"/>
    <x v="0"/>
    <x v="1"/>
    <x v="299"/>
    <n v="1348.704"/>
    <s v="High"/>
    <n v="6"/>
    <n v="0.2"/>
    <x v="2"/>
    <x v="2"/>
    <n v="-219.1644"/>
    <n v="-0.16250000000000001"/>
    <n v="1"/>
  </r>
  <r>
    <n v="2541"/>
    <s v="CA-2015-113404"/>
    <d v="2015-07-16T00:00:00"/>
    <x v="1"/>
    <s v="Q3"/>
    <x v="38"/>
    <d v="2015-07-16T00:00:00"/>
    <s v="Same Day"/>
    <x v="613"/>
    <x v="613"/>
    <s v="Corporate"/>
    <s v="United States"/>
    <s v="San Francisco"/>
    <x v="1"/>
    <n v="94122"/>
    <x v="1"/>
    <x v="284"/>
    <x v="0"/>
    <x v="1"/>
    <x v="284"/>
    <n v="700.15200000000004"/>
    <s v="High"/>
    <n v="3"/>
    <n v="0.2"/>
    <x v="2"/>
    <x v="2"/>
    <n v="78.767099999999999"/>
    <n v="0.11249999999999999"/>
    <n v="0"/>
  </r>
  <r>
    <n v="2542"/>
    <s v="CA-2016-144792"/>
    <d v="2016-04-30T00:00:00"/>
    <x v="0"/>
    <s v="Q2"/>
    <x v="25"/>
    <d v="2016-05-04T00:00:00"/>
    <s v="Standard Class"/>
    <x v="629"/>
    <x v="629"/>
    <s v="Corporate"/>
    <s v="United States"/>
    <s v="Scottsdale"/>
    <x v="16"/>
    <n v="85254"/>
    <x v="1"/>
    <x v="561"/>
    <x v="0"/>
    <x v="5"/>
    <x v="560"/>
    <n v="111.88800000000001"/>
    <s v="Medium"/>
    <n v="7"/>
    <n v="0.2"/>
    <x v="2"/>
    <x v="2"/>
    <n v="22.377600000000001"/>
    <n v="0.2"/>
    <n v="0"/>
  </r>
  <r>
    <n v="2543"/>
    <s v="CA-2014-164385"/>
    <d v="2014-09-26T00:00:00"/>
    <x v="2"/>
    <s v="Q3"/>
    <x v="30"/>
    <d v="2014-10-01T00:00:00"/>
    <s v="Second Class"/>
    <x v="630"/>
    <x v="630"/>
    <s v="Corporate"/>
    <s v="United States"/>
    <s v="Philadelphia"/>
    <x v="9"/>
    <n v="19134"/>
    <x v="3"/>
    <x v="810"/>
    <x v="1"/>
    <x v="9"/>
    <x v="808"/>
    <n v="143.952"/>
    <s v="High"/>
    <n v="3"/>
    <n v="0.2"/>
    <x v="2"/>
    <x v="2"/>
    <n v="14.395200000000001"/>
    <n v="0.1"/>
    <n v="0"/>
  </r>
  <r>
    <n v="2544"/>
    <s v="US-2016-114174"/>
    <d v="2016-09-08T00:00:00"/>
    <x v="0"/>
    <s v="Q3"/>
    <x v="21"/>
    <d v="2016-09-14T00:00:00"/>
    <s v="Standard Class"/>
    <x v="399"/>
    <x v="399"/>
    <s v="Home Office"/>
    <s v="United States"/>
    <s v="Malden"/>
    <x v="31"/>
    <n v="2148"/>
    <x v="3"/>
    <x v="1368"/>
    <x v="0"/>
    <x v="0"/>
    <x v="1353"/>
    <n v="173.94"/>
    <s v="High"/>
    <n v="3"/>
    <n v="0"/>
    <x v="0"/>
    <x v="0"/>
    <n v="13.9152"/>
    <n v="0.08"/>
    <n v="0"/>
  </r>
  <r>
    <n v="2545"/>
    <s v="US-2016-114174"/>
    <d v="2016-09-08T00:00:00"/>
    <x v="0"/>
    <s v="Q3"/>
    <x v="21"/>
    <d v="2016-09-14T00:00:00"/>
    <s v="Standard Class"/>
    <x v="399"/>
    <x v="399"/>
    <s v="Home Office"/>
    <s v="United States"/>
    <s v="Malden"/>
    <x v="31"/>
    <n v="2148"/>
    <x v="3"/>
    <x v="1238"/>
    <x v="1"/>
    <x v="2"/>
    <x v="1221"/>
    <n v="14.76"/>
    <s v="Low"/>
    <n v="4"/>
    <n v="0"/>
    <x v="0"/>
    <x v="0"/>
    <n v="6.9371999999999998"/>
    <n v="0.47"/>
    <n v="0"/>
  </r>
  <r>
    <n v="2546"/>
    <s v="CA-2017-108070"/>
    <d v="2017-04-16T00:00:00"/>
    <x v="3"/>
    <s v="Q2"/>
    <x v="4"/>
    <d v="2017-04-20T00:00:00"/>
    <s v="Standard Class"/>
    <x v="32"/>
    <x v="32"/>
    <s v="Consumer"/>
    <s v="United States"/>
    <s v="San Jose"/>
    <x v="1"/>
    <n v="95123"/>
    <x v="1"/>
    <x v="232"/>
    <x v="1"/>
    <x v="4"/>
    <x v="233"/>
    <n v="205.92"/>
    <s v="High"/>
    <n v="4"/>
    <n v="0"/>
    <x v="0"/>
    <x v="0"/>
    <n v="2.0592000000000001"/>
    <n v="1.0000000000000002E-2"/>
    <n v="0"/>
  </r>
  <r>
    <n v="2547"/>
    <s v="CA-2017-108070"/>
    <d v="2017-04-16T00:00:00"/>
    <x v="3"/>
    <s v="Q2"/>
    <x v="4"/>
    <d v="2017-04-20T00:00:00"/>
    <s v="Standard Class"/>
    <x v="32"/>
    <x v="32"/>
    <s v="Consumer"/>
    <s v="United States"/>
    <s v="San Jose"/>
    <x v="1"/>
    <n v="95123"/>
    <x v="1"/>
    <x v="430"/>
    <x v="0"/>
    <x v="0"/>
    <x v="430"/>
    <n v="102.833"/>
    <s v="Medium"/>
    <n v="1"/>
    <n v="0.15"/>
    <x v="2"/>
    <x v="2"/>
    <n v="-6.0490000000000004"/>
    <n v="-5.8823529411764712E-2"/>
    <n v="1"/>
  </r>
  <r>
    <n v="2548"/>
    <s v="US-2015-128090"/>
    <d v="2015-08-16T00:00:00"/>
    <x v="1"/>
    <s v="Q3"/>
    <x v="37"/>
    <d v="2015-08-22T00:00:00"/>
    <s v="Standard Class"/>
    <x v="622"/>
    <x v="622"/>
    <s v="Consumer"/>
    <s v="United States"/>
    <s v="Phoenix"/>
    <x v="16"/>
    <n v="85023"/>
    <x v="1"/>
    <x v="826"/>
    <x v="1"/>
    <x v="6"/>
    <x v="822"/>
    <n v="2.3039999999999998"/>
    <s v="Low"/>
    <n v="1"/>
    <n v="0.2"/>
    <x v="2"/>
    <x v="2"/>
    <n v="0.25919999999999999"/>
    <n v="0.1125"/>
    <n v="0"/>
  </r>
  <r>
    <n v="2549"/>
    <s v="US-2015-128090"/>
    <d v="2015-08-16T00:00:00"/>
    <x v="1"/>
    <s v="Q3"/>
    <x v="37"/>
    <d v="2015-08-22T00:00:00"/>
    <s v="Standard Class"/>
    <x v="622"/>
    <x v="622"/>
    <s v="Consumer"/>
    <s v="United States"/>
    <s v="Phoenix"/>
    <x v="16"/>
    <n v="85023"/>
    <x v="1"/>
    <x v="1147"/>
    <x v="2"/>
    <x v="7"/>
    <x v="1135"/>
    <n v="1879.96"/>
    <s v="High"/>
    <n v="5"/>
    <n v="0.2"/>
    <x v="2"/>
    <x v="2"/>
    <n v="211.49549999999999"/>
    <n v="0.11249999999999999"/>
    <n v="0"/>
  </r>
  <r>
    <n v="2550"/>
    <s v="US-2015-128090"/>
    <d v="2015-08-16T00:00:00"/>
    <x v="1"/>
    <s v="Q3"/>
    <x v="37"/>
    <d v="2015-08-22T00:00:00"/>
    <s v="Standard Class"/>
    <x v="622"/>
    <x v="622"/>
    <s v="Consumer"/>
    <s v="United States"/>
    <s v="Phoenix"/>
    <x v="16"/>
    <n v="85023"/>
    <x v="1"/>
    <x v="1184"/>
    <x v="1"/>
    <x v="10"/>
    <x v="1170"/>
    <n v="313.024"/>
    <s v="High"/>
    <n v="8"/>
    <n v="0.2"/>
    <x v="2"/>
    <x v="2"/>
    <n v="105.6456"/>
    <n v="0.33750000000000002"/>
    <n v="0"/>
  </r>
  <r>
    <n v="2551"/>
    <s v="US-2015-128090"/>
    <d v="2015-08-16T00:00:00"/>
    <x v="1"/>
    <s v="Q3"/>
    <x v="37"/>
    <d v="2015-08-22T00:00:00"/>
    <s v="Standard Class"/>
    <x v="622"/>
    <x v="622"/>
    <s v="Consumer"/>
    <s v="United States"/>
    <s v="Phoenix"/>
    <x v="16"/>
    <n v="85023"/>
    <x v="1"/>
    <x v="816"/>
    <x v="1"/>
    <x v="2"/>
    <x v="812"/>
    <n v="5.04"/>
    <s v="Low"/>
    <n v="2"/>
    <n v="0.2"/>
    <x v="2"/>
    <x v="2"/>
    <n v="1.764"/>
    <n v="0.35"/>
    <n v="0"/>
  </r>
  <r>
    <n v="2552"/>
    <s v="CA-2017-101042"/>
    <d v="2017-11-19T00:00:00"/>
    <x v="3"/>
    <s v="Q4"/>
    <x v="23"/>
    <d v="2017-11-23T00:00:00"/>
    <s v="Standard Class"/>
    <x v="455"/>
    <x v="455"/>
    <s v="Consumer"/>
    <s v="United States"/>
    <s v="Henderson"/>
    <x v="0"/>
    <n v="42420"/>
    <x v="0"/>
    <x v="1369"/>
    <x v="0"/>
    <x v="5"/>
    <x v="1354"/>
    <n v="821.88"/>
    <s v="High"/>
    <n v="6"/>
    <n v="0"/>
    <x v="0"/>
    <x v="0"/>
    <n v="213.68879999999999"/>
    <n v="0.26"/>
    <n v="0"/>
  </r>
  <r>
    <n v="2553"/>
    <s v="CA-2017-101042"/>
    <d v="2017-11-19T00:00:00"/>
    <x v="3"/>
    <s v="Q4"/>
    <x v="23"/>
    <d v="2017-11-23T00:00:00"/>
    <s v="Standard Class"/>
    <x v="455"/>
    <x v="455"/>
    <s v="Consumer"/>
    <s v="United States"/>
    <s v="Henderson"/>
    <x v="0"/>
    <n v="42420"/>
    <x v="0"/>
    <x v="1045"/>
    <x v="1"/>
    <x v="8"/>
    <x v="1034"/>
    <n v="21.96"/>
    <s v="Low"/>
    <n v="2"/>
    <n v="0"/>
    <x v="0"/>
    <x v="0"/>
    <n v="10.760400000000001"/>
    <n v="0.49"/>
    <n v="0"/>
  </r>
  <r>
    <n v="2554"/>
    <s v="CA-2016-155439"/>
    <d v="2016-09-14T00:00:00"/>
    <x v="0"/>
    <s v="Q3"/>
    <x v="21"/>
    <d v="2016-09-18T00:00:00"/>
    <s v="Standard Class"/>
    <x v="43"/>
    <x v="43"/>
    <s v="Home Office"/>
    <s v="United States"/>
    <s v="Columbia"/>
    <x v="20"/>
    <n v="29203"/>
    <x v="0"/>
    <x v="815"/>
    <x v="1"/>
    <x v="10"/>
    <x v="811"/>
    <n v="25.92"/>
    <s v="Medium"/>
    <n v="4"/>
    <n v="0"/>
    <x v="0"/>
    <x v="0"/>
    <n v="12.441599999999999"/>
    <n v="0.47999999999999993"/>
    <n v="0"/>
  </r>
  <r>
    <n v="2555"/>
    <s v="CA-2016-118626"/>
    <d v="2016-08-15T00:00:00"/>
    <x v="0"/>
    <s v="Q3"/>
    <x v="28"/>
    <d v="2016-08-20T00:00:00"/>
    <s v="Standard Class"/>
    <x v="547"/>
    <x v="547"/>
    <s v="Consumer"/>
    <s v="United States"/>
    <s v="Tallahassee"/>
    <x v="2"/>
    <n v="32303"/>
    <x v="0"/>
    <x v="1370"/>
    <x v="2"/>
    <x v="7"/>
    <x v="1355"/>
    <n v="705.54399999999998"/>
    <s v="High"/>
    <n v="7"/>
    <n v="0.2"/>
    <x v="2"/>
    <x v="2"/>
    <n v="70.554400000000001"/>
    <n v="0.1"/>
    <n v="0"/>
  </r>
  <r>
    <n v="2556"/>
    <s v="CA-2015-111458"/>
    <d v="2015-09-26T00:00:00"/>
    <x v="1"/>
    <s v="Q3"/>
    <x v="11"/>
    <d v="2015-09-30T00:00:00"/>
    <s v="Standard Class"/>
    <x v="58"/>
    <x v="58"/>
    <s v="Consumer"/>
    <s v="United States"/>
    <s v="New York City"/>
    <x v="15"/>
    <n v="10035"/>
    <x v="3"/>
    <x v="1371"/>
    <x v="2"/>
    <x v="11"/>
    <x v="1356"/>
    <n v="50"/>
    <s v="Medium"/>
    <n v="2"/>
    <n v="0"/>
    <x v="0"/>
    <x v="0"/>
    <n v="12"/>
    <n v="0.24"/>
    <n v="0"/>
  </r>
  <r>
    <n v="2557"/>
    <s v="US-2016-126844"/>
    <d v="2016-10-08T00:00:00"/>
    <x v="0"/>
    <s v="Q4"/>
    <x v="32"/>
    <d v="2016-10-14T00:00:00"/>
    <s v="Standard Class"/>
    <x v="308"/>
    <x v="308"/>
    <s v="Corporate"/>
    <s v="United States"/>
    <s v="Houston"/>
    <x v="5"/>
    <n v="77070"/>
    <x v="2"/>
    <x v="1372"/>
    <x v="0"/>
    <x v="5"/>
    <x v="1357"/>
    <n v="51.712000000000003"/>
    <s v="Medium"/>
    <n v="8"/>
    <n v="0.6"/>
    <x v="1"/>
    <x v="6"/>
    <n v="-32.32"/>
    <n v="-0.625"/>
    <n v="1"/>
  </r>
  <r>
    <n v="2558"/>
    <s v="US-2015-112508"/>
    <d v="2015-03-24T00:00:00"/>
    <x v="1"/>
    <s v="Q1"/>
    <x v="29"/>
    <d v="2015-03-30T00:00:00"/>
    <s v="Standard Class"/>
    <x v="130"/>
    <x v="130"/>
    <s v="Corporate"/>
    <s v="United States"/>
    <s v="Coral Springs"/>
    <x v="2"/>
    <n v="33065"/>
    <x v="0"/>
    <x v="1298"/>
    <x v="1"/>
    <x v="9"/>
    <x v="1283"/>
    <n v="6.992"/>
    <s v="Low"/>
    <n v="2"/>
    <n v="0.2"/>
    <x v="2"/>
    <x v="2"/>
    <n v="0.52439999999999998"/>
    <n v="7.4999999999999997E-2"/>
    <n v="0"/>
  </r>
  <r>
    <n v="2559"/>
    <s v="CA-2015-147788"/>
    <d v="2015-05-31T00:00:00"/>
    <x v="1"/>
    <s v="Q2"/>
    <x v="33"/>
    <d v="2015-06-04T00:00:00"/>
    <s v="Standard Class"/>
    <x v="612"/>
    <x v="612"/>
    <s v="Consumer"/>
    <s v="United States"/>
    <s v="Orem"/>
    <x v="7"/>
    <n v="84057"/>
    <x v="1"/>
    <x v="1373"/>
    <x v="0"/>
    <x v="0"/>
    <x v="1358"/>
    <n v="1406.86"/>
    <s v="High"/>
    <n v="7"/>
    <n v="0"/>
    <x v="0"/>
    <x v="0"/>
    <n v="140.68600000000001"/>
    <n v="0.1"/>
    <n v="0"/>
  </r>
  <r>
    <n v="2560"/>
    <s v="CA-2015-147788"/>
    <d v="2015-05-31T00:00:00"/>
    <x v="1"/>
    <s v="Q2"/>
    <x v="33"/>
    <d v="2015-06-04T00:00:00"/>
    <s v="Standard Class"/>
    <x v="612"/>
    <x v="612"/>
    <s v="Consumer"/>
    <s v="United States"/>
    <s v="Orem"/>
    <x v="7"/>
    <n v="84057"/>
    <x v="1"/>
    <x v="365"/>
    <x v="1"/>
    <x v="2"/>
    <x v="365"/>
    <n v="15.75"/>
    <s v="Low"/>
    <n v="5"/>
    <n v="0"/>
    <x v="0"/>
    <x v="0"/>
    <n v="7.56"/>
    <n v="0.48"/>
    <n v="0"/>
  </r>
  <r>
    <n v="2561"/>
    <s v="CA-2015-147788"/>
    <d v="2015-05-31T00:00:00"/>
    <x v="1"/>
    <s v="Q2"/>
    <x v="33"/>
    <d v="2015-06-04T00:00:00"/>
    <s v="Standard Class"/>
    <x v="612"/>
    <x v="612"/>
    <s v="Consumer"/>
    <s v="United States"/>
    <s v="Orem"/>
    <x v="7"/>
    <n v="84057"/>
    <x v="1"/>
    <x v="765"/>
    <x v="1"/>
    <x v="4"/>
    <x v="764"/>
    <n v="323.10000000000002"/>
    <s v="High"/>
    <n v="2"/>
    <n v="0"/>
    <x v="0"/>
    <x v="0"/>
    <n v="61.389000000000003"/>
    <n v="0.19"/>
    <n v="0"/>
  </r>
  <r>
    <n v="2562"/>
    <s v="CA-2015-144288"/>
    <d v="2015-12-25T00:00:00"/>
    <x v="1"/>
    <s v="Q4"/>
    <x v="14"/>
    <d v="2015-12-31T00:00:00"/>
    <s v="Standard Class"/>
    <x v="93"/>
    <x v="93"/>
    <s v="Consumer"/>
    <s v="United States"/>
    <s v="Nashville"/>
    <x v="18"/>
    <n v="37211"/>
    <x v="0"/>
    <x v="1186"/>
    <x v="1"/>
    <x v="2"/>
    <x v="1172"/>
    <n v="9.2159999999999993"/>
    <s v="Low"/>
    <n v="4"/>
    <n v="0.2"/>
    <x v="2"/>
    <x v="2"/>
    <n v="3.3408000000000002"/>
    <n v="0.36250000000000004"/>
    <n v="0"/>
  </r>
  <r>
    <n v="2563"/>
    <s v="CA-2015-144288"/>
    <d v="2015-12-25T00:00:00"/>
    <x v="1"/>
    <s v="Q4"/>
    <x v="14"/>
    <d v="2015-12-31T00:00:00"/>
    <s v="Standard Class"/>
    <x v="93"/>
    <x v="93"/>
    <s v="Consumer"/>
    <s v="United States"/>
    <s v="Nashville"/>
    <x v="18"/>
    <n v="37211"/>
    <x v="0"/>
    <x v="1290"/>
    <x v="1"/>
    <x v="10"/>
    <x v="1276"/>
    <n v="10.368"/>
    <s v="Low"/>
    <n v="2"/>
    <n v="0.2"/>
    <x v="2"/>
    <x v="2"/>
    <n v="3.6288"/>
    <n v="0.35"/>
    <n v="0"/>
  </r>
  <r>
    <n v="2564"/>
    <s v="CA-2015-110632"/>
    <d v="2015-03-17T00:00:00"/>
    <x v="1"/>
    <s v="Q1"/>
    <x v="29"/>
    <d v="2015-03-22T00:00:00"/>
    <s v="Second Class"/>
    <x v="403"/>
    <x v="403"/>
    <s v="Corporate"/>
    <s v="United States"/>
    <s v="New York City"/>
    <x v="15"/>
    <n v="10009"/>
    <x v="3"/>
    <x v="1374"/>
    <x v="2"/>
    <x v="11"/>
    <x v="1359"/>
    <n v="15.02"/>
    <s v="Low"/>
    <n v="1"/>
    <n v="0"/>
    <x v="0"/>
    <x v="0"/>
    <n v="2.7035999999999998"/>
    <n v="0.18"/>
    <n v="0"/>
  </r>
  <r>
    <n v="2565"/>
    <s v="CA-2015-110632"/>
    <d v="2015-03-17T00:00:00"/>
    <x v="1"/>
    <s v="Q1"/>
    <x v="29"/>
    <d v="2015-03-22T00:00:00"/>
    <s v="Second Class"/>
    <x v="403"/>
    <x v="403"/>
    <s v="Corporate"/>
    <s v="United States"/>
    <s v="New York City"/>
    <x v="15"/>
    <n v="10009"/>
    <x v="3"/>
    <x v="1036"/>
    <x v="1"/>
    <x v="4"/>
    <x v="1026"/>
    <n v="33.82"/>
    <s v="Medium"/>
    <n v="2"/>
    <n v="0"/>
    <x v="0"/>
    <x v="0"/>
    <n v="9.1313999999999993"/>
    <n v="0.26999999999999996"/>
    <n v="0"/>
  </r>
  <r>
    <n v="2566"/>
    <s v="CA-2017-109589"/>
    <d v="2017-12-21T00:00:00"/>
    <x v="3"/>
    <s v="Q4"/>
    <x v="22"/>
    <d v="2017-12-24T00:00:00"/>
    <s v="First Class"/>
    <x v="631"/>
    <x v="631"/>
    <s v="Consumer"/>
    <s v="United States"/>
    <s v="Bowling Green"/>
    <x v="0"/>
    <n v="42104"/>
    <x v="0"/>
    <x v="936"/>
    <x v="2"/>
    <x v="11"/>
    <x v="929"/>
    <n v="71"/>
    <s v="Medium"/>
    <n v="4"/>
    <n v="0"/>
    <x v="0"/>
    <x v="0"/>
    <n v="27.69"/>
    <n v="0.39"/>
    <n v="0"/>
  </r>
  <r>
    <n v="2567"/>
    <s v="CA-2017-123967"/>
    <d v="2017-11-01T00:00:00"/>
    <x v="3"/>
    <s v="Q4"/>
    <x v="23"/>
    <d v="2017-11-03T00:00:00"/>
    <s v="Second Class"/>
    <x v="227"/>
    <x v="227"/>
    <s v="Consumer"/>
    <s v="United States"/>
    <s v="Bellingham"/>
    <x v="4"/>
    <n v="98226"/>
    <x v="1"/>
    <x v="1375"/>
    <x v="1"/>
    <x v="8"/>
    <x v="1360"/>
    <n v="25.12"/>
    <s v="Medium"/>
    <n v="5"/>
    <n v="0.2"/>
    <x v="2"/>
    <x v="2"/>
    <n v="7.85"/>
    <n v="0.3125"/>
    <n v="0"/>
  </r>
  <r>
    <n v="2568"/>
    <s v="CA-2017-123967"/>
    <d v="2017-11-01T00:00:00"/>
    <x v="3"/>
    <s v="Q4"/>
    <x v="23"/>
    <d v="2017-11-03T00:00:00"/>
    <s v="Second Class"/>
    <x v="227"/>
    <x v="227"/>
    <s v="Consumer"/>
    <s v="United States"/>
    <s v="Bellingham"/>
    <x v="4"/>
    <n v="98226"/>
    <x v="1"/>
    <x v="1234"/>
    <x v="0"/>
    <x v="3"/>
    <x v="1217"/>
    <n v="2665.62"/>
    <s v="High"/>
    <n v="9"/>
    <n v="0"/>
    <x v="0"/>
    <x v="0"/>
    <n v="239.9058"/>
    <n v="0.09"/>
    <n v="0"/>
  </r>
  <r>
    <n v="2569"/>
    <s v="CA-2017-148929"/>
    <d v="2017-09-07T00:00:00"/>
    <x v="3"/>
    <s v="Q3"/>
    <x v="15"/>
    <d v="2017-09-11T00:00:00"/>
    <s v="Standard Class"/>
    <x v="407"/>
    <x v="407"/>
    <s v="Corporate"/>
    <s v="United States"/>
    <s v="New York City"/>
    <x v="15"/>
    <n v="10011"/>
    <x v="3"/>
    <x v="42"/>
    <x v="1"/>
    <x v="4"/>
    <x v="42"/>
    <n v="478.08"/>
    <s v="High"/>
    <n v="8"/>
    <n v="0"/>
    <x v="0"/>
    <x v="0"/>
    <n v="133.86240000000001"/>
    <n v="0.28000000000000003"/>
    <n v="0"/>
  </r>
  <r>
    <n v="2570"/>
    <s v="CA-2017-134404"/>
    <d v="2017-12-27T00:00:00"/>
    <x v="3"/>
    <s v="Q4"/>
    <x v="22"/>
    <d v="2017-12-27T00:00:00"/>
    <s v="Same Day"/>
    <x v="112"/>
    <x v="112"/>
    <s v="Corporate"/>
    <s v="United States"/>
    <s v="Newark"/>
    <x v="24"/>
    <n v="43055"/>
    <x v="3"/>
    <x v="819"/>
    <x v="2"/>
    <x v="7"/>
    <x v="815"/>
    <n v="164.38800000000001"/>
    <s v="High"/>
    <n v="2"/>
    <n v="0.4"/>
    <x v="1"/>
    <x v="7"/>
    <n v="-35.617400000000004"/>
    <n v="-0.21666666666666667"/>
    <n v="1"/>
  </r>
  <r>
    <n v="2571"/>
    <s v="CA-2017-134404"/>
    <d v="2017-12-27T00:00:00"/>
    <x v="3"/>
    <s v="Q4"/>
    <x v="22"/>
    <d v="2017-12-27T00:00:00"/>
    <s v="Same Day"/>
    <x v="112"/>
    <x v="112"/>
    <s v="Corporate"/>
    <s v="United States"/>
    <s v="Newark"/>
    <x v="24"/>
    <n v="43055"/>
    <x v="3"/>
    <x v="154"/>
    <x v="1"/>
    <x v="6"/>
    <x v="155"/>
    <n v="13.247999999999999"/>
    <s v="Low"/>
    <n v="4"/>
    <n v="0.2"/>
    <x v="2"/>
    <x v="2"/>
    <n v="3.6432000000000002"/>
    <n v="0.27500000000000002"/>
    <n v="0"/>
  </r>
  <r>
    <n v="2572"/>
    <s v="CA-2017-109778"/>
    <d v="2017-07-16T00:00:00"/>
    <x v="3"/>
    <s v="Q3"/>
    <x v="10"/>
    <d v="2017-07-21T00:00:00"/>
    <s v="Standard Class"/>
    <x v="91"/>
    <x v="91"/>
    <s v="Home Office"/>
    <s v="United States"/>
    <s v="Woodstock"/>
    <x v="10"/>
    <n v="60098"/>
    <x v="2"/>
    <x v="853"/>
    <x v="1"/>
    <x v="6"/>
    <x v="846"/>
    <n v="2.9119999999999999"/>
    <s v="Low"/>
    <n v="2"/>
    <n v="0.2"/>
    <x v="2"/>
    <x v="2"/>
    <n v="0.91"/>
    <n v="0.3125"/>
    <n v="0"/>
  </r>
  <r>
    <n v="2573"/>
    <s v="CA-2016-155845"/>
    <d v="2016-08-12T00:00:00"/>
    <x v="0"/>
    <s v="Q3"/>
    <x v="28"/>
    <d v="2016-08-15T00:00:00"/>
    <s v="Second Class"/>
    <x v="632"/>
    <x v="632"/>
    <s v="Consumer"/>
    <s v="United States"/>
    <s v="Carrollton"/>
    <x v="5"/>
    <n v="75007"/>
    <x v="2"/>
    <x v="1287"/>
    <x v="2"/>
    <x v="11"/>
    <x v="1273"/>
    <n v="1399.944"/>
    <s v="High"/>
    <n v="7"/>
    <n v="0.2"/>
    <x v="2"/>
    <x v="2"/>
    <n v="52.497900000000001"/>
    <n v="3.7499999999999999E-2"/>
    <n v="0"/>
  </r>
  <r>
    <n v="2574"/>
    <s v="CA-2017-145128"/>
    <d v="2017-07-09T00:00:00"/>
    <x v="3"/>
    <s v="Q3"/>
    <x v="10"/>
    <d v="2017-07-14T00:00:00"/>
    <s v="Standard Class"/>
    <x v="598"/>
    <x v="598"/>
    <s v="Home Office"/>
    <s v="United States"/>
    <s v="Lafayette"/>
    <x v="14"/>
    <n v="47905"/>
    <x v="2"/>
    <x v="793"/>
    <x v="0"/>
    <x v="5"/>
    <x v="791"/>
    <n v="526.45000000000005"/>
    <s v="High"/>
    <n v="5"/>
    <n v="0"/>
    <x v="0"/>
    <x v="0"/>
    <n v="31.587"/>
    <n v="0.06"/>
    <n v="0"/>
  </r>
  <r>
    <n v="2575"/>
    <s v="CA-2014-129091"/>
    <d v="2014-11-22T00:00:00"/>
    <x v="2"/>
    <s v="Q4"/>
    <x v="7"/>
    <d v="2014-11-27T00:00:00"/>
    <s v="Standard Class"/>
    <x v="19"/>
    <x v="19"/>
    <s v="Corporate"/>
    <s v="United States"/>
    <s v="Columbus"/>
    <x v="32"/>
    <n v="31907"/>
    <x v="0"/>
    <x v="897"/>
    <x v="1"/>
    <x v="12"/>
    <x v="890"/>
    <n v="16.23"/>
    <s v="Low"/>
    <n v="3"/>
    <n v="0"/>
    <x v="0"/>
    <x v="0"/>
    <n v="7.9527000000000001"/>
    <n v="0.49"/>
    <n v="0"/>
  </r>
  <r>
    <n v="2576"/>
    <s v="CA-2014-129091"/>
    <d v="2014-11-22T00:00:00"/>
    <x v="2"/>
    <s v="Q4"/>
    <x v="7"/>
    <d v="2014-11-27T00:00:00"/>
    <s v="Standard Class"/>
    <x v="19"/>
    <x v="19"/>
    <s v="Corporate"/>
    <s v="United States"/>
    <s v="Columbus"/>
    <x v="32"/>
    <n v="31907"/>
    <x v="0"/>
    <x v="669"/>
    <x v="1"/>
    <x v="8"/>
    <x v="669"/>
    <n v="319.89999999999998"/>
    <s v="High"/>
    <n v="5"/>
    <n v="0"/>
    <x v="0"/>
    <x v="0"/>
    <n v="156.751"/>
    <n v="0.49000000000000005"/>
    <n v="0"/>
  </r>
  <r>
    <n v="2577"/>
    <s v="CA-2014-129091"/>
    <d v="2014-11-22T00:00:00"/>
    <x v="2"/>
    <s v="Q4"/>
    <x v="7"/>
    <d v="2014-11-27T00:00:00"/>
    <s v="Standard Class"/>
    <x v="19"/>
    <x v="19"/>
    <s v="Corporate"/>
    <s v="United States"/>
    <s v="Columbus"/>
    <x v="32"/>
    <n v="31907"/>
    <x v="0"/>
    <x v="152"/>
    <x v="1"/>
    <x v="12"/>
    <x v="153"/>
    <n v="11.36"/>
    <s v="Low"/>
    <n v="2"/>
    <n v="0"/>
    <x v="0"/>
    <x v="0"/>
    <n v="5.3391999999999999"/>
    <n v="0.47000000000000003"/>
    <n v="0"/>
  </r>
  <r>
    <n v="2578"/>
    <s v="CA-2014-129091"/>
    <d v="2014-11-22T00:00:00"/>
    <x v="2"/>
    <s v="Q4"/>
    <x v="7"/>
    <d v="2014-11-27T00:00:00"/>
    <s v="Standard Class"/>
    <x v="19"/>
    <x v="19"/>
    <s v="Corporate"/>
    <s v="United States"/>
    <s v="Columbus"/>
    <x v="32"/>
    <n v="31907"/>
    <x v="0"/>
    <x v="1376"/>
    <x v="1"/>
    <x v="9"/>
    <x v="1361"/>
    <n v="675.12"/>
    <s v="High"/>
    <n v="3"/>
    <n v="0"/>
    <x v="0"/>
    <x v="0"/>
    <n v="290.30160000000001"/>
    <n v="0.43"/>
    <n v="0"/>
  </r>
  <r>
    <n v="2579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1377"/>
    <x v="0"/>
    <x v="5"/>
    <x v="1362"/>
    <n v="62.82"/>
    <s v="Medium"/>
    <n v="3"/>
    <n v="0"/>
    <x v="0"/>
    <x v="0"/>
    <n v="30.7818"/>
    <n v="0.49"/>
    <n v="0"/>
  </r>
  <r>
    <n v="2580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854"/>
    <x v="1"/>
    <x v="4"/>
    <x v="847"/>
    <n v="489.92"/>
    <s v="High"/>
    <n v="8"/>
    <n v="0"/>
    <x v="0"/>
    <x v="0"/>
    <n v="0"/>
    <n v="0"/>
    <n v="0"/>
  </r>
  <r>
    <n v="2581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934"/>
    <x v="1"/>
    <x v="10"/>
    <x v="927"/>
    <n v="19.440000000000001"/>
    <s v="Low"/>
    <n v="3"/>
    <n v="0"/>
    <x v="0"/>
    <x v="0"/>
    <n v="9.3312000000000008"/>
    <n v="0.48000000000000004"/>
    <n v="0"/>
  </r>
  <r>
    <n v="2582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1305"/>
    <x v="1"/>
    <x v="10"/>
    <x v="1290"/>
    <n v="16.68"/>
    <s v="Low"/>
    <n v="2"/>
    <n v="0"/>
    <x v="0"/>
    <x v="0"/>
    <n v="8.34"/>
    <n v="0.5"/>
    <n v="0"/>
  </r>
  <r>
    <n v="2583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1378"/>
    <x v="2"/>
    <x v="7"/>
    <x v="1363"/>
    <n v="155.35"/>
    <s v="High"/>
    <n v="13"/>
    <n v="0"/>
    <x v="0"/>
    <x v="0"/>
    <n v="0"/>
    <n v="0"/>
    <n v="0"/>
  </r>
  <r>
    <n v="2584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1379"/>
    <x v="0"/>
    <x v="5"/>
    <x v="1364"/>
    <n v="12.42"/>
    <s v="Low"/>
    <n v="3"/>
    <n v="0"/>
    <x v="0"/>
    <x v="0"/>
    <n v="4.4711999999999996"/>
    <n v="0.36"/>
    <n v="0"/>
  </r>
  <r>
    <n v="2585"/>
    <s v="US-2014-155502"/>
    <d v="2014-01-26T00:00:00"/>
    <x v="2"/>
    <s v="Q1"/>
    <x v="46"/>
    <d v="2014-01-31T00:00:00"/>
    <s v="Standard Class"/>
    <x v="174"/>
    <x v="174"/>
    <s v="Home Office"/>
    <s v="United States"/>
    <s v="Alexandria"/>
    <x v="17"/>
    <n v="22304"/>
    <x v="0"/>
    <x v="539"/>
    <x v="2"/>
    <x v="7"/>
    <x v="539"/>
    <n v="187.98"/>
    <s v="High"/>
    <n v="2"/>
    <n v="0"/>
    <x v="0"/>
    <x v="0"/>
    <n v="52.634399999999999"/>
    <n v="0.28000000000000003"/>
    <n v="0"/>
  </r>
  <r>
    <n v="2586"/>
    <s v="CA-2015-121041"/>
    <d v="2015-11-03T00:00:00"/>
    <x v="1"/>
    <s v="Q4"/>
    <x v="6"/>
    <d v="2015-11-10T00:00:00"/>
    <s v="Standard Class"/>
    <x v="294"/>
    <x v="294"/>
    <s v="Corporate"/>
    <s v="United States"/>
    <s v="Haltom City"/>
    <x v="5"/>
    <n v="76117"/>
    <x v="2"/>
    <x v="318"/>
    <x v="1"/>
    <x v="12"/>
    <x v="318"/>
    <n v="6.6079999999999997"/>
    <s v="Low"/>
    <n v="2"/>
    <n v="0.2"/>
    <x v="2"/>
    <x v="2"/>
    <n v="2.1476000000000002"/>
    <n v="0.32500000000000007"/>
    <n v="0"/>
  </r>
  <r>
    <n v="2587"/>
    <s v="CA-2017-131695"/>
    <d v="2017-06-30T00:00:00"/>
    <x v="3"/>
    <s v="Q2"/>
    <x v="27"/>
    <d v="2017-07-06T00:00:00"/>
    <s v="Standard Class"/>
    <x v="267"/>
    <x v="267"/>
    <s v="Consumer"/>
    <s v="United States"/>
    <s v="New York City"/>
    <x v="15"/>
    <n v="10024"/>
    <x v="3"/>
    <x v="841"/>
    <x v="1"/>
    <x v="4"/>
    <x v="835"/>
    <n v="248.57"/>
    <s v="High"/>
    <n v="7"/>
    <n v="0"/>
    <x v="0"/>
    <x v="0"/>
    <n v="67.113900000000001"/>
    <n v="0.27"/>
    <n v="0"/>
  </r>
  <r>
    <n v="2588"/>
    <s v="CA-2017-131695"/>
    <d v="2017-06-30T00:00:00"/>
    <x v="3"/>
    <s v="Q2"/>
    <x v="27"/>
    <d v="2017-07-06T00:00:00"/>
    <s v="Standard Class"/>
    <x v="267"/>
    <x v="267"/>
    <s v="Consumer"/>
    <s v="United States"/>
    <s v="New York City"/>
    <x v="15"/>
    <n v="10024"/>
    <x v="3"/>
    <x v="1380"/>
    <x v="0"/>
    <x v="5"/>
    <x v="1365"/>
    <n v="22.23"/>
    <s v="Low"/>
    <n v="1"/>
    <n v="0"/>
    <x v="0"/>
    <x v="0"/>
    <n v="9.7812000000000001"/>
    <n v="0.44"/>
    <n v="0"/>
  </r>
  <r>
    <n v="2589"/>
    <s v="CA-2016-137729"/>
    <d v="2016-05-05T00:00:00"/>
    <x v="0"/>
    <s v="Q2"/>
    <x v="35"/>
    <d v="2016-05-09T00:00:00"/>
    <s v="Standard Class"/>
    <x v="593"/>
    <x v="593"/>
    <s v="Home Office"/>
    <s v="United States"/>
    <s v="Los Angeles"/>
    <x v="1"/>
    <n v="90004"/>
    <x v="1"/>
    <x v="1198"/>
    <x v="1"/>
    <x v="4"/>
    <x v="1183"/>
    <n v="5.98"/>
    <s v="Low"/>
    <n v="1"/>
    <n v="0"/>
    <x v="0"/>
    <x v="0"/>
    <n v="1.0165999999999999"/>
    <n v="0.16999999999999998"/>
    <n v="0"/>
  </r>
  <r>
    <n v="2590"/>
    <s v="CA-2016-137729"/>
    <d v="2016-05-05T00:00:00"/>
    <x v="0"/>
    <s v="Q2"/>
    <x v="35"/>
    <d v="2016-05-09T00:00:00"/>
    <s v="Standard Class"/>
    <x v="593"/>
    <x v="593"/>
    <s v="Home Office"/>
    <s v="United States"/>
    <s v="Los Angeles"/>
    <x v="1"/>
    <n v="90004"/>
    <x v="1"/>
    <x v="239"/>
    <x v="2"/>
    <x v="7"/>
    <x v="240"/>
    <n v="246.16800000000001"/>
    <s v="High"/>
    <n v="3"/>
    <n v="0.2"/>
    <x v="2"/>
    <x v="2"/>
    <n v="21.5397"/>
    <n v="8.7499999999999994E-2"/>
    <n v="0"/>
  </r>
  <r>
    <n v="2591"/>
    <s v="US-2016-115455"/>
    <d v="2016-09-08T00:00:00"/>
    <x v="0"/>
    <s v="Q3"/>
    <x v="21"/>
    <d v="2016-09-14T00:00:00"/>
    <s v="Standard Class"/>
    <x v="339"/>
    <x v="339"/>
    <s v="Consumer"/>
    <s v="United States"/>
    <s v="Wheeling"/>
    <x v="10"/>
    <n v="60090"/>
    <x v="2"/>
    <x v="1381"/>
    <x v="0"/>
    <x v="5"/>
    <x v="1366"/>
    <n v="14.135999999999999"/>
    <s v="Low"/>
    <n v="2"/>
    <n v="0.6"/>
    <x v="1"/>
    <x v="6"/>
    <n v="-7.7747999999999999"/>
    <n v="-0.55000000000000004"/>
    <n v="1"/>
  </r>
  <r>
    <n v="2592"/>
    <s v="US-2016-115455"/>
    <d v="2016-09-08T00:00:00"/>
    <x v="0"/>
    <s v="Q3"/>
    <x v="21"/>
    <d v="2016-09-14T00:00:00"/>
    <s v="Standard Class"/>
    <x v="339"/>
    <x v="339"/>
    <s v="Consumer"/>
    <s v="United States"/>
    <s v="Wheeling"/>
    <x v="10"/>
    <n v="60090"/>
    <x v="2"/>
    <x v="1382"/>
    <x v="0"/>
    <x v="3"/>
    <x v="1367"/>
    <n v="601.47"/>
    <s v="High"/>
    <n v="3"/>
    <n v="0.5"/>
    <x v="1"/>
    <x v="1"/>
    <n v="-300.73500000000001"/>
    <n v="-0.5"/>
    <n v="1"/>
  </r>
  <r>
    <n v="2593"/>
    <s v="CA-2017-128300"/>
    <d v="2017-11-24T00:00:00"/>
    <x v="3"/>
    <s v="Q4"/>
    <x v="23"/>
    <d v="2017-11-26T00:00:00"/>
    <s v="Second Class"/>
    <x v="276"/>
    <x v="276"/>
    <s v="Corporate"/>
    <s v="United States"/>
    <s v="Summerville"/>
    <x v="20"/>
    <n v="29483"/>
    <x v="0"/>
    <x v="1255"/>
    <x v="2"/>
    <x v="7"/>
    <x v="1239"/>
    <n v="79.099999999999994"/>
    <s v="Medium"/>
    <n v="2"/>
    <n v="0"/>
    <x v="0"/>
    <x v="0"/>
    <n v="39.549999999999997"/>
    <n v="0.5"/>
    <n v="0"/>
  </r>
  <r>
    <n v="2594"/>
    <s v="CA-2017-128300"/>
    <d v="2017-11-24T00:00:00"/>
    <x v="3"/>
    <s v="Q4"/>
    <x v="23"/>
    <d v="2017-11-26T00:00:00"/>
    <s v="Second Class"/>
    <x v="276"/>
    <x v="276"/>
    <s v="Corporate"/>
    <s v="United States"/>
    <s v="Summerville"/>
    <x v="20"/>
    <n v="29483"/>
    <x v="0"/>
    <x v="800"/>
    <x v="1"/>
    <x v="8"/>
    <x v="798"/>
    <n v="327.84"/>
    <s v="High"/>
    <n v="8"/>
    <n v="0"/>
    <x v="0"/>
    <x v="0"/>
    <n v="157.36320000000001"/>
    <n v="0.48000000000000004"/>
    <n v="0"/>
  </r>
  <r>
    <n v="2595"/>
    <s v="CA-2017-149048"/>
    <d v="2017-05-13T00:00:00"/>
    <x v="3"/>
    <s v="Q2"/>
    <x v="24"/>
    <d v="2017-05-17T00:00:00"/>
    <s v="Standard Class"/>
    <x v="312"/>
    <x v="312"/>
    <s v="Corporate"/>
    <s v="United States"/>
    <s v="Columbus"/>
    <x v="14"/>
    <n v="47201"/>
    <x v="2"/>
    <x v="231"/>
    <x v="1"/>
    <x v="12"/>
    <x v="232"/>
    <n v="180.96"/>
    <s v="High"/>
    <n v="2"/>
    <n v="0"/>
    <x v="0"/>
    <x v="0"/>
    <n v="81.432000000000002"/>
    <n v="0.45"/>
    <n v="0"/>
  </r>
  <r>
    <n v="2596"/>
    <s v="CA-2017-149048"/>
    <d v="2017-05-13T00:00:00"/>
    <x v="3"/>
    <s v="Q2"/>
    <x v="24"/>
    <d v="2017-05-17T00:00:00"/>
    <s v="Standard Class"/>
    <x v="312"/>
    <x v="312"/>
    <s v="Corporate"/>
    <s v="United States"/>
    <s v="Columbus"/>
    <x v="14"/>
    <n v="47201"/>
    <x v="2"/>
    <x v="569"/>
    <x v="1"/>
    <x v="8"/>
    <x v="569"/>
    <n v="914.97"/>
    <s v="High"/>
    <n v="3"/>
    <n v="0"/>
    <x v="0"/>
    <x v="0"/>
    <n v="411.73649999999998"/>
    <n v="0.44999999999999996"/>
    <n v="0"/>
  </r>
  <r>
    <n v="2597"/>
    <s v="CA-2017-149048"/>
    <d v="2017-05-13T00:00:00"/>
    <x v="3"/>
    <s v="Q2"/>
    <x v="24"/>
    <d v="2017-05-17T00:00:00"/>
    <s v="Standard Class"/>
    <x v="312"/>
    <x v="312"/>
    <s v="Corporate"/>
    <s v="United States"/>
    <s v="Columbus"/>
    <x v="14"/>
    <n v="47201"/>
    <x v="2"/>
    <x v="966"/>
    <x v="2"/>
    <x v="7"/>
    <x v="1368"/>
    <n v="587.97"/>
    <s v="High"/>
    <n v="3"/>
    <n v="0"/>
    <x v="0"/>
    <x v="0"/>
    <n v="158.75190000000001"/>
    <n v="0.27"/>
    <n v="0"/>
  </r>
  <r>
    <n v="2598"/>
    <s v="CA-2017-149048"/>
    <d v="2017-05-13T00:00:00"/>
    <x v="3"/>
    <s v="Q2"/>
    <x v="24"/>
    <d v="2017-05-17T00:00:00"/>
    <s v="Standard Class"/>
    <x v="312"/>
    <x v="312"/>
    <s v="Corporate"/>
    <s v="United States"/>
    <s v="Columbus"/>
    <x v="14"/>
    <n v="47201"/>
    <x v="2"/>
    <x v="1244"/>
    <x v="1"/>
    <x v="4"/>
    <x v="1227"/>
    <n v="530.34"/>
    <s v="High"/>
    <n v="2"/>
    <n v="0"/>
    <x v="0"/>
    <x v="0"/>
    <n v="95.461200000000005"/>
    <n v="0.18"/>
    <n v="0"/>
  </r>
  <r>
    <n v="2599"/>
    <s v="CA-2017-149048"/>
    <d v="2017-05-13T00:00:00"/>
    <x v="3"/>
    <s v="Q2"/>
    <x v="24"/>
    <d v="2017-05-17T00:00:00"/>
    <s v="Standard Class"/>
    <x v="312"/>
    <x v="312"/>
    <s v="Corporate"/>
    <s v="United States"/>
    <s v="Columbus"/>
    <x v="14"/>
    <n v="47201"/>
    <x v="2"/>
    <x v="1383"/>
    <x v="1"/>
    <x v="10"/>
    <x v="1369"/>
    <n v="14.94"/>
    <s v="Low"/>
    <n v="3"/>
    <n v="0"/>
    <x v="0"/>
    <x v="0"/>
    <n v="7.3205999999999998"/>
    <n v="0.49"/>
    <n v="0"/>
  </r>
  <r>
    <n v="2600"/>
    <s v="CA-2017-108553"/>
    <d v="2017-04-23T00:00:00"/>
    <x v="3"/>
    <s v="Q2"/>
    <x v="4"/>
    <d v="2017-04-29T00:00:00"/>
    <s v="Standard Class"/>
    <x v="85"/>
    <x v="85"/>
    <s v="Consumer"/>
    <s v="United States"/>
    <s v="New York City"/>
    <x v="15"/>
    <n v="10024"/>
    <x v="3"/>
    <x v="1306"/>
    <x v="1"/>
    <x v="9"/>
    <x v="1291"/>
    <n v="121.94"/>
    <s v="Medium"/>
    <n v="2"/>
    <n v="0"/>
    <x v="0"/>
    <x v="0"/>
    <n v="35.3626"/>
    <n v="0.29000000000000004"/>
    <n v="0"/>
  </r>
  <r>
    <n v="2601"/>
    <s v="CA-2017-108553"/>
    <d v="2017-04-23T00:00:00"/>
    <x v="3"/>
    <s v="Q2"/>
    <x v="4"/>
    <d v="2017-04-29T00:00:00"/>
    <s v="Standard Class"/>
    <x v="85"/>
    <x v="85"/>
    <s v="Consumer"/>
    <s v="United States"/>
    <s v="New York City"/>
    <x v="15"/>
    <n v="10024"/>
    <x v="3"/>
    <x v="354"/>
    <x v="1"/>
    <x v="14"/>
    <x v="354"/>
    <n v="122.71"/>
    <s v="Medium"/>
    <n v="7"/>
    <n v="0"/>
    <x v="0"/>
    <x v="0"/>
    <n v="36.813000000000002"/>
    <n v="0.30000000000000004"/>
    <n v="0"/>
  </r>
  <r>
    <n v="2602"/>
    <s v="CA-2016-165848"/>
    <d v="2016-06-04T00:00:00"/>
    <x v="0"/>
    <s v="Q2"/>
    <x v="1"/>
    <d v="2016-06-04T00:00:00"/>
    <s v="Same Day"/>
    <x v="633"/>
    <x v="633"/>
    <s v="Consumer"/>
    <s v="United States"/>
    <s v="New York City"/>
    <x v="15"/>
    <n v="10035"/>
    <x v="3"/>
    <x v="811"/>
    <x v="1"/>
    <x v="10"/>
    <x v="33"/>
    <n v="14.94"/>
    <s v="Low"/>
    <n v="3"/>
    <n v="0"/>
    <x v="0"/>
    <x v="0"/>
    <n v="7.0217999999999998"/>
    <n v="0.47000000000000003"/>
    <n v="0"/>
  </r>
  <r>
    <n v="2603"/>
    <s v="CA-2016-165848"/>
    <d v="2016-06-04T00:00:00"/>
    <x v="0"/>
    <s v="Q2"/>
    <x v="1"/>
    <d v="2016-06-04T00:00:00"/>
    <s v="Same Day"/>
    <x v="633"/>
    <x v="633"/>
    <s v="Consumer"/>
    <s v="United States"/>
    <s v="New York City"/>
    <x v="15"/>
    <n v="10035"/>
    <x v="3"/>
    <x v="1384"/>
    <x v="2"/>
    <x v="15"/>
    <x v="1370"/>
    <n v="1349.85"/>
    <s v="High"/>
    <n v="3"/>
    <n v="0"/>
    <x v="0"/>
    <x v="0"/>
    <n v="364.45949999999999"/>
    <n v="0.27"/>
    <n v="0"/>
  </r>
  <r>
    <n v="2604"/>
    <s v="CA-2016-165848"/>
    <d v="2016-06-04T00:00:00"/>
    <x v="0"/>
    <s v="Q2"/>
    <x v="1"/>
    <d v="2016-06-04T00:00:00"/>
    <s v="Same Day"/>
    <x v="633"/>
    <x v="633"/>
    <s v="Consumer"/>
    <s v="United States"/>
    <s v="New York City"/>
    <x v="15"/>
    <n v="10035"/>
    <x v="3"/>
    <x v="1057"/>
    <x v="0"/>
    <x v="0"/>
    <x v="1046"/>
    <n v="136.78399999999999"/>
    <s v="High"/>
    <n v="1"/>
    <n v="0.2"/>
    <x v="2"/>
    <x v="2"/>
    <n v="5.1294000000000004"/>
    <n v="3.7500000000000006E-2"/>
    <n v="0"/>
  </r>
  <r>
    <n v="2605"/>
    <s v="CA-2016-165848"/>
    <d v="2016-06-04T00:00:00"/>
    <x v="0"/>
    <s v="Q2"/>
    <x v="1"/>
    <d v="2016-06-04T00:00:00"/>
    <s v="Same Day"/>
    <x v="633"/>
    <x v="633"/>
    <s v="Consumer"/>
    <s v="United States"/>
    <s v="New York City"/>
    <x v="15"/>
    <n v="10035"/>
    <x v="3"/>
    <x v="677"/>
    <x v="0"/>
    <x v="5"/>
    <x v="677"/>
    <n v="61.12"/>
    <s v="Medium"/>
    <n v="4"/>
    <n v="0"/>
    <x v="0"/>
    <x v="0"/>
    <n v="20.780799999999999"/>
    <n v="0.34"/>
    <n v="0"/>
  </r>
  <r>
    <n v="2606"/>
    <s v="CA-2014-112718"/>
    <d v="2014-12-16T00:00:00"/>
    <x v="2"/>
    <s v="Q4"/>
    <x v="20"/>
    <d v="2014-12-21T00:00:00"/>
    <s v="Standard Class"/>
    <x v="634"/>
    <x v="634"/>
    <s v="Corporate"/>
    <s v="United States"/>
    <s v="Jacksonville"/>
    <x v="2"/>
    <n v="32216"/>
    <x v="0"/>
    <x v="1065"/>
    <x v="1"/>
    <x v="8"/>
    <x v="1054"/>
    <n v="1.167"/>
    <s v="Low"/>
    <n v="1"/>
    <n v="0.7"/>
    <x v="1"/>
    <x v="5"/>
    <n v="-0.85580000000000001"/>
    <n v="-0.73333333333333328"/>
    <n v="1"/>
  </r>
  <r>
    <n v="2607"/>
    <s v="CA-2016-154053"/>
    <d v="2016-03-04T00:00:00"/>
    <x v="0"/>
    <s v="Q1"/>
    <x v="17"/>
    <d v="2016-03-10T00:00:00"/>
    <s v="Standard Class"/>
    <x v="450"/>
    <x v="450"/>
    <s v="Home Office"/>
    <s v="United States"/>
    <s v="San Diego"/>
    <x v="1"/>
    <n v="92024"/>
    <x v="1"/>
    <x v="1385"/>
    <x v="1"/>
    <x v="6"/>
    <x v="1371"/>
    <n v="16.989999999999998"/>
    <s v="Low"/>
    <n v="1"/>
    <n v="0"/>
    <x v="0"/>
    <x v="0"/>
    <n v="4.9271000000000003"/>
    <n v="0.29000000000000004"/>
    <n v="0"/>
  </r>
  <r>
    <n v="2608"/>
    <s v="CA-2014-127446"/>
    <d v="2014-11-25T00:00:00"/>
    <x v="2"/>
    <s v="Q4"/>
    <x v="7"/>
    <d v="2014-11-30T00:00:00"/>
    <s v="Standard Class"/>
    <x v="565"/>
    <x v="565"/>
    <s v="Corporate"/>
    <s v="United States"/>
    <s v="Arlington"/>
    <x v="5"/>
    <n v="76017"/>
    <x v="2"/>
    <x v="1386"/>
    <x v="2"/>
    <x v="11"/>
    <x v="1372"/>
    <n v="24.672000000000001"/>
    <s v="Low"/>
    <n v="3"/>
    <n v="0.2"/>
    <x v="2"/>
    <x v="2"/>
    <n v="0"/>
    <n v="0"/>
    <n v="0"/>
  </r>
  <r>
    <n v="2609"/>
    <s v="CA-2014-127446"/>
    <d v="2014-11-25T00:00:00"/>
    <x v="2"/>
    <s v="Q4"/>
    <x v="7"/>
    <d v="2014-11-30T00:00:00"/>
    <s v="Standard Class"/>
    <x v="565"/>
    <x v="565"/>
    <s v="Corporate"/>
    <s v="United States"/>
    <s v="Arlington"/>
    <x v="5"/>
    <n v="76017"/>
    <x v="2"/>
    <x v="395"/>
    <x v="1"/>
    <x v="2"/>
    <x v="396"/>
    <n v="2.52"/>
    <s v="Low"/>
    <n v="1"/>
    <n v="0.2"/>
    <x v="2"/>
    <x v="2"/>
    <n v="0.88200000000000001"/>
    <n v="0.35"/>
    <n v="0"/>
  </r>
  <r>
    <n v="2610"/>
    <s v="CA-2014-127446"/>
    <d v="2014-11-25T00:00:00"/>
    <x v="2"/>
    <s v="Q4"/>
    <x v="7"/>
    <d v="2014-11-30T00:00:00"/>
    <s v="Standard Class"/>
    <x v="565"/>
    <x v="565"/>
    <s v="Corporate"/>
    <s v="United States"/>
    <s v="Arlington"/>
    <x v="5"/>
    <n v="76017"/>
    <x v="2"/>
    <x v="3"/>
    <x v="0"/>
    <x v="3"/>
    <x v="3"/>
    <n v="1218.7349999999999"/>
    <s v="High"/>
    <n v="5"/>
    <n v="0.3"/>
    <x v="1"/>
    <x v="4"/>
    <n v="-121.87350000000001"/>
    <n v="-0.10000000000000002"/>
    <n v="1"/>
  </r>
  <r>
    <n v="2611"/>
    <s v="CA-2014-127446"/>
    <d v="2014-11-25T00:00:00"/>
    <x v="2"/>
    <s v="Q4"/>
    <x v="7"/>
    <d v="2014-11-30T00:00:00"/>
    <s v="Standard Class"/>
    <x v="565"/>
    <x v="565"/>
    <s v="Corporate"/>
    <s v="United States"/>
    <s v="Arlington"/>
    <x v="5"/>
    <n v="76017"/>
    <x v="2"/>
    <x v="1238"/>
    <x v="1"/>
    <x v="2"/>
    <x v="1221"/>
    <n v="5.9039999999999999"/>
    <s v="Low"/>
    <n v="2"/>
    <n v="0.2"/>
    <x v="2"/>
    <x v="2"/>
    <n v="1.9925999999999999"/>
    <n v="0.33749999999999997"/>
    <n v="0"/>
  </r>
  <r>
    <n v="2612"/>
    <s v="CA-2014-127446"/>
    <d v="2014-11-25T00:00:00"/>
    <x v="2"/>
    <s v="Q4"/>
    <x v="7"/>
    <d v="2014-11-30T00:00:00"/>
    <s v="Standard Class"/>
    <x v="565"/>
    <x v="565"/>
    <s v="Corporate"/>
    <s v="United States"/>
    <s v="Arlington"/>
    <x v="5"/>
    <n v="76017"/>
    <x v="2"/>
    <x v="783"/>
    <x v="1"/>
    <x v="10"/>
    <x v="782"/>
    <n v="15.696"/>
    <s v="Low"/>
    <n v="3"/>
    <n v="0.2"/>
    <x v="2"/>
    <x v="2"/>
    <n v="5.1012000000000004"/>
    <n v="0.32500000000000001"/>
    <n v="0"/>
  </r>
  <r>
    <n v="2613"/>
    <s v="CA-2014-127446"/>
    <d v="2014-11-25T00:00:00"/>
    <x v="2"/>
    <s v="Q4"/>
    <x v="7"/>
    <d v="2014-11-30T00:00:00"/>
    <s v="Standard Class"/>
    <x v="565"/>
    <x v="565"/>
    <s v="Corporate"/>
    <s v="United States"/>
    <s v="Arlington"/>
    <x v="5"/>
    <n v="76017"/>
    <x v="2"/>
    <x v="534"/>
    <x v="0"/>
    <x v="5"/>
    <x v="534"/>
    <n v="6.0960000000000001"/>
    <s v="Low"/>
    <n v="3"/>
    <n v="0.6"/>
    <x v="1"/>
    <x v="6"/>
    <n v="-3.9624000000000001"/>
    <n v="-0.65"/>
    <n v="1"/>
  </r>
  <r>
    <n v="2614"/>
    <s v="CA-2016-137204"/>
    <d v="2016-04-28T00:00:00"/>
    <x v="0"/>
    <s v="Q2"/>
    <x v="25"/>
    <d v="2016-05-05T00:00:00"/>
    <s v="Standard Class"/>
    <x v="635"/>
    <x v="635"/>
    <s v="Corporate"/>
    <s v="United States"/>
    <s v="Los Angeles"/>
    <x v="1"/>
    <n v="90045"/>
    <x v="1"/>
    <x v="792"/>
    <x v="0"/>
    <x v="1"/>
    <x v="790"/>
    <n v="41.567999999999998"/>
    <s v="Medium"/>
    <n v="2"/>
    <n v="0.2"/>
    <x v="2"/>
    <x v="2"/>
    <n v="2.5979999999999999"/>
    <n v="6.25E-2"/>
    <n v="0"/>
  </r>
  <r>
    <n v="2615"/>
    <s v="CA-2014-147298"/>
    <d v="2014-04-26T00:00:00"/>
    <x v="2"/>
    <s v="Q2"/>
    <x v="41"/>
    <d v="2014-05-03T00:00:00"/>
    <s v="Standard Class"/>
    <x v="636"/>
    <x v="636"/>
    <s v="Corporate"/>
    <s v="United States"/>
    <s v="Los Angeles"/>
    <x v="1"/>
    <n v="90049"/>
    <x v="1"/>
    <x v="370"/>
    <x v="0"/>
    <x v="1"/>
    <x v="371"/>
    <n v="230.28"/>
    <s v="High"/>
    <n v="3"/>
    <n v="0.2"/>
    <x v="2"/>
    <x v="2"/>
    <n v="23.027999999999999"/>
    <n v="9.9999999999999992E-2"/>
    <n v="0"/>
  </r>
  <r>
    <n v="2616"/>
    <s v="CA-2014-147298"/>
    <d v="2014-04-26T00:00:00"/>
    <x v="2"/>
    <s v="Q2"/>
    <x v="41"/>
    <d v="2014-05-03T00:00:00"/>
    <s v="Standard Class"/>
    <x v="636"/>
    <x v="636"/>
    <s v="Corporate"/>
    <s v="United States"/>
    <s v="Los Angeles"/>
    <x v="1"/>
    <n v="90049"/>
    <x v="1"/>
    <x v="31"/>
    <x v="1"/>
    <x v="8"/>
    <x v="31"/>
    <n v="18.288"/>
    <s v="Low"/>
    <n v="6"/>
    <n v="0.2"/>
    <x v="2"/>
    <x v="2"/>
    <n v="5.7149999999999999"/>
    <n v="0.3125"/>
    <n v="0"/>
  </r>
  <r>
    <n v="2617"/>
    <s v="CA-2017-147942"/>
    <d v="2017-04-01T00:00:00"/>
    <x v="3"/>
    <s v="Q2"/>
    <x v="4"/>
    <d v="2017-04-05T00:00:00"/>
    <s v="Standard Class"/>
    <x v="333"/>
    <x v="333"/>
    <s v="Consumer"/>
    <s v="United States"/>
    <s v="San Francisco"/>
    <x v="1"/>
    <n v="94110"/>
    <x v="1"/>
    <x v="1387"/>
    <x v="1"/>
    <x v="2"/>
    <x v="1373"/>
    <n v="5.78"/>
    <s v="Low"/>
    <n v="2"/>
    <n v="0"/>
    <x v="0"/>
    <x v="0"/>
    <n v="2.7166000000000001"/>
    <n v="0.47000000000000003"/>
    <n v="0"/>
  </r>
  <r>
    <n v="2618"/>
    <s v="CA-2017-147942"/>
    <d v="2017-04-01T00:00:00"/>
    <x v="3"/>
    <s v="Q2"/>
    <x v="4"/>
    <d v="2017-04-05T00:00:00"/>
    <s v="Standard Class"/>
    <x v="333"/>
    <x v="333"/>
    <s v="Consumer"/>
    <s v="United States"/>
    <s v="San Francisco"/>
    <x v="1"/>
    <n v="94110"/>
    <x v="1"/>
    <x v="673"/>
    <x v="1"/>
    <x v="8"/>
    <x v="673"/>
    <n v="121.68"/>
    <s v="Medium"/>
    <n v="13"/>
    <n v="0.2"/>
    <x v="2"/>
    <x v="2"/>
    <n v="38.024999999999999"/>
    <n v="0.31249999999999994"/>
    <n v="0"/>
  </r>
  <r>
    <n v="2619"/>
    <s v="CA-2017-115931"/>
    <d v="2017-12-22T00:00:00"/>
    <x v="3"/>
    <s v="Q4"/>
    <x v="22"/>
    <d v="2017-12-26T00:00:00"/>
    <s v="Standard Class"/>
    <x v="487"/>
    <x v="487"/>
    <s v="Corporate"/>
    <s v="United States"/>
    <s v="Carlsbad"/>
    <x v="27"/>
    <n v="88220"/>
    <x v="1"/>
    <x v="381"/>
    <x v="1"/>
    <x v="6"/>
    <x v="382"/>
    <n v="4.17"/>
    <s v="Low"/>
    <n v="3"/>
    <n v="0"/>
    <x v="0"/>
    <x v="0"/>
    <n v="1.0842000000000001"/>
    <n v="0.26"/>
    <n v="0"/>
  </r>
  <r>
    <n v="2620"/>
    <s v="CA-2017-115931"/>
    <d v="2017-12-22T00:00:00"/>
    <x v="3"/>
    <s v="Q4"/>
    <x v="22"/>
    <d v="2017-12-26T00:00:00"/>
    <s v="Standard Class"/>
    <x v="487"/>
    <x v="487"/>
    <s v="Corporate"/>
    <s v="United States"/>
    <s v="Carlsbad"/>
    <x v="27"/>
    <n v="88220"/>
    <x v="1"/>
    <x v="1020"/>
    <x v="2"/>
    <x v="7"/>
    <x v="1011"/>
    <n v="67.040000000000006"/>
    <s v="Medium"/>
    <n v="4"/>
    <n v="0.2"/>
    <x v="2"/>
    <x v="2"/>
    <n v="6.7039999999999997"/>
    <n v="9.9999999999999992E-2"/>
    <n v="0"/>
  </r>
  <r>
    <n v="2621"/>
    <s v="CA-2017-115931"/>
    <d v="2017-12-22T00:00:00"/>
    <x v="3"/>
    <s v="Q4"/>
    <x v="22"/>
    <d v="2017-12-26T00:00:00"/>
    <s v="Standard Class"/>
    <x v="487"/>
    <x v="487"/>
    <s v="Corporate"/>
    <s v="United States"/>
    <s v="Carlsbad"/>
    <x v="27"/>
    <n v="88220"/>
    <x v="1"/>
    <x v="253"/>
    <x v="1"/>
    <x v="4"/>
    <x v="254"/>
    <n v="37.32"/>
    <s v="Medium"/>
    <n v="3"/>
    <n v="0"/>
    <x v="0"/>
    <x v="0"/>
    <n v="10.4496"/>
    <n v="0.28000000000000003"/>
    <n v="0"/>
  </r>
  <r>
    <n v="2622"/>
    <s v="CA-2017-115931"/>
    <d v="2017-12-22T00:00:00"/>
    <x v="3"/>
    <s v="Q4"/>
    <x v="22"/>
    <d v="2017-12-26T00:00:00"/>
    <s v="Standard Class"/>
    <x v="487"/>
    <x v="487"/>
    <s v="Corporate"/>
    <s v="United States"/>
    <s v="Carlsbad"/>
    <x v="27"/>
    <n v="88220"/>
    <x v="1"/>
    <x v="932"/>
    <x v="1"/>
    <x v="2"/>
    <x v="925"/>
    <n v="18.45"/>
    <s v="Low"/>
    <n v="5"/>
    <n v="0"/>
    <x v="0"/>
    <x v="0"/>
    <n v="8.6715"/>
    <n v="0.47000000000000003"/>
    <n v="0"/>
  </r>
  <r>
    <n v="2623"/>
    <s v="CA-2014-164861"/>
    <d v="2014-12-03T00:00:00"/>
    <x v="2"/>
    <s v="Q4"/>
    <x v="20"/>
    <d v="2014-12-06T00:00:00"/>
    <s v="Second Class"/>
    <x v="637"/>
    <x v="637"/>
    <s v="Corporate"/>
    <s v="United States"/>
    <s v="Saint Louis"/>
    <x v="25"/>
    <n v="63116"/>
    <x v="2"/>
    <x v="1193"/>
    <x v="1"/>
    <x v="10"/>
    <x v="1178"/>
    <n v="25.92"/>
    <s v="Medium"/>
    <n v="4"/>
    <n v="0"/>
    <x v="0"/>
    <x v="0"/>
    <n v="12.441599999999999"/>
    <n v="0.47999999999999993"/>
    <n v="0"/>
  </r>
  <r>
    <n v="2624"/>
    <s v="CA-2017-127180"/>
    <d v="2017-10-22T00:00:00"/>
    <x v="3"/>
    <s v="Q4"/>
    <x v="13"/>
    <d v="2017-10-24T00:00:00"/>
    <s v="First Class"/>
    <x v="638"/>
    <x v="638"/>
    <s v="Home Office"/>
    <s v="United States"/>
    <s v="New York City"/>
    <x v="15"/>
    <n v="10024"/>
    <x v="3"/>
    <x v="1388"/>
    <x v="2"/>
    <x v="16"/>
    <x v="1374"/>
    <n v="11199.968000000001"/>
    <s v="High"/>
    <n v="4"/>
    <n v="0.2"/>
    <x v="2"/>
    <x v="2"/>
    <n v="3919.9888000000001"/>
    <n v="0.35"/>
    <n v="0"/>
  </r>
  <r>
    <n v="2625"/>
    <s v="CA-2017-127180"/>
    <d v="2017-10-22T00:00:00"/>
    <x v="3"/>
    <s v="Q4"/>
    <x v="13"/>
    <d v="2017-10-24T00:00:00"/>
    <s v="First Class"/>
    <x v="638"/>
    <x v="638"/>
    <s v="Home Office"/>
    <s v="United States"/>
    <s v="New York City"/>
    <x v="15"/>
    <n v="10024"/>
    <x v="3"/>
    <x v="716"/>
    <x v="2"/>
    <x v="7"/>
    <x v="715"/>
    <n v="2399.6"/>
    <s v="High"/>
    <n v="8"/>
    <n v="0"/>
    <x v="0"/>
    <x v="0"/>
    <n v="647.89200000000005"/>
    <n v="0.27"/>
    <n v="0"/>
  </r>
  <r>
    <n v="2626"/>
    <s v="CA-2017-127180"/>
    <d v="2017-10-22T00:00:00"/>
    <x v="3"/>
    <s v="Q4"/>
    <x v="13"/>
    <d v="2017-10-24T00:00:00"/>
    <s v="First Class"/>
    <x v="638"/>
    <x v="638"/>
    <s v="Home Office"/>
    <s v="United States"/>
    <s v="New York City"/>
    <x v="15"/>
    <n v="10024"/>
    <x v="3"/>
    <x v="118"/>
    <x v="1"/>
    <x v="12"/>
    <x v="118"/>
    <n v="63.9"/>
    <s v="Medium"/>
    <n v="5"/>
    <n v="0"/>
    <x v="0"/>
    <x v="0"/>
    <n v="28.754999999999999"/>
    <n v="0.45"/>
    <n v="0"/>
  </r>
  <r>
    <n v="2627"/>
    <s v="CA-2017-127180"/>
    <d v="2017-10-22T00:00:00"/>
    <x v="3"/>
    <s v="Q4"/>
    <x v="13"/>
    <d v="2017-10-24T00:00:00"/>
    <s v="First Class"/>
    <x v="638"/>
    <x v="638"/>
    <s v="Home Office"/>
    <s v="United States"/>
    <s v="New York City"/>
    <x v="15"/>
    <n v="10024"/>
    <x v="3"/>
    <x v="509"/>
    <x v="2"/>
    <x v="7"/>
    <x v="509"/>
    <n v="52.99"/>
    <s v="Medium"/>
    <n v="1"/>
    <n v="0"/>
    <x v="0"/>
    <x v="0"/>
    <n v="0.52990000000000004"/>
    <n v="0.01"/>
    <n v="0"/>
  </r>
  <r>
    <n v="2628"/>
    <s v="US-2017-165344"/>
    <d v="2017-11-13T00:00:00"/>
    <x v="3"/>
    <s v="Q4"/>
    <x v="23"/>
    <d v="2017-11-15T00:00:00"/>
    <s v="First Class"/>
    <x v="115"/>
    <x v="115"/>
    <s v="Corporate"/>
    <s v="United States"/>
    <s v="Springfield"/>
    <x v="24"/>
    <n v="45503"/>
    <x v="3"/>
    <x v="452"/>
    <x v="2"/>
    <x v="11"/>
    <x v="453"/>
    <n v="60.863999999999997"/>
    <s v="Medium"/>
    <n v="4"/>
    <n v="0.2"/>
    <x v="2"/>
    <x v="2"/>
    <n v="9.1295999999999999"/>
    <n v="0.15"/>
    <n v="0"/>
  </r>
  <r>
    <n v="2629"/>
    <s v="US-2017-165344"/>
    <d v="2017-11-13T00:00:00"/>
    <x v="3"/>
    <s v="Q4"/>
    <x v="23"/>
    <d v="2017-11-15T00:00:00"/>
    <s v="First Class"/>
    <x v="115"/>
    <x v="115"/>
    <s v="Corporate"/>
    <s v="United States"/>
    <s v="Springfield"/>
    <x v="24"/>
    <n v="45503"/>
    <x v="3"/>
    <x v="1389"/>
    <x v="2"/>
    <x v="15"/>
    <x v="1375"/>
    <n v="652.995"/>
    <s v="High"/>
    <n v="7"/>
    <n v="0.7"/>
    <x v="1"/>
    <x v="5"/>
    <n v="-935.95950000000005"/>
    <n v="-1.4333333333333333"/>
    <n v="1"/>
  </r>
  <r>
    <n v="2630"/>
    <s v="US-2017-165344"/>
    <d v="2017-11-13T00:00:00"/>
    <x v="3"/>
    <s v="Q4"/>
    <x v="23"/>
    <d v="2017-11-15T00:00:00"/>
    <s v="First Class"/>
    <x v="115"/>
    <x v="115"/>
    <s v="Corporate"/>
    <s v="United States"/>
    <s v="Springfield"/>
    <x v="24"/>
    <n v="45503"/>
    <x v="3"/>
    <x v="1390"/>
    <x v="1"/>
    <x v="8"/>
    <x v="1376"/>
    <n v="11.22"/>
    <s v="Low"/>
    <n v="10"/>
    <n v="0.7"/>
    <x v="1"/>
    <x v="5"/>
    <n v="-7.48"/>
    <n v="-0.66666666666666663"/>
    <n v="1"/>
  </r>
  <r>
    <n v="2631"/>
    <s v="CA-2015-168186"/>
    <d v="2015-09-10T00:00:00"/>
    <x v="1"/>
    <s v="Q3"/>
    <x v="11"/>
    <d v="2015-09-15T00:00:00"/>
    <s v="Standard Class"/>
    <x v="492"/>
    <x v="492"/>
    <s v="Consumer"/>
    <s v="United States"/>
    <s v="Tulsa"/>
    <x v="26"/>
    <n v="74133"/>
    <x v="2"/>
    <x v="1231"/>
    <x v="1"/>
    <x v="10"/>
    <x v="1214"/>
    <n v="14.94"/>
    <s v="Low"/>
    <n v="3"/>
    <n v="0"/>
    <x v="0"/>
    <x v="0"/>
    <n v="7.0217999999999998"/>
    <n v="0.47000000000000003"/>
    <n v="0"/>
  </r>
  <r>
    <n v="2632"/>
    <s v="US-2017-110604"/>
    <d v="2017-05-15T00:00:00"/>
    <x v="3"/>
    <s v="Q2"/>
    <x v="24"/>
    <d v="2017-05-20T00:00:00"/>
    <s v="Standard Class"/>
    <x v="639"/>
    <x v="639"/>
    <s v="Consumer"/>
    <s v="United States"/>
    <s v="Seattle"/>
    <x v="4"/>
    <n v="98103"/>
    <x v="1"/>
    <x v="891"/>
    <x v="0"/>
    <x v="5"/>
    <x v="884"/>
    <n v="39.96"/>
    <s v="Medium"/>
    <n v="2"/>
    <n v="0"/>
    <x v="0"/>
    <x v="0"/>
    <n v="17.1828"/>
    <n v="0.43"/>
    <n v="0"/>
  </r>
  <r>
    <n v="2633"/>
    <s v="US-2017-110604"/>
    <d v="2017-05-15T00:00:00"/>
    <x v="3"/>
    <s v="Q2"/>
    <x v="24"/>
    <d v="2017-05-20T00:00:00"/>
    <s v="Standard Class"/>
    <x v="639"/>
    <x v="639"/>
    <s v="Consumer"/>
    <s v="United States"/>
    <s v="Seattle"/>
    <x v="4"/>
    <n v="98103"/>
    <x v="1"/>
    <x v="1391"/>
    <x v="0"/>
    <x v="1"/>
    <x v="1377"/>
    <n v="42.624000000000002"/>
    <s v="Medium"/>
    <n v="2"/>
    <n v="0.2"/>
    <x v="2"/>
    <x v="2"/>
    <n v="4.2624000000000004"/>
    <n v="0.1"/>
    <n v="0"/>
  </r>
  <r>
    <n v="2634"/>
    <s v="US-2017-110604"/>
    <d v="2017-05-15T00:00:00"/>
    <x v="3"/>
    <s v="Q2"/>
    <x v="24"/>
    <d v="2017-05-20T00:00:00"/>
    <s v="Standard Class"/>
    <x v="639"/>
    <x v="639"/>
    <s v="Consumer"/>
    <s v="United States"/>
    <s v="Seattle"/>
    <x v="4"/>
    <n v="98103"/>
    <x v="1"/>
    <x v="157"/>
    <x v="0"/>
    <x v="1"/>
    <x v="158"/>
    <n v="220.96"/>
    <s v="High"/>
    <n v="1"/>
    <n v="0.2"/>
    <x v="2"/>
    <x v="2"/>
    <n v="24.858000000000001"/>
    <n v="0.1125"/>
    <n v="0"/>
  </r>
  <r>
    <n v="2635"/>
    <s v="CA-2015-116750"/>
    <d v="2015-07-05T00:00:00"/>
    <x v="1"/>
    <s v="Q3"/>
    <x v="38"/>
    <d v="2015-07-10T00:00:00"/>
    <s v="Second Class"/>
    <x v="541"/>
    <x v="541"/>
    <s v="Corporate"/>
    <s v="United States"/>
    <s v="Fayetteville"/>
    <x v="3"/>
    <n v="28314"/>
    <x v="0"/>
    <x v="1392"/>
    <x v="0"/>
    <x v="5"/>
    <x v="1378"/>
    <n v="4.9279999999999999"/>
    <s v="Low"/>
    <n v="2"/>
    <n v="0.2"/>
    <x v="2"/>
    <x v="2"/>
    <n v="0.73919999999999997"/>
    <n v="0.15"/>
    <n v="0"/>
  </r>
  <r>
    <n v="2636"/>
    <s v="CA-2015-116750"/>
    <d v="2015-07-05T00:00:00"/>
    <x v="1"/>
    <s v="Q3"/>
    <x v="38"/>
    <d v="2015-07-10T00:00:00"/>
    <s v="Second Class"/>
    <x v="541"/>
    <x v="541"/>
    <s v="Corporate"/>
    <s v="United States"/>
    <s v="Fayetteville"/>
    <x v="3"/>
    <n v="28314"/>
    <x v="0"/>
    <x v="544"/>
    <x v="1"/>
    <x v="8"/>
    <x v="544"/>
    <n v="7.23"/>
    <s v="Low"/>
    <n v="5"/>
    <n v="0.7"/>
    <x v="1"/>
    <x v="5"/>
    <n v="-5.7839999999999998"/>
    <n v="-0.79999999999999993"/>
    <n v="1"/>
  </r>
  <r>
    <n v="2637"/>
    <s v="CA-2015-162369"/>
    <d v="2015-08-15T00:00:00"/>
    <x v="1"/>
    <s v="Q3"/>
    <x v="37"/>
    <d v="2015-08-19T00:00:00"/>
    <s v="Standard Class"/>
    <x v="640"/>
    <x v="640"/>
    <s v="Corporate"/>
    <s v="United States"/>
    <s v="Los Angeles"/>
    <x v="1"/>
    <n v="90045"/>
    <x v="1"/>
    <x v="765"/>
    <x v="1"/>
    <x v="4"/>
    <x v="764"/>
    <n v="323.10000000000002"/>
    <s v="High"/>
    <n v="2"/>
    <n v="0"/>
    <x v="0"/>
    <x v="0"/>
    <n v="61.389000000000003"/>
    <n v="0.19"/>
    <n v="0"/>
  </r>
  <r>
    <n v="2638"/>
    <s v="CA-2017-108441"/>
    <d v="2017-06-12T00:00:00"/>
    <x v="3"/>
    <s v="Q2"/>
    <x v="27"/>
    <d v="2017-06-18T00:00:00"/>
    <s v="Standard Class"/>
    <x v="641"/>
    <x v="641"/>
    <s v="Consumer"/>
    <s v="United States"/>
    <s v="New York City"/>
    <x v="15"/>
    <n v="10035"/>
    <x v="3"/>
    <x v="1393"/>
    <x v="1"/>
    <x v="10"/>
    <x v="1379"/>
    <n v="19.04"/>
    <s v="Low"/>
    <n v="4"/>
    <n v="0"/>
    <x v="0"/>
    <x v="0"/>
    <n v="9.3295999999999992"/>
    <n v="0.49"/>
    <n v="0"/>
  </r>
  <r>
    <n v="2639"/>
    <s v="CA-2017-108441"/>
    <d v="2017-06-12T00:00:00"/>
    <x v="3"/>
    <s v="Q2"/>
    <x v="27"/>
    <d v="2017-06-18T00:00:00"/>
    <s v="Standard Class"/>
    <x v="641"/>
    <x v="641"/>
    <s v="Consumer"/>
    <s v="United States"/>
    <s v="New York City"/>
    <x v="15"/>
    <n v="10035"/>
    <x v="3"/>
    <x v="520"/>
    <x v="1"/>
    <x v="8"/>
    <x v="520"/>
    <n v="13.128"/>
    <s v="Low"/>
    <n v="3"/>
    <n v="0.2"/>
    <x v="2"/>
    <x v="2"/>
    <n v="4.2666000000000004"/>
    <n v="0.32500000000000001"/>
    <n v="0"/>
  </r>
  <r>
    <n v="2640"/>
    <s v="CA-2017-108441"/>
    <d v="2017-06-12T00:00:00"/>
    <x v="3"/>
    <s v="Q2"/>
    <x v="27"/>
    <d v="2017-06-18T00:00:00"/>
    <s v="Standard Class"/>
    <x v="641"/>
    <x v="641"/>
    <s v="Consumer"/>
    <s v="United States"/>
    <s v="New York City"/>
    <x v="15"/>
    <n v="10035"/>
    <x v="3"/>
    <x v="1394"/>
    <x v="1"/>
    <x v="6"/>
    <x v="1380"/>
    <n v="64.14"/>
    <s v="Medium"/>
    <n v="3"/>
    <n v="0"/>
    <x v="0"/>
    <x v="0"/>
    <n v="16.676400000000001"/>
    <n v="0.26"/>
    <n v="0"/>
  </r>
  <r>
    <n v="2641"/>
    <s v="CA-2017-108441"/>
    <d v="2017-06-12T00:00:00"/>
    <x v="3"/>
    <s v="Q2"/>
    <x v="27"/>
    <d v="2017-06-18T00:00:00"/>
    <s v="Standard Class"/>
    <x v="641"/>
    <x v="641"/>
    <s v="Consumer"/>
    <s v="United States"/>
    <s v="New York City"/>
    <x v="15"/>
    <n v="10035"/>
    <x v="3"/>
    <x v="467"/>
    <x v="0"/>
    <x v="1"/>
    <x v="468"/>
    <n v="858.24"/>
    <s v="High"/>
    <n v="4"/>
    <n v="0.1"/>
    <x v="3"/>
    <x v="8"/>
    <n v="143.04"/>
    <n v="0.16666666666666666"/>
    <n v="0"/>
  </r>
  <r>
    <n v="2642"/>
    <s v="CA-2015-169740"/>
    <d v="2015-02-20T00:00:00"/>
    <x v="1"/>
    <s v="Q1"/>
    <x v="36"/>
    <d v="2015-02-25T00:00:00"/>
    <s v="Standard Class"/>
    <x v="215"/>
    <x v="215"/>
    <s v="Consumer"/>
    <s v="United States"/>
    <s v="Hot Springs"/>
    <x v="36"/>
    <n v="71901"/>
    <x v="0"/>
    <x v="701"/>
    <x v="2"/>
    <x v="11"/>
    <x v="701"/>
    <n v="29.99"/>
    <s v="Medium"/>
    <n v="1"/>
    <n v="0"/>
    <x v="0"/>
    <x v="0"/>
    <n v="2.9990000000000001"/>
    <n v="0.1"/>
    <n v="0"/>
  </r>
  <r>
    <n v="2643"/>
    <s v="CA-2016-124051"/>
    <d v="2016-12-29T00:00:00"/>
    <x v="0"/>
    <s v="Q4"/>
    <x v="5"/>
    <d v="2016-12-30T00:00:00"/>
    <s v="First Class"/>
    <x v="567"/>
    <x v="567"/>
    <s v="Consumer"/>
    <s v="United States"/>
    <s v="Aurora"/>
    <x v="10"/>
    <n v="60505"/>
    <x v="2"/>
    <x v="968"/>
    <x v="1"/>
    <x v="10"/>
    <x v="961"/>
    <n v="186.048"/>
    <s v="High"/>
    <n v="6"/>
    <n v="0.2"/>
    <x v="2"/>
    <x v="2"/>
    <n v="67.442400000000006"/>
    <n v="0.36250000000000004"/>
    <n v="0"/>
  </r>
  <r>
    <n v="2644"/>
    <s v="CA-2016-149111"/>
    <d v="2016-04-17T00:00:00"/>
    <x v="0"/>
    <s v="Q2"/>
    <x v="25"/>
    <d v="2016-04-21T00:00:00"/>
    <s v="Second Class"/>
    <x v="408"/>
    <x v="408"/>
    <s v="Home Office"/>
    <s v="United States"/>
    <s v="Raleigh"/>
    <x v="3"/>
    <n v="27604"/>
    <x v="0"/>
    <x v="521"/>
    <x v="2"/>
    <x v="7"/>
    <x v="521"/>
    <n v="36.792000000000002"/>
    <s v="Medium"/>
    <n v="1"/>
    <n v="0.2"/>
    <x v="2"/>
    <x v="2"/>
    <n v="4.1391"/>
    <n v="0.11249999999999999"/>
    <n v="0"/>
  </r>
  <r>
    <n v="2645"/>
    <s v="CA-2016-149111"/>
    <d v="2016-04-17T00:00:00"/>
    <x v="0"/>
    <s v="Q2"/>
    <x v="25"/>
    <d v="2016-04-21T00:00:00"/>
    <s v="Second Class"/>
    <x v="408"/>
    <x v="408"/>
    <s v="Home Office"/>
    <s v="United States"/>
    <s v="Raleigh"/>
    <x v="3"/>
    <n v="27604"/>
    <x v="0"/>
    <x v="396"/>
    <x v="0"/>
    <x v="5"/>
    <x v="397"/>
    <n v="18.623999999999999"/>
    <s v="Low"/>
    <n v="8"/>
    <n v="0.2"/>
    <x v="2"/>
    <x v="2"/>
    <n v="6.2855999999999996"/>
    <n v="0.33750000000000002"/>
    <n v="0"/>
  </r>
  <r>
    <n v="2646"/>
    <s v="CA-2014-131002"/>
    <d v="2014-09-07T00:00:00"/>
    <x v="2"/>
    <s v="Q3"/>
    <x v="30"/>
    <d v="2014-09-12T00:00:00"/>
    <s v="Second Class"/>
    <x v="483"/>
    <x v="483"/>
    <s v="Consumer"/>
    <s v="United States"/>
    <s v="Tulsa"/>
    <x v="26"/>
    <n v="74133"/>
    <x v="2"/>
    <x v="1006"/>
    <x v="0"/>
    <x v="5"/>
    <x v="1381"/>
    <n v="57.69"/>
    <s v="Medium"/>
    <n v="3"/>
    <n v="0"/>
    <x v="0"/>
    <x v="0"/>
    <n v="23.652899999999999"/>
    <n v="0.41"/>
    <n v="0"/>
  </r>
  <r>
    <n v="2647"/>
    <s v="CA-2014-131002"/>
    <d v="2014-09-07T00:00:00"/>
    <x v="2"/>
    <s v="Q3"/>
    <x v="30"/>
    <d v="2014-09-12T00:00:00"/>
    <s v="Second Class"/>
    <x v="483"/>
    <x v="483"/>
    <s v="Consumer"/>
    <s v="United States"/>
    <s v="Tulsa"/>
    <x v="26"/>
    <n v="74133"/>
    <x v="2"/>
    <x v="1395"/>
    <x v="1"/>
    <x v="8"/>
    <x v="1382"/>
    <n v="42.81"/>
    <s v="Medium"/>
    <n v="3"/>
    <n v="0"/>
    <x v="0"/>
    <x v="0"/>
    <n v="20.120699999999999"/>
    <n v="0.47"/>
    <n v="0"/>
  </r>
  <r>
    <n v="2648"/>
    <s v="CA-2014-131002"/>
    <d v="2014-09-07T00:00:00"/>
    <x v="2"/>
    <s v="Q3"/>
    <x v="30"/>
    <d v="2014-09-12T00:00:00"/>
    <s v="Second Class"/>
    <x v="483"/>
    <x v="483"/>
    <s v="Consumer"/>
    <s v="United States"/>
    <s v="Tulsa"/>
    <x v="26"/>
    <n v="74133"/>
    <x v="2"/>
    <x v="1396"/>
    <x v="1"/>
    <x v="10"/>
    <x v="1383"/>
    <n v="12.96"/>
    <s v="Low"/>
    <n v="2"/>
    <n v="0"/>
    <x v="0"/>
    <x v="0"/>
    <n v="6.2207999999999997"/>
    <n v="0.47999999999999993"/>
    <n v="0"/>
  </r>
  <r>
    <n v="2649"/>
    <s v="CA-2014-131002"/>
    <d v="2014-09-07T00:00:00"/>
    <x v="2"/>
    <s v="Q3"/>
    <x v="30"/>
    <d v="2014-09-12T00:00:00"/>
    <s v="Second Class"/>
    <x v="483"/>
    <x v="483"/>
    <s v="Consumer"/>
    <s v="United States"/>
    <s v="Tulsa"/>
    <x v="26"/>
    <n v="74133"/>
    <x v="2"/>
    <x v="1369"/>
    <x v="0"/>
    <x v="5"/>
    <x v="1354"/>
    <n v="821.88"/>
    <s v="High"/>
    <n v="6"/>
    <n v="0"/>
    <x v="0"/>
    <x v="0"/>
    <n v="213.68879999999999"/>
    <n v="0.26"/>
    <n v="0"/>
  </r>
  <r>
    <n v="2650"/>
    <s v="CA-2014-131002"/>
    <d v="2014-09-07T00:00:00"/>
    <x v="2"/>
    <s v="Q3"/>
    <x v="30"/>
    <d v="2014-09-12T00:00:00"/>
    <s v="Second Class"/>
    <x v="483"/>
    <x v="483"/>
    <s v="Consumer"/>
    <s v="United States"/>
    <s v="Tulsa"/>
    <x v="26"/>
    <n v="74133"/>
    <x v="2"/>
    <x v="139"/>
    <x v="2"/>
    <x v="7"/>
    <x v="140"/>
    <n v="104.85"/>
    <s v="Medium"/>
    <n v="3"/>
    <n v="0"/>
    <x v="0"/>
    <x v="0"/>
    <n v="28.3095"/>
    <n v="0.27"/>
    <n v="0"/>
  </r>
  <r>
    <n v="2651"/>
    <s v="US-2016-146794"/>
    <d v="2016-09-26T00:00:00"/>
    <x v="0"/>
    <s v="Q3"/>
    <x v="21"/>
    <d v="2016-10-01T00:00:00"/>
    <s v="Standard Class"/>
    <x v="64"/>
    <x v="64"/>
    <s v="Corporate"/>
    <s v="United States"/>
    <s v="Hesperia"/>
    <x v="1"/>
    <n v="92345"/>
    <x v="1"/>
    <x v="899"/>
    <x v="0"/>
    <x v="0"/>
    <x v="892"/>
    <n v="424.95749999999998"/>
    <s v="High"/>
    <n v="5"/>
    <n v="0.15"/>
    <x v="2"/>
    <x v="2"/>
    <n v="19.998000000000001"/>
    <n v="4.7058823529411771E-2"/>
    <n v="0"/>
  </r>
  <r>
    <n v="2652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1366"/>
    <x v="1"/>
    <x v="8"/>
    <x v="307"/>
    <n v="10.776"/>
    <s v="Low"/>
    <n v="3"/>
    <n v="0.2"/>
    <x v="2"/>
    <x v="2"/>
    <n v="3.5022000000000002"/>
    <n v="0.32500000000000001"/>
    <n v="0"/>
  </r>
  <r>
    <n v="2653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696"/>
    <x v="1"/>
    <x v="8"/>
    <x v="696"/>
    <n v="11.784000000000001"/>
    <s v="Low"/>
    <n v="3"/>
    <n v="0.2"/>
    <x v="2"/>
    <x v="2"/>
    <n v="4.2717000000000001"/>
    <n v="0.36249999999999999"/>
    <n v="0"/>
  </r>
  <r>
    <n v="2654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1397"/>
    <x v="1"/>
    <x v="10"/>
    <x v="1384"/>
    <n v="164.88"/>
    <s v="High"/>
    <n v="3"/>
    <n v="0"/>
    <x v="0"/>
    <x v="0"/>
    <n v="80.791200000000003"/>
    <n v="0.49000000000000005"/>
    <n v="0"/>
  </r>
  <r>
    <n v="2655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1398"/>
    <x v="0"/>
    <x v="0"/>
    <x v="1385"/>
    <n v="1292.94"/>
    <s v="High"/>
    <n v="3"/>
    <n v="0"/>
    <x v="0"/>
    <x v="0"/>
    <n v="77.576400000000007"/>
    <n v="6.0000000000000005E-2"/>
    <n v="0"/>
  </r>
  <r>
    <n v="2656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1399"/>
    <x v="1"/>
    <x v="8"/>
    <x v="1386"/>
    <n v="25.584"/>
    <s v="Medium"/>
    <n v="2"/>
    <n v="0.2"/>
    <x v="2"/>
    <x v="2"/>
    <n v="8.9543999999999997"/>
    <n v="0.35"/>
    <n v="0"/>
  </r>
  <r>
    <n v="2657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533"/>
    <x v="1"/>
    <x v="4"/>
    <x v="533"/>
    <n v="261.74"/>
    <s v="High"/>
    <n v="2"/>
    <n v="0"/>
    <x v="0"/>
    <x v="0"/>
    <n v="65.435000000000002"/>
    <n v="0.25"/>
    <n v="0"/>
  </r>
  <r>
    <n v="2658"/>
    <s v="CA-2017-112515"/>
    <d v="2017-09-17T00:00:00"/>
    <x v="3"/>
    <s v="Q3"/>
    <x v="15"/>
    <d v="2017-09-21T00:00:00"/>
    <s v="Second Class"/>
    <x v="127"/>
    <x v="127"/>
    <s v="Corporate"/>
    <s v="United States"/>
    <s v="Provo"/>
    <x v="7"/>
    <n v="84604"/>
    <x v="1"/>
    <x v="782"/>
    <x v="1"/>
    <x v="2"/>
    <x v="781"/>
    <n v="14.4"/>
    <s v="Low"/>
    <n v="5"/>
    <n v="0"/>
    <x v="0"/>
    <x v="0"/>
    <n v="7.056"/>
    <n v="0.49"/>
    <n v="0"/>
  </r>
  <r>
    <n v="2659"/>
    <s v="CA-2016-150343"/>
    <d v="2016-08-16T00:00:00"/>
    <x v="0"/>
    <s v="Q3"/>
    <x v="28"/>
    <d v="2016-08-20T00:00:00"/>
    <s v="Standard Class"/>
    <x v="7"/>
    <x v="7"/>
    <s v="Consumer"/>
    <s v="United States"/>
    <s v="San Francisco"/>
    <x v="1"/>
    <n v="94110"/>
    <x v="1"/>
    <x v="135"/>
    <x v="1"/>
    <x v="12"/>
    <x v="136"/>
    <n v="10.86"/>
    <s v="Low"/>
    <n v="3"/>
    <n v="0"/>
    <x v="0"/>
    <x v="0"/>
    <n v="5.1041999999999996"/>
    <n v="0.47"/>
    <n v="0"/>
  </r>
  <r>
    <n v="2660"/>
    <s v="CA-2015-135538"/>
    <d v="2015-12-24T00:00:00"/>
    <x v="1"/>
    <s v="Q4"/>
    <x v="14"/>
    <d v="2015-12-28T00:00:00"/>
    <s v="Standard Class"/>
    <x v="403"/>
    <x v="403"/>
    <s v="Corporate"/>
    <s v="United States"/>
    <s v="Gilbert"/>
    <x v="16"/>
    <n v="85234"/>
    <x v="1"/>
    <x v="157"/>
    <x v="0"/>
    <x v="1"/>
    <x v="158"/>
    <n v="883.84"/>
    <s v="High"/>
    <n v="4"/>
    <n v="0.2"/>
    <x v="2"/>
    <x v="2"/>
    <n v="99.432000000000002"/>
    <n v="0.1125"/>
    <n v="0"/>
  </r>
  <r>
    <n v="2661"/>
    <s v="CA-2017-123372"/>
    <d v="2017-11-28T00:00:00"/>
    <x v="3"/>
    <s v="Q4"/>
    <x v="23"/>
    <d v="2017-12-02T00:00:00"/>
    <s v="Standard Class"/>
    <x v="375"/>
    <x v="375"/>
    <s v="Corporate"/>
    <s v="United States"/>
    <s v="New York City"/>
    <x v="15"/>
    <n v="10035"/>
    <x v="3"/>
    <x v="1400"/>
    <x v="2"/>
    <x v="7"/>
    <x v="1387"/>
    <n v="1979.89"/>
    <s v="High"/>
    <n v="11"/>
    <n v="0"/>
    <x v="0"/>
    <x v="0"/>
    <n v="494.97250000000003"/>
    <n v="0.25"/>
    <n v="0"/>
  </r>
  <r>
    <n v="2662"/>
    <s v="CA-2017-123372"/>
    <d v="2017-11-28T00:00:00"/>
    <x v="3"/>
    <s v="Q4"/>
    <x v="23"/>
    <d v="2017-12-02T00:00:00"/>
    <s v="Standard Class"/>
    <x v="375"/>
    <x v="375"/>
    <s v="Corporate"/>
    <s v="United States"/>
    <s v="New York City"/>
    <x v="15"/>
    <n v="10035"/>
    <x v="3"/>
    <x v="889"/>
    <x v="1"/>
    <x v="12"/>
    <x v="882"/>
    <n v="79.959999999999994"/>
    <s v="Medium"/>
    <n v="2"/>
    <n v="0"/>
    <x v="0"/>
    <x v="0"/>
    <n v="35.981999999999999"/>
    <n v="0.45"/>
    <n v="0"/>
  </r>
  <r>
    <n v="2663"/>
    <s v="CA-2017-159604"/>
    <d v="2017-04-14T00:00:00"/>
    <x v="3"/>
    <s v="Q2"/>
    <x v="4"/>
    <d v="2017-04-15T00:00:00"/>
    <s v="First Class"/>
    <x v="642"/>
    <x v="642"/>
    <s v="Home Office"/>
    <s v="United States"/>
    <s v="Springfield"/>
    <x v="25"/>
    <n v="65807"/>
    <x v="2"/>
    <x v="236"/>
    <x v="1"/>
    <x v="8"/>
    <x v="237"/>
    <n v="8.76"/>
    <s v="Low"/>
    <n v="2"/>
    <n v="0"/>
    <x v="0"/>
    <x v="0"/>
    <n v="4.2047999999999996"/>
    <n v="0.48"/>
    <n v="0"/>
  </r>
  <r>
    <n v="2664"/>
    <s v="CA-2016-164784"/>
    <d v="2016-05-01T00:00:00"/>
    <x v="0"/>
    <s v="Q2"/>
    <x v="35"/>
    <d v="2016-05-04T00:00:00"/>
    <s v="First Class"/>
    <x v="520"/>
    <x v="520"/>
    <s v="Consumer"/>
    <s v="United States"/>
    <s v="Memphis"/>
    <x v="18"/>
    <n v="38109"/>
    <x v="0"/>
    <x v="639"/>
    <x v="1"/>
    <x v="2"/>
    <x v="639"/>
    <n v="3.984"/>
    <s v="Low"/>
    <n v="1"/>
    <n v="0.2"/>
    <x v="2"/>
    <x v="2"/>
    <n v="1.2948"/>
    <n v="0.32500000000000001"/>
    <n v="0"/>
  </r>
  <r>
    <n v="2665"/>
    <s v="CA-2016-164784"/>
    <d v="2016-05-01T00:00:00"/>
    <x v="0"/>
    <s v="Q2"/>
    <x v="35"/>
    <d v="2016-05-04T00:00:00"/>
    <s v="First Class"/>
    <x v="520"/>
    <x v="520"/>
    <s v="Consumer"/>
    <s v="United States"/>
    <s v="Memphis"/>
    <x v="18"/>
    <n v="38109"/>
    <x v="0"/>
    <x v="121"/>
    <x v="0"/>
    <x v="3"/>
    <x v="121"/>
    <n v="370.62"/>
    <s v="High"/>
    <n v="3"/>
    <n v="0.4"/>
    <x v="1"/>
    <x v="7"/>
    <n v="-142.071"/>
    <n v="-0.3833333333333333"/>
    <n v="1"/>
  </r>
  <r>
    <n v="2666"/>
    <s v="CA-2016-164784"/>
    <d v="2016-05-01T00:00:00"/>
    <x v="0"/>
    <s v="Q2"/>
    <x v="35"/>
    <d v="2016-05-04T00:00:00"/>
    <s v="First Class"/>
    <x v="520"/>
    <x v="520"/>
    <s v="Consumer"/>
    <s v="United States"/>
    <s v="Memphis"/>
    <x v="18"/>
    <n v="38109"/>
    <x v="0"/>
    <x v="1203"/>
    <x v="1"/>
    <x v="8"/>
    <x v="1188"/>
    <n v="2.742"/>
    <s v="Low"/>
    <n v="2"/>
    <n v="0.7"/>
    <x v="1"/>
    <x v="5"/>
    <n v="-2.0108000000000001"/>
    <n v="-0.73333333333333339"/>
    <n v="1"/>
  </r>
  <r>
    <n v="2667"/>
    <s v="CA-2016-111794"/>
    <d v="2016-10-01T00:00:00"/>
    <x v="0"/>
    <s v="Q4"/>
    <x v="32"/>
    <d v="2016-10-01T00:00:00"/>
    <s v="Same Day"/>
    <x v="643"/>
    <x v="643"/>
    <s v="Consumer"/>
    <s v="United States"/>
    <s v="Amarillo"/>
    <x v="5"/>
    <n v="79109"/>
    <x v="2"/>
    <x v="217"/>
    <x v="2"/>
    <x v="11"/>
    <x v="463"/>
    <n v="79.512"/>
    <s v="Medium"/>
    <n v="3"/>
    <n v="0.2"/>
    <x v="2"/>
    <x v="2"/>
    <n v="20.8719"/>
    <n v="0.26250000000000001"/>
    <n v="0"/>
  </r>
  <r>
    <n v="2668"/>
    <s v="CA-2016-111794"/>
    <d v="2016-10-01T00:00:00"/>
    <x v="0"/>
    <s v="Q4"/>
    <x v="32"/>
    <d v="2016-10-01T00:00:00"/>
    <s v="Same Day"/>
    <x v="643"/>
    <x v="643"/>
    <s v="Consumer"/>
    <s v="United States"/>
    <s v="Amarillo"/>
    <x v="5"/>
    <n v="79109"/>
    <x v="2"/>
    <x v="258"/>
    <x v="1"/>
    <x v="10"/>
    <x v="33"/>
    <n v="28.352"/>
    <s v="Medium"/>
    <n v="1"/>
    <n v="0.2"/>
    <x v="2"/>
    <x v="2"/>
    <n v="9.5687999999999995"/>
    <n v="0.33749999999999997"/>
    <n v="0"/>
  </r>
  <r>
    <n v="2669"/>
    <s v="US-2015-139759"/>
    <d v="2015-08-25T00:00:00"/>
    <x v="1"/>
    <s v="Q3"/>
    <x v="37"/>
    <d v="2015-08-30T00:00:00"/>
    <s v="Standard Class"/>
    <x v="644"/>
    <x v="644"/>
    <s v="Home Office"/>
    <s v="United States"/>
    <s v="Los Angeles"/>
    <x v="1"/>
    <n v="90045"/>
    <x v="1"/>
    <x v="23"/>
    <x v="0"/>
    <x v="1"/>
    <x v="23"/>
    <n v="40.783999999999999"/>
    <s v="Medium"/>
    <n v="1"/>
    <n v="0.2"/>
    <x v="2"/>
    <x v="2"/>
    <n v="4.5881999999999996"/>
    <n v="0.11249999999999999"/>
    <n v="0"/>
  </r>
  <r>
    <n v="2670"/>
    <s v="US-2015-139759"/>
    <d v="2015-08-25T00:00:00"/>
    <x v="1"/>
    <s v="Q3"/>
    <x v="37"/>
    <d v="2015-08-30T00:00:00"/>
    <s v="Standard Class"/>
    <x v="644"/>
    <x v="644"/>
    <s v="Home Office"/>
    <s v="United States"/>
    <s v="Los Angeles"/>
    <x v="1"/>
    <n v="90045"/>
    <x v="1"/>
    <x v="1276"/>
    <x v="1"/>
    <x v="9"/>
    <x v="1261"/>
    <n v="105.96"/>
    <s v="Medium"/>
    <n v="4"/>
    <n v="0"/>
    <x v="0"/>
    <x v="0"/>
    <n v="29.668800000000001"/>
    <n v="0.28000000000000003"/>
    <n v="0"/>
  </r>
  <r>
    <n v="2671"/>
    <s v="CA-2014-126403"/>
    <d v="2014-09-09T00:00:00"/>
    <x v="2"/>
    <s v="Q3"/>
    <x v="30"/>
    <d v="2014-09-12T00:00:00"/>
    <s v="Second Class"/>
    <x v="645"/>
    <x v="645"/>
    <s v="Corporate"/>
    <s v="United States"/>
    <s v="Lowell"/>
    <x v="31"/>
    <n v="1852"/>
    <x v="3"/>
    <x v="162"/>
    <x v="1"/>
    <x v="10"/>
    <x v="163"/>
    <n v="166.44"/>
    <s v="High"/>
    <n v="3"/>
    <n v="0"/>
    <x v="0"/>
    <x v="0"/>
    <n v="79.891199999999998"/>
    <n v="0.48"/>
    <n v="0"/>
  </r>
  <r>
    <n v="2672"/>
    <s v="CA-2014-126403"/>
    <d v="2014-09-09T00:00:00"/>
    <x v="2"/>
    <s v="Q3"/>
    <x v="30"/>
    <d v="2014-09-12T00:00:00"/>
    <s v="Second Class"/>
    <x v="645"/>
    <x v="645"/>
    <s v="Corporate"/>
    <s v="United States"/>
    <s v="Lowell"/>
    <x v="31"/>
    <n v="1852"/>
    <x v="3"/>
    <x v="1401"/>
    <x v="0"/>
    <x v="1"/>
    <x v="1388"/>
    <n v="785.88"/>
    <s v="High"/>
    <n v="6"/>
    <n v="0"/>
    <x v="0"/>
    <x v="0"/>
    <n v="212.1876"/>
    <n v="0.27"/>
    <n v="0"/>
  </r>
  <r>
    <n v="2673"/>
    <s v="CA-2014-126403"/>
    <d v="2014-09-09T00:00:00"/>
    <x v="2"/>
    <s v="Q3"/>
    <x v="30"/>
    <d v="2014-09-12T00:00:00"/>
    <s v="Second Class"/>
    <x v="645"/>
    <x v="645"/>
    <s v="Corporate"/>
    <s v="United States"/>
    <s v="Lowell"/>
    <x v="31"/>
    <n v="1852"/>
    <x v="3"/>
    <x v="1402"/>
    <x v="1"/>
    <x v="10"/>
    <x v="1389"/>
    <n v="26.2"/>
    <s v="Medium"/>
    <n v="2"/>
    <n v="0"/>
    <x v="0"/>
    <x v="0"/>
    <n v="12.837999999999999"/>
    <n v="0.49"/>
    <n v="0"/>
  </r>
  <r>
    <n v="2674"/>
    <s v="CA-2014-126403"/>
    <d v="2014-09-09T00:00:00"/>
    <x v="2"/>
    <s v="Q3"/>
    <x v="30"/>
    <d v="2014-09-12T00:00:00"/>
    <s v="Second Class"/>
    <x v="645"/>
    <x v="645"/>
    <s v="Corporate"/>
    <s v="United States"/>
    <s v="Lowell"/>
    <x v="31"/>
    <n v="1852"/>
    <x v="3"/>
    <x v="1244"/>
    <x v="1"/>
    <x v="4"/>
    <x v="1227"/>
    <n v="1325.85"/>
    <s v="High"/>
    <n v="5"/>
    <n v="0"/>
    <x v="0"/>
    <x v="0"/>
    <n v="238.65299999999999"/>
    <n v="0.18"/>
    <n v="0"/>
  </r>
  <r>
    <n v="2675"/>
    <s v="CA-2017-136875"/>
    <d v="2017-12-03T00:00:00"/>
    <x v="3"/>
    <s v="Q4"/>
    <x v="22"/>
    <d v="2017-12-03T00:00:00"/>
    <s v="Same Day"/>
    <x v="646"/>
    <x v="646"/>
    <s v="Consumer"/>
    <s v="United States"/>
    <s v="San Diego"/>
    <x v="1"/>
    <n v="92024"/>
    <x v="1"/>
    <x v="447"/>
    <x v="1"/>
    <x v="10"/>
    <x v="1228"/>
    <n v="166.44"/>
    <s v="High"/>
    <n v="3"/>
    <n v="0"/>
    <x v="0"/>
    <x v="0"/>
    <n v="79.891199999999998"/>
    <n v="0.48"/>
    <n v="0"/>
  </r>
  <r>
    <n v="2676"/>
    <s v="CA-2017-132185"/>
    <d v="2017-11-27T00:00:00"/>
    <x v="3"/>
    <s v="Q4"/>
    <x v="23"/>
    <d v="2017-12-02T00:00:00"/>
    <s v="Standard Class"/>
    <x v="140"/>
    <x v="140"/>
    <s v="Consumer"/>
    <s v="United States"/>
    <s v="Asheville"/>
    <x v="3"/>
    <n v="28806"/>
    <x v="0"/>
    <x v="909"/>
    <x v="1"/>
    <x v="6"/>
    <x v="901"/>
    <n v="8.76"/>
    <s v="Low"/>
    <n v="5"/>
    <n v="0.2"/>
    <x v="2"/>
    <x v="2"/>
    <n v="0.76649999999999996"/>
    <n v="8.7499999999999994E-2"/>
    <n v="0"/>
  </r>
  <r>
    <n v="2677"/>
    <s v="CA-2017-132185"/>
    <d v="2017-11-27T00:00:00"/>
    <x v="3"/>
    <s v="Q4"/>
    <x v="23"/>
    <d v="2017-12-02T00:00:00"/>
    <s v="Standard Class"/>
    <x v="140"/>
    <x v="140"/>
    <s v="Consumer"/>
    <s v="United States"/>
    <s v="Asheville"/>
    <x v="3"/>
    <n v="28806"/>
    <x v="0"/>
    <x v="1309"/>
    <x v="1"/>
    <x v="9"/>
    <x v="1294"/>
    <n v="43.584000000000003"/>
    <s v="Medium"/>
    <n v="1"/>
    <n v="0.2"/>
    <x v="2"/>
    <x v="2"/>
    <n v="4.3583999999999996"/>
    <n v="9.9999999999999978E-2"/>
    <n v="0"/>
  </r>
  <r>
    <n v="2678"/>
    <s v="US-2014-160780"/>
    <d v="2014-06-21T00:00:00"/>
    <x v="2"/>
    <s v="Q2"/>
    <x v="3"/>
    <d v="2014-06-21T00:00:00"/>
    <s v="Same Day"/>
    <x v="647"/>
    <x v="647"/>
    <s v="Consumer"/>
    <s v="United States"/>
    <s v="Pueblo"/>
    <x v="22"/>
    <n v="81001"/>
    <x v="1"/>
    <x v="1085"/>
    <x v="1"/>
    <x v="8"/>
    <x v="1075"/>
    <n v="11.087999999999999"/>
    <s v="Low"/>
    <n v="7"/>
    <n v="0.7"/>
    <x v="1"/>
    <x v="5"/>
    <n v="-8.1311999999999998"/>
    <n v="-0.73333333333333339"/>
    <n v="1"/>
  </r>
  <r>
    <n v="2679"/>
    <s v="US-2014-160780"/>
    <d v="2014-06-21T00:00:00"/>
    <x v="2"/>
    <s v="Q2"/>
    <x v="3"/>
    <d v="2014-06-21T00:00:00"/>
    <s v="Same Day"/>
    <x v="647"/>
    <x v="647"/>
    <s v="Consumer"/>
    <s v="United States"/>
    <s v="Pueblo"/>
    <x v="22"/>
    <n v="81001"/>
    <x v="1"/>
    <x v="735"/>
    <x v="1"/>
    <x v="8"/>
    <x v="734"/>
    <n v="25.164000000000001"/>
    <s v="Medium"/>
    <n v="2"/>
    <n v="0.7"/>
    <x v="1"/>
    <x v="5"/>
    <n v="-16.776"/>
    <n v="-0.66666666666666663"/>
    <n v="1"/>
  </r>
  <r>
    <n v="2680"/>
    <s v="CA-2017-127026"/>
    <d v="2017-01-21T00:00:00"/>
    <x v="3"/>
    <s v="Q1"/>
    <x v="44"/>
    <d v="2017-01-27T00:00:00"/>
    <s v="Standard Class"/>
    <x v="414"/>
    <x v="414"/>
    <s v="Home Office"/>
    <s v="United States"/>
    <s v="Jackson"/>
    <x v="12"/>
    <n v="49201"/>
    <x v="2"/>
    <x v="614"/>
    <x v="1"/>
    <x v="8"/>
    <x v="614"/>
    <n v="14.4"/>
    <s v="Low"/>
    <n v="5"/>
    <n v="0"/>
    <x v="0"/>
    <x v="0"/>
    <n v="7.056"/>
    <n v="0.49"/>
    <n v="0"/>
  </r>
  <r>
    <n v="2681"/>
    <s v="CA-2017-127026"/>
    <d v="2017-01-21T00:00:00"/>
    <x v="3"/>
    <s v="Q1"/>
    <x v="44"/>
    <d v="2017-01-27T00:00:00"/>
    <s v="Standard Class"/>
    <x v="414"/>
    <x v="414"/>
    <s v="Home Office"/>
    <s v="United States"/>
    <s v="Jackson"/>
    <x v="12"/>
    <n v="49201"/>
    <x v="2"/>
    <x v="695"/>
    <x v="2"/>
    <x v="11"/>
    <x v="695"/>
    <n v="619.95000000000005"/>
    <s v="High"/>
    <n v="5"/>
    <n v="0"/>
    <x v="0"/>
    <x v="0"/>
    <n v="111.59099999999999"/>
    <n v="0.17999999999999997"/>
    <n v="0"/>
  </r>
  <r>
    <n v="2682"/>
    <s v="CA-2017-127026"/>
    <d v="2017-01-21T00:00:00"/>
    <x v="3"/>
    <s v="Q1"/>
    <x v="44"/>
    <d v="2017-01-27T00:00:00"/>
    <s v="Standard Class"/>
    <x v="414"/>
    <x v="414"/>
    <s v="Home Office"/>
    <s v="United States"/>
    <s v="Jackson"/>
    <x v="12"/>
    <n v="49201"/>
    <x v="2"/>
    <x v="1403"/>
    <x v="1"/>
    <x v="8"/>
    <x v="1390"/>
    <n v="89.52"/>
    <s v="Medium"/>
    <n v="4"/>
    <n v="0"/>
    <x v="0"/>
    <x v="0"/>
    <n v="42.074399999999997"/>
    <n v="0.47"/>
    <n v="0"/>
  </r>
  <r>
    <n v="2683"/>
    <s v="CA-2017-127026"/>
    <d v="2017-01-21T00:00:00"/>
    <x v="3"/>
    <s v="Q1"/>
    <x v="44"/>
    <d v="2017-01-27T00:00:00"/>
    <s v="Standard Class"/>
    <x v="414"/>
    <x v="414"/>
    <s v="Home Office"/>
    <s v="United States"/>
    <s v="Jackson"/>
    <x v="12"/>
    <n v="49201"/>
    <x v="2"/>
    <x v="1404"/>
    <x v="2"/>
    <x v="15"/>
    <x v="1391"/>
    <n v="350.97300000000001"/>
    <s v="High"/>
    <n v="3"/>
    <n v="0.1"/>
    <x v="3"/>
    <x v="8"/>
    <n v="152.0883"/>
    <n v="0.43333333333333335"/>
    <n v="0"/>
  </r>
  <r>
    <n v="2684"/>
    <s v="CA-2017-127026"/>
    <d v="2017-01-21T00:00:00"/>
    <x v="3"/>
    <s v="Q1"/>
    <x v="44"/>
    <d v="2017-01-27T00:00:00"/>
    <s v="Standard Class"/>
    <x v="414"/>
    <x v="414"/>
    <s v="Home Office"/>
    <s v="United States"/>
    <s v="Jackson"/>
    <x v="12"/>
    <n v="49201"/>
    <x v="2"/>
    <x v="1405"/>
    <x v="2"/>
    <x v="7"/>
    <x v="1392"/>
    <n v="164.99"/>
    <s v="High"/>
    <n v="1"/>
    <n v="0"/>
    <x v="0"/>
    <x v="0"/>
    <n v="49.497"/>
    <n v="0.3"/>
    <n v="0"/>
  </r>
  <r>
    <n v="2685"/>
    <s v="CA-2017-137085"/>
    <d v="2017-06-29T00:00:00"/>
    <x v="3"/>
    <s v="Q2"/>
    <x v="27"/>
    <d v="2017-07-06T00:00:00"/>
    <s v="Standard Class"/>
    <x v="564"/>
    <x v="564"/>
    <s v="Consumer"/>
    <s v="United States"/>
    <s v="Los Angeles"/>
    <x v="1"/>
    <n v="90004"/>
    <x v="1"/>
    <x v="1311"/>
    <x v="1"/>
    <x v="8"/>
    <x v="1297"/>
    <n v="312.55200000000002"/>
    <s v="High"/>
    <n v="9"/>
    <n v="0.2"/>
    <x v="2"/>
    <x v="2"/>
    <n v="101.57940000000001"/>
    <n v="0.32500000000000001"/>
    <n v="0"/>
  </r>
  <r>
    <n v="2686"/>
    <s v="CA-2016-133123"/>
    <d v="2016-09-06T00:00:00"/>
    <x v="0"/>
    <s v="Q3"/>
    <x v="21"/>
    <d v="2016-09-11T00:00:00"/>
    <s v="Standard Class"/>
    <x v="41"/>
    <x v="41"/>
    <s v="Consumer"/>
    <s v="United States"/>
    <s v="Thomasville"/>
    <x v="3"/>
    <n v="27360"/>
    <x v="0"/>
    <x v="889"/>
    <x v="1"/>
    <x v="12"/>
    <x v="882"/>
    <n v="95.951999999999998"/>
    <s v="Medium"/>
    <n v="3"/>
    <n v="0.2"/>
    <x v="2"/>
    <x v="2"/>
    <n v="29.984999999999999"/>
    <n v="0.3125"/>
    <n v="0"/>
  </r>
  <r>
    <n v="2687"/>
    <s v="CA-2016-133123"/>
    <d v="2016-09-06T00:00:00"/>
    <x v="0"/>
    <s v="Q3"/>
    <x v="21"/>
    <d v="2016-09-11T00:00:00"/>
    <s v="Standard Class"/>
    <x v="41"/>
    <x v="41"/>
    <s v="Consumer"/>
    <s v="United States"/>
    <s v="Thomasville"/>
    <x v="3"/>
    <n v="27360"/>
    <x v="0"/>
    <x v="880"/>
    <x v="1"/>
    <x v="8"/>
    <x v="874"/>
    <n v="3.2040000000000002"/>
    <s v="Low"/>
    <n v="2"/>
    <n v="0.7"/>
    <x v="1"/>
    <x v="5"/>
    <n v="-2.4563999999999999"/>
    <n v="-0.76666666666666661"/>
    <n v="1"/>
  </r>
  <r>
    <n v="2688"/>
    <s v="US-2016-128195"/>
    <d v="2016-08-04T00:00:00"/>
    <x v="0"/>
    <s v="Q3"/>
    <x v="28"/>
    <d v="2016-08-05T00:00:00"/>
    <s v="First Class"/>
    <x v="267"/>
    <x v="267"/>
    <s v="Consumer"/>
    <s v="United States"/>
    <s v="Peoria"/>
    <x v="10"/>
    <n v="61604"/>
    <x v="2"/>
    <x v="1406"/>
    <x v="1"/>
    <x v="8"/>
    <x v="1393"/>
    <n v="3.98"/>
    <s v="Low"/>
    <n v="5"/>
    <n v="0.8"/>
    <x v="1"/>
    <x v="3"/>
    <n v="-6.5670000000000002"/>
    <n v="-1.6500000000000001"/>
    <n v="1"/>
  </r>
  <r>
    <n v="2689"/>
    <s v="CA-2015-153220"/>
    <d v="2015-11-12T00:00:00"/>
    <x v="1"/>
    <s v="Q4"/>
    <x v="6"/>
    <d v="2015-11-14T00:00:00"/>
    <s v="First Class"/>
    <x v="289"/>
    <x v="289"/>
    <s v="Corporate"/>
    <s v="United States"/>
    <s v="Los Angeles"/>
    <x v="1"/>
    <n v="90032"/>
    <x v="1"/>
    <x v="1407"/>
    <x v="1"/>
    <x v="10"/>
    <x v="1394"/>
    <n v="15.7"/>
    <s v="Low"/>
    <n v="5"/>
    <n v="0"/>
    <x v="0"/>
    <x v="0"/>
    <n v="7.0650000000000004"/>
    <n v="0.45000000000000007"/>
    <n v="0"/>
  </r>
  <r>
    <n v="2690"/>
    <s v="CA-2014-123064"/>
    <d v="2014-06-30T00:00:00"/>
    <x v="2"/>
    <s v="Q2"/>
    <x v="3"/>
    <d v="2014-07-02T00:00:00"/>
    <s v="First Class"/>
    <x v="154"/>
    <x v="154"/>
    <s v="Consumer"/>
    <s v="United States"/>
    <s v="Chicago"/>
    <x v="10"/>
    <n v="60653"/>
    <x v="2"/>
    <x v="1199"/>
    <x v="1"/>
    <x v="6"/>
    <x v="1184"/>
    <n v="5.2480000000000002"/>
    <s v="Low"/>
    <n v="4"/>
    <n v="0.2"/>
    <x v="2"/>
    <x v="2"/>
    <n v="1.64"/>
    <n v="0.31249999999999994"/>
    <n v="0"/>
  </r>
  <r>
    <n v="2691"/>
    <s v="CA-2017-156412"/>
    <d v="2017-12-04T00:00:00"/>
    <x v="3"/>
    <s v="Q4"/>
    <x v="22"/>
    <d v="2017-12-08T00:00:00"/>
    <s v="Standard Class"/>
    <x v="380"/>
    <x v="380"/>
    <s v="Consumer"/>
    <s v="United States"/>
    <s v="Philadelphia"/>
    <x v="9"/>
    <n v="19134"/>
    <x v="3"/>
    <x v="990"/>
    <x v="1"/>
    <x v="8"/>
    <x v="305"/>
    <n v="5.3460000000000001"/>
    <s v="Low"/>
    <n v="3"/>
    <n v="0.7"/>
    <x v="1"/>
    <x v="5"/>
    <n v="-4.4550000000000001"/>
    <n v="-0.83333333333333337"/>
    <n v="1"/>
  </r>
  <r>
    <n v="2692"/>
    <s v="US-2016-144211"/>
    <d v="2016-08-28T00:00:00"/>
    <x v="0"/>
    <s v="Q3"/>
    <x v="28"/>
    <d v="2016-09-02T00:00:00"/>
    <s v="Standard Class"/>
    <x v="79"/>
    <x v="79"/>
    <s v="Consumer"/>
    <s v="United States"/>
    <s v="Englewood"/>
    <x v="22"/>
    <n v="80112"/>
    <x v="1"/>
    <x v="1408"/>
    <x v="1"/>
    <x v="10"/>
    <x v="1395"/>
    <n v="15.48"/>
    <s v="Low"/>
    <n v="3"/>
    <n v="0.2"/>
    <x v="2"/>
    <x v="2"/>
    <n v="5.6115000000000004"/>
    <n v="0.36249999999999999"/>
    <n v="0"/>
  </r>
  <r>
    <n v="2693"/>
    <s v="US-2016-144211"/>
    <d v="2016-08-28T00:00:00"/>
    <x v="0"/>
    <s v="Q3"/>
    <x v="28"/>
    <d v="2016-09-02T00:00:00"/>
    <s v="Standard Class"/>
    <x v="79"/>
    <x v="79"/>
    <s v="Consumer"/>
    <s v="United States"/>
    <s v="Englewood"/>
    <x v="22"/>
    <n v="80112"/>
    <x v="1"/>
    <x v="1409"/>
    <x v="2"/>
    <x v="7"/>
    <x v="1396"/>
    <n v="108.57599999999999"/>
    <s v="Medium"/>
    <n v="3"/>
    <n v="0.2"/>
    <x v="2"/>
    <x v="2"/>
    <n v="8.1432000000000002"/>
    <n v="7.5000000000000011E-2"/>
    <n v="0"/>
  </r>
  <r>
    <n v="2694"/>
    <s v="CA-2016-138079"/>
    <d v="2016-01-22T00:00:00"/>
    <x v="0"/>
    <s v="Q1"/>
    <x v="12"/>
    <d v="2016-01-28T00:00:00"/>
    <s v="Standard Class"/>
    <x v="295"/>
    <x v="295"/>
    <s v="Corporate"/>
    <s v="United States"/>
    <s v="Seattle"/>
    <x v="4"/>
    <n v="98115"/>
    <x v="1"/>
    <x v="504"/>
    <x v="0"/>
    <x v="5"/>
    <x v="504"/>
    <n v="109.9"/>
    <s v="Medium"/>
    <n v="5"/>
    <n v="0"/>
    <x v="0"/>
    <x v="0"/>
    <n v="37.366"/>
    <n v="0.33999999999999997"/>
    <n v="0"/>
  </r>
  <r>
    <n v="2695"/>
    <s v="CA-2014-143182"/>
    <d v="2014-10-15T00:00:00"/>
    <x v="2"/>
    <s v="Q4"/>
    <x v="18"/>
    <d v="2014-10-20T00:00:00"/>
    <s v="Standard Class"/>
    <x v="297"/>
    <x v="297"/>
    <s v="Consumer"/>
    <s v="United States"/>
    <s v="Hialeah"/>
    <x v="2"/>
    <n v="33012"/>
    <x v="0"/>
    <x v="1006"/>
    <x v="0"/>
    <x v="5"/>
    <x v="1381"/>
    <n v="15.384"/>
    <s v="Low"/>
    <n v="1"/>
    <n v="0.2"/>
    <x v="2"/>
    <x v="2"/>
    <n v="4.0382999999999996"/>
    <n v="0.26249999999999996"/>
    <n v="0"/>
  </r>
  <r>
    <n v="2696"/>
    <s v="CA-2016-161662"/>
    <d v="2016-02-07T00:00:00"/>
    <x v="0"/>
    <s v="Q1"/>
    <x v="47"/>
    <d v="2016-02-09T00:00:00"/>
    <s v="First Class"/>
    <x v="648"/>
    <x v="648"/>
    <s v="Consumer"/>
    <s v="United States"/>
    <s v="Lancaster"/>
    <x v="24"/>
    <n v="43130"/>
    <x v="3"/>
    <x v="423"/>
    <x v="1"/>
    <x v="10"/>
    <x v="423"/>
    <n v="30.352"/>
    <s v="Medium"/>
    <n v="2"/>
    <n v="0.2"/>
    <x v="2"/>
    <x v="2"/>
    <n v="10.623200000000001"/>
    <n v="0.35000000000000003"/>
    <n v="0"/>
  </r>
  <r>
    <n v="2697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1410"/>
    <x v="2"/>
    <x v="15"/>
    <x v="1397"/>
    <n v="821.3"/>
    <s v="High"/>
    <n v="4"/>
    <n v="0.5"/>
    <x v="1"/>
    <x v="1"/>
    <n v="-16.425999999999998"/>
    <n v="-0.02"/>
    <n v="1"/>
  </r>
  <r>
    <n v="2698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1411"/>
    <x v="2"/>
    <x v="15"/>
    <x v="1398"/>
    <n v="22638.48"/>
    <s v="High"/>
    <n v="6"/>
    <n v="0.5"/>
    <x v="1"/>
    <x v="1"/>
    <n v="-1811.0784000000001"/>
    <n v="-0.08"/>
    <n v="1"/>
  </r>
  <r>
    <n v="2699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128"/>
    <x v="1"/>
    <x v="10"/>
    <x v="129"/>
    <n v="21.376000000000001"/>
    <s v="Low"/>
    <n v="4"/>
    <n v="0.2"/>
    <x v="2"/>
    <x v="2"/>
    <n v="7.4816000000000003"/>
    <n v="0.35"/>
    <n v="0"/>
  </r>
  <r>
    <n v="2700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1412"/>
    <x v="1"/>
    <x v="6"/>
    <x v="1399"/>
    <n v="8.016"/>
    <s v="Low"/>
    <n v="3"/>
    <n v="0.2"/>
    <x v="2"/>
    <x v="2"/>
    <n v="1.002"/>
    <n v="0.125"/>
    <n v="0"/>
  </r>
  <r>
    <n v="2701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1006"/>
    <x v="0"/>
    <x v="5"/>
    <x v="1381"/>
    <n v="30.768000000000001"/>
    <s v="Medium"/>
    <n v="2"/>
    <n v="0.2"/>
    <x v="2"/>
    <x v="2"/>
    <n v="8.0765999999999991"/>
    <n v="0.26249999999999996"/>
    <n v="0"/>
  </r>
  <r>
    <n v="2702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550"/>
    <x v="1"/>
    <x v="13"/>
    <x v="128"/>
    <n v="18.936"/>
    <s v="Low"/>
    <n v="3"/>
    <n v="0.2"/>
    <x v="2"/>
    <x v="2"/>
    <n v="5.9175000000000004"/>
    <n v="0.3125"/>
    <n v="0"/>
  </r>
  <r>
    <n v="2703"/>
    <s v="CA-2014-145317"/>
    <d v="2014-03-18T00:00:00"/>
    <x v="2"/>
    <s v="Q1"/>
    <x v="34"/>
    <d v="2014-03-23T00:00:00"/>
    <s v="Standard Class"/>
    <x v="598"/>
    <x v="598"/>
    <s v="Home Office"/>
    <s v="United States"/>
    <s v="Jacksonville"/>
    <x v="2"/>
    <n v="32216"/>
    <x v="0"/>
    <x v="1154"/>
    <x v="0"/>
    <x v="5"/>
    <x v="1142"/>
    <n v="122.352"/>
    <s v="Medium"/>
    <n v="3"/>
    <n v="0.2"/>
    <x v="2"/>
    <x v="2"/>
    <n v="15.294"/>
    <n v="0.125"/>
    <n v="0"/>
  </r>
  <r>
    <n v="2704"/>
    <s v="CA-2014-143413"/>
    <d v="2014-05-24T00:00:00"/>
    <x v="2"/>
    <s v="Q2"/>
    <x v="8"/>
    <d v="2014-05-30T00:00:00"/>
    <s v="Standard Class"/>
    <x v="261"/>
    <x v="261"/>
    <s v="Consumer"/>
    <s v="United States"/>
    <s v="Baltimore"/>
    <x v="39"/>
    <n v="21215"/>
    <x v="3"/>
    <x v="1413"/>
    <x v="1"/>
    <x v="10"/>
    <x v="1400"/>
    <n v="116.28"/>
    <s v="Medium"/>
    <n v="3"/>
    <n v="0"/>
    <x v="0"/>
    <x v="0"/>
    <n v="56.977200000000003"/>
    <n v="0.49000000000000005"/>
    <n v="0"/>
  </r>
  <r>
    <n v="2705"/>
    <s v="CA-2017-156818"/>
    <d v="2017-07-11T00:00:00"/>
    <x v="3"/>
    <s v="Q3"/>
    <x v="10"/>
    <d v="2017-07-13T00:00:00"/>
    <s v="Second Class"/>
    <x v="557"/>
    <x v="557"/>
    <s v="Consumer"/>
    <s v="United States"/>
    <s v="New York City"/>
    <x v="15"/>
    <n v="10009"/>
    <x v="3"/>
    <x v="176"/>
    <x v="2"/>
    <x v="11"/>
    <x v="177"/>
    <n v="132.6"/>
    <s v="High"/>
    <n v="6"/>
    <n v="0"/>
    <x v="0"/>
    <x v="0"/>
    <n v="17.238"/>
    <n v="0.13"/>
    <n v="0"/>
  </r>
  <r>
    <n v="2706"/>
    <s v="CA-2017-155873"/>
    <d v="2017-06-16T00:00:00"/>
    <x v="3"/>
    <s v="Q2"/>
    <x v="27"/>
    <d v="2017-06-21T00:00:00"/>
    <s v="Standard Class"/>
    <x v="437"/>
    <x v="437"/>
    <s v="Home Office"/>
    <s v="United States"/>
    <s v="Carlsbad"/>
    <x v="27"/>
    <n v="88220"/>
    <x v="1"/>
    <x v="1059"/>
    <x v="1"/>
    <x v="14"/>
    <x v="1048"/>
    <n v="16.68"/>
    <s v="Low"/>
    <n v="2"/>
    <n v="0"/>
    <x v="0"/>
    <x v="0"/>
    <n v="4.3368000000000002"/>
    <n v="0.26"/>
    <n v="0"/>
  </r>
  <r>
    <n v="2707"/>
    <s v="CA-2017-155873"/>
    <d v="2017-06-16T00:00:00"/>
    <x v="3"/>
    <s v="Q2"/>
    <x v="27"/>
    <d v="2017-06-21T00:00:00"/>
    <s v="Standard Class"/>
    <x v="437"/>
    <x v="437"/>
    <s v="Home Office"/>
    <s v="United States"/>
    <s v="Carlsbad"/>
    <x v="27"/>
    <n v="88220"/>
    <x v="1"/>
    <x v="1414"/>
    <x v="1"/>
    <x v="10"/>
    <x v="1401"/>
    <n v="19.440000000000001"/>
    <s v="Low"/>
    <n v="3"/>
    <n v="0"/>
    <x v="0"/>
    <x v="0"/>
    <n v="9.3312000000000008"/>
    <n v="0.48000000000000004"/>
    <n v="0"/>
  </r>
  <r>
    <n v="2708"/>
    <s v="CA-2017-155873"/>
    <d v="2017-06-16T00:00:00"/>
    <x v="3"/>
    <s v="Q2"/>
    <x v="27"/>
    <d v="2017-06-21T00:00:00"/>
    <s v="Standard Class"/>
    <x v="437"/>
    <x v="437"/>
    <s v="Home Office"/>
    <s v="United States"/>
    <s v="Carlsbad"/>
    <x v="27"/>
    <n v="88220"/>
    <x v="1"/>
    <x v="1415"/>
    <x v="1"/>
    <x v="10"/>
    <x v="1402"/>
    <n v="192.16"/>
    <s v="High"/>
    <n v="4"/>
    <n v="0"/>
    <x v="0"/>
    <x v="0"/>
    <n v="92.236800000000002"/>
    <n v="0.48000000000000004"/>
    <n v="0"/>
  </r>
  <r>
    <n v="2709"/>
    <s v="CA-2015-121797"/>
    <d v="2015-01-30T00:00:00"/>
    <x v="1"/>
    <s v="Q1"/>
    <x v="26"/>
    <d v="2015-02-06T00:00:00"/>
    <s v="Standard Class"/>
    <x v="230"/>
    <x v="230"/>
    <s v="Consumer"/>
    <s v="United States"/>
    <s v="Los Angeles"/>
    <x v="1"/>
    <n v="90049"/>
    <x v="1"/>
    <x v="1416"/>
    <x v="0"/>
    <x v="5"/>
    <x v="1403"/>
    <n v="227.36"/>
    <s v="High"/>
    <n v="7"/>
    <n v="0"/>
    <x v="0"/>
    <x v="0"/>
    <n v="81.849599999999995"/>
    <n v="0.35999999999999993"/>
    <n v="0"/>
  </r>
  <r>
    <n v="2710"/>
    <s v="CA-2015-121797"/>
    <d v="2015-01-30T00:00:00"/>
    <x v="1"/>
    <s v="Q1"/>
    <x v="26"/>
    <d v="2015-02-06T00:00:00"/>
    <s v="Standard Class"/>
    <x v="230"/>
    <x v="230"/>
    <s v="Consumer"/>
    <s v="United States"/>
    <s v="Los Angeles"/>
    <x v="1"/>
    <n v="90049"/>
    <x v="1"/>
    <x v="1150"/>
    <x v="2"/>
    <x v="15"/>
    <x v="1138"/>
    <n v="1919.9760000000001"/>
    <s v="High"/>
    <n v="3"/>
    <n v="0.2"/>
    <x v="2"/>
    <x v="2"/>
    <n v="215.9973"/>
    <n v="0.11249999999999999"/>
    <n v="0"/>
  </r>
  <r>
    <n v="2711"/>
    <s v="US-2015-120572"/>
    <d v="2015-12-11T00:00:00"/>
    <x v="1"/>
    <s v="Q4"/>
    <x v="14"/>
    <d v="2015-12-15T00:00:00"/>
    <s v="Standard Class"/>
    <x v="485"/>
    <x v="485"/>
    <s v="Consumer"/>
    <s v="United States"/>
    <s v="Jacksonville"/>
    <x v="2"/>
    <n v="32216"/>
    <x v="0"/>
    <x v="410"/>
    <x v="1"/>
    <x v="8"/>
    <x v="410"/>
    <n v="12.827999999999999"/>
    <s v="Low"/>
    <n v="2"/>
    <n v="0.7"/>
    <x v="1"/>
    <x v="5"/>
    <n v="-8.9795999999999996"/>
    <n v="-0.7"/>
    <n v="1"/>
  </r>
  <r>
    <n v="2712"/>
    <s v="CA-2017-132430"/>
    <d v="2017-10-09T00:00:00"/>
    <x v="3"/>
    <s v="Q4"/>
    <x v="13"/>
    <d v="2017-10-11T00:00:00"/>
    <s v="First Class"/>
    <x v="434"/>
    <x v="434"/>
    <s v="Corporate"/>
    <s v="United States"/>
    <s v="Lakewood"/>
    <x v="24"/>
    <n v="44107"/>
    <x v="3"/>
    <x v="613"/>
    <x v="0"/>
    <x v="5"/>
    <x v="613"/>
    <n v="45.887999999999998"/>
    <s v="Medium"/>
    <n v="4"/>
    <n v="0.2"/>
    <x v="2"/>
    <x v="2"/>
    <n v="9.1776"/>
    <n v="0.2"/>
    <n v="0"/>
  </r>
  <r>
    <n v="2713"/>
    <s v="CA-2017-146031"/>
    <d v="2017-07-29T00:00:00"/>
    <x v="3"/>
    <s v="Q3"/>
    <x v="10"/>
    <d v="2017-08-01T00:00:00"/>
    <s v="Second Class"/>
    <x v="306"/>
    <x v="306"/>
    <s v="Consumer"/>
    <s v="United States"/>
    <s v="Troy"/>
    <x v="15"/>
    <n v="12180"/>
    <x v="3"/>
    <x v="158"/>
    <x v="1"/>
    <x v="6"/>
    <x v="159"/>
    <n v="60.12"/>
    <s v="Medium"/>
    <n v="9"/>
    <n v="0"/>
    <x v="0"/>
    <x v="0"/>
    <n v="22.244399999999999"/>
    <n v="0.37"/>
    <n v="0"/>
  </r>
  <r>
    <n v="2714"/>
    <s v="CA-2014-110100"/>
    <d v="2014-04-25T00:00:00"/>
    <x v="2"/>
    <s v="Q2"/>
    <x v="41"/>
    <d v="2014-04-29T00:00:00"/>
    <s v="Standard Class"/>
    <x v="62"/>
    <x v="62"/>
    <s v="Consumer"/>
    <s v="United States"/>
    <s v="Wilmington"/>
    <x v="3"/>
    <n v="28403"/>
    <x v="0"/>
    <x v="722"/>
    <x v="2"/>
    <x v="7"/>
    <x v="1404"/>
    <n v="302.37599999999998"/>
    <s v="High"/>
    <n v="3"/>
    <n v="0.2"/>
    <x v="2"/>
    <x v="2"/>
    <n v="37.796999999999997"/>
    <n v="0.125"/>
    <n v="0"/>
  </r>
  <r>
    <n v="2715"/>
    <s v="CA-2015-103723"/>
    <d v="2015-12-01T00:00:00"/>
    <x v="1"/>
    <s v="Q4"/>
    <x v="14"/>
    <d v="2015-12-06T00:00:00"/>
    <s v="Standard Class"/>
    <x v="457"/>
    <x v="457"/>
    <s v="Home Office"/>
    <s v="United States"/>
    <s v="Seattle"/>
    <x v="4"/>
    <n v="98105"/>
    <x v="1"/>
    <x v="1061"/>
    <x v="1"/>
    <x v="6"/>
    <x v="1050"/>
    <n v="13.9"/>
    <s v="Low"/>
    <n v="5"/>
    <n v="0"/>
    <x v="0"/>
    <x v="0"/>
    <n v="5.56"/>
    <n v="0.39999999999999997"/>
    <n v="0"/>
  </r>
  <r>
    <n v="2716"/>
    <s v="CA-2014-127187"/>
    <d v="2014-12-04T00:00:00"/>
    <x v="2"/>
    <s v="Q4"/>
    <x v="20"/>
    <d v="2014-12-08T00:00:00"/>
    <s v="Standard Class"/>
    <x v="434"/>
    <x v="434"/>
    <s v="Corporate"/>
    <s v="United States"/>
    <s v="New York City"/>
    <x v="15"/>
    <n v="10024"/>
    <x v="3"/>
    <x v="1417"/>
    <x v="2"/>
    <x v="7"/>
    <x v="1405"/>
    <n v="129.97999999999999"/>
    <s v="High"/>
    <n v="2"/>
    <n v="0"/>
    <x v="0"/>
    <x v="0"/>
    <n v="62.3904"/>
    <n v="0.48000000000000004"/>
    <n v="0"/>
  </r>
  <r>
    <n v="2717"/>
    <s v="CA-2017-128475"/>
    <d v="2017-08-26T00:00:00"/>
    <x v="3"/>
    <s v="Q3"/>
    <x v="43"/>
    <d v="2017-09-01T00:00:00"/>
    <s v="Standard Class"/>
    <x v="649"/>
    <x v="649"/>
    <s v="Home Office"/>
    <s v="United States"/>
    <s v="Columbus"/>
    <x v="32"/>
    <n v="31907"/>
    <x v="0"/>
    <x v="357"/>
    <x v="2"/>
    <x v="11"/>
    <x v="357"/>
    <n v="71.98"/>
    <s v="Medium"/>
    <n v="2"/>
    <n v="0"/>
    <x v="0"/>
    <x v="0"/>
    <n v="15.1158"/>
    <n v="0.21"/>
    <n v="0"/>
  </r>
  <r>
    <n v="2718"/>
    <s v="CA-2014-100006"/>
    <d v="2014-09-07T00:00:00"/>
    <x v="2"/>
    <s v="Q3"/>
    <x v="30"/>
    <d v="2014-09-13T00:00:00"/>
    <s v="Standard Class"/>
    <x v="589"/>
    <x v="589"/>
    <s v="Consumer"/>
    <s v="United States"/>
    <s v="New York City"/>
    <x v="15"/>
    <n v="10024"/>
    <x v="3"/>
    <x v="1418"/>
    <x v="2"/>
    <x v="7"/>
    <x v="1406"/>
    <n v="377.97"/>
    <s v="High"/>
    <n v="3"/>
    <n v="0"/>
    <x v="0"/>
    <x v="0"/>
    <n v="109.6113"/>
    <n v="0.28999999999999998"/>
    <n v="0"/>
  </r>
  <r>
    <n v="2719"/>
    <s v="CA-2017-144827"/>
    <d v="2017-12-21T00:00:00"/>
    <x v="3"/>
    <s v="Q4"/>
    <x v="22"/>
    <d v="2017-12-27T00:00:00"/>
    <s v="Standard Class"/>
    <x v="339"/>
    <x v="339"/>
    <s v="Consumer"/>
    <s v="United States"/>
    <s v="Costa Mesa"/>
    <x v="1"/>
    <n v="92627"/>
    <x v="1"/>
    <x v="821"/>
    <x v="1"/>
    <x v="4"/>
    <x v="817"/>
    <n v="124.36"/>
    <s v="High"/>
    <n v="2"/>
    <n v="0"/>
    <x v="0"/>
    <x v="0"/>
    <n v="33.577199999999998"/>
    <n v="0.26999999999999996"/>
    <n v="0"/>
  </r>
  <r>
    <n v="2720"/>
    <s v="CA-2014-110030"/>
    <d v="2014-12-06T00:00:00"/>
    <x v="2"/>
    <s v="Q4"/>
    <x v="20"/>
    <d v="2014-12-08T00:00:00"/>
    <s v="Second Class"/>
    <x v="166"/>
    <x v="166"/>
    <s v="Consumer"/>
    <s v="United States"/>
    <s v="Houston"/>
    <x v="5"/>
    <n v="77095"/>
    <x v="2"/>
    <x v="561"/>
    <x v="0"/>
    <x v="5"/>
    <x v="560"/>
    <n v="23.975999999999999"/>
    <s v="Low"/>
    <n v="3"/>
    <n v="0.6"/>
    <x v="1"/>
    <x v="6"/>
    <n v="-14.3856"/>
    <n v="-0.6"/>
    <n v="1"/>
  </r>
  <r>
    <n v="2721"/>
    <s v="CA-2014-121286"/>
    <d v="2014-11-04T00:00:00"/>
    <x v="2"/>
    <s v="Q4"/>
    <x v="7"/>
    <d v="2014-11-08T00:00:00"/>
    <s v="Second Class"/>
    <x v="21"/>
    <x v="21"/>
    <s v="Corporate"/>
    <s v="United States"/>
    <s v="Cary"/>
    <x v="3"/>
    <n v="27511"/>
    <x v="0"/>
    <x v="203"/>
    <x v="1"/>
    <x v="13"/>
    <x v="204"/>
    <n v="8.3759999999999994"/>
    <s v="Low"/>
    <n v="3"/>
    <n v="0.2"/>
    <x v="2"/>
    <x v="2"/>
    <n v="2.7222"/>
    <n v="0.32500000000000001"/>
    <n v="0"/>
  </r>
  <r>
    <n v="2722"/>
    <s v="CA-2014-121286"/>
    <d v="2014-11-04T00:00:00"/>
    <x v="2"/>
    <s v="Q4"/>
    <x v="7"/>
    <d v="2014-11-08T00:00:00"/>
    <s v="Second Class"/>
    <x v="21"/>
    <x v="21"/>
    <s v="Corporate"/>
    <s v="United States"/>
    <s v="Cary"/>
    <x v="3"/>
    <n v="27511"/>
    <x v="0"/>
    <x v="937"/>
    <x v="1"/>
    <x v="9"/>
    <x v="930"/>
    <n v="58.24"/>
    <s v="Medium"/>
    <n v="5"/>
    <n v="0.2"/>
    <x v="2"/>
    <x v="2"/>
    <n v="5.0960000000000001"/>
    <n v="8.7499999999999994E-2"/>
    <n v="0"/>
  </r>
  <r>
    <n v="2723"/>
    <s v="CA-2016-164735"/>
    <d v="2016-04-14T00:00:00"/>
    <x v="0"/>
    <s v="Q2"/>
    <x v="25"/>
    <d v="2016-04-19T00:00:00"/>
    <s v="Second Class"/>
    <x v="483"/>
    <x v="483"/>
    <s v="Consumer"/>
    <s v="United States"/>
    <s v="Alexandria"/>
    <x v="17"/>
    <n v="22304"/>
    <x v="0"/>
    <x v="720"/>
    <x v="1"/>
    <x v="4"/>
    <x v="719"/>
    <n v="81.2"/>
    <s v="Medium"/>
    <n v="5"/>
    <n v="0"/>
    <x v="0"/>
    <x v="0"/>
    <n v="12.18"/>
    <n v="0.15"/>
    <n v="0"/>
  </r>
  <r>
    <n v="2724"/>
    <s v="CA-2014-153479"/>
    <d v="2014-10-04T00:00:00"/>
    <x v="2"/>
    <s v="Q4"/>
    <x v="18"/>
    <d v="2014-10-08T00:00:00"/>
    <s v="Standard Class"/>
    <x v="650"/>
    <x v="650"/>
    <s v="Consumer"/>
    <s v="United States"/>
    <s v="Vallejo"/>
    <x v="1"/>
    <n v="94591"/>
    <x v="1"/>
    <x v="264"/>
    <x v="1"/>
    <x v="2"/>
    <x v="264"/>
    <n v="14.45"/>
    <s v="Low"/>
    <n v="5"/>
    <n v="0"/>
    <x v="0"/>
    <x v="0"/>
    <n v="6.7915000000000001"/>
    <n v="0.47000000000000003"/>
    <n v="0"/>
  </r>
  <r>
    <n v="2725"/>
    <s v="CA-2014-153479"/>
    <d v="2014-10-04T00:00:00"/>
    <x v="2"/>
    <s v="Q4"/>
    <x v="18"/>
    <d v="2014-10-08T00:00:00"/>
    <s v="Standard Class"/>
    <x v="650"/>
    <x v="650"/>
    <s v="Consumer"/>
    <s v="United States"/>
    <s v="Vallejo"/>
    <x v="1"/>
    <n v="94591"/>
    <x v="1"/>
    <x v="979"/>
    <x v="1"/>
    <x v="8"/>
    <x v="972"/>
    <n v="95.647999999999996"/>
    <s v="Medium"/>
    <n v="2"/>
    <n v="0.2"/>
    <x v="2"/>
    <x v="2"/>
    <n v="31.085599999999999"/>
    <n v="0.32500000000000001"/>
    <n v="0"/>
  </r>
  <r>
    <n v="2726"/>
    <s v="CA-2017-149888"/>
    <d v="2017-11-07T00:00:00"/>
    <x v="3"/>
    <s v="Q4"/>
    <x v="23"/>
    <d v="2017-11-13T00:00:00"/>
    <s v="Standard Class"/>
    <x v="212"/>
    <x v="212"/>
    <s v="Consumer"/>
    <s v="United States"/>
    <s v="Philadelphia"/>
    <x v="9"/>
    <n v="19120"/>
    <x v="3"/>
    <x v="1211"/>
    <x v="2"/>
    <x v="7"/>
    <x v="1196"/>
    <n v="359.97"/>
    <s v="High"/>
    <n v="5"/>
    <n v="0.4"/>
    <x v="1"/>
    <x v="7"/>
    <n v="-71.994"/>
    <n v="-0.19999999999999998"/>
    <n v="1"/>
  </r>
  <r>
    <n v="2727"/>
    <s v="CA-2017-149888"/>
    <d v="2017-11-07T00:00:00"/>
    <x v="3"/>
    <s v="Q4"/>
    <x v="23"/>
    <d v="2017-11-13T00:00:00"/>
    <s v="Standard Class"/>
    <x v="212"/>
    <x v="212"/>
    <s v="Consumer"/>
    <s v="United States"/>
    <s v="Philadelphia"/>
    <x v="9"/>
    <n v="19120"/>
    <x v="3"/>
    <x v="1342"/>
    <x v="0"/>
    <x v="3"/>
    <x v="1327"/>
    <n v="350.35199999999998"/>
    <s v="High"/>
    <n v="4"/>
    <n v="0.4"/>
    <x v="1"/>
    <x v="7"/>
    <n v="-140.14080000000001"/>
    <n v="-0.40000000000000008"/>
    <n v="1"/>
  </r>
  <r>
    <n v="2728"/>
    <s v="CA-2017-119193"/>
    <d v="2017-12-22T00:00:00"/>
    <x v="3"/>
    <s v="Q4"/>
    <x v="22"/>
    <d v="2017-12-24T00:00:00"/>
    <s v="First Class"/>
    <x v="85"/>
    <x v="85"/>
    <s v="Consumer"/>
    <s v="United States"/>
    <s v="Toledo"/>
    <x v="24"/>
    <n v="43615"/>
    <x v="3"/>
    <x v="520"/>
    <x v="1"/>
    <x v="8"/>
    <x v="520"/>
    <n v="1.641"/>
    <s v="Low"/>
    <n v="1"/>
    <n v="0.7"/>
    <x v="1"/>
    <x v="5"/>
    <n v="-1.3128"/>
    <n v="-0.79999999999999993"/>
    <n v="1"/>
  </r>
  <r>
    <n v="2729"/>
    <s v="CA-2017-119193"/>
    <d v="2017-12-22T00:00:00"/>
    <x v="3"/>
    <s v="Q4"/>
    <x v="22"/>
    <d v="2017-12-24T00:00:00"/>
    <s v="First Class"/>
    <x v="85"/>
    <x v="85"/>
    <s v="Consumer"/>
    <s v="United States"/>
    <s v="Toledo"/>
    <x v="24"/>
    <n v="43615"/>
    <x v="3"/>
    <x v="1334"/>
    <x v="2"/>
    <x v="7"/>
    <x v="1319"/>
    <n v="629.95799999999997"/>
    <s v="High"/>
    <n v="7"/>
    <n v="0.4"/>
    <x v="1"/>
    <x v="7"/>
    <n v="94.493700000000004"/>
    <n v="0.15000000000000002"/>
    <n v="0"/>
  </r>
  <r>
    <n v="2730"/>
    <s v="CA-2017-104801"/>
    <d v="2017-02-13T00:00:00"/>
    <x v="3"/>
    <s v="Q1"/>
    <x v="31"/>
    <d v="2017-02-19T00:00:00"/>
    <s v="Standard Class"/>
    <x v="651"/>
    <x v="651"/>
    <s v="Consumer"/>
    <s v="United States"/>
    <s v="Seattle"/>
    <x v="4"/>
    <n v="98105"/>
    <x v="1"/>
    <x v="147"/>
    <x v="1"/>
    <x v="6"/>
    <x v="148"/>
    <n v="6.63"/>
    <s v="Low"/>
    <n v="3"/>
    <n v="0"/>
    <x v="0"/>
    <x v="0"/>
    <n v="1.7901"/>
    <n v="0.27"/>
    <n v="0"/>
  </r>
  <r>
    <n v="2731"/>
    <s v="CA-2017-104801"/>
    <d v="2017-02-13T00:00:00"/>
    <x v="3"/>
    <s v="Q1"/>
    <x v="31"/>
    <d v="2017-02-19T00:00:00"/>
    <s v="Standard Class"/>
    <x v="651"/>
    <x v="651"/>
    <s v="Consumer"/>
    <s v="United States"/>
    <s v="Seattle"/>
    <x v="4"/>
    <n v="98105"/>
    <x v="1"/>
    <x v="651"/>
    <x v="2"/>
    <x v="11"/>
    <x v="651"/>
    <n v="799.96"/>
    <s v="High"/>
    <n v="4"/>
    <n v="0"/>
    <x v="0"/>
    <x v="0"/>
    <n v="343.9828"/>
    <n v="0.43"/>
    <n v="0"/>
  </r>
  <r>
    <n v="2732"/>
    <s v="CA-2017-104801"/>
    <d v="2017-02-13T00:00:00"/>
    <x v="3"/>
    <s v="Q1"/>
    <x v="31"/>
    <d v="2017-02-19T00:00:00"/>
    <s v="Standard Class"/>
    <x v="651"/>
    <x v="651"/>
    <s v="Consumer"/>
    <s v="United States"/>
    <s v="Seattle"/>
    <x v="4"/>
    <n v="98105"/>
    <x v="1"/>
    <x v="216"/>
    <x v="0"/>
    <x v="5"/>
    <x v="217"/>
    <n v="107.53"/>
    <s v="Medium"/>
    <n v="1"/>
    <n v="0"/>
    <x v="0"/>
    <x v="0"/>
    <n v="21.506"/>
    <n v="0.2"/>
    <n v="0"/>
  </r>
  <r>
    <n v="2733"/>
    <s v="CA-2014-107594"/>
    <d v="2014-07-02T00:00:00"/>
    <x v="2"/>
    <s v="Q3"/>
    <x v="39"/>
    <d v="2014-07-06T00:00:00"/>
    <s v="Standard Class"/>
    <x v="13"/>
    <x v="13"/>
    <s v="Consumer"/>
    <s v="United States"/>
    <s v="Plainfield"/>
    <x v="30"/>
    <n v="7060"/>
    <x v="3"/>
    <x v="687"/>
    <x v="2"/>
    <x v="7"/>
    <x v="687"/>
    <n v="73.98"/>
    <s v="Medium"/>
    <n v="2"/>
    <n v="0"/>
    <x v="0"/>
    <x v="0"/>
    <n v="19.974599999999999"/>
    <n v="0.26999999999999996"/>
    <n v="0"/>
  </r>
  <r>
    <n v="2734"/>
    <s v="CA-2014-107594"/>
    <d v="2014-07-02T00:00:00"/>
    <x v="2"/>
    <s v="Q3"/>
    <x v="39"/>
    <d v="2014-07-06T00:00:00"/>
    <s v="Standard Class"/>
    <x v="13"/>
    <x v="13"/>
    <s v="Consumer"/>
    <s v="United States"/>
    <s v="Plainfield"/>
    <x v="30"/>
    <n v="7060"/>
    <x v="3"/>
    <x v="796"/>
    <x v="1"/>
    <x v="6"/>
    <x v="794"/>
    <n v="5.58"/>
    <s v="Low"/>
    <n v="1"/>
    <n v="0"/>
    <x v="0"/>
    <x v="0"/>
    <n v="2.1762000000000001"/>
    <n v="0.39"/>
    <n v="0"/>
  </r>
  <r>
    <n v="2735"/>
    <s v="CA-2015-129770"/>
    <d v="2015-02-21T00:00:00"/>
    <x v="1"/>
    <s v="Q1"/>
    <x v="36"/>
    <d v="2015-02-23T00:00:00"/>
    <s v="Second Class"/>
    <x v="555"/>
    <x v="555"/>
    <s v="Consumer"/>
    <s v="United States"/>
    <s v="Las Cruces"/>
    <x v="27"/>
    <n v="88001"/>
    <x v="1"/>
    <x v="33"/>
    <x v="1"/>
    <x v="10"/>
    <x v="33"/>
    <n v="49.12"/>
    <s v="Medium"/>
    <n v="4"/>
    <n v="0"/>
    <x v="0"/>
    <x v="0"/>
    <n v="23.086400000000001"/>
    <n v="0.47000000000000003"/>
    <n v="0"/>
  </r>
  <r>
    <n v="2736"/>
    <s v="CA-2015-115798"/>
    <d v="2015-11-13T00:00:00"/>
    <x v="1"/>
    <s v="Q4"/>
    <x v="6"/>
    <d v="2015-11-19T00:00:00"/>
    <s v="Standard Class"/>
    <x v="107"/>
    <x v="107"/>
    <s v="Consumer"/>
    <s v="United States"/>
    <s v="Newark"/>
    <x v="13"/>
    <n v="19711"/>
    <x v="3"/>
    <x v="1419"/>
    <x v="2"/>
    <x v="7"/>
    <x v="1407"/>
    <n v="377.97"/>
    <s v="High"/>
    <n v="3"/>
    <n v="0"/>
    <x v="0"/>
    <x v="0"/>
    <n v="94.492500000000007"/>
    <n v="0.25"/>
    <n v="0"/>
  </r>
  <r>
    <n v="2737"/>
    <s v="CA-2015-115798"/>
    <d v="2015-11-13T00:00:00"/>
    <x v="1"/>
    <s v="Q4"/>
    <x v="6"/>
    <d v="2015-11-19T00:00:00"/>
    <s v="Standard Class"/>
    <x v="107"/>
    <x v="107"/>
    <s v="Consumer"/>
    <s v="United States"/>
    <s v="Newark"/>
    <x v="13"/>
    <n v="19711"/>
    <x v="3"/>
    <x v="670"/>
    <x v="1"/>
    <x v="10"/>
    <x v="670"/>
    <n v="42.28"/>
    <s v="Medium"/>
    <n v="7"/>
    <n v="0"/>
    <x v="0"/>
    <x v="0"/>
    <n v="19.871600000000001"/>
    <n v="0.47000000000000003"/>
    <n v="0"/>
  </r>
  <r>
    <n v="2738"/>
    <s v="CA-2015-115798"/>
    <d v="2015-11-13T00:00:00"/>
    <x v="1"/>
    <s v="Q4"/>
    <x v="6"/>
    <d v="2015-11-19T00:00:00"/>
    <s v="Standard Class"/>
    <x v="107"/>
    <x v="107"/>
    <s v="Consumer"/>
    <s v="United States"/>
    <s v="Newark"/>
    <x v="13"/>
    <n v="19711"/>
    <x v="3"/>
    <x v="899"/>
    <x v="0"/>
    <x v="0"/>
    <x v="892"/>
    <n v="299.97000000000003"/>
    <s v="High"/>
    <n v="3"/>
    <n v="0"/>
    <x v="0"/>
    <x v="0"/>
    <n v="56.994300000000003"/>
    <n v="0.19"/>
    <n v="0"/>
  </r>
  <r>
    <n v="2739"/>
    <s v="CA-2015-115798"/>
    <d v="2015-11-13T00:00:00"/>
    <x v="1"/>
    <s v="Q4"/>
    <x v="6"/>
    <d v="2015-11-19T00:00:00"/>
    <s v="Standard Class"/>
    <x v="107"/>
    <x v="107"/>
    <s v="Consumer"/>
    <s v="United States"/>
    <s v="Newark"/>
    <x v="13"/>
    <n v="19711"/>
    <x v="3"/>
    <x v="817"/>
    <x v="2"/>
    <x v="7"/>
    <x v="813"/>
    <n v="89.98"/>
    <s v="Medium"/>
    <n v="2"/>
    <n v="0"/>
    <x v="0"/>
    <x v="0"/>
    <n v="43.190399999999997"/>
    <n v="0.47999999999999993"/>
    <n v="0"/>
  </r>
  <r>
    <n v="2740"/>
    <s v="CA-2017-122707"/>
    <d v="2017-04-16T00:00:00"/>
    <x v="3"/>
    <s v="Q2"/>
    <x v="4"/>
    <d v="2017-04-18T00:00:00"/>
    <s v="First Class"/>
    <x v="494"/>
    <x v="494"/>
    <s v="Corporate"/>
    <s v="United States"/>
    <s v="Hoover"/>
    <x v="19"/>
    <n v="35244"/>
    <x v="0"/>
    <x v="1420"/>
    <x v="1"/>
    <x v="14"/>
    <x v="1408"/>
    <n v="477.24"/>
    <s v="High"/>
    <n v="4"/>
    <n v="0"/>
    <x v="0"/>
    <x v="0"/>
    <n v="9.5448000000000004"/>
    <n v="0.02"/>
    <n v="0"/>
  </r>
  <r>
    <n v="2741"/>
    <s v="CA-2017-122707"/>
    <d v="2017-04-16T00:00:00"/>
    <x v="3"/>
    <s v="Q2"/>
    <x v="4"/>
    <d v="2017-04-18T00:00:00"/>
    <s v="First Class"/>
    <x v="494"/>
    <x v="494"/>
    <s v="Corporate"/>
    <s v="United States"/>
    <s v="Hoover"/>
    <x v="19"/>
    <n v="35244"/>
    <x v="0"/>
    <x v="1421"/>
    <x v="2"/>
    <x v="11"/>
    <x v="1409"/>
    <n v="25.98"/>
    <s v="Medium"/>
    <n v="2"/>
    <n v="0"/>
    <x v="0"/>
    <x v="0"/>
    <n v="1.5588"/>
    <n v="0.06"/>
    <n v="0"/>
  </r>
  <r>
    <n v="2742"/>
    <s v="CA-2016-165015"/>
    <d v="2016-02-25T00:00:00"/>
    <x v="0"/>
    <s v="Q1"/>
    <x v="47"/>
    <d v="2016-02-27T00:00:00"/>
    <s v="Second Class"/>
    <x v="232"/>
    <x v="232"/>
    <s v="Consumer"/>
    <s v="United States"/>
    <s v="Newark"/>
    <x v="24"/>
    <n v="43055"/>
    <x v="3"/>
    <x v="1040"/>
    <x v="1"/>
    <x v="12"/>
    <x v="153"/>
    <n v="46.72"/>
    <s v="Medium"/>
    <n v="5"/>
    <n v="0.2"/>
    <x v="2"/>
    <x v="2"/>
    <n v="17.52"/>
    <n v="0.375"/>
    <n v="0"/>
  </r>
  <r>
    <n v="2743"/>
    <s v="CA-2014-149244"/>
    <d v="2014-11-04T00:00:00"/>
    <x v="2"/>
    <s v="Q4"/>
    <x v="7"/>
    <d v="2014-11-08T00:00:00"/>
    <s v="Standard Class"/>
    <x v="652"/>
    <x v="652"/>
    <s v="Consumer"/>
    <s v="United States"/>
    <s v="San Diego"/>
    <x v="1"/>
    <n v="92037"/>
    <x v="1"/>
    <x v="1381"/>
    <x v="0"/>
    <x v="5"/>
    <x v="1366"/>
    <n v="35.340000000000003"/>
    <s v="Medium"/>
    <n v="2"/>
    <n v="0"/>
    <x v="0"/>
    <x v="0"/>
    <n v="13.4292"/>
    <n v="0.37999999999999995"/>
    <n v="0"/>
  </r>
  <r>
    <n v="2744"/>
    <s v="CA-2015-140144"/>
    <d v="2015-06-20T00:00:00"/>
    <x v="1"/>
    <s v="Q2"/>
    <x v="40"/>
    <d v="2015-06-25T00:00:00"/>
    <s v="Second Class"/>
    <x v="34"/>
    <x v="34"/>
    <s v="Corporate"/>
    <s v="United States"/>
    <s v="San Francisco"/>
    <x v="1"/>
    <n v="94122"/>
    <x v="1"/>
    <x v="592"/>
    <x v="0"/>
    <x v="5"/>
    <x v="592"/>
    <n v="257.64"/>
    <s v="High"/>
    <n v="6"/>
    <n v="0"/>
    <x v="0"/>
    <x v="0"/>
    <n v="100.4796"/>
    <n v="0.39"/>
    <n v="0"/>
  </r>
  <r>
    <n v="2745"/>
    <s v="CA-2015-140144"/>
    <d v="2015-06-20T00:00:00"/>
    <x v="1"/>
    <s v="Q2"/>
    <x v="40"/>
    <d v="2015-06-25T00:00:00"/>
    <s v="Second Class"/>
    <x v="34"/>
    <x v="34"/>
    <s v="Corporate"/>
    <s v="United States"/>
    <s v="San Francisco"/>
    <x v="1"/>
    <n v="94122"/>
    <x v="1"/>
    <x v="66"/>
    <x v="2"/>
    <x v="7"/>
    <x v="66"/>
    <n v="125.976"/>
    <s v="High"/>
    <n v="3"/>
    <n v="0.2"/>
    <x v="2"/>
    <x v="2"/>
    <n v="47.241"/>
    <n v="0.375"/>
    <n v="0"/>
  </r>
  <r>
    <n v="2746"/>
    <s v="CA-2017-163321"/>
    <d v="2017-08-07T00:00:00"/>
    <x v="3"/>
    <s v="Q3"/>
    <x v="43"/>
    <d v="2017-08-11T00:00:00"/>
    <s v="Second Class"/>
    <x v="248"/>
    <x v="248"/>
    <s v="Consumer"/>
    <s v="United States"/>
    <s v="Jacksonville"/>
    <x v="3"/>
    <n v="28540"/>
    <x v="0"/>
    <x v="409"/>
    <x v="2"/>
    <x v="11"/>
    <x v="409"/>
    <n v="79.992000000000004"/>
    <s v="Medium"/>
    <n v="1"/>
    <n v="0.2"/>
    <x v="2"/>
    <x v="2"/>
    <n v="21.997800000000002"/>
    <n v="0.27500000000000002"/>
    <n v="0"/>
  </r>
  <r>
    <n v="2747"/>
    <s v="CA-2014-155887"/>
    <d v="2014-05-12T00:00:00"/>
    <x v="2"/>
    <s v="Q2"/>
    <x v="8"/>
    <d v="2014-05-17T00:00:00"/>
    <s v="Standard Class"/>
    <x v="409"/>
    <x v="409"/>
    <s v="Consumer"/>
    <s v="United States"/>
    <s v="Franklin"/>
    <x v="31"/>
    <n v="2038"/>
    <x v="3"/>
    <x v="601"/>
    <x v="0"/>
    <x v="3"/>
    <x v="601"/>
    <n v="700.05600000000004"/>
    <s v="High"/>
    <n v="3"/>
    <n v="0.3"/>
    <x v="1"/>
    <x v="4"/>
    <n v="-130.0104"/>
    <n v="-0.18571428571428572"/>
    <n v="1"/>
  </r>
  <r>
    <n v="2748"/>
    <s v="US-2015-165449"/>
    <d v="2015-11-22T00:00:00"/>
    <x v="1"/>
    <s v="Q4"/>
    <x v="6"/>
    <d v="2015-11-26T00:00:00"/>
    <s v="Standard Class"/>
    <x v="399"/>
    <x v="399"/>
    <s v="Home Office"/>
    <s v="United States"/>
    <s v="Frisco"/>
    <x v="5"/>
    <n v="75034"/>
    <x v="2"/>
    <x v="1422"/>
    <x v="2"/>
    <x v="11"/>
    <x v="1410"/>
    <n v="27.167999999999999"/>
    <s v="Medium"/>
    <n v="4"/>
    <n v="0.2"/>
    <x v="2"/>
    <x v="2"/>
    <n v="-1.3584000000000001"/>
    <n v="-0.05"/>
    <n v="1"/>
  </r>
  <r>
    <n v="2749"/>
    <s v="CA-2015-110247"/>
    <d v="2015-12-04T00:00:00"/>
    <x v="1"/>
    <s v="Q4"/>
    <x v="14"/>
    <d v="2015-12-08T00:00:00"/>
    <s v="Standard Class"/>
    <x v="653"/>
    <x v="653"/>
    <s v="Consumer"/>
    <s v="United States"/>
    <s v="Tallahassee"/>
    <x v="2"/>
    <n v="32303"/>
    <x v="0"/>
    <x v="1316"/>
    <x v="1"/>
    <x v="8"/>
    <x v="1302"/>
    <n v="8.2260000000000009"/>
    <s v="Low"/>
    <n v="3"/>
    <n v="0.7"/>
    <x v="1"/>
    <x v="5"/>
    <n v="-6.0324"/>
    <n v="-0.73333333333333328"/>
    <n v="1"/>
  </r>
  <r>
    <n v="2750"/>
    <s v="US-2014-141257"/>
    <d v="2014-06-08T00:00:00"/>
    <x v="2"/>
    <s v="Q2"/>
    <x v="3"/>
    <d v="2014-06-14T00:00:00"/>
    <s v="Standard Class"/>
    <x v="229"/>
    <x v="229"/>
    <s v="Consumer"/>
    <s v="United States"/>
    <s v="Seattle"/>
    <x v="4"/>
    <n v="98115"/>
    <x v="1"/>
    <x v="1423"/>
    <x v="0"/>
    <x v="1"/>
    <x v="1411"/>
    <n v="585.55200000000002"/>
    <s v="High"/>
    <n v="3"/>
    <n v="0.2"/>
    <x v="2"/>
    <x v="2"/>
    <n v="73.194000000000003"/>
    <n v="0.125"/>
    <n v="0"/>
  </r>
  <r>
    <n v="2751"/>
    <s v="CA-2014-154669"/>
    <d v="2014-08-08T00:00:00"/>
    <x v="2"/>
    <s v="Q3"/>
    <x v="9"/>
    <d v="2014-08-11T00:00:00"/>
    <s v="Second Class"/>
    <x v="612"/>
    <x v="612"/>
    <s v="Consumer"/>
    <s v="United States"/>
    <s v="Vacaville"/>
    <x v="1"/>
    <n v="95687"/>
    <x v="1"/>
    <x v="1424"/>
    <x v="1"/>
    <x v="4"/>
    <x v="1412"/>
    <n v="423.28"/>
    <s v="High"/>
    <n v="11"/>
    <n v="0"/>
    <x v="0"/>
    <x v="0"/>
    <n v="110.0528"/>
    <n v="0.26"/>
    <n v="0"/>
  </r>
  <r>
    <n v="2752"/>
    <s v="CA-2014-158029"/>
    <d v="2014-05-26T00:00:00"/>
    <x v="2"/>
    <s v="Q2"/>
    <x v="8"/>
    <d v="2014-05-30T00:00:00"/>
    <s v="Standard Class"/>
    <x v="520"/>
    <x v="520"/>
    <s v="Consumer"/>
    <s v="United States"/>
    <s v="Los Angeles"/>
    <x v="1"/>
    <n v="90008"/>
    <x v="1"/>
    <x v="1153"/>
    <x v="0"/>
    <x v="1"/>
    <x v="1141"/>
    <n v="225.29599999999999"/>
    <s v="High"/>
    <n v="2"/>
    <n v="0.2"/>
    <x v="2"/>
    <x v="2"/>
    <n v="22.529599999999999"/>
    <n v="9.9999999999999992E-2"/>
    <n v="0"/>
  </r>
  <r>
    <n v="2753"/>
    <s v="CA-2015-155306"/>
    <d v="2015-04-17T00:00:00"/>
    <x v="1"/>
    <s v="Q2"/>
    <x v="19"/>
    <d v="2015-04-21T00:00:00"/>
    <s v="Standard Class"/>
    <x v="654"/>
    <x v="654"/>
    <s v="Consumer"/>
    <s v="United States"/>
    <s v="San Francisco"/>
    <x v="1"/>
    <n v="94122"/>
    <x v="1"/>
    <x v="1061"/>
    <x v="1"/>
    <x v="6"/>
    <x v="1050"/>
    <n v="5.56"/>
    <s v="Low"/>
    <n v="2"/>
    <n v="0"/>
    <x v="0"/>
    <x v="0"/>
    <n v="2.2240000000000002"/>
    <n v="0.40000000000000008"/>
    <n v="0"/>
  </r>
  <r>
    <n v="2754"/>
    <s v="CA-2015-155306"/>
    <d v="2015-04-17T00:00:00"/>
    <x v="1"/>
    <s v="Q2"/>
    <x v="19"/>
    <d v="2015-04-21T00:00:00"/>
    <s v="Standard Class"/>
    <x v="654"/>
    <x v="654"/>
    <s v="Consumer"/>
    <s v="United States"/>
    <s v="San Francisco"/>
    <x v="1"/>
    <n v="94122"/>
    <x v="1"/>
    <x v="619"/>
    <x v="2"/>
    <x v="11"/>
    <x v="619"/>
    <n v="323.37"/>
    <s v="High"/>
    <n v="3"/>
    <n v="0"/>
    <x v="0"/>
    <x v="0"/>
    <n v="129.34800000000001"/>
    <n v="0.4"/>
    <n v="0"/>
  </r>
  <r>
    <n v="2755"/>
    <s v="CA-2015-155306"/>
    <d v="2015-04-17T00:00:00"/>
    <x v="1"/>
    <s v="Q2"/>
    <x v="19"/>
    <d v="2015-04-21T00:00:00"/>
    <s v="Standard Class"/>
    <x v="654"/>
    <x v="654"/>
    <s v="Consumer"/>
    <s v="United States"/>
    <s v="San Francisco"/>
    <x v="1"/>
    <n v="94122"/>
    <x v="1"/>
    <x v="966"/>
    <x v="2"/>
    <x v="7"/>
    <x v="1368"/>
    <n v="783.96"/>
    <s v="High"/>
    <n v="5"/>
    <n v="0.2"/>
    <x v="2"/>
    <x v="2"/>
    <n v="68.596500000000006"/>
    <n v="8.7500000000000008E-2"/>
    <n v="0"/>
  </r>
  <r>
    <n v="2756"/>
    <s v="CA-2015-155306"/>
    <d v="2015-04-17T00:00:00"/>
    <x v="1"/>
    <s v="Q2"/>
    <x v="19"/>
    <d v="2015-04-21T00:00:00"/>
    <s v="Standard Class"/>
    <x v="654"/>
    <x v="654"/>
    <s v="Consumer"/>
    <s v="United States"/>
    <s v="San Francisco"/>
    <x v="1"/>
    <n v="94122"/>
    <x v="1"/>
    <x v="1364"/>
    <x v="1"/>
    <x v="9"/>
    <x v="1350"/>
    <n v="1447.65"/>
    <s v="High"/>
    <n v="5"/>
    <n v="0"/>
    <x v="0"/>
    <x v="0"/>
    <n v="419.81849999999997"/>
    <n v="0.28999999999999998"/>
    <n v="0"/>
  </r>
  <r>
    <n v="2757"/>
    <s v="CA-2015-155306"/>
    <d v="2015-04-17T00:00:00"/>
    <x v="1"/>
    <s v="Q2"/>
    <x v="19"/>
    <d v="2015-04-21T00:00:00"/>
    <s v="Standard Class"/>
    <x v="654"/>
    <x v="654"/>
    <s v="Consumer"/>
    <s v="United States"/>
    <s v="San Francisco"/>
    <x v="1"/>
    <n v="94122"/>
    <x v="1"/>
    <x v="1331"/>
    <x v="1"/>
    <x v="10"/>
    <x v="1316"/>
    <n v="11.96"/>
    <s v="Low"/>
    <n v="2"/>
    <n v="0"/>
    <x v="0"/>
    <x v="0"/>
    <n v="5.8604000000000003"/>
    <n v="0.49"/>
    <n v="0"/>
  </r>
  <r>
    <n v="2758"/>
    <s v="CA-2016-127775"/>
    <d v="2016-06-11T00:00:00"/>
    <x v="0"/>
    <s v="Q2"/>
    <x v="1"/>
    <d v="2016-06-13T00:00:00"/>
    <s v="Second Class"/>
    <x v="301"/>
    <x v="301"/>
    <s v="Consumer"/>
    <s v="United States"/>
    <s v="New York City"/>
    <x v="15"/>
    <n v="10035"/>
    <x v="3"/>
    <x v="657"/>
    <x v="2"/>
    <x v="11"/>
    <x v="657"/>
    <n v="239.97"/>
    <s v="High"/>
    <n v="3"/>
    <n v="0"/>
    <x v="0"/>
    <x v="0"/>
    <n v="71.991"/>
    <n v="0.3"/>
    <n v="0"/>
  </r>
  <r>
    <n v="2759"/>
    <s v="CA-2016-146171"/>
    <d v="2016-03-11T00:00:00"/>
    <x v="0"/>
    <s v="Q1"/>
    <x v="17"/>
    <d v="2016-03-15T00:00:00"/>
    <s v="Standard Class"/>
    <x v="655"/>
    <x v="655"/>
    <s v="Home Office"/>
    <s v="United States"/>
    <s v="Columbus"/>
    <x v="32"/>
    <n v="31907"/>
    <x v="0"/>
    <x v="1006"/>
    <x v="0"/>
    <x v="5"/>
    <x v="1381"/>
    <n v="76.92"/>
    <s v="Medium"/>
    <n v="4"/>
    <n v="0"/>
    <x v="0"/>
    <x v="0"/>
    <n v="31.537199999999999"/>
    <n v="0.41"/>
    <n v="0"/>
  </r>
  <r>
    <n v="2760"/>
    <s v="CA-2016-146171"/>
    <d v="2016-03-11T00:00:00"/>
    <x v="0"/>
    <s v="Q1"/>
    <x v="17"/>
    <d v="2016-03-15T00:00:00"/>
    <s v="Standard Class"/>
    <x v="655"/>
    <x v="655"/>
    <s v="Home Office"/>
    <s v="United States"/>
    <s v="Columbus"/>
    <x v="32"/>
    <n v="31907"/>
    <x v="0"/>
    <x v="772"/>
    <x v="1"/>
    <x v="4"/>
    <x v="771"/>
    <n v="481.32"/>
    <s v="High"/>
    <n v="4"/>
    <n v="0"/>
    <x v="0"/>
    <x v="0"/>
    <n v="125.14319999999999"/>
    <n v="0.26"/>
    <n v="0"/>
  </r>
  <r>
    <n v="2761"/>
    <s v="CA-2014-129574"/>
    <d v="2014-05-26T00:00:00"/>
    <x v="2"/>
    <s v="Q2"/>
    <x v="8"/>
    <d v="2014-05-29T00:00:00"/>
    <s v="First Class"/>
    <x v="656"/>
    <x v="656"/>
    <s v="Home Office"/>
    <s v="United States"/>
    <s v="Murray"/>
    <x v="7"/>
    <n v="84107"/>
    <x v="1"/>
    <x v="364"/>
    <x v="1"/>
    <x v="10"/>
    <x v="364"/>
    <n v="48.4"/>
    <s v="Medium"/>
    <n v="5"/>
    <n v="0"/>
    <x v="0"/>
    <x v="0"/>
    <n v="23.231999999999999"/>
    <n v="0.48"/>
    <n v="0"/>
  </r>
  <r>
    <n v="2762"/>
    <s v="CA-2017-126536"/>
    <d v="2017-10-12T00:00:00"/>
    <x v="3"/>
    <s v="Q4"/>
    <x v="13"/>
    <d v="2017-10-14T00:00:00"/>
    <s v="First Class"/>
    <x v="71"/>
    <x v="71"/>
    <s v="Home Office"/>
    <s v="United States"/>
    <s v="San Francisco"/>
    <x v="1"/>
    <n v="94110"/>
    <x v="1"/>
    <x v="1425"/>
    <x v="2"/>
    <x v="11"/>
    <x v="1413"/>
    <n v="0.99"/>
    <s v="Low"/>
    <n v="1"/>
    <n v="0"/>
    <x v="0"/>
    <x v="0"/>
    <n v="0.43559999999999999"/>
    <n v="0.44"/>
    <n v="0"/>
  </r>
  <r>
    <n v="2763"/>
    <s v="CA-2017-126536"/>
    <d v="2017-10-12T00:00:00"/>
    <x v="3"/>
    <s v="Q4"/>
    <x v="13"/>
    <d v="2017-10-14T00:00:00"/>
    <s v="First Class"/>
    <x v="71"/>
    <x v="71"/>
    <s v="Home Office"/>
    <s v="United States"/>
    <s v="San Francisco"/>
    <x v="1"/>
    <n v="94110"/>
    <x v="1"/>
    <x v="986"/>
    <x v="1"/>
    <x v="8"/>
    <x v="979"/>
    <n v="101.84"/>
    <s v="Medium"/>
    <n v="5"/>
    <n v="0.2"/>
    <x v="2"/>
    <x v="2"/>
    <n v="36.917000000000002"/>
    <n v="0.36249999999999999"/>
    <n v="0"/>
  </r>
  <r>
    <n v="2764"/>
    <s v="CA-2017-165757"/>
    <d v="2017-06-22T00:00:00"/>
    <x v="3"/>
    <s v="Q2"/>
    <x v="27"/>
    <d v="2017-06-28T00:00:00"/>
    <s v="Standard Class"/>
    <x v="484"/>
    <x v="484"/>
    <s v="Home Office"/>
    <s v="United States"/>
    <s v="Philadelphia"/>
    <x v="9"/>
    <n v="19140"/>
    <x v="3"/>
    <x v="1426"/>
    <x v="1"/>
    <x v="8"/>
    <x v="1414"/>
    <n v="10.332000000000001"/>
    <s v="Low"/>
    <n v="3"/>
    <n v="0.7"/>
    <x v="1"/>
    <x v="5"/>
    <n v="-7.5768000000000004"/>
    <n v="-0.73333333333333328"/>
    <n v="1"/>
  </r>
  <r>
    <n v="2765"/>
    <s v="CA-2017-165757"/>
    <d v="2017-06-22T00:00:00"/>
    <x v="3"/>
    <s v="Q2"/>
    <x v="27"/>
    <d v="2017-06-28T00:00:00"/>
    <s v="Standard Class"/>
    <x v="484"/>
    <x v="484"/>
    <s v="Home Office"/>
    <s v="United States"/>
    <s v="Philadelphia"/>
    <x v="9"/>
    <n v="19140"/>
    <x v="3"/>
    <x v="350"/>
    <x v="1"/>
    <x v="8"/>
    <x v="350"/>
    <n v="31.155000000000001"/>
    <s v="Medium"/>
    <n v="5"/>
    <n v="0.7"/>
    <x v="1"/>
    <x v="5"/>
    <n v="-23.8855"/>
    <n v="-0.76666666666666661"/>
    <n v="1"/>
  </r>
  <r>
    <n v="2766"/>
    <s v="CA-2017-165757"/>
    <d v="2017-06-22T00:00:00"/>
    <x v="3"/>
    <s v="Q2"/>
    <x v="27"/>
    <d v="2017-06-28T00:00:00"/>
    <s v="Standard Class"/>
    <x v="484"/>
    <x v="484"/>
    <s v="Home Office"/>
    <s v="United States"/>
    <s v="Philadelphia"/>
    <x v="9"/>
    <n v="19140"/>
    <x v="3"/>
    <x v="1427"/>
    <x v="1"/>
    <x v="4"/>
    <x v="1415"/>
    <n v="8.9280000000000008"/>
    <s v="Low"/>
    <n v="2"/>
    <n v="0.2"/>
    <x v="2"/>
    <x v="2"/>
    <n v="0.66959999999999997"/>
    <n v="7.4999999999999983E-2"/>
    <n v="0"/>
  </r>
  <r>
    <n v="2767"/>
    <s v="CA-2017-167752"/>
    <d v="2017-01-15T00:00:00"/>
    <x v="3"/>
    <s v="Q1"/>
    <x v="44"/>
    <d v="2017-01-18T00:00:00"/>
    <s v="First Class"/>
    <x v="355"/>
    <x v="355"/>
    <s v="Consumer"/>
    <s v="United States"/>
    <s v="Philadelphia"/>
    <x v="9"/>
    <n v="19134"/>
    <x v="3"/>
    <x v="1428"/>
    <x v="1"/>
    <x v="9"/>
    <x v="1416"/>
    <n v="34.384"/>
    <s v="Medium"/>
    <n v="1"/>
    <n v="0.2"/>
    <x v="2"/>
    <x v="2"/>
    <n v="3.8681999999999999"/>
    <n v="0.11249999999999999"/>
    <n v="0"/>
  </r>
  <r>
    <n v="2768"/>
    <s v="CA-2017-167752"/>
    <d v="2017-01-15T00:00:00"/>
    <x v="3"/>
    <s v="Q1"/>
    <x v="44"/>
    <d v="2017-01-18T00:00:00"/>
    <s v="First Class"/>
    <x v="355"/>
    <x v="355"/>
    <s v="Consumer"/>
    <s v="United States"/>
    <s v="Philadelphia"/>
    <x v="9"/>
    <n v="19134"/>
    <x v="3"/>
    <x v="227"/>
    <x v="1"/>
    <x v="9"/>
    <x v="228"/>
    <n v="1924.16"/>
    <s v="High"/>
    <n v="8"/>
    <n v="0.2"/>
    <x v="2"/>
    <x v="2"/>
    <n v="312.67599999999999"/>
    <n v="0.16249999999999998"/>
    <n v="0"/>
  </r>
  <r>
    <n v="2769"/>
    <s v="US-2015-122140"/>
    <d v="2015-04-02T00:00:00"/>
    <x v="1"/>
    <s v="Q2"/>
    <x v="19"/>
    <d v="2015-04-07T00:00:00"/>
    <s v="Standard Class"/>
    <x v="657"/>
    <x v="657"/>
    <s v="Consumer"/>
    <s v="United States"/>
    <s v="Dallas"/>
    <x v="5"/>
    <n v="75220"/>
    <x v="2"/>
    <x v="1429"/>
    <x v="1"/>
    <x v="9"/>
    <x v="1417"/>
    <n v="32.192"/>
    <s v="Medium"/>
    <n v="2"/>
    <n v="0.8"/>
    <x v="1"/>
    <x v="3"/>
    <n v="-80.48"/>
    <n v="-2.5"/>
    <n v="1"/>
  </r>
  <r>
    <n v="2770"/>
    <s v="US-2015-122140"/>
    <d v="2015-04-02T00:00:00"/>
    <x v="1"/>
    <s v="Q2"/>
    <x v="19"/>
    <d v="2015-04-07T00:00:00"/>
    <s v="Standard Class"/>
    <x v="657"/>
    <x v="657"/>
    <s v="Consumer"/>
    <s v="United States"/>
    <s v="Dallas"/>
    <x v="5"/>
    <n v="75220"/>
    <x v="2"/>
    <x v="1044"/>
    <x v="2"/>
    <x v="11"/>
    <x v="1033"/>
    <n v="50.12"/>
    <s v="Medium"/>
    <n v="7"/>
    <n v="0.2"/>
    <x v="2"/>
    <x v="2"/>
    <n v="-0.62649999999999995"/>
    <n v="-1.2499999999999999E-2"/>
    <n v="1"/>
  </r>
  <r>
    <n v="2771"/>
    <s v="US-2015-122140"/>
    <d v="2015-04-02T00:00:00"/>
    <x v="1"/>
    <s v="Q2"/>
    <x v="19"/>
    <d v="2015-04-07T00:00:00"/>
    <s v="Standard Class"/>
    <x v="657"/>
    <x v="657"/>
    <s v="Consumer"/>
    <s v="United States"/>
    <s v="Dallas"/>
    <x v="5"/>
    <n v="75220"/>
    <x v="2"/>
    <x v="1235"/>
    <x v="2"/>
    <x v="11"/>
    <x v="1218"/>
    <n v="47.975999999999999"/>
    <s v="Medium"/>
    <n v="3"/>
    <n v="0.2"/>
    <x v="2"/>
    <x v="2"/>
    <n v="1.7990999999999999"/>
    <n v="3.7499999999999999E-2"/>
    <n v="0"/>
  </r>
  <r>
    <n v="2772"/>
    <s v="CA-2016-163986"/>
    <d v="2016-09-03T00:00:00"/>
    <x v="0"/>
    <s v="Q3"/>
    <x v="21"/>
    <d v="2016-09-10T00:00:00"/>
    <s v="Standard Class"/>
    <x v="370"/>
    <x v="370"/>
    <s v="Consumer"/>
    <s v="United States"/>
    <s v="Waukesha"/>
    <x v="6"/>
    <n v="53186"/>
    <x v="2"/>
    <x v="376"/>
    <x v="1"/>
    <x v="4"/>
    <x v="377"/>
    <n v="54.5"/>
    <s v="Medium"/>
    <n v="5"/>
    <n v="0"/>
    <x v="0"/>
    <x v="0"/>
    <n v="14.17"/>
    <n v="0.26"/>
    <n v="0"/>
  </r>
  <r>
    <n v="2773"/>
    <s v="CA-2017-158967"/>
    <d v="2017-12-10T00:00:00"/>
    <x v="3"/>
    <s v="Q4"/>
    <x v="22"/>
    <d v="2017-12-12T00:00:00"/>
    <s v="First Class"/>
    <x v="537"/>
    <x v="537"/>
    <s v="Consumer"/>
    <s v="United States"/>
    <s v="Fort Lauderdale"/>
    <x v="2"/>
    <n v="33311"/>
    <x v="0"/>
    <x v="740"/>
    <x v="0"/>
    <x v="5"/>
    <x v="222"/>
    <n v="19.103999999999999"/>
    <s v="Low"/>
    <n v="3"/>
    <n v="0.2"/>
    <x v="2"/>
    <x v="2"/>
    <n v="5.7312000000000003"/>
    <n v="0.30000000000000004"/>
    <n v="0"/>
  </r>
  <r>
    <n v="2774"/>
    <s v="CA-2016-131576"/>
    <d v="2016-11-22T00:00:00"/>
    <x v="0"/>
    <s v="Q4"/>
    <x v="0"/>
    <d v="2016-11-26T00:00:00"/>
    <s v="Standard Class"/>
    <x v="361"/>
    <x v="361"/>
    <s v="Consumer"/>
    <s v="United States"/>
    <s v="Detroit"/>
    <x v="12"/>
    <n v="48205"/>
    <x v="2"/>
    <x v="91"/>
    <x v="1"/>
    <x v="8"/>
    <x v="91"/>
    <n v="49.44"/>
    <s v="Medium"/>
    <n v="3"/>
    <n v="0"/>
    <x v="0"/>
    <x v="0"/>
    <n v="24.2256"/>
    <n v="0.49000000000000005"/>
    <n v="0"/>
  </r>
  <r>
    <n v="2775"/>
    <s v="CA-2017-143455"/>
    <d v="2017-11-11T00:00:00"/>
    <x v="3"/>
    <s v="Q4"/>
    <x v="23"/>
    <d v="2017-11-18T00:00:00"/>
    <s v="Standard Class"/>
    <x v="529"/>
    <x v="529"/>
    <s v="Home Office"/>
    <s v="United States"/>
    <s v="Springfield"/>
    <x v="24"/>
    <n v="45503"/>
    <x v="3"/>
    <x v="498"/>
    <x v="1"/>
    <x v="10"/>
    <x v="498"/>
    <n v="10.368"/>
    <s v="Low"/>
    <n v="2"/>
    <n v="0.2"/>
    <x v="2"/>
    <x v="2"/>
    <n v="3.6288"/>
    <n v="0.35"/>
    <n v="0"/>
  </r>
  <r>
    <n v="2776"/>
    <s v="CA-2016-144729"/>
    <d v="2016-10-21T00:00:00"/>
    <x v="0"/>
    <s v="Q4"/>
    <x v="32"/>
    <d v="2016-10-25T00:00:00"/>
    <s v="Standard Class"/>
    <x v="32"/>
    <x v="32"/>
    <s v="Consumer"/>
    <s v="United States"/>
    <s v="San Diego"/>
    <x v="1"/>
    <n v="92037"/>
    <x v="1"/>
    <x v="232"/>
    <x v="1"/>
    <x v="4"/>
    <x v="233"/>
    <n v="154.44"/>
    <s v="High"/>
    <n v="3"/>
    <n v="0"/>
    <x v="0"/>
    <x v="0"/>
    <n v="1.5444"/>
    <n v="0.01"/>
    <n v="0"/>
  </r>
  <r>
    <n v="2777"/>
    <s v="CA-2015-127019"/>
    <d v="2015-12-21T00:00:00"/>
    <x v="1"/>
    <s v="Q4"/>
    <x v="14"/>
    <d v="2015-12-25T00:00:00"/>
    <s v="Standard Class"/>
    <x v="45"/>
    <x v="45"/>
    <s v="Corporate"/>
    <s v="United States"/>
    <s v="Colorado Springs"/>
    <x v="22"/>
    <n v="80906"/>
    <x v="1"/>
    <x v="930"/>
    <x v="1"/>
    <x v="9"/>
    <x v="923"/>
    <n v="60.984000000000002"/>
    <s v="Medium"/>
    <n v="7"/>
    <n v="0.2"/>
    <x v="2"/>
    <x v="2"/>
    <n v="4.5738000000000003"/>
    <n v="7.4999999999999997E-2"/>
    <n v="0"/>
  </r>
  <r>
    <n v="2778"/>
    <s v="CA-2015-138534"/>
    <d v="2015-07-17T00:00:00"/>
    <x v="1"/>
    <s v="Q3"/>
    <x v="38"/>
    <d v="2015-07-19T00:00:00"/>
    <s v="Second Class"/>
    <x v="341"/>
    <x v="341"/>
    <s v="Consumer"/>
    <s v="United States"/>
    <s v="Bakersfield"/>
    <x v="1"/>
    <n v="93309"/>
    <x v="1"/>
    <x v="1121"/>
    <x v="0"/>
    <x v="0"/>
    <x v="1109"/>
    <n v="195.46600000000001"/>
    <s v="High"/>
    <n v="2"/>
    <n v="0.15"/>
    <x v="2"/>
    <x v="2"/>
    <n v="-13.797599999999999"/>
    <n v="-7.0588235294117646E-2"/>
    <n v="1"/>
  </r>
  <r>
    <n v="2779"/>
    <s v="CA-2017-108322"/>
    <d v="2017-04-30T00:00:00"/>
    <x v="3"/>
    <s v="Q2"/>
    <x v="4"/>
    <d v="2017-05-05T00:00:00"/>
    <s v="Standard Class"/>
    <x v="164"/>
    <x v="164"/>
    <s v="Corporate"/>
    <s v="United States"/>
    <s v="Pompano Beach"/>
    <x v="2"/>
    <n v="33068"/>
    <x v="0"/>
    <x v="345"/>
    <x v="0"/>
    <x v="5"/>
    <x v="345"/>
    <n v="23.68"/>
    <s v="Low"/>
    <n v="8"/>
    <n v="0.2"/>
    <x v="2"/>
    <x v="2"/>
    <n v="6.2160000000000002"/>
    <n v="0.26250000000000001"/>
    <n v="0"/>
  </r>
  <r>
    <n v="2780"/>
    <s v="CA-2017-108322"/>
    <d v="2017-04-30T00:00:00"/>
    <x v="3"/>
    <s v="Q2"/>
    <x v="4"/>
    <d v="2017-05-05T00:00:00"/>
    <s v="Standard Class"/>
    <x v="164"/>
    <x v="164"/>
    <s v="Corporate"/>
    <s v="United States"/>
    <s v="Pompano Beach"/>
    <x v="2"/>
    <n v="33068"/>
    <x v="0"/>
    <x v="1430"/>
    <x v="2"/>
    <x v="11"/>
    <x v="1418"/>
    <n v="2.3759999999999999"/>
    <s v="Low"/>
    <n v="3"/>
    <n v="0.2"/>
    <x v="2"/>
    <x v="2"/>
    <n v="0.74250000000000005"/>
    <n v="0.31250000000000006"/>
    <n v="0"/>
  </r>
  <r>
    <n v="2781"/>
    <s v="CA-2017-167668"/>
    <d v="2017-05-06T00:00:00"/>
    <x v="3"/>
    <s v="Q2"/>
    <x v="24"/>
    <d v="2017-05-08T00:00:00"/>
    <s v="First Class"/>
    <x v="646"/>
    <x v="646"/>
    <s v="Consumer"/>
    <s v="United States"/>
    <s v="New York City"/>
    <x v="15"/>
    <n v="10035"/>
    <x v="3"/>
    <x v="198"/>
    <x v="1"/>
    <x v="2"/>
    <x v="199"/>
    <n v="59.2"/>
    <s v="Medium"/>
    <n v="4"/>
    <n v="0"/>
    <x v="0"/>
    <x v="0"/>
    <n v="29.6"/>
    <n v="0.5"/>
    <n v="0"/>
  </r>
  <r>
    <n v="2782"/>
    <s v="CA-2017-146724"/>
    <d v="2017-11-20T00:00:00"/>
    <x v="3"/>
    <s v="Q4"/>
    <x v="23"/>
    <d v="2017-11-27T00:00:00"/>
    <s v="Standard Class"/>
    <x v="643"/>
    <x v="643"/>
    <s v="Consumer"/>
    <s v="United States"/>
    <s v="Lakeville"/>
    <x v="11"/>
    <n v="55044"/>
    <x v="2"/>
    <x v="208"/>
    <x v="1"/>
    <x v="6"/>
    <x v="209"/>
    <n v="22"/>
    <s v="Low"/>
    <n v="10"/>
    <n v="0"/>
    <x v="0"/>
    <x v="0"/>
    <n v="9.68"/>
    <n v="0.44"/>
    <n v="0"/>
  </r>
  <r>
    <n v="2783"/>
    <s v="CA-2016-139878"/>
    <d v="2016-11-11T00:00:00"/>
    <x v="0"/>
    <s v="Q4"/>
    <x v="0"/>
    <d v="2016-11-16T00:00:00"/>
    <s v="Standard Class"/>
    <x v="436"/>
    <x v="436"/>
    <s v="Consumer"/>
    <s v="United States"/>
    <s v="Detroit"/>
    <x v="12"/>
    <n v="48234"/>
    <x v="2"/>
    <x v="957"/>
    <x v="2"/>
    <x v="7"/>
    <x v="950"/>
    <n v="257.98"/>
    <s v="High"/>
    <n v="2"/>
    <n v="0"/>
    <x v="0"/>
    <x v="0"/>
    <n v="74.8142"/>
    <n v="0.28999999999999998"/>
    <n v="0"/>
  </r>
  <r>
    <n v="2784"/>
    <s v="US-2016-106677"/>
    <d v="2016-11-05T00:00:00"/>
    <x v="0"/>
    <s v="Q4"/>
    <x v="0"/>
    <d v="2016-11-10T00:00:00"/>
    <s v="Standard Class"/>
    <x v="155"/>
    <x v="155"/>
    <s v="Corporate"/>
    <s v="United States"/>
    <s v="Philadelphia"/>
    <x v="9"/>
    <n v="19134"/>
    <x v="3"/>
    <x v="1431"/>
    <x v="2"/>
    <x v="7"/>
    <x v="1419"/>
    <n v="23.988"/>
    <s v="Low"/>
    <n v="2"/>
    <n v="0.4"/>
    <x v="1"/>
    <x v="7"/>
    <n v="-15.992000000000001"/>
    <n v="-0.66666666666666674"/>
    <n v="1"/>
  </r>
  <r>
    <n v="2785"/>
    <s v="CA-2016-116974"/>
    <d v="2016-10-09T00:00:00"/>
    <x v="0"/>
    <s v="Q4"/>
    <x v="32"/>
    <d v="2016-10-15T00:00:00"/>
    <s v="Standard Class"/>
    <x v="172"/>
    <x v="172"/>
    <s v="Corporate"/>
    <s v="United States"/>
    <s v="Troy"/>
    <x v="24"/>
    <n v="45373"/>
    <x v="3"/>
    <x v="1136"/>
    <x v="2"/>
    <x v="7"/>
    <x v="1124"/>
    <n v="23.975999999999999"/>
    <s v="Low"/>
    <n v="4"/>
    <n v="0.4"/>
    <x v="1"/>
    <x v="7"/>
    <n v="-15.5844"/>
    <n v="-0.65"/>
    <n v="1"/>
  </r>
  <r>
    <n v="2786"/>
    <s v="CA-2015-149972"/>
    <d v="2015-09-21T00:00:00"/>
    <x v="1"/>
    <s v="Q3"/>
    <x v="11"/>
    <d v="2015-09-23T00:00:00"/>
    <s v="First Class"/>
    <x v="522"/>
    <x v="522"/>
    <s v="Home Office"/>
    <s v="United States"/>
    <s v="Los Angeles"/>
    <x v="1"/>
    <n v="90036"/>
    <x v="1"/>
    <x v="499"/>
    <x v="0"/>
    <x v="1"/>
    <x v="499"/>
    <n v="601.53599999999994"/>
    <s v="High"/>
    <n v="4"/>
    <n v="0.2"/>
    <x v="2"/>
    <x v="2"/>
    <n v="0"/>
    <n v="0"/>
    <n v="0"/>
  </r>
  <r>
    <n v="2787"/>
    <s v="CA-2015-149972"/>
    <d v="2015-09-21T00:00:00"/>
    <x v="1"/>
    <s v="Q3"/>
    <x v="11"/>
    <d v="2015-09-23T00:00:00"/>
    <s v="First Class"/>
    <x v="522"/>
    <x v="522"/>
    <s v="Home Office"/>
    <s v="United States"/>
    <s v="Los Angeles"/>
    <x v="1"/>
    <n v="90036"/>
    <x v="1"/>
    <x v="1432"/>
    <x v="1"/>
    <x v="13"/>
    <x v="1420"/>
    <n v="7.9"/>
    <s v="Low"/>
    <n v="2"/>
    <n v="0"/>
    <x v="0"/>
    <x v="0"/>
    <n v="2.528"/>
    <n v="0.32"/>
    <n v="0"/>
  </r>
  <r>
    <n v="2788"/>
    <s v="US-2014-117744"/>
    <d v="2014-12-02T00:00:00"/>
    <x v="2"/>
    <s v="Q4"/>
    <x v="20"/>
    <d v="2014-12-06T00:00:00"/>
    <s v="Standard Class"/>
    <x v="550"/>
    <x v="550"/>
    <s v="Corporate"/>
    <s v="United States"/>
    <s v="Corpus Christi"/>
    <x v="5"/>
    <n v="78415"/>
    <x v="2"/>
    <x v="287"/>
    <x v="0"/>
    <x v="5"/>
    <x v="287"/>
    <n v="58.36"/>
    <s v="Medium"/>
    <n v="5"/>
    <n v="0.6"/>
    <x v="1"/>
    <x v="6"/>
    <n v="-24.803000000000001"/>
    <n v="-0.42500000000000004"/>
    <n v="1"/>
  </r>
  <r>
    <n v="2789"/>
    <s v="US-2014-117744"/>
    <d v="2014-12-02T00:00:00"/>
    <x v="2"/>
    <s v="Q4"/>
    <x v="20"/>
    <d v="2014-12-06T00:00:00"/>
    <s v="Standard Class"/>
    <x v="550"/>
    <x v="550"/>
    <s v="Corporate"/>
    <s v="United States"/>
    <s v="Corpus Christi"/>
    <x v="5"/>
    <n v="78415"/>
    <x v="2"/>
    <x v="134"/>
    <x v="1"/>
    <x v="6"/>
    <x v="135"/>
    <n v="16.463999999999999"/>
    <s v="Low"/>
    <n v="7"/>
    <n v="0.2"/>
    <x v="2"/>
    <x v="2"/>
    <n v="1.4406000000000001"/>
    <n v="8.7500000000000008E-2"/>
    <n v="0"/>
  </r>
  <r>
    <n v="2790"/>
    <s v="US-2014-117744"/>
    <d v="2014-12-02T00:00:00"/>
    <x v="2"/>
    <s v="Q4"/>
    <x v="20"/>
    <d v="2014-12-06T00:00:00"/>
    <s v="Standard Class"/>
    <x v="550"/>
    <x v="550"/>
    <s v="Corporate"/>
    <s v="United States"/>
    <s v="Corpus Christi"/>
    <x v="5"/>
    <n v="78415"/>
    <x v="2"/>
    <x v="561"/>
    <x v="0"/>
    <x v="5"/>
    <x v="560"/>
    <n v="39.96"/>
    <s v="Medium"/>
    <n v="5"/>
    <n v="0.6"/>
    <x v="1"/>
    <x v="6"/>
    <n v="-23.975999999999999"/>
    <n v="-0.6"/>
    <n v="1"/>
  </r>
  <r>
    <n v="2791"/>
    <s v="CA-2014-125514"/>
    <d v="2014-09-21T00:00:00"/>
    <x v="2"/>
    <s v="Q3"/>
    <x v="30"/>
    <d v="2014-09-22T00:00:00"/>
    <s v="First Class"/>
    <x v="312"/>
    <x v="312"/>
    <s v="Corporate"/>
    <s v="United States"/>
    <s v="Omaha"/>
    <x v="8"/>
    <n v="68104"/>
    <x v="2"/>
    <x v="95"/>
    <x v="1"/>
    <x v="9"/>
    <x v="95"/>
    <n v="25.96"/>
    <s v="Medium"/>
    <n v="2"/>
    <n v="0"/>
    <x v="0"/>
    <x v="0"/>
    <n v="7.5284000000000004"/>
    <n v="0.28999999999999998"/>
    <n v="0"/>
  </r>
  <r>
    <n v="2792"/>
    <s v="CA-2014-125514"/>
    <d v="2014-09-21T00:00:00"/>
    <x v="2"/>
    <s v="Q3"/>
    <x v="30"/>
    <d v="2014-09-22T00:00:00"/>
    <s v="First Class"/>
    <x v="312"/>
    <x v="312"/>
    <s v="Corporate"/>
    <s v="United States"/>
    <s v="Omaha"/>
    <x v="8"/>
    <n v="68104"/>
    <x v="2"/>
    <x v="1204"/>
    <x v="1"/>
    <x v="9"/>
    <x v="1189"/>
    <n v="36.270000000000003"/>
    <s v="Medium"/>
    <n v="3"/>
    <n v="0"/>
    <x v="0"/>
    <x v="0"/>
    <n v="10.881"/>
    <n v="0.3"/>
    <n v="0"/>
  </r>
  <r>
    <n v="2793"/>
    <s v="CA-2014-125514"/>
    <d v="2014-09-21T00:00:00"/>
    <x v="2"/>
    <s v="Q3"/>
    <x v="30"/>
    <d v="2014-09-22T00:00:00"/>
    <s v="First Class"/>
    <x v="312"/>
    <x v="312"/>
    <s v="Corporate"/>
    <s v="United States"/>
    <s v="Omaha"/>
    <x v="8"/>
    <n v="68104"/>
    <x v="2"/>
    <x v="815"/>
    <x v="1"/>
    <x v="10"/>
    <x v="811"/>
    <n v="6.48"/>
    <s v="Low"/>
    <n v="1"/>
    <n v="0"/>
    <x v="0"/>
    <x v="0"/>
    <n v="3.1103999999999998"/>
    <n v="0.47999999999999993"/>
    <n v="0"/>
  </r>
  <r>
    <n v="2794"/>
    <s v="CA-2014-154599"/>
    <d v="2014-04-12T00:00:00"/>
    <x v="2"/>
    <s v="Q2"/>
    <x v="41"/>
    <d v="2014-04-17T00:00:00"/>
    <s v="Standard Class"/>
    <x v="634"/>
    <x v="634"/>
    <s v="Corporate"/>
    <s v="United States"/>
    <s v="Redondo Beach"/>
    <x v="1"/>
    <n v="90278"/>
    <x v="1"/>
    <x v="664"/>
    <x v="2"/>
    <x v="7"/>
    <x v="664"/>
    <n v="1075.088"/>
    <s v="High"/>
    <n v="14"/>
    <n v="0.2"/>
    <x v="2"/>
    <x v="2"/>
    <n v="94.0702"/>
    <n v="8.7500000000000008E-2"/>
    <n v="0"/>
  </r>
  <r>
    <n v="2795"/>
    <s v="CA-2014-154599"/>
    <d v="2014-04-12T00:00:00"/>
    <x v="2"/>
    <s v="Q2"/>
    <x v="41"/>
    <d v="2014-04-17T00:00:00"/>
    <s v="Standard Class"/>
    <x v="634"/>
    <x v="634"/>
    <s v="Corporate"/>
    <s v="United States"/>
    <s v="Redondo Beach"/>
    <x v="1"/>
    <n v="90278"/>
    <x v="1"/>
    <x v="819"/>
    <x v="2"/>
    <x v="7"/>
    <x v="815"/>
    <n v="438.36799999999999"/>
    <s v="High"/>
    <n v="4"/>
    <n v="0.2"/>
    <x v="2"/>
    <x v="2"/>
    <n v="38.357199999999999"/>
    <n v="8.7499999999999994E-2"/>
    <n v="0"/>
  </r>
  <r>
    <n v="2796"/>
    <s v="CA-2014-154599"/>
    <d v="2014-04-12T00:00:00"/>
    <x v="2"/>
    <s v="Q2"/>
    <x v="41"/>
    <d v="2014-04-17T00:00:00"/>
    <s v="Standard Class"/>
    <x v="634"/>
    <x v="634"/>
    <s v="Corporate"/>
    <s v="United States"/>
    <s v="Redondo Beach"/>
    <x v="1"/>
    <n v="90278"/>
    <x v="1"/>
    <x v="507"/>
    <x v="1"/>
    <x v="8"/>
    <x v="507"/>
    <n v="18.088000000000001"/>
    <s v="Low"/>
    <n v="7"/>
    <n v="0.2"/>
    <x v="2"/>
    <x v="2"/>
    <n v="6.5568999999999997"/>
    <n v="0.36249999999999999"/>
    <n v="0"/>
  </r>
  <r>
    <n v="2797"/>
    <s v="CA-2014-154599"/>
    <d v="2014-04-12T00:00:00"/>
    <x v="2"/>
    <s v="Q2"/>
    <x v="41"/>
    <d v="2014-04-17T00:00:00"/>
    <s v="Standard Class"/>
    <x v="634"/>
    <x v="634"/>
    <s v="Corporate"/>
    <s v="United States"/>
    <s v="Redondo Beach"/>
    <x v="1"/>
    <n v="90278"/>
    <x v="1"/>
    <x v="430"/>
    <x v="0"/>
    <x v="0"/>
    <x v="430"/>
    <n v="308.49900000000002"/>
    <s v="High"/>
    <n v="3"/>
    <n v="0.15"/>
    <x v="2"/>
    <x v="2"/>
    <n v="-18.146999999999998"/>
    <n v="-5.8823529411764698E-2"/>
    <n v="1"/>
  </r>
  <r>
    <n v="2798"/>
    <s v="CA-2017-158743"/>
    <d v="2017-10-20T00:00:00"/>
    <x v="3"/>
    <s v="Q4"/>
    <x v="13"/>
    <d v="2017-10-27T00:00:00"/>
    <s v="Standard Class"/>
    <x v="490"/>
    <x v="490"/>
    <s v="Consumer"/>
    <s v="United States"/>
    <s v="Little Rock"/>
    <x v="36"/>
    <n v="72209"/>
    <x v="0"/>
    <x v="1216"/>
    <x v="1"/>
    <x v="6"/>
    <x v="1200"/>
    <n v="13.36"/>
    <s v="Low"/>
    <n v="4"/>
    <n v="0"/>
    <x v="0"/>
    <x v="0"/>
    <n v="4.1416000000000004"/>
    <n v="0.31000000000000005"/>
    <n v="0"/>
  </r>
  <r>
    <n v="2799"/>
    <s v="CA-2017-158743"/>
    <d v="2017-10-20T00:00:00"/>
    <x v="3"/>
    <s v="Q4"/>
    <x v="13"/>
    <d v="2017-10-27T00:00:00"/>
    <s v="Standard Class"/>
    <x v="490"/>
    <x v="490"/>
    <s v="Consumer"/>
    <s v="United States"/>
    <s v="Little Rock"/>
    <x v="36"/>
    <n v="72209"/>
    <x v="0"/>
    <x v="681"/>
    <x v="1"/>
    <x v="10"/>
    <x v="681"/>
    <n v="39.96"/>
    <s v="Medium"/>
    <n v="2"/>
    <n v="0"/>
    <x v="0"/>
    <x v="0"/>
    <n v="18.781199999999998"/>
    <n v="0.47"/>
    <n v="0"/>
  </r>
  <r>
    <n v="2800"/>
    <s v="CA-2017-158743"/>
    <d v="2017-10-20T00:00:00"/>
    <x v="3"/>
    <s v="Q4"/>
    <x v="13"/>
    <d v="2017-10-27T00:00:00"/>
    <s v="Standard Class"/>
    <x v="490"/>
    <x v="490"/>
    <s v="Consumer"/>
    <s v="United States"/>
    <s v="Little Rock"/>
    <x v="36"/>
    <n v="72209"/>
    <x v="0"/>
    <x v="705"/>
    <x v="1"/>
    <x v="8"/>
    <x v="705"/>
    <n v="145.85"/>
    <s v="High"/>
    <n v="5"/>
    <n v="0"/>
    <x v="0"/>
    <x v="0"/>
    <n v="70.007999999999996"/>
    <n v="0.48"/>
    <n v="0"/>
  </r>
  <r>
    <n v="2801"/>
    <s v="CA-2016-153318"/>
    <d v="2016-10-25T00:00:00"/>
    <x v="0"/>
    <s v="Q4"/>
    <x v="32"/>
    <d v="2016-10-28T00:00:00"/>
    <s v="First Class"/>
    <x v="329"/>
    <x v="329"/>
    <s v="Corporate"/>
    <s v="United States"/>
    <s v="Miami"/>
    <x v="2"/>
    <n v="33180"/>
    <x v="0"/>
    <x v="469"/>
    <x v="2"/>
    <x v="7"/>
    <x v="470"/>
    <n v="783.96"/>
    <s v="High"/>
    <n v="5"/>
    <n v="0.2"/>
    <x v="2"/>
    <x v="2"/>
    <n v="78.396000000000001"/>
    <n v="9.9999999999999992E-2"/>
    <n v="0"/>
  </r>
  <r>
    <n v="2802"/>
    <s v="US-2015-110163"/>
    <d v="2015-11-01T00:00:00"/>
    <x v="1"/>
    <s v="Q4"/>
    <x v="6"/>
    <d v="2015-11-04T00:00:00"/>
    <s v="First Class"/>
    <x v="315"/>
    <x v="315"/>
    <s v="Consumer"/>
    <s v="United States"/>
    <s v="Salem"/>
    <x v="21"/>
    <n v="97301"/>
    <x v="1"/>
    <x v="32"/>
    <x v="1"/>
    <x v="6"/>
    <x v="32"/>
    <n v="7.88"/>
    <s v="Low"/>
    <n v="1"/>
    <n v="0.2"/>
    <x v="2"/>
    <x v="2"/>
    <n v="1.7729999999999999"/>
    <n v="0.22499999999999998"/>
    <n v="0"/>
  </r>
  <r>
    <n v="2803"/>
    <s v="CA-2017-143329"/>
    <d v="2017-11-03T00:00:00"/>
    <x v="3"/>
    <s v="Q4"/>
    <x v="23"/>
    <d v="2017-11-08T00:00:00"/>
    <s v="Standard Class"/>
    <x v="658"/>
    <x v="658"/>
    <s v="Consumer"/>
    <s v="United States"/>
    <s v="Las Cruces"/>
    <x v="27"/>
    <n v="88001"/>
    <x v="1"/>
    <x v="93"/>
    <x v="0"/>
    <x v="5"/>
    <x v="93"/>
    <n v="41.37"/>
    <s v="Medium"/>
    <n v="3"/>
    <n v="0"/>
    <x v="0"/>
    <x v="0"/>
    <n v="17.375399999999999"/>
    <n v="0.42"/>
    <n v="0"/>
  </r>
  <r>
    <n v="2804"/>
    <s v="CA-2015-159380"/>
    <d v="2015-05-12T00:00:00"/>
    <x v="1"/>
    <s v="Q2"/>
    <x v="33"/>
    <d v="2015-05-16T00:00:00"/>
    <s v="Standard Class"/>
    <x v="473"/>
    <x v="473"/>
    <s v="Consumer"/>
    <s v="United States"/>
    <s v="San Francisco"/>
    <x v="1"/>
    <n v="94122"/>
    <x v="1"/>
    <x v="1117"/>
    <x v="1"/>
    <x v="10"/>
    <x v="1105"/>
    <n v="12.84"/>
    <s v="Low"/>
    <n v="3"/>
    <n v="0"/>
    <x v="0"/>
    <x v="0"/>
    <n v="5.7779999999999996"/>
    <n v="0.44999999999999996"/>
    <n v="0"/>
  </r>
  <r>
    <n v="2805"/>
    <s v="CA-2015-159380"/>
    <d v="2015-05-12T00:00:00"/>
    <x v="1"/>
    <s v="Q2"/>
    <x v="33"/>
    <d v="2015-05-16T00:00:00"/>
    <s v="Standard Class"/>
    <x v="473"/>
    <x v="473"/>
    <s v="Consumer"/>
    <s v="United States"/>
    <s v="San Francisco"/>
    <x v="1"/>
    <n v="94122"/>
    <x v="1"/>
    <x v="1433"/>
    <x v="1"/>
    <x v="10"/>
    <x v="1421"/>
    <n v="25.68"/>
    <s v="Medium"/>
    <n v="6"/>
    <n v="0"/>
    <x v="0"/>
    <x v="0"/>
    <n v="11.555999999999999"/>
    <n v="0.44999999999999996"/>
    <n v="0"/>
  </r>
  <r>
    <n v="2806"/>
    <s v="CA-2015-122623"/>
    <d v="2015-09-07T00:00:00"/>
    <x v="1"/>
    <s v="Q3"/>
    <x v="11"/>
    <d v="2015-09-11T00:00:00"/>
    <s v="Standard Class"/>
    <x v="230"/>
    <x v="230"/>
    <s v="Consumer"/>
    <s v="United States"/>
    <s v="El Paso"/>
    <x v="5"/>
    <n v="79907"/>
    <x v="2"/>
    <x v="1272"/>
    <x v="0"/>
    <x v="1"/>
    <x v="1257"/>
    <n v="47.515999999999998"/>
    <s v="Medium"/>
    <n v="2"/>
    <n v="0.3"/>
    <x v="1"/>
    <x v="4"/>
    <n v="-2.0364"/>
    <n v="-4.2857142857142858E-2"/>
    <n v="1"/>
  </r>
  <r>
    <n v="2807"/>
    <s v="CA-2015-148635"/>
    <d v="2015-07-25T00:00:00"/>
    <x v="1"/>
    <s v="Q3"/>
    <x v="38"/>
    <d v="2015-07-27T00:00:00"/>
    <s v="Second Class"/>
    <x v="659"/>
    <x v="659"/>
    <s v="Consumer"/>
    <s v="United States"/>
    <s v="Seattle"/>
    <x v="4"/>
    <n v="98115"/>
    <x v="1"/>
    <x v="1217"/>
    <x v="1"/>
    <x v="13"/>
    <x v="1201"/>
    <n v="9.42"/>
    <s v="Low"/>
    <n v="2"/>
    <n v="0"/>
    <x v="0"/>
    <x v="0"/>
    <n v="0.47099999999999997"/>
    <n v="4.9999999999999996E-2"/>
    <n v="0"/>
  </r>
  <r>
    <n v="2808"/>
    <s v="CA-2015-148635"/>
    <d v="2015-07-25T00:00:00"/>
    <x v="1"/>
    <s v="Q3"/>
    <x v="38"/>
    <d v="2015-07-27T00:00:00"/>
    <s v="Second Class"/>
    <x v="659"/>
    <x v="659"/>
    <s v="Consumer"/>
    <s v="United States"/>
    <s v="Seattle"/>
    <x v="4"/>
    <n v="98115"/>
    <x v="1"/>
    <x v="1434"/>
    <x v="1"/>
    <x v="10"/>
    <x v="1422"/>
    <n v="12.96"/>
    <s v="Low"/>
    <n v="2"/>
    <n v="0"/>
    <x v="0"/>
    <x v="0"/>
    <n v="6.2207999999999997"/>
    <n v="0.47999999999999993"/>
    <n v="0"/>
  </r>
  <r>
    <n v="2809"/>
    <s v="CA-2015-148635"/>
    <d v="2015-07-25T00:00:00"/>
    <x v="1"/>
    <s v="Q3"/>
    <x v="38"/>
    <d v="2015-07-27T00:00:00"/>
    <s v="Second Class"/>
    <x v="659"/>
    <x v="659"/>
    <s v="Consumer"/>
    <s v="United States"/>
    <s v="Seattle"/>
    <x v="4"/>
    <n v="98115"/>
    <x v="1"/>
    <x v="1248"/>
    <x v="0"/>
    <x v="0"/>
    <x v="1334"/>
    <n v="704.9"/>
    <s v="High"/>
    <n v="5"/>
    <n v="0"/>
    <x v="0"/>
    <x v="0"/>
    <n v="56.392000000000003"/>
    <n v="0.08"/>
    <n v="0"/>
  </r>
  <r>
    <n v="2810"/>
    <s v="CA-2015-148635"/>
    <d v="2015-07-25T00:00:00"/>
    <x v="1"/>
    <s v="Q3"/>
    <x v="38"/>
    <d v="2015-07-27T00:00:00"/>
    <s v="Second Class"/>
    <x v="659"/>
    <x v="659"/>
    <s v="Consumer"/>
    <s v="United States"/>
    <s v="Seattle"/>
    <x v="4"/>
    <n v="98115"/>
    <x v="1"/>
    <x v="1131"/>
    <x v="0"/>
    <x v="1"/>
    <x v="1119"/>
    <n v="561.56799999999998"/>
    <s v="High"/>
    <n v="2"/>
    <n v="0.2"/>
    <x v="2"/>
    <x v="2"/>
    <n v="28.078399999999998"/>
    <n v="4.9999999999999996E-2"/>
    <n v="0"/>
  </r>
  <r>
    <n v="2811"/>
    <s v="CA-2015-135685"/>
    <d v="2015-11-16T00:00:00"/>
    <x v="1"/>
    <s v="Q4"/>
    <x v="6"/>
    <d v="2015-11-18T00:00:00"/>
    <s v="Second Class"/>
    <x v="486"/>
    <x v="486"/>
    <s v="Home Office"/>
    <s v="United States"/>
    <s v="Milwaukee"/>
    <x v="6"/>
    <n v="53209"/>
    <x v="2"/>
    <x v="368"/>
    <x v="1"/>
    <x v="10"/>
    <x v="369"/>
    <n v="179.82"/>
    <s v="High"/>
    <n v="9"/>
    <n v="0"/>
    <x v="0"/>
    <x v="0"/>
    <n v="84.5154"/>
    <n v="0.47000000000000003"/>
    <n v="0"/>
  </r>
  <r>
    <n v="2812"/>
    <s v="CA-2015-135685"/>
    <d v="2015-11-16T00:00:00"/>
    <x v="1"/>
    <s v="Q4"/>
    <x v="6"/>
    <d v="2015-11-18T00:00:00"/>
    <s v="Second Class"/>
    <x v="486"/>
    <x v="486"/>
    <s v="Home Office"/>
    <s v="United States"/>
    <s v="Milwaukee"/>
    <x v="6"/>
    <n v="53209"/>
    <x v="2"/>
    <x v="1435"/>
    <x v="0"/>
    <x v="5"/>
    <x v="1423"/>
    <n v="185.58"/>
    <s v="High"/>
    <n v="6"/>
    <n v="0"/>
    <x v="0"/>
    <x v="0"/>
    <n v="76.087800000000001"/>
    <n v="0.41"/>
    <n v="0"/>
  </r>
  <r>
    <n v="2813"/>
    <s v="CA-2015-135685"/>
    <d v="2015-11-16T00:00:00"/>
    <x v="1"/>
    <s v="Q4"/>
    <x v="6"/>
    <d v="2015-11-18T00:00:00"/>
    <s v="Second Class"/>
    <x v="486"/>
    <x v="486"/>
    <s v="Home Office"/>
    <s v="United States"/>
    <s v="Milwaukee"/>
    <x v="6"/>
    <n v="53209"/>
    <x v="2"/>
    <x v="719"/>
    <x v="0"/>
    <x v="3"/>
    <x v="718"/>
    <n v="214.11"/>
    <s v="High"/>
    <n v="3"/>
    <n v="0"/>
    <x v="0"/>
    <x v="0"/>
    <n v="36.398699999999998"/>
    <n v="0.16999999999999998"/>
    <n v="0"/>
  </r>
  <r>
    <n v="2814"/>
    <s v="CA-2015-135685"/>
    <d v="2015-11-16T00:00:00"/>
    <x v="1"/>
    <s v="Q4"/>
    <x v="6"/>
    <d v="2015-11-18T00:00:00"/>
    <s v="Second Class"/>
    <x v="486"/>
    <x v="486"/>
    <s v="Home Office"/>
    <s v="United States"/>
    <s v="Milwaukee"/>
    <x v="6"/>
    <n v="53209"/>
    <x v="2"/>
    <x v="1287"/>
    <x v="2"/>
    <x v="11"/>
    <x v="1273"/>
    <n v="999.96"/>
    <s v="High"/>
    <n v="4"/>
    <n v="0"/>
    <x v="0"/>
    <x v="0"/>
    <n v="229.99080000000001"/>
    <n v="0.23"/>
    <n v="0"/>
  </r>
  <r>
    <n v="2815"/>
    <s v="CA-2015-135685"/>
    <d v="2015-11-16T00:00:00"/>
    <x v="1"/>
    <s v="Q4"/>
    <x v="6"/>
    <d v="2015-11-18T00:00:00"/>
    <s v="Second Class"/>
    <x v="486"/>
    <x v="486"/>
    <s v="Home Office"/>
    <s v="United States"/>
    <s v="Milwaukee"/>
    <x v="6"/>
    <n v="53209"/>
    <x v="2"/>
    <x v="562"/>
    <x v="0"/>
    <x v="3"/>
    <x v="561"/>
    <n v="653.54999999999995"/>
    <s v="High"/>
    <n v="3"/>
    <n v="0"/>
    <x v="0"/>
    <x v="0"/>
    <n v="111.1035"/>
    <n v="0.17"/>
    <n v="0"/>
  </r>
  <r>
    <n v="2816"/>
    <s v="CA-2015-104626"/>
    <d v="2015-09-01T00:00:00"/>
    <x v="1"/>
    <s v="Q3"/>
    <x v="11"/>
    <d v="2015-09-08T00:00:00"/>
    <s v="Standard Class"/>
    <x v="660"/>
    <x v="660"/>
    <s v="Home Office"/>
    <s v="United States"/>
    <s v="Franklin"/>
    <x v="31"/>
    <n v="2038"/>
    <x v="3"/>
    <x v="710"/>
    <x v="1"/>
    <x v="8"/>
    <x v="709"/>
    <n v="114.6"/>
    <s v="Medium"/>
    <n v="5"/>
    <n v="0"/>
    <x v="0"/>
    <x v="0"/>
    <n v="51.57"/>
    <n v="0.45"/>
    <n v="0"/>
  </r>
  <r>
    <n v="2817"/>
    <s v="CA-2015-104626"/>
    <d v="2015-09-01T00:00:00"/>
    <x v="1"/>
    <s v="Q3"/>
    <x v="11"/>
    <d v="2015-09-08T00:00:00"/>
    <s v="Standard Class"/>
    <x v="660"/>
    <x v="660"/>
    <s v="Home Office"/>
    <s v="United States"/>
    <s v="Franklin"/>
    <x v="31"/>
    <n v="2038"/>
    <x v="3"/>
    <x v="163"/>
    <x v="0"/>
    <x v="1"/>
    <x v="164"/>
    <n v="60.74"/>
    <s v="Medium"/>
    <n v="1"/>
    <n v="0"/>
    <x v="0"/>
    <x v="0"/>
    <n v="15.185"/>
    <n v="0.25"/>
    <n v="0"/>
  </r>
  <r>
    <n v="2818"/>
    <s v="CA-2015-104626"/>
    <d v="2015-09-01T00:00:00"/>
    <x v="1"/>
    <s v="Q3"/>
    <x v="11"/>
    <d v="2015-09-08T00:00:00"/>
    <s v="Standard Class"/>
    <x v="660"/>
    <x v="660"/>
    <s v="Home Office"/>
    <s v="United States"/>
    <s v="Franklin"/>
    <x v="31"/>
    <n v="2038"/>
    <x v="3"/>
    <x v="1292"/>
    <x v="0"/>
    <x v="5"/>
    <x v="1278"/>
    <n v="124.36"/>
    <s v="High"/>
    <n v="2"/>
    <n v="0"/>
    <x v="0"/>
    <x v="0"/>
    <n v="27.359200000000001"/>
    <n v="0.22"/>
    <n v="0"/>
  </r>
  <r>
    <n v="2819"/>
    <s v="CA-2015-104626"/>
    <d v="2015-09-01T00:00:00"/>
    <x v="1"/>
    <s v="Q3"/>
    <x v="11"/>
    <d v="2015-09-08T00:00:00"/>
    <s v="Standard Class"/>
    <x v="660"/>
    <x v="660"/>
    <s v="Home Office"/>
    <s v="United States"/>
    <s v="Franklin"/>
    <x v="31"/>
    <n v="2038"/>
    <x v="3"/>
    <x v="245"/>
    <x v="1"/>
    <x v="4"/>
    <x v="246"/>
    <n v="1088.76"/>
    <s v="High"/>
    <n v="6"/>
    <n v="0"/>
    <x v="0"/>
    <x v="0"/>
    <n v="315.74040000000002"/>
    <n v="0.29000000000000004"/>
    <n v="0"/>
  </r>
  <r>
    <n v="2820"/>
    <s v="CA-2016-160500"/>
    <d v="2016-05-05T00:00:00"/>
    <x v="0"/>
    <s v="Q2"/>
    <x v="35"/>
    <d v="2016-05-08T00:00:00"/>
    <s v="First Class"/>
    <x v="661"/>
    <x v="661"/>
    <s v="Consumer"/>
    <s v="United States"/>
    <s v="Encinitas"/>
    <x v="1"/>
    <n v="92024"/>
    <x v="1"/>
    <x v="1338"/>
    <x v="1"/>
    <x v="8"/>
    <x v="1323"/>
    <n v="6.72"/>
    <s v="Low"/>
    <n v="5"/>
    <n v="0.2"/>
    <x v="2"/>
    <x v="2"/>
    <n v="2.3519999999999999"/>
    <n v="0.35"/>
    <n v="0"/>
  </r>
  <r>
    <n v="2821"/>
    <s v="CA-2016-160500"/>
    <d v="2016-05-05T00:00:00"/>
    <x v="0"/>
    <s v="Q2"/>
    <x v="35"/>
    <d v="2016-05-08T00:00:00"/>
    <s v="First Class"/>
    <x v="661"/>
    <x v="661"/>
    <s v="Consumer"/>
    <s v="United States"/>
    <s v="Encinitas"/>
    <x v="1"/>
    <n v="92024"/>
    <x v="1"/>
    <x v="209"/>
    <x v="0"/>
    <x v="3"/>
    <x v="210"/>
    <n v="298.77600000000001"/>
    <s v="High"/>
    <n v="3"/>
    <n v="0.2"/>
    <x v="2"/>
    <x v="2"/>
    <n v="7.4694000000000003"/>
    <n v="2.5000000000000001E-2"/>
    <n v="0"/>
  </r>
  <r>
    <n v="2822"/>
    <s v="CA-2017-100202"/>
    <d v="2016-12-31T00:00:00"/>
    <x v="0"/>
    <s v="Q4"/>
    <x v="5"/>
    <d v="2017-01-05T00:00:00"/>
    <s v="Standard Class"/>
    <x v="379"/>
    <x v="379"/>
    <s v="Consumer"/>
    <s v="United States"/>
    <s v="Anaheim"/>
    <x v="1"/>
    <n v="92804"/>
    <x v="1"/>
    <x v="202"/>
    <x v="2"/>
    <x v="7"/>
    <x v="203"/>
    <n v="302.37599999999998"/>
    <s v="High"/>
    <n v="3"/>
    <n v="0.2"/>
    <x v="2"/>
    <x v="2"/>
    <n v="22.6782"/>
    <n v="7.5000000000000011E-2"/>
    <n v="0"/>
  </r>
  <r>
    <n v="2823"/>
    <s v="CA-2017-131016"/>
    <d v="2017-09-18T00:00:00"/>
    <x v="3"/>
    <s v="Q3"/>
    <x v="15"/>
    <d v="2017-09-20T00:00:00"/>
    <s v="First Class"/>
    <x v="419"/>
    <x v="419"/>
    <s v="Consumer"/>
    <s v="United States"/>
    <s v="Arlington"/>
    <x v="5"/>
    <n v="76017"/>
    <x v="2"/>
    <x v="311"/>
    <x v="1"/>
    <x v="6"/>
    <x v="311"/>
    <n v="8.9280000000000008"/>
    <s v="Low"/>
    <n v="2"/>
    <n v="0.2"/>
    <x v="2"/>
    <x v="2"/>
    <n v="0.55800000000000005"/>
    <n v="6.25E-2"/>
    <n v="0"/>
  </r>
  <r>
    <n v="2824"/>
    <s v="CA-2017-131016"/>
    <d v="2017-09-18T00:00:00"/>
    <x v="3"/>
    <s v="Q3"/>
    <x v="15"/>
    <d v="2017-09-20T00:00:00"/>
    <s v="First Class"/>
    <x v="419"/>
    <x v="419"/>
    <s v="Consumer"/>
    <s v="United States"/>
    <s v="Arlington"/>
    <x v="5"/>
    <n v="76017"/>
    <x v="2"/>
    <x v="1069"/>
    <x v="1"/>
    <x v="4"/>
    <x v="1058"/>
    <n v="47.584000000000003"/>
    <s v="Medium"/>
    <n v="2"/>
    <n v="0.2"/>
    <x v="2"/>
    <x v="2"/>
    <n v="-2.9740000000000002"/>
    <n v="-6.25E-2"/>
    <n v="1"/>
  </r>
  <r>
    <n v="2825"/>
    <s v="US-2014-112914"/>
    <d v="2014-09-25T00:00:00"/>
    <x v="2"/>
    <s v="Q3"/>
    <x v="30"/>
    <d v="2014-09-30T00:00:00"/>
    <s v="Standard Class"/>
    <x v="192"/>
    <x v="192"/>
    <s v="Home Office"/>
    <s v="United States"/>
    <s v="Houston"/>
    <x v="5"/>
    <n v="77041"/>
    <x v="2"/>
    <x v="1436"/>
    <x v="1"/>
    <x v="10"/>
    <x v="1424"/>
    <n v="33.792000000000002"/>
    <s v="Medium"/>
    <n v="8"/>
    <n v="0.2"/>
    <x v="2"/>
    <x v="2"/>
    <n v="10.56"/>
    <n v="0.3125"/>
    <n v="0"/>
  </r>
  <r>
    <n v="2826"/>
    <s v="US-2014-112914"/>
    <d v="2014-09-25T00:00:00"/>
    <x v="2"/>
    <s v="Q3"/>
    <x v="30"/>
    <d v="2014-09-30T00:00:00"/>
    <s v="Standard Class"/>
    <x v="192"/>
    <x v="192"/>
    <s v="Home Office"/>
    <s v="United States"/>
    <s v="Houston"/>
    <x v="5"/>
    <n v="77041"/>
    <x v="2"/>
    <x v="587"/>
    <x v="0"/>
    <x v="0"/>
    <x v="587"/>
    <n v="300.53280000000001"/>
    <s v="High"/>
    <n v="2"/>
    <n v="0.32"/>
    <x v="1"/>
    <x v="7"/>
    <n v="-97.231200000000001"/>
    <n v="-0.3235294117647059"/>
    <n v="1"/>
  </r>
  <r>
    <n v="2827"/>
    <s v="US-2014-112914"/>
    <d v="2014-09-25T00:00:00"/>
    <x v="2"/>
    <s v="Q3"/>
    <x v="30"/>
    <d v="2014-09-30T00:00:00"/>
    <s v="Standard Class"/>
    <x v="192"/>
    <x v="192"/>
    <s v="Home Office"/>
    <s v="United States"/>
    <s v="Houston"/>
    <x v="5"/>
    <n v="77041"/>
    <x v="2"/>
    <x v="1282"/>
    <x v="1"/>
    <x v="8"/>
    <x v="1267"/>
    <n v="2.7240000000000002"/>
    <s v="Low"/>
    <n v="2"/>
    <n v="0.8"/>
    <x v="1"/>
    <x v="3"/>
    <n v="-4.3583999999999996"/>
    <n v="-1.5999999999999996"/>
    <n v="1"/>
  </r>
  <r>
    <n v="2828"/>
    <s v="US-2014-112914"/>
    <d v="2014-09-25T00:00:00"/>
    <x v="2"/>
    <s v="Q3"/>
    <x v="30"/>
    <d v="2014-09-30T00:00:00"/>
    <s v="Standard Class"/>
    <x v="192"/>
    <x v="192"/>
    <s v="Home Office"/>
    <s v="United States"/>
    <s v="Houston"/>
    <x v="5"/>
    <n v="77041"/>
    <x v="2"/>
    <x v="29"/>
    <x v="1"/>
    <x v="12"/>
    <x v="29"/>
    <n v="3.2639999999999998"/>
    <s v="Low"/>
    <n v="2"/>
    <n v="0.2"/>
    <x v="2"/>
    <x v="2"/>
    <n v="1.1015999999999999"/>
    <n v="0.33750000000000002"/>
    <n v="0"/>
  </r>
  <r>
    <n v="2829"/>
    <s v="CA-2016-124149"/>
    <d v="2016-04-23T00:00:00"/>
    <x v="0"/>
    <s v="Q2"/>
    <x v="25"/>
    <d v="2016-04-26T00:00:00"/>
    <s v="First Class"/>
    <x v="77"/>
    <x v="77"/>
    <s v="Consumer"/>
    <s v="United States"/>
    <s v="Lancaster"/>
    <x v="24"/>
    <n v="43130"/>
    <x v="3"/>
    <x v="1437"/>
    <x v="1"/>
    <x v="10"/>
    <x v="1425"/>
    <n v="108.336"/>
    <s v="Medium"/>
    <n v="6"/>
    <n v="0.2"/>
    <x v="2"/>
    <x v="2"/>
    <n v="37.9176"/>
    <n v="0.35000000000000003"/>
    <n v="0"/>
  </r>
  <r>
    <n v="2830"/>
    <s v="CA-2016-124149"/>
    <d v="2016-04-23T00:00:00"/>
    <x v="0"/>
    <s v="Q2"/>
    <x v="25"/>
    <d v="2016-04-26T00:00:00"/>
    <s v="First Class"/>
    <x v="77"/>
    <x v="77"/>
    <s v="Consumer"/>
    <s v="United States"/>
    <s v="Lancaster"/>
    <x v="24"/>
    <n v="43130"/>
    <x v="3"/>
    <x v="4"/>
    <x v="1"/>
    <x v="4"/>
    <x v="4"/>
    <n v="55.92"/>
    <s v="Medium"/>
    <n v="5"/>
    <n v="0.2"/>
    <x v="2"/>
    <x v="2"/>
    <n v="6.2910000000000004"/>
    <n v="0.1125"/>
    <n v="0"/>
  </r>
  <r>
    <n v="2831"/>
    <s v="CA-2016-124149"/>
    <d v="2016-04-23T00:00:00"/>
    <x v="0"/>
    <s v="Q2"/>
    <x v="25"/>
    <d v="2016-04-26T00:00:00"/>
    <s v="First Class"/>
    <x v="77"/>
    <x v="77"/>
    <s v="Consumer"/>
    <s v="United States"/>
    <s v="Lancaster"/>
    <x v="24"/>
    <n v="43130"/>
    <x v="3"/>
    <x v="1438"/>
    <x v="1"/>
    <x v="10"/>
    <x v="1426"/>
    <n v="78.304000000000002"/>
    <s v="Medium"/>
    <n v="2"/>
    <n v="0.2"/>
    <x v="2"/>
    <x v="2"/>
    <n v="29.364000000000001"/>
    <n v="0.375"/>
    <n v="0"/>
  </r>
  <r>
    <n v="2832"/>
    <s v="CA-2014-148915"/>
    <d v="2014-11-01T00:00:00"/>
    <x v="2"/>
    <s v="Q4"/>
    <x v="7"/>
    <d v="2014-11-05T00:00:00"/>
    <s v="Standard Class"/>
    <x v="444"/>
    <x v="444"/>
    <s v="Consumer"/>
    <s v="United States"/>
    <s v="Portland"/>
    <x v="21"/>
    <n v="97206"/>
    <x v="1"/>
    <x v="1439"/>
    <x v="1"/>
    <x v="4"/>
    <x v="1427"/>
    <n v="443.92"/>
    <s v="High"/>
    <n v="5"/>
    <n v="0.2"/>
    <x v="2"/>
    <x v="2"/>
    <n v="-94.332999999999998"/>
    <n v="-0.21249999999999999"/>
    <n v="1"/>
  </r>
  <r>
    <n v="2833"/>
    <s v="CA-2014-148915"/>
    <d v="2014-11-01T00:00:00"/>
    <x v="2"/>
    <s v="Q4"/>
    <x v="7"/>
    <d v="2014-11-05T00:00:00"/>
    <s v="Standard Class"/>
    <x v="444"/>
    <x v="444"/>
    <s v="Consumer"/>
    <s v="United States"/>
    <s v="Portland"/>
    <x v="21"/>
    <n v="97206"/>
    <x v="1"/>
    <x v="1417"/>
    <x v="2"/>
    <x v="7"/>
    <x v="1405"/>
    <n v="155.976"/>
    <s v="High"/>
    <n v="3"/>
    <n v="0.2"/>
    <x v="2"/>
    <x v="2"/>
    <n v="54.5916"/>
    <n v="0.35"/>
    <n v="0"/>
  </r>
  <r>
    <n v="2834"/>
    <s v="CA-2017-134649"/>
    <d v="2017-01-26T00:00:00"/>
    <x v="3"/>
    <s v="Q1"/>
    <x v="44"/>
    <d v="2017-01-31T00:00:00"/>
    <s v="Second Class"/>
    <x v="662"/>
    <x v="662"/>
    <s v="Corporate"/>
    <s v="United States"/>
    <s v="Hoover"/>
    <x v="19"/>
    <n v="35244"/>
    <x v="0"/>
    <x v="147"/>
    <x v="1"/>
    <x v="6"/>
    <x v="148"/>
    <n v="15.47"/>
    <s v="Low"/>
    <n v="7"/>
    <n v="0"/>
    <x v="0"/>
    <x v="0"/>
    <n v="4.1768999999999998"/>
    <n v="0.26999999999999996"/>
    <n v="0"/>
  </r>
  <r>
    <n v="2835"/>
    <s v="CA-2017-134649"/>
    <d v="2017-01-26T00:00:00"/>
    <x v="3"/>
    <s v="Q1"/>
    <x v="44"/>
    <d v="2017-01-31T00:00:00"/>
    <s v="Second Class"/>
    <x v="662"/>
    <x v="662"/>
    <s v="Corporate"/>
    <s v="United States"/>
    <s v="Hoover"/>
    <x v="19"/>
    <n v="35244"/>
    <x v="0"/>
    <x v="175"/>
    <x v="1"/>
    <x v="8"/>
    <x v="176"/>
    <n v="7.16"/>
    <s v="Low"/>
    <n v="2"/>
    <n v="0"/>
    <x v="0"/>
    <x v="0"/>
    <n v="3.4367999999999999"/>
    <n v="0.48"/>
    <n v="0"/>
  </r>
  <r>
    <n v="2836"/>
    <s v="CA-2017-110842"/>
    <d v="2017-11-11T00:00:00"/>
    <x v="3"/>
    <s v="Q4"/>
    <x v="23"/>
    <d v="2017-11-16T00:00:00"/>
    <s v="Standard Class"/>
    <x v="315"/>
    <x v="315"/>
    <s v="Consumer"/>
    <s v="United States"/>
    <s v="Los Angeles"/>
    <x v="1"/>
    <n v="90036"/>
    <x v="1"/>
    <x v="930"/>
    <x v="1"/>
    <x v="9"/>
    <x v="923"/>
    <n v="10.89"/>
    <s v="Low"/>
    <n v="1"/>
    <n v="0"/>
    <x v="0"/>
    <x v="0"/>
    <n v="2.8313999999999999"/>
    <n v="0.25999999999999995"/>
    <n v="0"/>
  </r>
  <r>
    <n v="2837"/>
    <s v="CA-2017-110842"/>
    <d v="2017-11-11T00:00:00"/>
    <x v="3"/>
    <s v="Q4"/>
    <x v="23"/>
    <d v="2017-11-16T00:00:00"/>
    <s v="Standard Class"/>
    <x v="315"/>
    <x v="315"/>
    <s v="Consumer"/>
    <s v="United States"/>
    <s v="Los Angeles"/>
    <x v="1"/>
    <n v="90036"/>
    <x v="1"/>
    <x v="1440"/>
    <x v="1"/>
    <x v="10"/>
    <x v="1428"/>
    <n v="19.440000000000001"/>
    <s v="Low"/>
    <n v="3"/>
    <n v="0"/>
    <x v="0"/>
    <x v="0"/>
    <n v="9.3312000000000008"/>
    <n v="0.48000000000000004"/>
    <n v="0"/>
  </r>
  <r>
    <n v="2838"/>
    <s v="CA-2017-110842"/>
    <d v="2017-11-11T00:00:00"/>
    <x v="3"/>
    <s v="Q4"/>
    <x v="23"/>
    <d v="2017-11-16T00:00:00"/>
    <s v="Standard Class"/>
    <x v="315"/>
    <x v="315"/>
    <s v="Consumer"/>
    <s v="United States"/>
    <s v="Los Angeles"/>
    <x v="1"/>
    <n v="90036"/>
    <x v="1"/>
    <x v="999"/>
    <x v="1"/>
    <x v="8"/>
    <x v="991"/>
    <n v="121.6"/>
    <s v="Medium"/>
    <n v="5"/>
    <n v="0.2"/>
    <x v="2"/>
    <x v="2"/>
    <n v="39.520000000000003"/>
    <n v="0.32500000000000007"/>
    <n v="0"/>
  </r>
  <r>
    <n v="2839"/>
    <s v="CA-2016-147368"/>
    <d v="2016-06-09T00:00:00"/>
    <x v="0"/>
    <s v="Q2"/>
    <x v="1"/>
    <d v="2016-06-12T00:00:00"/>
    <s v="First Class"/>
    <x v="646"/>
    <x v="646"/>
    <s v="Consumer"/>
    <s v="United States"/>
    <s v="Tallahassee"/>
    <x v="2"/>
    <n v="32303"/>
    <x v="0"/>
    <x v="946"/>
    <x v="2"/>
    <x v="15"/>
    <x v="939"/>
    <n v="695.7"/>
    <s v="High"/>
    <n v="2"/>
    <n v="0.5"/>
    <x v="1"/>
    <x v="1"/>
    <n v="-27.827999999999999"/>
    <n v="-3.9999999999999994E-2"/>
    <n v="1"/>
  </r>
  <r>
    <n v="2840"/>
    <s v="US-2015-104185"/>
    <d v="2015-09-03T00:00:00"/>
    <x v="1"/>
    <s v="Q3"/>
    <x v="11"/>
    <d v="2015-09-08T00:00:00"/>
    <s v="Second Class"/>
    <x v="80"/>
    <x v="80"/>
    <s v="Corporate"/>
    <s v="United States"/>
    <s v="New York City"/>
    <x v="15"/>
    <n v="10009"/>
    <x v="3"/>
    <x v="772"/>
    <x v="1"/>
    <x v="4"/>
    <x v="771"/>
    <n v="120.33"/>
    <s v="Medium"/>
    <n v="1"/>
    <n v="0"/>
    <x v="0"/>
    <x v="0"/>
    <n v="31.285799999999998"/>
    <n v="0.26"/>
    <n v="0"/>
  </r>
  <r>
    <n v="2841"/>
    <s v="US-2014-125521"/>
    <d v="2014-03-14T00:00:00"/>
    <x v="2"/>
    <s v="Q1"/>
    <x v="34"/>
    <d v="2014-03-19T00:00:00"/>
    <s v="Standard Class"/>
    <x v="278"/>
    <x v="278"/>
    <s v="Home Office"/>
    <s v="United States"/>
    <s v="Chesapeake"/>
    <x v="17"/>
    <n v="23320"/>
    <x v="0"/>
    <x v="463"/>
    <x v="0"/>
    <x v="1"/>
    <x v="464"/>
    <n v="1139.92"/>
    <s v="High"/>
    <n v="4"/>
    <n v="0"/>
    <x v="0"/>
    <x v="0"/>
    <n v="284.98"/>
    <n v="0.25"/>
    <n v="0"/>
  </r>
  <r>
    <n v="2842"/>
    <s v="US-2017-135062"/>
    <d v="2017-08-31T00:00:00"/>
    <x v="3"/>
    <s v="Q3"/>
    <x v="43"/>
    <d v="2017-09-04T00:00:00"/>
    <s v="Second Class"/>
    <x v="210"/>
    <x v="210"/>
    <s v="Consumer"/>
    <s v="United States"/>
    <s v="Fayetteville"/>
    <x v="3"/>
    <n v="28314"/>
    <x v="0"/>
    <x v="839"/>
    <x v="1"/>
    <x v="10"/>
    <x v="833"/>
    <n v="229.54400000000001"/>
    <s v="High"/>
    <n v="7"/>
    <n v="0.2"/>
    <x v="2"/>
    <x v="2"/>
    <n v="83.209699999999998"/>
    <n v="0.36249999999999999"/>
    <n v="0"/>
  </r>
  <r>
    <n v="2843"/>
    <s v="CA-2017-135650"/>
    <d v="2017-03-23T00:00:00"/>
    <x v="3"/>
    <s v="Q1"/>
    <x v="42"/>
    <d v="2017-03-27T00:00:00"/>
    <s v="Standard Class"/>
    <x v="663"/>
    <x v="663"/>
    <s v="Consumer"/>
    <s v="United States"/>
    <s v="Huntsville"/>
    <x v="5"/>
    <n v="77340"/>
    <x v="2"/>
    <x v="435"/>
    <x v="1"/>
    <x v="4"/>
    <x v="435"/>
    <n v="143.72800000000001"/>
    <s v="High"/>
    <n v="2"/>
    <n v="0.2"/>
    <x v="2"/>
    <x v="2"/>
    <n v="-32.338799999999999"/>
    <n v="-0.22499999999999998"/>
    <n v="1"/>
  </r>
  <r>
    <n v="2844"/>
    <s v="CA-2017-112865"/>
    <d v="2017-05-18T00:00:00"/>
    <x v="3"/>
    <s v="Q2"/>
    <x v="24"/>
    <d v="2017-05-22T00:00:00"/>
    <s v="Standard Class"/>
    <x v="3"/>
    <x v="3"/>
    <s v="Consumer"/>
    <s v="United States"/>
    <s v="Philadelphia"/>
    <x v="9"/>
    <n v="19140"/>
    <x v="3"/>
    <x v="1374"/>
    <x v="2"/>
    <x v="11"/>
    <x v="1359"/>
    <n v="36.048000000000002"/>
    <s v="Medium"/>
    <n v="3"/>
    <n v="0.2"/>
    <x v="2"/>
    <x v="2"/>
    <n v="-0.9012"/>
    <n v="-2.4999999999999998E-2"/>
    <n v="1"/>
  </r>
  <r>
    <n v="2845"/>
    <s v="US-2016-162852"/>
    <d v="2016-12-27T00:00:00"/>
    <x v="0"/>
    <s v="Q4"/>
    <x v="5"/>
    <d v="2016-12-31T00:00:00"/>
    <s v="Standard Class"/>
    <x v="410"/>
    <x v="410"/>
    <s v="Corporate"/>
    <s v="United States"/>
    <s v="Woodstock"/>
    <x v="10"/>
    <n v="60098"/>
    <x v="2"/>
    <x v="531"/>
    <x v="0"/>
    <x v="1"/>
    <x v="531"/>
    <n v="845.48800000000006"/>
    <s v="High"/>
    <n v="8"/>
    <n v="0.3"/>
    <x v="1"/>
    <x v="4"/>
    <n v="-12.0784"/>
    <n v="-1.4285714285714285E-2"/>
    <n v="1"/>
  </r>
  <r>
    <n v="2846"/>
    <s v="CA-2017-138163"/>
    <d v="2017-11-17T00:00:00"/>
    <x v="3"/>
    <s v="Q4"/>
    <x v="23"/>
    <d v="2017-11-20T00:00:00"/>
    <s v="First Class"/>
    <x v="190"/>
    <x v="190"/>
    <s v="Consumer"/>
    <s v="United States"/>
    <s v="Everett"/>
    <x v="31"/>
    <n v="2149"/>
    <x v="3"/>
    <x v="207"/>
    <x v="1"/>
    <x v="6"/>
    <x v="208"/>
    <n v="50.94"/>
    <s v="Medium"/>
    <n v="3"/>
    <n v="0"/>
    <x v="0"/>
    <x v="0"/>
    <n v="14.263199999999999"/>
    <n v="0.28000000000000003"/>
    <n v="0"/>
  </r>
  <r>
    <n v="2847"/>
    <s v="CA-2017-152093"/>
    <d v="2017-09-10T00:00:00"/>
    <x v="3"/>
    <s v="Q3"/>
    <x v="15"/>
    <d v="2017-09-15T00:00:00"/>
    <s v="Standard Class"/>
    <x v="381"/>
    <x v="381"/>
    <s v="Home Office"/>
    <s v="United States"/>
    <s v="Chicago"/>
    <x v="10"/>
    <n v="60653"/>
    <x v="2"/>
    <x v="450"/>
    <x v="1"/>
    <x v="8"/>
    <x v="451"/>
    <n v="762.59400000000005"/>
    <s v="High"/>
    <n v="3"/>
    <n v="0.8"/>
    <x v="1"/>
    <x v="3"/>
    <n v="-1143.8910000000001"/>
    <n v="-1.5"/>
    <n v="1"/>
  </r>
  <r>
    <n v="2848"/>
    <s v="CA-2017-157854"/>
    <d v="2017-04-08T00:00:00"/>
    <x v="3"/>
    <s v="Q2"/>
    <x v="4"/>
    <d v="2017-04-15T00:00:00"/>
    <s v="Standard Class"/>
    <x v="664"/>
    <x v="664"/>
    <s v="Corporate"/>
    <s v="United States"/>
    <s v="Roswell"/>
    <x v="32"/>
    <n v="30076"/>
    <x v="0"/>
    <x v="1441"/>
    <x v="0"/>
    <x v="5"/>
    <x v="1429"/>
    <n v="56.28"/>
    <s v="Medium"/>
    <n v="6"/>
    <n v="0"/>
    <x v="0"/>
    <x v="0"/>
    <n v="15.7584"/>
    <n v="0.27999999999999997"/>
    <n v="0"/>
  </r>
  <r>
    <n v="2849"/>
    <s v="CA-2017-157854"/>
    <d v="2017-04-08T00:00:00"/>
    <x v="3"/>
    <s v="Q2"/>
    <x v="4"/>
    <d v="2017-04-15T00:00:00"/>
    <s v="Standard Class"/>
    <x v="664"/>
    <x v="664"/>
    <s v="Corporate"/>
    <s v="United States"/>
    <s v="Roswell"/>
    <x v="32"/>
    <n v="30076"/>
    <x v="0"/>
    <x v="1176"/>
    <x v="1"/>
    <x v="8"/>
    <x v="1162"/>
    <n v="2690.97"/>
    <s v="High"/>
    <n v="3"/>
    <n v="0"/>
    <x v="0"/>
    <x v="0"/>
    <n v="1264.7559000000001"/>
    <n v="0.47000000000000008"/>
    <n v="0"/>
  </r>
  <r>
    <n v="2850"/>
    <s v="CA-2016-123617"/>
    <d v="2016-11-28T00:00:00"/>
    <x v="0"/>
    <s v="Q4"/>
    <x v="0"/>
    <d v="2016-12-03T00:00:00"/>
    <s v="Standard Class"/>
    <x v="321"/>
    <x v="321"/>
    <s v="Corporate"/>
    <s v="United States"/>
    <s v="Palm Coast"/>
    <x v="2"/>
    <n v="32137"/>
    <x v="0"/>
    <x v="863"/>
    <x v="1"/>
    <x v="8"/>
    <x v="857"/>
    <n v="7.4340000000000002"/>
    <s v="Low"/>
    <n v="6"/>
    <n v="0.7"/>
    <x v="1"/>
    <x v="5"/>
    <n v="-5.6993999999999998"/>
    <n v="-0.76666666666666661"/>
    <n v="1"/>
  </r>
  <r>
    <n v="2851"/>
    <s v="US-2016-128293"/>
    <d v="2016-06-02T00:00:00"/>
    <x v="0"/>
    <s v="Q2"/>
    <x v="1"/>
    <d v="2016-06-05T00:00:00"/>
    <s v="First Class"/>
    <x v="346"/>
    <x v="346"/>
    <s v="Corporate"/>
    <s v="United States"/>
    <s v="Philadelphia"/>
    <x v="9"/>
    <n v="19120"/>
    <x v="3"/>
    <x v="459"/>
    <x v="1"/>
    <x v="4"/>
    <x v="460"/>
    <n v="64.784000000000006"/>
    <s v="Medium"/>
    <n v="1"/>
    <n v="0.2"/>
    <x v="2"/>
    <x v="2"/>
    <n v="-12.956799999999999"/>
    <n v="-0.19999999999999998"/>
    <n v="1"/>
  </r>
  <r>
    <n v="2852"/>
    <s v="CA-2017-107342"/>
    <d v="2017-12-17T00:00:00"/>
    <x v="3"/>
    <s v="Q4"/>
    <x v="22"/>
    <d v="2017-12-22T00:00:00"/>
    <s v="Standard Class"/>
    <x v="665"/>
    <x v="665"/>
    <s v="Home Office"/>
    <s v="United States"/>
    <s v="Columbus"/>
    <x v="14"/>
    <n v="47201"/>
    <x v="2"/>
    <x v="728"/>
    <x v="1"/>
    <x v="10"/>
    <x v="727"/>
    <n v="28.16"/>
    <s v="Medium"/>
    <n v="4"/>
    <n v="0"/>
    <x v="0"/>
    <x v="0"/>
    <n v="13.235200000000001"/>
    <n v="0.47000000000000003"/>
    <n v="0"/>
  </r>
  <r>
    <n v="2853"/>
    <s v="CA-2016-136371"/>
    <d v="2016-03-19T00:00:00"/>
    <x v="0"/>
    <s v="Q1"/>
    <x v="17"/>
    <d v="2016-03-21T00:00:00"/>
    <s v="Second Class"/>
    <x v="603"/>
    <x v="603"/>
    <s v="Consumer"/>
    <s v="United States"/>
    <s v="Oceanside"/>
    <x v="15"/>
    <n v="11572"/>
    <x v="3"/>
    <x v="1442"/>
    <x v="0"/>
    <x v="5"/>
    <x v="1430"/>
    <n v="14.98"/>
    <s v="Low"/>
    <n v="1"/>
    <n v="0"/>
    <x v="0"/>
    <x v="0"/>
    <n v="6.8907999999999996"/>
    <n v="0.45999999999999996"/>
    <n v="0"/>
  </r>
  <r>
    <n v="2854"/>
    <s v="CA-2016-136371"/>
    <d v="2016-03-19T00:00:00"/>
    <x v="0"/>
    <s v="Q1"/>
    <x v="17"/>
    <d v="2016-03-21T00:00:00"/>
    <s v="Second Class"/>
    <x v="603"/>
    <x v="603"/>
    <s v="Consumer"/>
    <s v="United States"/>
    <s v="Oceanside"/>
    <x v="15"/>
    <n v="11572"/>
    <x v="3"/>
    <x v="534"/>
    <x v="0"/>
    <x v="5"/>
    <x v="534"/>
    <n v="20.32"/>
    <s v="Low"/>
    <n v="4"/>
    <n v="0"/>
    <x v="0"/>
    <x v="0"/>
    <n v="6.9088000000000003"/>
    <n v="0.34"/>
    <n v="0"/>
  </r>
  <r>
    <n v="2855"/>
    <s v="CA-2017-137344"/>
    <d v="2017-08-20T00:00:00"/>
    <x v="3"/>
    <s v="Q3"/>
    <x v="43"/>
    <d v="2017-08-20T00:00:00"/>
    <s v="Same Day"/>
    <x v="613"/>
    <x v="613"/>
    <s v="Corporate"/>
    <s v="United States"/>
    <s v="Franklin"/>
    <x v="31"/>
    <n v="2038"/>
    <x v="3"/>
    <x v="1031"/>
    <x v="1"/>
    <x v="4"/>
    <x v="1022"/>
    <n v="40.29"/>
    <s v="Medium"/>
    <n v="3"/>
    <n v="0"/>
    <x v="0"/>
    <x v="0"/>
    <n v="10.4754"/>
    <n v="0.26"/>
    <n v="0"/>
  </r>
  <r>
    <n v="2856"/>
    <s v="CA-2017-169810"/>
    <d v="2017-07-25T00:00:00"/>
    <x v="3"/>
    <s v="Q3"/>
    <x v="10"/>
    <d v="2017-07-31T00:00:00"/>
    <s v="Standard Class"/>
    <x v="181"/>
    <x v="181"/>
    <s v="Consumer"/>
    <s v="United States"/>
    <s v="Sioux Falls"/>
    <x v="44"/>
    <n v="57103"/>
    <x v="2"/>
    <x v="1387"/>
    <x v="1"/>
    <x v="2"/>
    <x v="1373"/>
    <n v="20.23"/>
    <s v="Low"/>
    <n v="7"/>
    <n v="0"/>
    <x v="0"/>
    <x v="0"/>
    <n v="9.5081000000000007"/>
    <n v="0.47000000000000003"/>
    <n v="0"/>
  </r>
  <r>
    <n v="2857"/>
    <s v="CA-2016-128594"/>
    <d v="2016-08-26T00:00:00"/>
    <x v="0"/>
    <s v="Q3"/>
    <x v="28"/>
    <d v="2016-08-29T00:00:00"/>
    <s v="First Class"/>
    <x v="137"/>
    <x v="137"/>
    <s v="Corporate"/>
    <s v="United States"/>
    <s v="San Diego"/>
    <x v="1"/>
    <n v="92037"/>
    <x v="1"/>
    <x v="445"/>
    <x v="0"/>
    <x v="1"/>
    <x v="445"/>
    <n v="1603.136"/>
    <s v="High"/>
    <n v="4"/>
    <n v="0.2"/>
    <x v="2"/>
    <x v="2"/>
    <n v="100.196"/>
    <n v="6.25E-2"/>
    <n v="0"/>
  </r>
  <r>
    <n v="2858"/>
    <s v="CA-2016-154690"/>
    <d v="2016-08-15T00:00:00"/>
    <x v="0"/>
    <s v="Q3"/>
    <x v="28"/>
    <d v="2016-08-17T00:00:00"/>
    <s v="Second Class"/>
    <x v="666"/>
    <x v="666"/>
    <s v="Consumer"/>
    <s v="United States"/>
    <s v="Fayetteville"/>
    <x v="3"/>
    <n v="28314"/>
    <x v="0"/>
    <x v="1153"/>
    <x v="0"/>
    <x v="1"/>
    <x v="1141"/>
    <n v="225.29599999999999"/>
    <s v="High"/>
    <n v="2"/>
    <n v="0.2"/>
    <x v="2"/>
    <x v="2"/>
    <n v="22.529599999999999"/>
    <n v="9.9999999999999992E-2"/>
    <n v="0"/>
  </r>
  <r>
    <n v="2859"/>
    <s v="CA-2017-138975"/>
    <d v="2017-05-19T00:00:00"/>
    <x v="3"/>
    <s v="Q2"/>
    <x v="24"/>
    <d v="2017-05-23T00:00:00"/>
    <s v="Standard Class"/>
    <x v="618"/>
    <x v="618"/>
    <s v="Consumer"/>
    <s v="United States"/>
    <s v="Atlanta"/>
    <x v="32"/>
    <n v="30318"/>
    <x v="0"/>
    <x v="658"/>
    <x v="2"/>
    <x v="11"/>
    <x v="658"/>
    <n v="67.8"/>
    <s v="Medium"/>
    <n v="4"/>
    <n v="0"/>
    <x v="0"/>
    <x v="0"/>
    <n v="4.0679999999999996"/>
    <n v="0.06"/>
    <n v="0"/>
  </r>
  <r>
    <n v="2860"/>
    <s v="CA-2017-138975"/>
    <d v="2017-05-19T00:00:00"/>
    <x v="3"/>
    <s v="Q2"/>
    <x v="24"/>
    <d v="2017-05-23T00:00:00"/>
    <s v="Standard Class"/>
    <x v="618"/>
    <x v="618"/>
    <s v="Consumer"/>
    <s v="United States"/>
    <s v="Atlanta"/>
    <x v="32"/>
    <n v="30318"/>
    <x v="0"/>
    <x v="1443"/>
    <x v="2"/>
    <x v="7"/>
    <x v="1431"/>
    <n v="377.97"/>
    <s v="High"/>
    <n v="3"/>
    <n v="0"/>
    <x v="0"/>
    <x v="0"/>
    <n v="98.272199999999998"/>
    <n v="0.25999999999999995"/>
    <n v="0"/>
  </r>
  <r>
    <n v="2861"/>
    <s v="CA-2017-138975"/>
    <d v="2017-05-19T00:00:00"/>
    <x v="3"/>
    <s v="Q2"/>
    <x v="24"/>
    <d v="2017-05-23T00:00:00"/>
    <s v="Standard Class"/>
    <x v="618"/>
    <x v="618"/>
    <s v="Consumer"/>
    <s v="United States"/>
    <s v="Atlanta"/>
    <x v="32"/>
    <n v="30318"/>
    <x v="0"/>
    <x v="199"/>
    <x v="0"/>
    <x v="0"/>
    <x v="200"/>
    <n v="1628.82"/>
    <s v="High"/>
    <n v="9"/>
    <n v="0"/>
    <x v="0"/>
    <x v="0"/>
    <n v="374.62860000000001"/>
    <n v="0.23"/>
    <n v="0"/>
  </r>
  <r>
    <n v="2862"/>
    <s v="CA-2017-138975"/>
    <d v="2017-05-19T00:00:00"/>
    <x v="3"/>
    <s v="Q2"/>
    <x v="24"/>
    <d v="2017-05-23T00:00:00"/>
    <s v="Standard Class"/>
    <x v="618"/>
    <x v="618"/>
    <s v="Consumer"/>
    <s v="United States"/>
    <s v="Atlanta"/>
    <x v="32"/>
    <n v="30318"/>
    <x v="0"/>
    <x v="839"/>
    <x v="1"/>
    <x v="10"/>
    <x v="833"/>
    <n v="286.93"/>
    <s v="High"/>
    <n v="7"/>
    <n v="0"/>
    <x v="0"/>
    <x v="0"/>
    <n v="140.59569999999999"/>
    <n v="0.49"/>
    <n v="0"/>
  </r>
  <r>
    <n v="2863"/>
    <s v="CA-2017-106537"/>
    <d v="2017-08-12T00:00:00"/>
    <x v="3"/>
    <s v="Q3"/>
    <x v="43"/>
    <d v="2017-08-17T00:00:00"/>
    <s v="Standard Class"/>
    <x v="302"/>
    <x v="302"/>
    <s v="Consumer"/>
    <s v="United States"/>
    <s v="Orlando"/>
    <x v="2"/>
    <n v="32839"/>
    <x v="0"/>
    <x v="1396"/>
    <x v="1"/>
    <x v="10"/>
    <x v="1383"/>
    <n v="20.736000000000001"/>
    <s v="Low"/>
    <n v="4"/>
    <n v="0.2"/>
    <x v="2"/>
    <x v="2"/>
    <n v="7.2576000000000001"/>
    <n v="0.35"/>
    <n v="0"/>
  </r>
  <r>
    <n v="2864"/>
    <s v="US-2017-103828"/>
    <d v="2017-08-13T00:00:00"/>
    <x v="3"/>
    <s v="Q3"/>
    <x v="43"/>
    <d v="2017-08-13T00:00:00"/>
    <s v="Same Day"/>
    <x v="271"/>
    <x v="271"/>
    <s v="Consumer"/>
    <s v="United States"/>
    <s v="San Francisco"/>
    <x v="1"/>
    <n v="94122"/>
    <x v="1"/>
    <x v="470"/>
    <x v="1"/>
    <x v="4"/>
    <x v="471"/>
    <n v="31.44"/>
    <s v="Medium"/>
    <n v="3"/>
    <n v="0"/>
    <x v="0"/>
    <x v="0"/>
    <n v="8.4887999999999995"/>
    <n v="0.26999999999999996"/>
    <n v="0"/>
  </r>
  <r>
    <n v="2865"/>
    <s v="US-2017-103828"/>
    <d v="2017-08-13T00:00:00"/>
    <x v="3"/>
    <s v="Q3"/>
    <x v="43"/>
    <d v="2017-08-13T00:00:00"/>
    <s v="Same Day"/>
    <x v="271"/>
    <x v="271"/>
    <s v="Consumer"/>
    <s v="United States"/>
    <s v="San Francisco"/>
    <x v="1"/>
    <n v="94122"/>
    <x v="1"/>
    <x v="360"/>
    <x v="1"/>
    <x v="9"/>
    <x v="360"/>
    <n v="83.79"/>
    <s v="Medium"/>
    <n v="7"/>
    <n v="0"/>
    <x v="0"/>
    <x v="0"/>
    <n v="22.6233"/>
    <n v="0.26999999999999996"/>
    <n v="0"/>
  </r>
  <r>
    <n v="2866"/>
    <s v="US-2017-103828"/>
    <d v="2017-08-13T00:00:00"/>
    <x v="3"/>
    <s v="Q3"/>
    <x v="43"/>
    <d v="2017-08-13T00:00:00"/>
    <s v="Same Day"/>
    <x v="271"/>
    <x v="271"/>
    <s v="Consumer"/>
    <s v="United States"/>
    <s v="San Francisco"/>
    <x v="1"/>
    <n v="94122"/>
    <x v="1"/>
    <x v="397"/>
    <x v="1"/>
    <x v="6"/>
    <x v="398"/>
    <n v="59.52"/>
    <s v="Medium"/>
    <n v="3"/>
    <n v="0"/>
    <x v="0"/>
    <x v="0"/>
    <n v="15.475199999999999"/>
    <n v="0.25999999999999995"/>
    <n v="0"/>
  </r>
  <r>
    <n v="2867"/>
    <s v="US-2017-103828"/>
    <d v="2017-08-13T00:00:00"/>
    <x v="3"/>
    <s v="Q3"/>
    <x v="43"/>
    <d v="2017-08-13T00:00:00"/>
    <s v="Same Day"/>
    <x v="271"/>
    <x v="271"/>
    <s v="Consumer"/>
    <s v="United States"/>
    <s v="San Francisco"/>
    <x v="1"/>
    <n v="94122"/>
    <x v="1"/>
    <x v="1444"/>
    <x v="1"/>
    <x v="14"/>
    <x v="327"/>
    <n v="31.92"/>
    <s v="Medium"/>
    <n v="4"/>
    <n v="0"/>
    <x v="0"/>
    <x v="0"/>
    <n v="9.2568000000000001"/>
    <n v="0.28999999999999998"/>
    <n v="0"/>
  </r>
  <r>
    <n v="2868"/>
    <s v="CA-2016-115588"/>
    <d v="2016-11-10T00:00:00"/>
    <x v="0"/>
    <s v="Q4"/>
    <x v="0"/>
    <d v="2016-11-12T00:00:00"/>
    <s v="Second Class"/>
    <x v="314"/>
    <x v="314"/>
    <s v="Consumer"/>
    <s v="United States"/>
    <s v="Toledo"/>
    <x v="24"/>
    <n v="43615"/>
    <x v="3"/>
    <x v="327"/>
    <x v="1"/>
    <x v="14"/>
    <x v="327"/>
    <n v="14.72"/>
    <s v="Low"/>
    <n v="5"/>
    <n v="0.2"/>
    <x v="2"/>
    <x v="2"/>
    <n v="-3.3119999999999998"/>
    <n v="-0.22499999999999998"/>
    <n v="1"/>
  </r>
  <r>
    <n v="2869"/>
    <s v="CA-2016-115588"/>
    <d v="2016-11-10T00:00:00"/>
    <x v="0"/>
    <s v="Q4"/>
    <x v="0"/>
    <d v="2016-11-12T00:00:00"/>
    <s v="Second Class"/>
    <x v="314"/>
    <x v="314"/>
    <s v="Consumer"/>
    <s v="United States"/>
    <s v="Toledo"/>
    <x v="24"/>
    <n v="43615"/>
    <x v="3"/>
    <x v="720"/>
    <x v="1"/>
    <x v="4"/>
    <x v="719"/>
    <n v="38.975999999999999"/>
    <s v="Medium"/>
    <n v="3"/>
    <n v="0.2"/>
    <x v="2"/>
    <x v="2"/>
    <n v="-2.4359999999999999"/>
    <n v="-6.25E-2"/>
    <n v="1"/>
  </r>
  <r>
    <n v="2870"/>
    <s v="CA-2017-143861"/>
    <d v="2017-06-12T00:00:00"/>
    <x v="3"/>
    <s v="Q2"/>
    <x v="27"/>
    <d v="2017-06-19T00:00:00"/>
    <s v="Standard Class"/>
    <x v="62"/>
    <x v="62"/>
    <s v="Consumer"/>
    <s v="United States"/>
    <s v="Saint Petersburg"/>
    <x v="2"/>
    <n v="33710"/>
    <x v="0"/>
    <x v="1445"/>
    <x v="0"/>
    <x v="5"/>
    <x v="1432"/>
    <n v="17.088000000000001"/>
    <s v="Low"/>
    <n v="2"/>
    <n v="0.2"/>
    <x v="2"/>
    <x v="2"/>
    <n v="1.0680000000000001"/>
    <n v="6.25E-2"/>
    <n v="0"/>
  </r>
  <r>
    <n v="2871"/>
    <s v="CA-2014-148040"/>
    <d v="2014-03-22T00:00:00"/>
    <x v="2"/>
    <s v="Q1"/>
    <x v="34"/>
    <d v="2014-03-26T00:00:00"/>
    <s v="Standard Class"/>
    <x v="667"/>
    <x v="667"/>
    <s v="Corporate"/>
    <s v="United States"/>
    <s v="Tucson"/>
    <x v="16"/>
    <n v="85705"/>
    <x v="1"/>
    <x v="1323"/>
    <x v="1"/>
    <x v="10"/>
    <x v="1309"/>
    <n v="74.352000000000004"/>
    <s v="Medium"/>
    <n v="3"/>
    <n v="0.2"/>
    <x v="2"/>
    <x v="2"/>
    <n v="23.234999999999999"/>
    <n v="0.3125"/>
    <n v="0"/>
  </r>
  <r>
    <n v="2872"/>
    <s v="CA-2014-148040"/>
    <d v="2014-03-22T00:00:00"/>
    <x v="2"/>
    <s v="Q1"/>
    <x v="34"/>
    <d v="2014-03-26T00:00:00"/>
    <s v="Standard Class"/>
    <x v="667"/>
    <x v="667"/>
    <s v="Corporate"/>
    <s v="United States"/>
    <s v="Tucson"/>
    <x v="16"/>
    <n v="85705"/>
    <x v="1"/>
    <x v="541"/>
    <x v="0"/>
    <x v="1"/>
    <x v="541"/>
    <n v="314.35199999999998"/>
    <s v="High"/>
    <n v="3"/>
    <n v="0.2"/>
    <x v="2"/>
    <x v="2"/>
    <n v="-35.364600000000003"/>
    <n v="-0.11250000000000002"/>
    <n v="1"/>
  </r>
  <r>
    <n v="2873"/>
    <s v="CA-2017-135167"/>
    <d v="2017-06-15T00:00:00"/>
    <x v="3"/>
    <s v="Q2"/>
    <x v="27"/>
    <d v="2017-06-20T00:00:00"/>
    <s v="Standard Class"/>
    <x v="561"/>
    <x v="561"/>
    <s v="Consumer"/>
    <s v="United States"/>
    <s v="Los Angeles"/>
    <x v="1"/>
    <n v="90036"/>
    <x v="1"/>
    <x v="319"/>
    <x v="1"/>
    <x v="6"/>
    <x v="319"/>
    <n v="4.26"/>
    <s v="Low"/>
    <n v="1"/>
    <n v="0"/>
    <x v="0"/>
    <x v="0"/>
    <n v="1.7465999999999999"/>
    <n v="0.41000000000000003"/>
    <n v="0"/>
  </r>
  <r>
    <n v="2874"/>
    <s v="CA-2017-137022"/>
    <d v="2017-11-16T00:00:00"/>
    <x v="3"/>
    <s v="Q4"/>
    <x v="23"/>
    <d v="2017-11-22T00:00:00"/>
    <s v="Standard Class"/>
    <x v="349"/>
    <x v="349"/>
    <s v="Consumer"/>
    <s v="United States"/>
    <s v="San Diego"/>
    <x v="1"/>
    <n v="92105"/>
    <x v="1"/>
    <x v="537"/>
    <x v="1"/>
    <x v="4"/>
    <x v="537"/>
    <n v="811.28"/>
    <s v="High"/>
    <n v="8"/>
    <n v="0"/>
    <x v="0"/>
    <x v="0"/>
    <n v="24.3384"/>
    <n v="3.0000000000000002E-2"/>
    <n v="0"/>
  </r>
  <r>
    <n v="2875"/>
    <s v="US-2017-102638"/>
    <d v="2017-12-29T00:00:00"/>
    <x v="3"/>
    <s v="Q4"/>
    <x v="22"/>
    <d v="2017-12-31T00:00:00"/>
    <s v="First Class"/>
    <x v="266"/>
    <x v="266"/>
    <s v="Consumer"/>
    <s v="United States"/>
    <s v="New York City"/>
    <x v="15"/>
    <n v="10035"/>
    <x v="3"/>
    <x v="131"/>
    <x v="1"/>
    <x v="13"/>
    <x v="132"/>
    <n v="6.03"/>
    <s v="Low"/>
    <n v="3"/>
    <n v="0"/>
    <x v="0"/>
    <x v="0"/>
    <n v="2.9546999999999999"/>
    <n v="0.48999999999999994"/>
    <n v="0"/>
  </r>
  <r>
    <n v="2876"/>
    <s v="US-2016-167339"/>
    <d v="2016-01-21T00:00:00"/>
    <x v="0"/>
    <s v="Q1"/>
    <x v="12"/>
    <d v="2016-01-23T00:00:00"/>
    <s v="Second Class"/>
    <x v="143"/>
    <x v="143"/>
    <s v="Consumer"/>
    <s v="United States"/>
    <s v="San Diego"/>
    <x v="1"/>
    <n v="92037"/>
    <x v="1"/>
    <x v="992"/>
    <x v="0"/>
    <x v="1"/>
    <x v="984"/>
    <n v="153.56800000000001"/>
    <s v="High"/>
    <n v="2"/>
    <n v="0.2"/>
    <x v="2"/>
    <x v="2"/>
    <n v="-5.7587999999999999"/>
    <n v="-3.7499999999999999E-2"/>
    <n v="1"/>
  </r>
  <r>
    <n v="2877"/>
    <s v="US-2016-167339"/>
    <d v="2016-01-21T00:00:00"/>
    <x v="0"/>
    <s v="Q1"/>
    <x v="12"/>
    <d v="2016-01-23T00:00:00"/>
    <s v="Second Class"/>
    <x v="143"/>
    <x v="143"/>
    <s v="Consumer"/>
    <s v="United States"/>
    <s v="San Diego"/>
    <x v="1"/>
    <n v="92037"/>
    <x v="1"/>
    <x v="323"/>
    <x v="0"/>
    <x v="1"/>
    <x v="323"/>
    <n v="1013.4880000000001"/>
    <s v="High"/>
    <n v="7"/>
    <n v="0.2"/>
    <x v="2"/>
    <x v="2"/>
    <n v="76.011600000000001"/>
    <n v="7.4999999999999997E-2"/>
    <n v="0"/>
  </r>
  <r>
    <n v="2878"/>
    <s v="CA-2016-152072"/>
    <d v="2016-01-15T00:00:00"/>
    <x v="0"/>
    <s v="Q1"/>
    <x v="12"/>
    <d v="2016-01-19T00:00:00"/>
    <s v="Standard Class"/>
    <x v="656"/>
    <x v="656"/>
    <s v="Home Office"/>
    <s v="United States"/>
    <s v="Westfield"/>
    <x v="30"/>
    <n v="7090"/>
    <x v="3"/>
    <x v="1249"/>
    <x v="1"/>
    <x v="12"/>
    <x v="1233"/>
    <n v="52.34"/>
    <s v="Medium"/>
    <n v="2"/>
    <n v="0"/>
    <x v="0"/>
    <x v="0"/>
    <n v="24.599799999999998"/>
    <n v="0.46999999999999992"/>
    <n v="0"/>
  </r>
  <r>
    <n v="2879"/>
    <s v="CA-2016-152072"/>
    <d v="2016-01-15T00:00:00"/>
    <x v="0"/>
    <s v="Q1"/>
    <x v="12"/>
    <d v="2016-01-19T00:00:00"/>
    <s v="Standard Class"/>
    <x v="656"/>
    <x v="656"/>
    <s v="Home Office"/>
    <s v="United States"/>
    <s v="Westfield"/>
    <x v="30"/>
    <n v="7090"/>
    <x v="3"/>
    <x v="372"/>
    <x v="1"/>
    <x v="6"/>
    <x v="373"/>
    <n v="4.66"/>
    <s v="Low"/>
    <n v="2"/>
    <n v="0"/>
    <x v="0"/>
    <x v="0"/>
    <n v="1.3513999999999999"/>
    <n v="0.28999999999999998"/>
    <n v="0"/>
  </r>
  <r>
    <n v="2880"/>
    <s v="CA-2016-152072"/>
    <d v="2016-01-15T00:00:00"/>
    <x v="0"/>
    <s v="Q1"/>
    <x v="12"/>
    <d v="2016-01-19T00:00:00"/>
    <s v="Standard Class"/>
    <x v="656"/>
    <x v="656"/>
    <s v="Home Office"/>
    <s v="United States"/>
    <s v="Westfield"/>
    <x v="30"/>
    <n v="7090"/>
    <x v="3"/>
    <x v="106"/>
    <x v="2"/>
    <x v="11"/>
    <x v="106"/>
    <n v="254.97"/>
    <s v="High"/>
    <n v="3"/>
    <n v="0"/>
    <x v="0"/>
    <x v="0"/>
    <n v="91.789199999999994"/>
    <n v="0.36"/>
    <n v="0"/>
  </r>
  <r>
    <n v="2881"/>
    <s v="CA-2016-102932"/>
    <d v="2016-09-19T00:00:00"/>
    <x v="0"/>
    <s v="Q3"/>
    <x v="21"/>
    <d v="2016-09-23T00:00:00"/>
    <s v="Second Class"/>
    <x v="174"/>
    <x v="174"/>
    <s v="Home Office"/>
    <s v="United States"/>
    <s v="Orange"/>
    <x v="30"/>
    <n v="7050"/>
    <x v="3"/>
    <x v="15"/>
    <x v="1"/>
    <x v="8"/>
    <x v="15"/>
    <n v="25.44"/>
    <s v="Medium"/>
    <n v="6"/>
    <n v="0"/>
    <x v="0"/>
    <x v="0"/>
    <n v="12.72"/>
    <n v="0.5"/>
    <n v="0"/>
  </r>
  <r>
    <n v="2882"/>
    <s v="CA-2016-102932"/>
    <d v="2016-09-19T00:00:00"/>
    <x v="0"/>
    <s v="Q3"/>
    <x v="21"/>
    <d v="2016-09-23T00:00:00"/>
    <s v="Second Class"/>
    <x v="174"/>
    <x v="174"/>
    <s v="Home Office"/>
    <s v="United States"/>
    <s v="Orange"/>
    <x v="30"/>
    <n v="7050"/>
    <x v="3"/>
    <x v="660"/>
    <x v="1"/>
    <x v="14"/>
    <x v="660"/>
    <n v="27.93"/>
    <s v="Medium"/>
    <n v="3"/>
    <n v="0"/>
    <x v="0"/>
    <x v="0"/>
    <n v="8.0997000000000003"/>
    <n v="0.29000000000000004"/>
    <n v="0"/>
  </r>
  <r>
    <n v="2883"/>
    <s v="CA-2014-165540"/>
    <d v="2014-02-21T00:00:00"/>
    <x v="2"/>
    <s v="Q1"/>
    <x v="45"/>
    <d v="2014-02-25T00:00:00"/>
    <s v="Standard Class"/>
    <x v="612"/>
    <x v="612"/>
    <s v="Consumer"/>
    <s v="United States"/>
    <s v="Woodstock"/>
    <x v="10"/>
    <n v="60098"/>
    <x v="2"/>
    <x v="608"/>
    <x v="1"/>
    <x v="8"/>
    <x v="608"/>
    <n v="8.85"/>
    <s v="Low"/>
    <n v="5"/>
    <n v="0.8"/>
    <x v="1"/>
    <x v="3"/>
    <n v="-13.717499999999999"/>
    <n v="-1.55"/>
    <n v="1"/>
  </r>
  <r>
    <n v="2884"/>
    <s v="CA-2016-130799"/>
    <d v="2016-11-11T00:00:00"/>
    <x v="0"/>
    <s v="Q4"/>
    <x v="0"/>
    <d v="2016-11-16T00:00:00"/>
    <s v="Second Class"/>
    <x v="318"/>
    <x v="318"/>
    <s v="Consumer"/>
    <s v="United States"/>
    <s v="San Francisco"/>
    <x v="1"/>
    <n v="94110"/>
    <x v="1"/>
    <x v="852"/>
    <x v="0"/>
    <x v="5"/>
    <x v="845"/>
    <n v="6.96"/>
    <s v="Low"/>
    <n v="4"/>
    <n v="0"/>
    <x v="0"/>
    <x v="0"/>
    <n v="2.2271999999999998"/>
    <n v="0.32"/>
    <n v="0"/>
  </r>
  <r>
    <n v="2885"/>
    <s v="CA-2016-164483"/>
    <d v="2016-01-30T00:00:00"/>
    <x v="0"/>
    <s v="Q1"/>
    <x v="12"/>
    <d v="2016-02-03T00:00:00"/>
    <s v="Standard Class"/>
    <x v="223"/>
    <x v="223"/>
    <s v="Consumer"/>
    <s v="United States"/>
    <s v="San Francisco"/>
    <x v="1"/>
    <n v="94122"/>
    <x v="1"/>
    <x v="634"/>
    <x v="1"/>
    <x v="8"/>
    <x v="634"/>
    <n v="17.456"/>
    <s v="Low"/>
    <n v="2"/>
    <n v="0.2"/>
    <x v="2"/>
    <x v="2"/>
    <n v="5.8914"/>
    <n v="0.33750000000000002"/>
    <n v="0"/>
  </r>
  <r>
    <n v="2886"/>
    <s v="US-2016-159856"/>
    <d v="2016-10-18T00:00:00"/>
    <x v="0"/>
    <s v="Q4"/>
    <x v="32"/>
    <d v="2016-10-22T00:00:00"/>
    <s v="Standard Class"/>
    <x v="212"/>
    <x v="212"/>
    <s v="Consumer"/>
    <s v="United States"/>
    <s v="Tempe"/>
    <x v="16"/>
    <n v="85281"/>
    <x v="1"/>
    <x v="389"/>
    <x v="0"/>
    <x v="1"/>
    <x v="390"/>
    <n v="307.92"/>
    <s v="High"/>
    <n v="5"/>
    <n v="0.2"/>
    <x v="2"/>
    <x v="2"/>
    <n v="-34.640999999999998"/>
    <n v="-0.11249999999999999"/>
    <n v="1"/>
  </r>
  <r>
    <n v="2887"/>
    <s v="CA-2017-102099"/>
    <d v="2017-12-18T00:00:00"/>
    <x v="3"/>
    <s v="Q4"/>
    <x v="22"/>
    <d v="2017-12-19T00:00:00"/>
    <s v="First Class"/>
    <x v="212"/>
    <x v="212"/>
    <s v="Consumer"/>
    <s v="United States"/>
    <s v="Los Angeles"/>
    <x v="1"/>
    <n v="90008"/>
    <x v="1"/>
    <x v="453"/>
    <x v="1"/>
    <x v="6"/>
    <x v="454"/>
    <n v="6.63"/>
    <s v="Low"/>
    <n v="3"/>
    <n v="0"/>
    <x v="0"/>
    <x v="0"/>
    <n v="1.7901"/>
    <n v="0.27"/>
    <n v="0"/>
  </r>
  <r>
    <n v="2888"/>
    <s v="CA-2017-102099"/>
    <d v="2017-12-18T00:00:00"/>
    <x v="3"/>
    <s v="Q4"/>
    <x v="22"/>
    <d v="2017-12-19T00:00:00"/>
    <s v="First Class"/>
    <x v="212"/>
    <x v="212"/>
    <s v="Consumer"/>
    <s v="United States"/>
    <s v="Los Angeles"/>
    <x v="1"/>
    <n v="90008"/>
    <x v="1"/>
    <x v="860"/>
    <x v="1"/>
    <x v="10"/>
    <x v="854"/>
    <n v="12.96"/>
    <s v="Low"/>
    <n v="2"/>
    <n v="0"/>
    <x v="0"/>
    <x v="0"/>
    <n v="6.2207999999999997"/>
    <n v="0.47999999999999993"/>
    <n v="0"/>
  </r>
  <r>
    <n v="2889"/>
    <s v="CA-2017-102099"/>
    <d v="2017-12-18T00:00:00"/>
    <x v="3"/>
    <s v="Q4"/>
    <x v="22"/>
    <d v="2017-12-19T00:00:00"/>
    <s v="First Class"/>
    <x v="212"/>
    <x v="212"/>
    <s v="Consumer"/>
    <s v="United States"/>
    <s v="Los Angeles"/>
    <x v="1"/>
    <n v="90008"/>
    <x v="1"/>
    <x v="730"/>
    <x v="1"/>
    <x v="10"/>
    <x v="729"/>
    <n v="32.4"/>
    <s v="Medium"/>
    <n v="5"/>
    <n v="0"/>
    <x v="0"/>
    <x v="0"/>
    <n v="15.552"/>
    <n v="0.48"/>
    <n v="0"/>
  </r>
  <r>
    <n v="2890"/>
    <s v="CA-2017-164049"/>
    <d v="2017-11-02T00:00:00"/>
    <x v="3"/>
    <s v="Q4"/>
    <x v="23"/>
    <d v="2017-11-06T00:00:00"/>
    <s v="Standard Class"/>
    <x v="175"/>
    <x v="175"/>
    <s v="Corporate"/>
    <s v="United States"/>
    <s v="Seattle"/>
    <x v="4"/>
    <n v="98105"/>
    <x v="1"/>
    <x v="1446"/>
    <x v="1"/>
    <x v="10"/>
    <x v="1433"/>
    <n v="23.85"/>
    <s v="Low"/>
    <n v="5"/>
    <n v="0"/>
    <x v="0"/>
    <x v="0"/>
    <n v="10.7325"/>
    <n v="0.44999999999999996"/>
    <n v="0"/>
  </r>
  <r>
    <n v="2891"/>
    <s v="CA-2014-142727"/>
    <d v="2014-04-29T00:00:00"/>
    <x v="2"/>
    <s v="Q2"/>
    <x v="41"/>
    <d v="2014-05-01T00:00:00"/>
    <s v="Second Class"/>
    <x v="668"/>
    <x v="668"/>
    <s v="Consumer"/>
    <s v="United States"/>
    <s v="Lake Charles"/>
    <x v="28"/>
    <n v="70601"/>
    <x v="0"/>
    <x v="792"/>
    <x v="0"/>
    <x v="1"/>
    <x v="790"/>
    <n v="51.96"/>
    <s v="Medium"/>
    <n v="2"/>
    <n v="0"/>
    <x v="0"/>
    <x v="0"/>
    <n v="12.99"/>
    <n v="0.25"/>
    <n v="0"/>
  </r>
  <r>
    <n v="2892"/>
    <s v="CA-2014-142727"/>
    <d v="2014-04-29T00:00:00"/>
    <x v="2"/>
    <s v="Q2"/>
    <x v="41"/>
    <d v="2014-05-01T00:00:00"/>
    <s v="Second Class"/>
    <x v="668"/>
    <x v="668"/>
    <s v="Consumer"/>
    <s v="United States"/>
    <s v="Lake Charles"/>
    <x v="28"/>
    <n v="70601"/>
    <x v="0"/>
    <x v="952"/>
    <x v="1"/>
    <x v="8"/>
    <x v="945"/>
    <n v="17.940000000000001"/>
    <s v="Low"/>
    <n v="3"/>
    <n v="0"/>
    <x v="0"/>
    <x v="0"/>
    <n v="8.6112000000000002"/>
    <n v="0.48"/>
    <n v="0"/>
  </r>
  <r>
    <n v="2893"/>
    <s v="CA-2017-139913"/>
    <d v="2017-10-23T00:00:00"/>
    <x v="3"/>
    <s v="Q4"/>
    <x v="13"/>
    <d v="2017-10-29T00:00:00"/>
    <s v="Standard Class"/>
    <x v="36"/>
    <x v="36"/>
    <s v="Corporate"/>
    <s v="United States"/>
    <s v="Rochester"/>
    <x v="15"/>
    <n v="14609"/>
    <x v="3"/>
    <x v="1447"/>
    <x v="1"/>
    <x v="10"/>
    <x v="1434"/>
    <n v="11.56"/>
    <s v="Low"/>
    <n v="2"/>
    <n v="0"/>
    <x v="0"/>
    <x v="0"/>
    <n v="5.6643999999999997"/>
    <n v="0.48999999999999994"/>
    <n v="0"/>
  </r>
  <r>
    <n v="2894"/>
    <s v="CA-2017-139913"/>
    <d v="2017-10-23T00:00:00"/>
    <x v="3"/>
    <s v="Q4"/>
    <x v="13"/>
    <d v="2017-10-29T00:00:00"/>
    <s v="Standard Class"/>
    <x v="36"/>
    <x v="36"/>
    <s v="Corporate"/>
    <s v="United States"/>
    <s v="Rochester"/>
    <x v="15"/>
    <n v="14609"/>
    <x v="3"/>
    <x v="218"/>
    <x v="1"/>
    <x v="10"/>
    <x v="219"/>
    <n v="26.4"/>
    <s v="Medium"/>
    <n v="5"/>
    <n v="0"/>
    <x v="0"/>
    <x v="0"/>
    <n v="11.88"/>
    <n v="0.45000000000000007"/>
    <n v="0"/>
  </r>
  <r>
    <n v="2895"/>
    <s v="CA-2017-139913"/>
    <d v="2017-10-23T00:00:00"/>
    <x v="3"/>
    <s v="Q4"/>
    <x v="13"/>
    <d v="2017-10-29T00:00:00"/>
    <s v="Standard Class"/>
    <x v="36"/>
    <x v="36"/>
    <s v="Corporate"/>
    <s v="United States"/>
    <s v="Rochester"/>
    <x v="15"/>
    <n v="14609"/>
    <x v="3"/>
    <x v="1448"/>
    <x v="0"/>
    <x v="5"/>
    <x v="1435"/>
    <n v="69.08"/>
    <s v="Medium"/>
    <n v="11"/>
    <n v="0"/>
    <x v="0"/>
    <x v="0"/>
    <n v="29.0136"/>
    <n v="0.42000000000000004"/>
    <n v="0"/>
  </r>
  <r>
    <n v="2896"/>
    <s v="CA-2017-139913"/>
    <d v="2017-10-23T00:00:00"/>
    <x v="3"/>
    <s v="Q4"/>
    <x v="13"/>
    <d v="2017-10-29T00:00:00"/>
    <s v="Standard Class"/>
    <x v="36"/>
    <x v="36"/>
    <s v="Corporate"/>
    <s v="United States"/>
    <s v="Rochester"/>
    <x v="15"/>
    <n v="14609"/>
    <x v="3"/>
    <x v="179"/>
    <x v="2"/>
    <x v="7"/>
    <x v="180"/>
    <n v="35.880000000000003"/>
    <s v="Medium"/>
    <n v="3"/>
    <n v="0"/>
    <x v="0"/>
    <x v="0"/>
    <n v="10.0464"/>
    <n v="0.27999999999999997"/>
    <n v="0"/>
  </r>
  <r>
    <n v="2897"/>
    <s v="CA-2014-169033"/>
    <d v="2014-03-30T00:00:00"/>
    <x v="2"/>
    <s v="Q1"/>
    <x v="34"/>
    <d v="2014-04-03T00:00:00"/>
    <s v="Standard Class"/>
    <x v="27"/>
    <x v="27"/>
    <s v="Consumer"/>
    <s v="United States"/>
    <s v="Long Beach"/>
    <x v="15"/>
    <n v="11561"/>
    <x v="3"/>
    <x v="1068"/>
    <x v="1"/>
    <x v="6"/>
    <x v="1057"/>
    <n v="49.65"/>
    <s v="Medium"/>
    <n v="5"/>
    <n v="0"/>
    <x v="0"/>
    <x v="0"/>
    <n v="20.853000000000002"/>
    <n v="0.42000000000000004"/>
    <n v="0"/>
  </r>
  <r>
    <n v="2898"/>
    <s v="US-2016-164630"/>
    <d v="2016-01-04T00:00:00"/>
    <x v="0"/>
    <s v="Q1"/>
    <x v="12"/>
    <d v="2016-01-09T00:00:00"/>
    <s v="Standard Class"/>
    <x v="424"/>
    <x v="424"/>
    <s v="Corporate"/>
    <s v="United States"/>
    <s v="Charlotte"/>
    <x v="3"/>
    <n v="28205"/>
    <x v="0"/>
    <x v="1327"/>
    <x v="2"/>
    <x v="16"/>
    <x v="1313"/>
    <n v="959.96799999999996"/>
    <s v="High"/>
    <n v="4"/>
    <n v="0.2"/>
    <x v="2"/>
    <x v="2"/>
    <n v="119.996"/>
    <n v="0.125"/>
    <n v="0"/>
  </r>
  <r>
    <n v="2899"/>
    <s v="US-2015-114839"/>
    <d v="2015-04-26T00:00:00"/>
    <x v="1"/>
    <s v="Q2"/>
    <x v="19"/>
    <d v="2015-04-30T00:00:00"/>
    <s v="Standard Class"/>
    <x v="617"/>
    <x v="617"/>
    <s v="Consumer"/>
    <s v="United States"/>
    <s v="Houston"/>
    <x v="5"/>
    <n v="77036"/>
    <x v="2"/>
    <x v="284"/>
    <x v="0"/>
    <x v="1"/>
    <x v="284"/>
    <n v="408.42200000000003"/>
    <s v="High"/>
    <n v="2"/>
    <n v="0.3"/>
    <x v="1"/>
    <x v="4"/>
    <n v="-5.8346"/>
    <n v="-1.4285714285714285E-2"/>
    <n v="1"/>
  </r>
  <r>
    <n v="2900"/>
    <s v="CA-2015-166464"/>
    <d v="2015-09-12T00:00:00"/>
    <x v="1"/>
    <s v="Q3"/>
    <x v="11"/>
    <d v="2015-09-17T00:00:00"/>
    <s v="Standard Class"/>
    <x v="38"/>
    <x v="38"/>
    <s v="Consumer"/>
    <s v="United States"/>
    <s v="New York City"/>
    <x v="15"/>
    <n v="10035"/>
    <x v="3"/>
    <x v="1327"/>
    <x v="2"/>
    <x v="16"/>
    <x v="1313"/>
    <n v="479.98399999999998"/>
    <s v="High"/>
    <n v="2"/>
    <n v="0.2"/>
    <x v="2"/>
    <x v="2"/>
    <n v="59.997999999999998"/>
    <n v="0.125"/>
    <n v="0"/>
  </r>
  <r>
    <n v="2901"/>
    <s v="CA-2015-166464"/>
    <d v="2015-09-12T00:00:00"/>
    <x v="1"/>
    <s v="Q3"/>
    <x v="11"/>
    <d v="2015-09-17T00:00:00"/>
    <s v="Standard Class"/>
    <x v="38"/>
    <x v="38"/>
    <s v="Consumer"/>
    <s v="United States"/>
    <s v="New York City"/>
    <x v="15"/>
    <n v="10035"/>
    <x v="3"/>
    <x v="395"/>
    <x v="1"/>
    <x v="2"/>
    <x v="396"/>
    <n v="12.6"/>
    <s v="Low"/>
    <n v="4"/>
    <n v="0"/>
    <x v="0"/>
    <x v="0"/>
    <n v="6.048"/>
    <n v="0.48000000000000004"/>
    <n v="0"/>
  </r>
  <r>
    <n v="2902"/>
    <s v="CA-2017-124898"/>
    <d v="2017-09-11T00:00:00"/>
    <x v="3"/>
    <s v="Q3"/>
    <x v="15"/>
    <d v="2017-09-15T00:00:00"/>
    <s v="Standard Class"/>
    <x v="626"/>
    <x v="626"/>
    <s v="Home Office"/>
    <s v="United States"/>
    <s v="Columbus"/>
    <x v="32"/>
    <n v="31907"/>
    <x v="0"/>
    <x v="779"/>
    <x v="1"/>
    <x v="10"/>
    <x v="778"/>
    <n v="184.66"/>
    <s v="High"/>
    <n v="7"/>
    <n v="0"/>
    <x v="0"/>
    <x v="0"/>
    <n v="84.943600000000004"/>
    <n v="0.46"/>
    <n v="0"/>
  </r>
  <r>
    <n v="2903"/>
    <s v="CA-2016-164035"/>
    <d v="2016-06-12T00:00:00"/>
    <x v="0"/>
    <s v="Q2"/>
    <x v="1"/>
    <d v="2016-06-17T00:00:00"/>
    <s v="Standard Class"/>
    <x v="257"/>
    <x v="257"/>
    <s v="Consumer"/>
    <s v="United States"/>
    <s v="Chicago"/>
    <x v="10"/>
    <n v="60610"/>
    <x v="2"/>
    <x v="1215"/>
    <x v="1"/>
    <x v="10"/>
    <x v="1199"/>
    <n v="23.12"/>
    <s v="Low"/>
    <n v="5"/>
    <n v="0.2"/>
    <x v="2"/>
    <x v="2"/>
    <n v="8.3810000000000002"/>
    <n v="0.36249999999999999"/>
    <n v="0"/>
  </r>
  <r>
    <n v="2904"/>
    <s v="CA-2016-153577"/>
    <d v="2016-06-27T00:00:00"/>
    <x v="0"/>
    <s v="Q2"/>
    <x v="1"/>
    <d v="2016-07-01T00:00:00"/>
    <s v="Standard Class"/>
    <x v="542"/>
    <x v="542"/>
    <s v="Corporate"/>
    <s v="United States"/>
    <s v="Highland Park"/>
    <x v="10"/>
    <n v="60035"/>
    <x v="2"/>
    <x v="1070"/>
    <x v="1"/>
    <x v="10"/>
    <x v="1059"/>
    <n v="37.463999999999999"/>
    <s v="Medium"/>
    <n v="7"/>
    <n v="0.2"/>
    <x v="2"/>
    <x v="2"/>
    <n v="12.175800000000001"/>
    <n v="0.32500000000000001"/>
    <n v="0"/>
  </r>
  <r>
    <n v="2905"/>
    <s v="CA-2016-153577"/>
    <d v="2016-06-27T00:00:00"/>
    <x v="0"/>
    <s v="Q2"/>
    <x v="1"/>
    <d v="2016-07-01T00:00:00"/>
    <s v="Standard Class"/>
    <x v="542"/>
    <x v="542"/>
    <s v="Corporate"/>
    <s v="United States"/>
    <s v="Highland Park"/>
    <x v="10"/>
    <n v="60035"/>
    <x v="2"/>
    <x v="1189"/>
    <x v="0"/>
    <x v="1"/>
    <x v="1175"/>
    <n v="539.65800000000002"/>
    <s v="High"/>
    <n v="3"/>
    <n v="0.3"/>
    <x v="1"/>
    <x v="4"/>
    <n v="-7.7093999999999996"/>
    <n v="-1.4285714285714285E-2"/>
    <n v="1"/>
  </r>
  <r>
    <n v="2906"/>
    <s v="CA-2014-127586"/>
    <d v="2014-09-26T00:00:00"/>
    <x v="2"/>
    <s v="Q3"/>
    <x v="30"/>
    <d v="2014-09-30T00:00:00"/>
    <s v="Standard Class"/>
    <x v="37"/>
    <x v="37"/>
    <s v="Home Office"/>
    <s v="United States"/>
    <s v="Seattle"/>
    <x v="4"/>
    <n v="98115"/>
    <x v="1"/>
    <x v="1449"/>
    <x v="1"/>
    <x v="4"/>
    <x v="1436"/>
    <n v="310.12"/>
    <s v="High"/>
    <n v="2"/>
    <n v="0"/>
    <x v="0"/>
    <x v="0"/>
    <n v="80.631200000000007"/>
    <n v="0.26"/>
    <n v="0"/>
  </r>
  <r>
    <n v="2907"/>
    <s v="CA-2017-121615"/>
    <d v="2017-11-03T00:00:00"/>
    <x v="3"/>
    <s v="Q4"/>
    <x v="23"/>
    <d v="2017-11-09T00:00:00"/>
    <s v="Standard Class"/>
    <x v="351"/>
    <x v="351"/>
    <s v="Consumer"/>
    <s v="United States"/>
    <s v="Eagan"/>
    <x v="11"/>
    <n v="55122"/>
    <x v="2"/>
    <x v="1450"/>
    <x v="1"/>
    <x v="10"/>
    <x v="1437"/>
    <n v="8.56"/>
    <s v="Low"/>
    <n v="2"/>
    <n v="0"/>
    <x v="0"/>
    <x v="0"/>
    <n v="3.8519999999999999"/>
    <n v="0.44999999999999996"/>
    <n v="0"/>
  </r>
  <r>
    <n v="2908"/>
    <s v="CA-2017-121615"/>
    <d v="2017-11-03T00:00:00"/>
    <x v="3"/>
    <s v="Q4"/>
    <x v="23"/>
    <d v="2017-11-09T00:00:00"/>
    <s v="Standard Class"/>
    <x v="351"/>
    <x v="351"/>
    <s v="Consumer"/>
    <s v="United States"/>
    <s v="Eagan"/>
    <x v="11"/>
    <n v="55122"/>
    <x v="2"/>
    <x v="470"/>
    <x v="1"/>
    <x v="4"/>
    <x v="471"/>
    <n v="52.4"/>
    <s v="Medium"/>
    <n v="5"/>
    <n v="0"/>
    <x v="0"/>
    <x v="0"/>
    <n v="14.148"/>
    <n v="0.27"/>
    <n v="0"/>
  </r>
  <r>
    <n v="2909"/>
    <s v="CA-2017-121615"/>
    <d v="2017-11-03T00:00:00"/>
    <x v="3"/>
    <s v="Q4"/>
    <x v="23"/>
    <d v="2017-11-09T00:00:00"/>
    <s v="Standard Class"/>
    <x v="351"/>
    <x v="351"/>
    <s v="Consumer"/>
    <s v="United States"/>
    <s v="Eagan"/>
    <x v="11"/>
    <n v="55122"/>
    <x v="2"/>
    <x v="1140"/>
    <x v="1"/>
    <x v="2"/>
    <x v="1128"/>
    <n v="14.94"/>
    <s v="Low"/>
    <n v="3"/>
    <n v="0"/>
    <x v="0"/>
    <x v="0"/>
    <n v="6.8723999999999998"/>
    <n v="0.46"/>
    <n v="0"/>
  </r>
  <r>
    <n v="2910"/>
    <s v="CA-2017-166415"/>
    <d v="2017-02-19T00:00:00"/>
    <x v="3"/>
    <s v="Q1"/>
    <x v="31"/>
    <d v="2017-02-23T00:00:00"/>
    <s v="Standard Class"/>
    <x v="250"/>
    <x v="250"/>
    <s v="Consumer"/>
    <s v="United States"/>
    <s v="Seattle"/>
    <x v="4"/>
    <n v="98103"/>
    <x v="1"/>
    <x v="1028"/>
    <x v="1"/>
    <x v="13"/>
    <x v="1019"/>
    <n v="11.22"/>
    <s v="Low"/>
    <n v="3"/>
    <n v="0"/>
    <x v="0"/>
    <x v="0"/>
    <n v="0.22439999999999999"/>
    <n v="1.9999999999999997E-2"/>
    <n v="0"/>
  </r>
  <r>
    <n v="2911"/>
    <s v="CA-2015-118444"/>
    <d v="2015-11-05T00:00:00"/>
    <x v="1"/>
    <s v="Q4"/>
    <x v="6"/>
    <d v="2015-11-09T00:00:00"/>
    <s v="Standard Class"/>
    <x v="104"/>
    <x v="104"/>
    <s v="Consumer"/>
    <s v="United States"/>
    <s v="Coral Springs"/>
    <x v="2"/>
    <n v="33065"/>
    <x v="0"/>
    <x v="643"/>
    <x v="1"/>
    <x v="9"/>
    <x v="850"/>
    <n v="387.13600000000002"/>
    <s v="High"/>
    <n v="4"/>
    <n v="0.2"/>
    <x v="2"/>
    <x v="2"/>
    <n v="24.196000000000002"/>
    <n v="6.25E-2"/>
    <n v="0"/>
  </r>
  <r>
    <n v="2912"/>
    <s v="CA-2014-113929"/>
    <d v="2014-06-16T00:00:00"/>
    <x v="2"/>
    <s v="Q2"/>
    <x v="3"/>
    <d v="2014-06-21T00:00:00"/>
    <s v="Standard Class"/>
    <x v="237"/>
    <x v="237"/>
    <s v="Consumer"/>
    <s v="United States"/>
    <s v="Hempstead"/>
    <x v="15"/>
    <n v="11550"/>
    <x v="3"/>
    <x v="1451"/>
    <x v="1"/>
    <x v="12"/>
    <x v="153"/>
    <n v="41.4"/>
    <s v="Medium"/>
    <n v="5"/>
    <n v="0"/>
    <x v="0"/>
    <x v="0"/>
    <n v="19.457999999999998"/>
    <n v="0.47"/>
    <n v="0"/>
  </r>
  <r>
    <n v="2913"/>
    <s v="CA-2014-113929"/>
    <d v="2014-06-16T00:00:00"/>
    <x v="2"/>
    <s v="Q2"/>
    <x v="3"/>
    <d v="2014-06-21T00:00:00"/>
    <s v="Standard Class"/>
    <x v="237"/>
    <x v="237"/>
    <s v="Consumer"/>
    <s v="United States"/>
    <s v="Hempstead"/>
    <x v="15"/>
    <n v="11550"/>
    <x v="3"/>
    <x v="1452"/>
    <x v="1"/>
    <x v="6"/>
    <x v="1438"/>
    <n v="35"/>
    <s v="Medium"/>
    <n v="4"/>
    <n v="0"/>
    <x v="0"/>
    <x v="0"/>
    <n v="10.5"/>
    <n v="0.3"/>
    <n v="0"/>
  </r>
  <r>
    <n v="2914"/>
    <s v="CA-2014-113929"/>
    <d v="2014-06-16T00:00:00"/>
    <x v="2"/>
    <s v="Q2"/>
    <x v="3"/>
    <d v="2014-06-21T00:00:00"/>
    <s v="Standard Class"/>
    <x v="237"/>
    <x v="237"/>
    <s v="Consumer"/>
    <s v="United States"/>
    <s v="Hempstead"/>
    <x v="15"/>
    <n v="11550"/>
    <x v="3"/>
    <x v="91"/>
    <x v="1"/>
    <x v="8"/>
    <x v="91"/>
    <n v="39.552"/>
    <s v="Medium"/>
    <n v="3"/>
    <n v="0.2"/>
    <x v="2"/>
    <x v="2"/>
    <n v="14.3376"/>
    <n v="0.36249999999999999"/>
    <n v="0"/>
  </r>
  <r>
    <n v="2915"/>
    <s v="CA-2015-134747"/>
    <d v="2015-10-12T00:00:00"/>
    <x v="1"/>
    <s v="Q4"/>
    <x v="2"/>
    <d v="2015-10-17T00:00:00"/>
    <s v="Second Class"/>
    <x v="351"/>
    <x v="351"/>
    <s v="Consumer"/>
    <s v="United States"/>
    <s v="Noblesville"/>
    <x v="14"/>
    <n v="46060"/>
    <x v="2"/>
    <x v="1409"/>
    <x v="2"/>
    <x v="7"/>
    <x v="1396"/>
    <n v="135.72"/>
    <s v="High"/>
    <n v="3"/>
    <n v="0"/>
    <x v="0"/>
    <x v="0"/>
    <n v="35.287199999999999"/>
    <n v="0.26"/>
    <n v="0"/>
  </r>
  <r>
    <n v="2916"/>
    <s v="CA-2015-134747"/>
    <d v="2015-10-12T00:00:00"/>
    <x v="1"/>
    <s v="Q4"/>
    <x v="2"/>
    <d v="2015-10-17T00:00:00"/>
    <s v="Second Class"/>
    <x v="351"/>
    <x v="351"/>
    <s v="Consumer"/>
    <s v="United States"/>
    <s v="Noblesville"/>
    <x v="14"/>
    <n v="46060"/>
    <x v="2"/>
    <x v="1375"/>
    <x v="1"/>
    <x v="8"/>
    <x v="1360"/>
    <n v="12.56"/>
    <s v="Low"/>
    <n v="2"/>
    <n v="0"/>
    <x v="0"/>
    <x v="0"/>
    <n v="5.6520000000000001"/>
    <n v="0.45"/>
    <n v="0"/>
  </r>
  <r>
    <n v="2917"/>
    <s v="CA-2015-134747"/>
    <d v="2015-10-12T00:00:00"/>
    <x v="1"/>
    <s v="Q4"/>
    <x v="2"/>
    <d v="2015-10-17T00:00:00"/>
    <s v="Second Class"/>
    <x v="351"/>
    <x v="351"/>
    <s v="Consumer"/>
    <s v="United States"/>
    <s v="Noblesville"/>
    <x v="14"/>
    <n v="46060"/>
    <x v="2"/>
    <x v="984"/>
    <x v="2"/>
    <x v="7"/>
    <x v="977"/>
    <n v="263.95999999999998"/>
    <s v="High"/>
    <n v="4"/>
    <n v="0"/>
    <x v="0"/>
    <x v="0"/>
    <n v="71.269199999999998"/>
    <n v="0.27"/>
    <n v="0"/>
  </r>
  <r>
    <n v="2918"/>
    <s v="CA-2017-155047"/>
    <d v="2017-08-27T00:00:00"/>
    <x v="3"/>
    <s v="Q3"/>
    <x v="43"/>
    <d v="2017-08-30T00:00:00"/>
    <s v="First Class"/>
    <x v="339"/>
    <x v="339"/>
    <s v="Consumer"/>
    <s v="United States"/>
    <s v="Dallas"/>
    <x v="5"/>
    <n v="75220"/>
    <x v="2"/>
    <x v="1453"/>
    <x v="1"/>
    <x v="6"/>
    <x v="1439"/>
    <n v="5.952"/>
    <s v="Low"/>
    <n v="1"/>
    <n v="0.2"/>
    <x v="2"/>
    <x v="2"/>
    <n v="0.372"/>
    <n v="6.25E-2"/>
    <n v="0"/>
  </r>
  <r>
    <n v="2919"/>
    <s v="CA-2016-160129"/>
    <d v="2016-11-23T00:00:00"/>
    <x v="0"/>
    <s v="Q4"/>
    <x v="0"/>
    <d v="2016-11-23T00:00:00"/>
    <s v="Same Day"/>
    <x v="624"/>
    <x v="624"/>
    <s v="Corporate"/>
    <s v="United States"/>
    <s v="Philadelphia"/>
    <x v="9"/>
    <n v="19140"/>
    <x v="3"/>
    <x v="1432"/>
    <x v="1"/>
    <x v="13"/>
    <x v="1420"/>
    <n v="15.8"/>
    <s v="Low"/>
    <n v="5"/>
    <n v="0.2"/>
    <x v="2"/>
    <x v="2"/>
    <n v="2.37"/>
    <n v="0.15"/>
    <n v="0"/>
  </r>
  <r>
    <n v="2920"/>
    <s v="CA-2016-160129"/>
    <d v="2016-11-23T00:00:00"/>
    <x v="0"/>
    <s v="Q4"/>
    <x v="0"/>
    <d v="2016-11-23T00:00:00"/>
    <s v="Same Day"/>
    <x v="624"/>
    <x v="624"/>
    <s v="Corporate"/>
    <s v="United States"/>
    <s v="Philadelphia"/>
    <x v="9"/>
    <n v="19140"/>
    <x v="3"/>
    <x v="1104"/>
    <x v="0"/>
    <x v="5"/>
    <x v="1093"/>
    <n v="14.368"/>
    <s v="Low"/>
    <n v="2"/>
    <n v="0.2"/>
    <x v="2"/>
    <x v="2"/>
    <n v="3.9512"/>
    <n v="0.27500000000000002"/>
    <n v="0"/>
  </r>
  <r>
    <n v="2921"/>
    <s v="CA-2016-160129"/>
    <d v="2016-11-23T00:00:00"/>
    <x v="0"/>
    <s v="Q4"/>
    <x v="0"/>
    <d v="2016-11-23T00:00:00"/>
    <s v="Same Day"/>
    <x v="624"/>
    <x v="624"/>
    <s v="Corporate"/>
    <s v="United States"/>
    <s v="Philadelphia"/>
    <x v="9"/>
    <n v="19140"/>
    <x v="3"/>
    <x v="980"/>
    <x v="0"/>
    <x v="5"/>
    <x v="973"/>
    <n v="70.447999999999993"/>
    <s v="Medium"/>
    <n v="7"/>
    <n v="0.2"/>
    <x v="2"/>
    <x v="2"/>
    <n v="12.3284"/>
    <n v="0.17500000000000002"/>
    <n v="0"/>
  </r>
  <r>
    <n v="2922"/>
    <s v="CA-2017-164329"/>
    <d v="2017-01-30T00:00:00"/>
    <x v="3"/>
    <s v="Q1"/>
    <x v="44"/>
    <d v="2017-01-30T00:00:00"/>
    <s v="Same Day"/>
    <x v="462"/>
    <x v="462"/>
    <s v="Consumer"/>
    <s v="United States"/>
    <s v="San Francisco"/>
    <x v="1"/>
    <n v="94109"/>
    <x v="1"/>
    <x v="557"/>
    <x v="1"/>
    <x v="4"/>
    <x v="556"/>
    <n v="129.30000000000001"/>
    <s v="High"/>
    <n v="2"/>
    <n v="0"/>
    <x v="0"/>
    <x v="0"/>
    <n v="6.4649999999999999"/>
    <n v="4.9999999999999996E-2"/>
    <n v="0"/>
  </r>
  <r>
    <n v="2923"/>
    <s v="US-2015-141453"/>
    <d v="2015-11-30T00:00:00"/>
    <x v="1"/>
    <s v="Q4"/>
    <x v="6"/>
    <d v="2015-12-03T00:00:00"/>
    <s v="Second Class"/>
    <x v="489"/>
    <x v="489"/>
    <s v="Home Office"/>
    <s v="United States"/>
    <s v="Austin"/>
    <x v="5"/>
    <n v="78745"/>
    <x v="2"/>
    <x v="625"/>
    <x v="1"/>
    <x v="8"/>
    <x v="625"/>
    <n v="3.8820000000000001"/>
    <s v="Low"/>
    <n v="3"/>
    <n v="0.8"/>
    <x v="1"/>
    <x v="3"/>
    <n v="-5.8230000000000004"/>
    <n v="-1.5"/>
    <n v="1"/>
  </r>
  <r>
    <n v="2924"/>
    <s v="CA-2014-156993"/>
    <d v="2014-06-28T00:00:00"/>
    <x v="2"/>
    <s v="Q2"/>
    <x v="3"/>
    <d v="2014-07-04T00:00:00"/>
    <s v="Standard Class"/>
    <x v="338"/>
    <x v="338"/>
    <s v="Corporate"/>
    <s v="United States"/>
    <s v="Detroit"/>
    <x v="12"/>
    <n v="48234"/>
    <x v="2"/>
    <x v="829"/>
    <x v="1"/>
    <x v="13"/>
    <x v="128"/>
    <n v="6.08"/>
    <s v="Low"/>
    <n v="1"/>
    <n v="0"/>
    <x v="0"/>
    <x v="0"/>
    <n v="3.04"/>
    <n v="0.5"/>
    <n v="0"/>
  </r>
  <r>
    <n v="2925"/>
    <s v="CA-2014-157721"/>
    <d v="2014-09-02T00:00:00"/>
    <x v="2"/>
    <s v="Q3"/>
    <x v="30"/>
    <d v="2014-09-05T00:00:00"/>
    <s v="First Class"/>
    <x v="594"/>
    <x v="594"/>
    <s v="Consumer"/>
    <s v="United States"/>
    <s v="Watertown"/>
    <x v="15"/>
    <n v="13601"/>
    <x v="3"/>
    <x v="941"/>
    <x v="1"/>
    <x v="9"/>
    <x v="934"/>
    <n v="19.899999999999999"/>
    <s v="Low"/>
    <n v="1"/>
    <n v="0"/>
    <x v="0"/>
    <x v="0"/>
    <n v="8.9550000000000001"/>
    <n v="0.45"/>
    <n v="0"/>
  </r>
  <r>
    <n v="2926"/>
    <s v="CA-2014-157721"/>
    <d v="2014-09-02T00:00:00"/>
    <x v="2"/>
    <s v="Q3"/>
    <x v="30"/>
    <d v="2014-09-05T00:00:00"/>
    <s v="First Class"/>
    <x v="594"/>
    <x v="594"/>
    <s v="Consumer"/>
    <s v="United States"/>
    <s v="Watertown"/>
    <x v="15"/>
    <n v="13601"/>
    <x v="3"/>
    <x v="1454"/>
    <x v="0"/>
    <x v="5"/>
    <x v="1440"/>
    <n v="70.709999999999994"/>
    <s v="Medium"/>
    <n v="1"/>
    <n v="0"/>
    <x v="0"/>
    <x v="0"/>
    <n v="4.9497"/>
    <n v="7.0000000000000007E-2"/>
    <n v="0"/>
  </r>
  <r>
    <n v="2927"/>
    <s v="CA-2017-128629"/>
    <d v="2017-07-10T00:00:00"/>
    <x v="3"/>
    <s v="Q3"/>
    <x v="10"/>
    <d v="2017-07-14T00:00:00"/>
    <s v="Second Class"/>
    <x v="669"/>
    <x v="669"/>
    <s v="Consumer"/>
    <s v="United States"/>
    <s v="Columbus"/>
    <x v="32"/>
    <n v="31907"/>
    <x v="0"/>
    <x v="1448"/>
    <x v="0"/>
    <x v="5"/>
    <x v="1435"/>
    <n v="18.84"/>
    <s v="Low"/>
    <n v="3"/>
    <n v="0"/>
    <x v="0"/>
    <x v="0"/>
    <n v="7.9127999999999998"/>
    <n v="0.42"/>
    <n v="0"/>
  </r>
  <r>
    <n v="2928"/>
    <s v="CA-2017-158106"/>
    <d v="2017-06-04T00:00:00"/>
    <x v="3"/>
    <s v="Q2"/>
    <x v="27"/>
    <d v="2017-06-10T00:00:00"/>
    <s v="Standard Class"/>
    <x v="564"/>
    <x v="564"/>
    <s v="Consumer"/>
    <s v="United States"/>
    <s v="Apple Valley"/>
    <x v="11"/>
    <n v="55124"/>
    <x v="2"/>
    <x v="826"/>
    <x v="1"/>
    <x v="6"/>
    <x v="822"/>
    <n v="8.64"/>
    <s v="Low"/>
    <n v="3"/>
    <n v="0"/>
    <x v="0"/>
    <x v="0"/>
    <n v="2.5055999999999998"/>
    <n v="0.28999999999999998"/>
    <n v="0"/>
  </r>
  <r>
    <n v="2929"/>
    <s v="US-2017-120390"/>
    <d v="2017-10-19T00:00:00"/>
    <x v="3"/>
    <s v="Q4"/>
    <x v="13"/>
    <d v="2017-10-26T00:00:00"/>
    <s v="Standard Class"/>
    <x v="274"/>
    <x v="274"/>
    <s v="Home Office"/>
    <s v="United States"/>
    <s v="Burlington"/>
    <x v="3"/>
    <n v="27217"/>
    <x v="0"/>
    <x v="316"/>
    <x v="1"/>
    <x v="8"/>
    <x v="316"/>
    <n v="1633.1880000000001"/>
    <s v="High"/>
    <n v="4"/>
    <n v="0.7"/>
    <x v="1"/>
    <x v="5"/>
    <n v="-1306.5504000000001"/>
    <n v="-0.8"/>
    <n v="1"/>
  </r>
  <r>
    <n v="2930"/>
    <s v="CA-2017-143434"/>
    <d v="2017-11-18T00:00:00"/>
    <x v="3"/>
    <s v="Q4"/>
    <x v="23"/>
    <d v="2017-11-24T00:00:00"/>
    <s v="Standard Class"/>
    <x v="467"/>
    <x v="467"/>
    <s v="Home Office"/>
    <s v="United States"/>
    <s v="Saginaw"/>
    <x v="12"/>
    <n v="48601"/>
    <x v="2"/>
    <x v="627"/>
    <x v="0"/>
    <x v="5"/>
    <x v="627"/>
    <n v="19.760000000000002"/>
    <s v="Low"/>
    <n v="4"/>
    <n v="0"/>
    <x v="0"/>
    <x v="0"/>
    <n v="8.2992000000000008"/>
    <n v="0.42"/>
    <n v="0"/>
  </r>
  <r>
    <n v="2931"/>
    <s v="CA-2015-168564"/>
    <d v="2015-08-08T00:00:00"/>
    <x v="1"/>
    <s v="Q3"/>
    <x v="37"/>
    <d v="2015-08-08T00:00:00"/>
    <s v="Same Day"/>
    <x v="627"/>
    <x v="627"/>
    <s v="Consumer"/>
    <s v="United States"/>
    <s v="San Francisco"/>
    <x v="1"/>
    <n v="94109"/>
    <x v="1"/>
    <x v="925"/>
    <x v="1"/>
    <x v="8"/>
    <x v="917"/>
    <n v="6.6079999999999997"/>
    <s v="Low"/>
    <n v="2"/>
    <n v="0.2"/>
    <x v="2"/>
    <x v="2"/>
    <n v="2.2302"/>
    <n v="0.33750000000000002"/>
    <n v="0"/>
  </r>
  <r>
    <n v="2932"/>
    <s v="CA-2015-168564"/>
    <d v="2015-08-08T00:00:00"/>
    <x v="1"/>
    <s v="Q3"/>
    <x v="37"/>
    <d v="2015-08-08T00:00:00"/>
    <s v="Same Day"/>
    <x v="627"/>
    <x v="627"/>
    <s v="Consumer"/>
    <s v="United States"/>
    <s v="San Francisco"/>
    <x v="1"/>
    <n v="94109"/>
    <x v="1"/>
    <x v="248"/>
    <x v="1"/>
    <x v="8"/>
    <x v="249"/>
    <n v="7.28"/>
    <s v="Low"/>
    <n v="2"/>
    <n v="0.2"/>
    <x v="2"/>
    <x v="2"/>
    <n v="2.73"/>
    <n v="0.375"/>
    <n v="0"/>
  </r>
  <r>
    <n v="2933"/>
    <s v="CA-2015-168564"/>
    <d v="2015-08-08T00:00:00"/>
    <x v="1"/>
    <s v="Q3"/>
    <x v="37"/>
    <d v="2015-08-08T00:00:00"/>
    <s v="Same Day"/>
    <x v="627"/>
    <x v="627"/>
    <s v="Consumer"/>
    <s v="United States"/>
    <s v="San Francisco"/>
    <x v="1"/>
    <n v="94109"/>
    <x v="1"/>
    <x v="323"/>
    <x v="0"/>
    <x v="1"/>
    <x v="323"/>
    <n v="144.78399999999999"/>
    <s v="High"/>
    <n v="1"/>
    <n v="0.2"/>
    <x v="2"/>
    <x v="2"/>
    <n v="10.8588"/>
    <n v="7.5000000000000011E-2"/>
    <n v="0"/>
  </r>
  <r>
    <n v="2934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966"/>
    <x v="2"/>
    <x v="7"/>
    <x v="1368"/>
    <n v="156.792"/>
    <s v="High"/>
    <n v="1"/>
    <n v="0.2"/>
    <x v="2"/>
    <x v="2"/>
    <n v="13.7193"/>
    <n v="8.7500000000000008E-2"/>
    <n v="0"/>
  </r>
  <r>
    <n v="2935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1400"/>
    <x v="2"/>
    <x v="7"/>
    <x v="1387"/>
    <n v="431.976"/>
    <s v="High"/>
    <n v="3"/>
    <n v="0.2"/>
    <x v="2"/>
    <x v="2"/>
    <n v="26.9985"/>
    <n v="6.25E-2"/>
    <n v="0"/>
  </r>
  <r>
    <n v="2936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81"/>
    <x v="1"/>
    <x v="12"/>
    <x v="81"/>
    <n v="35.89"/>
    <s v="Medium"/>
    <n v="1"/>
    <n v="0"/>
    <x v="0"/>
    <x v="0"/>
    <n v="16.150500000000001"/>
    <n v="0.45"/>
    <n v="0"/>
  </r>
  <r>
    <n v="2937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674"/>
    <x v="1"/>
    <x v="8"/>
    <x v="674"/>
    <n v="47.207999999999998"/>
    <s v="Medium"/>
    <n v="7"/>
    <n v="0.2"/>
    <x v="2"/>
    <x v="2"/>
    <n v="15.342599999999999"/>
    <n v="0.32500000000000001"/>
    <n v="0"/>
  </r>
  <r>
    <n v="2938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129"/>
    <x v="1"/>
    <x v="10"/>
    <x v="130"/>
    <n v="248.08"/>
    <s v="High"/>
    <n v="7"/>
    <n v="0"/>
    <x v="0"/>
    <x v="0"/>
    <n v="116.5976"/>
    <n v="0.47"/>
    <n v="0"/>
  </r>
  <r>
    <n v="2939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67"/>
    <x v="1"/>
    <x v="10"/>
    <x v="67"/>
    <n v="189.7"/>
    <s v="High"/>
    <n v="5"/>
    <n v="0"/>
    <x v="0"/>
    <x v="0"/>
    <n v="89.159000000000006"/>
    <n v="0.47000000000000008"/>
    <n v="0"/>
  </r>
  <r>
    <n v="2940"/>
    <s v="US-2016-169040"/>
    <d v="2016-12-06T00:00:00"/>
    <x v="0"/>
    <s v="Q4"/>
    <x v="5"/>
    <d v="2016-12-12T00:00:00"/>
    <s v="Standard Class"/>
    <x v="218"/>
    <x v="218"/>
    <s v="Consumer"/>
    <s v="United States"/>
    <s v="Seattle"/>
    <x v="4"/>
    <n v="98105"/>
    <x v="1"/>
    <x v="444"/>
    <x v="1"/>
    <x v="8"/>
    <x v="444"/>
    <n v="59.808"/>
    <s v="Medium"/>
    <n v="3"/>
    <n v="0.2"/>
    <x v="2"/>
    <x v="2"/>
    <n v="19.4376"/>
    <n v="0.32500000000000001"/>
    <n v="0"/>
  </r>
  <r>
    <n v="2941"/>
    <s v="CA-2017-155880"/>
    <d v="2017-03-25T00:00:00"/>
    <x v="3"/>
    <s v="Q1"/>
    <x v="42"/>
    <d v="2017-03-31T00:00:00"/>
    <s v="Standard Class"/>
    <x v="251"/>
    <x v="251"/>
    <s v="Corporate"/>
    <s v="United States"/>
    <s v="Milwaukee"/>
    <x v="6"/>
    <n v="53209"/>
    <x v="2"/>
    <x v="1455"/>
    <x v="0"/>
    <x v="1"/>
    <x v="1441"/>
    <n v="90.99"/>
    <s v="Medium"/>
    <n v="1"/>
    <n v="0"/>
    <x v="0"/>
    <x v="0"/>
    <n v="14.558400000000001"/>
    <n v="0.16"/>
    <n v="0"/>
  </r>
  <r>
    <n v="2942"/>
    <s v="CA-2017-155880"/>
    <d v="2017-03-25T00:00:00"/>
    <x v="3"/>
    <s v="Q1"/>
    <x v="42"/>
    <d v="2017-03-31T00:00:00"/>
    <s v="Standard Class"/>
    <x v="251"/>
    <x v="251"/>
    <s v="Corporate"/>
    <s v="United States"/>
    <s v="Milwaukee"/>
    <x v="6"/>
    <n v="53209"/>
    <x v="2"/>
    <x v="635"/>
    <x v="0"/>
    <x v="1"/>
    <x v="635"/>
    <n v="1526.56"/>
    <s v="High"/>
    <n v="7"/>
    <n v="0"/>
    <x v="0"/>
    <x v="0"/>
    <n v="427.43680000000001"/>
    <n v="0.28000000000000003"/>
    <n v="0"/>
  </r>
  <r>
    <n v="2943"/>
    <s v="CA-2017-155880"/>
    <d v="2017-03-25T00:00:00"/>
    <x v="3"/>
    <s v="Q1"/>
    <x v="42"/>
    <d v="2017-03-31T00:00:00"/>
    <s v="Standard Class"/>
    <x v="251"/>
    <x v="251"/>
    <s v="Corporate"/>
    <s v="United States"/>
    <s v="Milwaukee"/>
    <x v="6"/>
    <n v="53209"/>
    <x v="2"/>
    <x v="812"/>
    <x v="0"/>
    <x v="1"/>
    <x v="809"/>
    <n v="368.97"/>
    <s v="High"/>
    <n v="3"/>
    <n v="0"/>
    <x v="0"/>
    <x v="0"/>
    <n v="40.5867"/>
    <n v="0.10999999999999999"/>
    <n v="0"/>
  </r>
  <r>
    <n v="2944"/>
    <s v="CA-2017-126242"/>
    <d v="2017-11-19T00:00:00"/>
    <x v="3"/>
    <s v="Q4"/>
    <x v="23"/>
    <d v="2017-11-24T00:00:00"/>
    <s v="Standard Class"/>
    <x v="498"/>
    <x v="498"/>
    <s v="Consumer"/>
    <s v="United States"/>
    <s v="Los Angeles"/>
    <x v="1"/>
    <n v="90049"/>
    <x v="1"/>
    <x v="298"/>
    <x v="1"/>
    <x v="4"/>
    <x v="298"/>
    <n v="305.01"/>
    <s v="High"/>
    <n v="9"/>
    <n v="0"/>
    <x v="0"/>
    <x v="0"/>
    <n v="76.252499999999998"/>
    <n v="0.25"/>
    <n v="0"/>
  </r>
  <r>
    <n v="2945"/>
    <s v="CA-2017-126242"/>
    <d v="2017-11-19T00:00:00"/>
    <x v="3"/>
    <s v="Q4"/>
    <x v="23"/>
    <d v="2017-11-24T00:00:00"/>
    <s v="Standard Class"/>
    <x v="498"/>
    <x v="498"/>
    <s v="Consumer"/>
    <s v="United States"/>
    <s v="Los Angeles"/>
    <x v="1"/>
    <n v="90049"/>
    <x v="1"/>
    <x v="1456"/>
    <x v="0"/>
    <x v="5"/>
    <x v="1442"/>
    <n v="18.7"/>
    <s v="Low"/>
    <n v="1"/>
    <n v="0"/>
    <x v="0"/>
    <x v="0"/>
    <n v="7.1059999999999999"/>
    <n v="0.38"/>
    <n v="0"/>
  </r>
  <r>
    <n v="2946"/>
    <s v="CA-2016-166443"/>
    <d v="2016-11-04T00:00:00"/>
    <x v="0"/>
    <s v="Q4"/>
    <x v="0"/>
    <d v="2016-11-05T00:00:00"/>
    <s v="First Class"/>
    <x v="293"/>
    <x v="293"/>
    <s v="Consumer"/>
    <s v="United States"/>
    <s v="San Francisco"/>
    <x v="1"/>
    <n v="94122"/>
    <x v="1"/>
    <x v="493"/>
    <x v="0"/>
    <x v="5"/>
    <x v="493"/>
    <n v="38.29"/>
    <s v="Medium"/>
    <n v="7"/>
    <n v="0"/>
    <x v="0"/>
    <x v="0"/>
    <n v="16.464700000000001"/>
    <n v="0.43000000000000005"/>
    <n v="0"/>
  </r>
  <r>
    <n v="2947"/>
    <s v="CA-2017-169859"/>
    <d v="2017-12-14T00:00:00"/>
    <x v="3"/>
    <s v="Q4"/>
    <x v="22"/>
    <d v="2017-12-18T00:00:00"/>
    <s v="Standard Class"/>
    <x v="486"/>
    <x v="486"/>
    <s v="Home Office"/>
    <s v="United States"/>
    <s v="San Diego"/>
    <x v="1"/>
    <n v="92024"/>
    <x v="1"/>
    <x v="1457"/>
    <x v="0"/>
    <x v="5"/>
    <x v="1443"/>
    <n v="26.25"/>
    <s v="Medium"/>
    <n v="3"/>
    <n v="0"/>
    <x v="0"/>
    <x v="0"/>
    <n v="11.025"/>
    <n v="0.42000000000000004"/>
    <n v="0"/>
  </r>
  <r>
    <n v="2948"/>
    <s v="CA-2017-169859"/>
    <d v="2017-12-14T00:00:00"/>
    <x v="3"/>
    <s v="Q4"/>
    <x v="22"/>
    <d v="2017-12-18T00:00:00"/>
    <s v="Standard Class"/>
    <x v="486"/>
    <x v="486"/>
    <s v="Home Office"/>
    <s v="United States"/>
    <s v="San Diego"/>
    <x v="1"/>
    <n v="92024"/>
    <x v="1"/>
    <x v="1458"/>
    <x v="1"/>
    <x v="8"/>
    <x v="1444"/>
    <n v="64.959999999999994"/>
    <s v="Medium"/>
    <n v="14"/>
    <n v="0.2"/>
    <x v="2"/>
    <x v="2"/>
    <n v="22.736000000000001"/>
    <n v="0.35000000000000003"/>
    <n v="0"/>
  </r>
  <r>
    <n v="2949"/>
    <s v="CA-2017-169859"/>
    <d v="2017-12-14T00:00:00"/>
    <x v="3"/>
    <s v="Q4"/>
    <x v="22"/>
    <d v="2017-12-18T00:00:00"/>
    <s v="Standard Class"/>
    <x v="486"/>
    <x v="486"/>
    <s v="Home Office"/>
    <s v="United States"/>
    <s v="San Diego"/>
    <x v="1"/>
    <n v="92024"/>
    <x v="1"/>
    <x v="755"/>
    <x v="1"/>
    <x v="12"/>
    <x v="753"/>
    <n v="43.7"/>
    <s v="Medium"/>
    <n v="5"/>
    <n v="0"/>
    <x v="0"/>
    <x v="0"/>
    <n v="20.539000000000001"/>
    <n v="0.47000000000000003"/>
    <n v="0"/>
  </r>
  <r>
    <n v="2950"/>
    <s v="CA-2017-134915"/>
    <d v="2017-11-12T00:00:00"/>
    <x v="3"/>
    <s v="Q4"/>
    <x v="23"/>
    <d v="2017-11-12T00:00:00"/>
    <s v="Same Day"/>
    <x v="670"/>
    <x v="670"/>
    <s v="Home Office"/>
    <s v="United States"/>
    <s v="Glendale"/>
    <x v="16"/>
    <n v="85301"/>
    <x v="1"/>
    <x v="197"/>
    <x v="2"/>
    <x v="11"/>
    <x v="198"/>
    <n v="41.6"/>
    <s v="Medium"/>
    <n v="4"/>
    <n v="0.2"/>
    <x v="2"/>
    <x v="2"/>
    <n v="13"/>
    <n v="0.3125"/>
    <n v="0"/>
  </r>
  <r>
    <n v="2951"/>
    <s v="CA-2017-134915"/>
    <d v="2017-11-12T00:00:00"/>
    <x v="3"/>
    <s v="Q4"/>
    <x v="23"/>
    <d v="2017-11-12T00:00:00"/>
    <s v="Same Day"/>
    <x v="670"/>
    <x v="670"/>
    <s v="Home Office"/>
    <s v="United States"/>
    <s v="Glendale"/>
    <x v="16"/>
    <n v="85301"/>
    <x v="1"/>
    <x v="1215"/>
    <x v="1"/>
    <x v="10"/>
    <x v="1199"/>
    <n v="23.12"/>
    <s v="Low"/>
    <n v="5"/>
    <n v="0.2"/>
    <x v="2"/>
    <x v="2"/>
    <n v="8.3810000000000002"/>
    <n v="0.36249999999999999"/>
    <n v="0"/>
  </r>
  <r>
    <n v="2952"/>
    <s v="CA-2017-134915"/>
    <d v="2017-11-12T00:00:00"/>
    <x v="3"/>
    <s v="Q4"/>
    <x v="23"/>
    <d v="2017-11-12T00:00:00"/>
    <s v="Same Day"/>
    <x v="670"/>
    <x v="670"/>
    <s v="Home Office"/>
    <s v="United States"/>
    <s v="Glendale"/>
    <x v="16"/>
    <n v="85301"/>
    <x v="1"/>
    <x v="1459"/>
    <x v="0"/>
    <x v="1"/>
    <x v="1445"/>
    <n v="113.88800000000001"/>
    <s v="Medium"/>
    <n v="2"/>
    <n v="0.2"/>
    <x v="2"/>
    <x v="2"/>
    <n v="9.9651999999999994"/>
    <n v="8.7499999999999994E-2"/>
    <n v="0"/>
  </r>
  <r>
    <n v="2953"/>
    <s v="CA-2017-134915"/>
    <d v="2017-11-12T00:00:00"/>
    <x v="3"/>
    <s v="Q4"/>
    <x v="23"/>
    <d v="2017-11-12T00:00:00"/>
    <s v="Same Day"/>
    <x v="670"/>
    <x v="670"/>
    <s v="Home Office"/>
    <s v="United States"/>
    <s v="Glendale"/>
    <x v="16"/>
    <n v="85301"/>
    <x v="1"/>
    <x v="1460"/>
    <x v="0"/>
    <x v="5"/>
    <x v="1446"/>
    <n v="113.568"/>
    <s v="Medium"/>
    <n v="2"/>
    <n v="0.2"/>
    <x v="2"/>
    <x v="2"/>
    <n v="-5.6783999999999999"/>
    <n v="-0.05"/>
    <n v="1"/>
  </r>
  <r>
    <n v="2954"/>
    <s v="CA-2017-134915"/>
    <d v="2017-11-12T00:00:00"/>
    <x v="3"/>
    <s v="Q4"/>
    <x v="23"/>
    <d v="2017-11-12T00:00:00"/>
    <s v="Same Day"/>
    <x v="670"/>
    <x v="670"/>
    <s v="Home Office"/>
    <s v="United States"/>
    <s v="Glendale"/>
    <x v="16"/>
    <n v="85301"/>
    <x v="1"/>
    <x v="500"/>
    <x v="2"/>
    <x v="7"/>
    <x v="500"/>
    <n v="7.92"/>
    <s v="Low"/>
    <n v="2"/>
    <n v="0.2"/>
    <x v="2"/>
    <x v="2"/>
    <n v="0.69299999999999995"/>
    <n v="8.7499999999999994E-2"/>
    <n v="0"/>
  </r>
  <r>
    <n v="2955"/>
    <s v="CA-2017-134915"/>
    <d v="2017-11-12T00:00:00"/>
    <x v="3"/>
    <s v="Q4"/>
    <x v="23"/>
    <d v="2017-11-12T00:00:00"/>
    <s v="Same Day"/>
    <x v="670"/>
    <x v="670"/>
    <s v="Home Office"/>
    <s v="United States"/>
    <s v="Glendale"/>
    <x v="16"/>
    <n v="85301"/>
    <x v="1"/>
    <x v="1461"/>
    <x v="2"/>
    <x v="7"/>
    <x v="1447"/>
    <n v="671.98400000000004"/>
    <s v="High"/>
    <n v="2"/>
    <n v="0.2"/>
    <x v="2"/>
    <x v="2"/>
    <n v="50.398800000000001"/>
    <n v="7.4999999999999997E-2"/>
    <n v="0"/>
  </r>
  <r>
    <n v="2956"/>
    <s v="CA-2016-153353"/>
    <d v="2016-08-18T00:00:00"/>
    <x v="0"/>
    <s v="Q3"/>
    <x v="28"/>
    <d v="2016-08-24T00:00:00"/>
    <s v="Standard Class"/>
    <x v="55"/>
    <x v="55"/>
    <s v="Corporate"/>
    <s v="United States"/>
    <s v="New York City"/>
    <x v="15"/>
    <n v="10035"/>
    <x v="3"/>
    <x v="884"/>
    <x v="2"/>
    <x v="7"/>
    <x v="878"/>
    <n v="39.99"/>
    <s v="Medium"/>
    <n v="1"/>
    <n v="0"/>
    <x v="0"/>
    <x v="0"/>
    <n v="11.597099999999999"/>
    <n v="0.28999999999999998"/>
    <n v="0"/>
  </r>
  <r>
    <n v="2957"/>
    <s v="CA-2017-123638"/>
    <d v="2017-06-27T00:00:00"/>
    <x v="3"/>
    <s v="Q2"/>
    <x v="27"/>
    <d v="2017-07-04T00:00:00"/>
    <s v="Standard Class"/>
    <x v="671"/>
    <x v="671"/>
    <s v="Home Office"/>
    <s v="United States"/>
    <s v="Watertown"/>
    <x v="15"/>
    <n v="13601"/>
    <x v="3"/>
    <x v="474"/>
    <x v="0"/>
    <x v="1"/>
    <x v="475"/>
    <n v="191.64599999999999"/>
    <s v="High"/>
    <n v="3"/>
    <n v="0.1"/>
    <x v="3"/>
    <x v="8"/>
    <n v="31.940999999999999"/>
    <n v="0.16666666666666669"/>
    <n v="0"/>
  </r>
  <r>
    <n v="2958"/>
    <s v="CA-2017-168900"/>
    <d v="2017-05-04T00:00:00"/>
    <x v="3"/>
    <s v="Q2"/>
    <x v="24"/>
    <d v="2017-05-09T00:00:00"/>
    <s v="Standard Class"/>
    <x v="129"/>
    <x v="129"/>
    <s v="Consumer"/>
    <s v="United States"/>
    <s v="Springfield"/>
    <x v="24"/>
    <n v="45503"/>
    <x v="3"/>
    <x v="8"/>
    <x v="1"/>
    <x v="8"/>
    <x v="8"/>
    <n v="2.3130000000000002"/>
    <s v="Low"/>
    <n v="1"/>
    <n v="0.7"/>
    <x v="1"/>
    <x v="5"/>
    <n v="-1.9275"/>
    <n v="-0.83333333333333326"/>
    <n v="1"/>
  </r>
  <r>
    <n v="2959"/>
    <s v="CA-2015-158456"/>
    <d v="2015-12-24T00:00:00"/>
    <x v="1"/>
    <s v="Q4"/>
    <x v="14"/>
    <d v="2015-12-29T00:00:00"/>
    <s v="Standard Class"/>
    <x v="446"/>
    <x v="446"/>
    <s v="Consumer"/>
    <s v="United States"/>
    <s v="Los Angeles"/>
    <x v="1"/>
    <n v="90032"/>
    <x v="1"/>
    <x v="799"/>
    <x v="1"/>
    <x v="8"/>
    <x v="797"/>
    <n v="19.936"/>
    <s v="Low"/>
    <n v="4"/>
    <n v="0.2"/>
    <x v="2"/>
    <x v="2"/>
    <n v="7.2267999999999999"/>
    <n v="0.36249999999999999"/>
    <n v="0"/>
  </r>
  <r>
    <n v="2960"/>
    <s v="CA-2015-158456"/>
    <d v="2015-12-24T00:00:00"/>
    <x v="1"/>
    <s v="Q4"/>
    <x v="14"/>
    <d v="2015-12-29T00:00:00"/>
    <s v="Standard Class"/>
    <x v="446"/>
    <x v="446"/>
    <s v="Consumer"/>
    <s v="United States"/>
    <s v="Los Angeles"/>
    <x v="1"/>
    <n v="90032"/>
    <x v="1"/>
    <x v="271"/>
    <x v="1"/>
    <x v="13"/>
    <x v="271"/>
    <n v="45.92"/>
    <s v="Medium"/>
    <n v="4"/>
    <n v="0"/>
    <x v="0"/>
    <x v="0"/>
    <n v="21.5824"/>
    <n v="0.47"/>
    <n v="0"/>
  </r>
  <r>
    <n v="2961"/>
    <s v="CA-2017-143665"/>
    <d v="2017-04-26T00:00:00"/>
    <x v="3"/>
    <s v="Q2"/>
    <x v="4"/>
    <d v="2017-05-01T00:00:00"/>
    <s v="Standard Class"/>
    <x v="178"/>
    <x v="178"/>
    <s v="Home Office"/>
    <s v="United States"/>
    <s v="Seattle"/>
    <x v="4"/>
    <n v="98115"/>
    <x v="1"/>
    <x v="987"/>
    <x v="1"/>
    <x v="10"/>
    <x v="980"/>
    <n v="20.34"/>
    <s v="Low"/>
    <n v="3"/>
    <n v="0"/>
    <x v="0"/>
    <x v="0"/>
    <n v="9.3564000000000007"/>
    <n v="0.46"/>
    <n v="0"/>
  </r>
  <r>
    <n v="2962"/>
    <s v="CA-2017-143665"/>
    <d v="2017-04-26T00:00:00"/>
    <x v="3"/>
    <s v="Q2"/>
    <x v="4"/>
    <d v="2017-05-01T00:00:00"/>
    <s v="Standard Class"/>
    <x v="178"/>
    <x v="178"/>
    <s v="Home Office"/>
    <s v="United States"/>
    <s v="Seattle"/>
    <x v="4"/>
    <n v="98115"/>
    <x v="1"/>
    <x v="1123"/>
    <x v="1"/>
    <x v="2"/>
    <x v="1111"/>
    <n v="39.28"/>
    <s v="Medium"/>
    <n v="8"/>
    <n v="0"/>
    <x v="0"/>
    <x v="0"/>
    <n v="19.247199999999999"/>
    <n v="0.49"/>
    <n v="0"/>
  </r>
  <r>
    <n v="2963"/>
    <s v="CA-2017-137428"/>
    <d v="2017-12-16T00:00:00"/>
    <x v="3"/>
    <s v="Q4"/>
    <x v="22"/>
    <d v="2017-12-21T00:00:00"/>
    <s v="Second Class"/>
    <x v="672"/>
    <x v="672"/>
    <s v="Corporate"/>
    <s v="United States"/>
    <s v="Oceanside"/>
    <x v="1"/>
    <n v="92054"/>
    <x v="1"/>
    <x v="23"/>
    <x v="0"/>
    <x v="1"/>
    <x v="23"/>
    <n v="81.567999999999998"/>
    <s v="Medium"/>
    <n v="2"/>
    <n v="0.2"/>
    <x v="2"/>
    <x v="2"/>
    <n v="9.1763999999999992"/>
    <n v="0.11249999999999999"/>
    <n v="0"/>
  </r>
  <r>
    <n v="2964"/>
    <s v="CA-2017-137428"/>
    <d v="2017-12-16T00:00:00"/>
    <x v="3"/>
    <s v="Q4"/>
    <x v="22"/>
    <d v="2017-12-21T00:00:00"/>
    <s v="Second Class"/>
    <x v="672"/>
    <x v="672"/>
    <s v="Corporate"/>
    <s v="United States"/>
    <s v="Oceanside"/>
    <x v="1"/>
    <n v="92054"/>
    <x v="1"/>
    <x v="163"/>
    <x v="0"/>
    <x v="1"/>
    <x v="164"/>
    <n v="97.183999999999997"/>
    <s v="Medium"/>
    <n v="2"/>
    <n v="0.2"/>
    <x v="2"/>
    <x v="2"/>
    <n v="6.0739999999999998"/>
    <n v="6.25E-2"/>
    <n v="0"/>
  </r>
  <r>
    <n v="2965"/>
    <s v="CA-2017-137428"/>
    <d v="2017-12-16T00:00:00"/>
    <x v="3"/>
    <s v="Q4"/>
    <x v="22"/>
    <d v="2017-12-21T00:00:00"/>
    <s v="Second Class"/>
    <x v="672"/>
    <x v="672"/>
    <s v="Corporate"/>
    <s v="United States"/>
    <s v="Oceanside"/>
    <x v="1"/>
    <n v="92054"/>
    <x v="1"/>
    <x v="525"/>
    <x v="1"/>
    <x v="8"/>
    <x v="525"/>
    <n v="24.32"/>
    <s v="Low"/>
    <n v="5"/>
    <n v="0.2"/>
    <x v="2"/>
    <x v="2"/>
    <n v="8.2080000000000002"/>
    <n v="0.33750000000000002"/>
    <n v="0"/>
  </r>
  <r>
    <n v="2966"/>
    <s v="CA-2017-137428"/>
    <d v="2017-12-16T00:00:00"/>
    <x v="3"/>
    <s v="Q4"/>
    <x v="22"/>
    <d v="2017-12-21T00:00:00"/>
    <s v="Second Class"/>
    <x v="672"/>
    <x v="672"/>
    <s v="Corporate"/>
    <s v="United States"/>
    <s v="Oceanside"/>
    <x v="1"/>
    <n v="92054"/>
    <x v="1"/>
    <x v="1462"/>
    <x v="0"/>
    <x v="5"/>
    <x v="1448"/>
    <n v="18.96"/>
    <s v="Low"/>
    <n v="2"/>
    <n v="0"/>
    <x v="0"/>
    <x v="0"/>
    <n v="7.5839999999999996"/>
    <n v="0.39999999999999997"/>
    <n v="0"/>
  </r>
  <r>
    <n v="2967"/>
    <s v="CA-2014-162866"/>
    <d v="2014-12-27T00:00:00"/>
    <x v="2"/>
    <s v="Q4"/>
    <x v="20"/>
    <d v="2014-12-31T00:00:00"/>
    <s v="Standard Class"/>
    <x v="476"/>
    <x v="476"/>
    <s v="Consumer"/>
    <s v="United States"/>
    <s v="Skokie"/>
    <x v="10"/>
    <n v="60076"/>
    <x v="2"/>
    <x v="1001"/>
    <x v="0"/>
    <x v="5"/>
    <x v="993"/>
    <n v="32.951999999999998"/>
    <s v="Medium"/>
    <n v="6"/>
    <n v="0.6"/>
    <x v="1"/>
    <x v="6"/>
    <n v="-19.7712"/>
    <n v="-0.60000000000000009"/>
    <n v="1"/>
  </r>
  <r>
    <n v="2968"/>
    <s v="CA-2014-162866"/>
    <d v="2014-12-27T00:00:00"/>
    <x v="2"/>
    <s v="Q4"/>
    <x v="20"/>
    <d v="2014-12-31T00:00:00"/>
    <s v="Standard Class"/>
    <x v="476"/>
    <x v="476"/>
    <s v="Consumer"/>
    <s v="United States"/>
    <s v="Skokie"/>
    <x v="10"/>
    <n v="60076"/>
    <x v="2"/>
    <x v="1190"/>
    <x v="1"/>
    <x v="4"/>
    <x v="683"/>
    <n v="30.015999999999998"/>
    <s v="Medium"/>
    <n v="4"/>
    <n v="0.2"/>
    <x v="2"/>
    <x v="2"/>
    <n v="3.0015999999999998"/>
    <n v="0.1"/>
    <n v="0"/>
  </r>
  <r>
    <n v="2969"/>
    <s v="CA-2017-167941"/>
    <d v="2017-11-06T00:00:00"/>
    <x v="3"/>
    <s v="Q4"/>
    <x v="23"/>
    <d v="2017-11-09T00:00:00"/>
    <s v="Second Class"/>
    <x v="535"/>
    <x v="535"/>
    <s v="Consumer"/>
    <s v="United States"/>
    <s v="Fayetteville"/>
    <x v="3"/>
    <n v="28314"/>
    <x v="0"/>
    <x v="77"/>
    <x v="1"/>
    <x v="9"/>
    <x v="77"/>
    <n v="499.584"/>
    <s v="High"/>
    <n v="3"/>
    <n v="0.2"/>
    <x v="2"/>
    <x v="2"/>
    <n v="43.7136"/>
    <n v="8.7499999999999994E-2"/>
    <n v="0"/>
  </r>
  <r>
    <n v="2970"/>
    <s v="CA-2017-167941"/>
    <d v="2017-11-06T00:00:00"/>
    <x v="3"/>
    <s v="Q4"/>
    <x v="23"/>
    <d v="2017-11-09T00:00:00"/>
    <s v="Second Class"/>
    <x v="535"/>
    <x v="535"/>
    <s v="Consumer"/>
    <s v="United States"/>
    <s v="Fayetteville"/>
    <x v="3"/>
    <n v="28314"/>
    <x v="0"/>
    <x v="585"/>
    <x v="1"/>
    <x v="10"/>
    <x v="585"/>
    <n v="31.103999999999999"/>
    <s v="Medium"/>
    <n v="6"/>
    <n v="0.2"/>
    <x v="2"/>
    <x v="2"/>
    <n v="10.8864"/>
    <n v="0.35000000000000003"/>
    <n v="0"/>
  </r>
  <r>
    <n v="2971"/>
    <s v="CA-2017-167941"/>
    <d v="2017-11-06T00:00:00"/>
    <x v="3"/>
    <s v="Q4"/>
    <x v="23"/>
    <d v="2017-11-09T00:00:00"/>
    <s v="Second Class"/>
    <x v="535"/>
    <x v="535"/>
    <s v="Consumer"/>
    <s v="United States"/>
    <s v="Fayetteville"/>
    <x v="3"/>
    <n v="28314"/>
    <x v="0"/>
    <x v="555"/>
    <x v="1"/>
    <x v="8"/>
    <x v="554"/>
    <n v="13.272"/>
    <s v="Low"/>
    <n v="8"/>
    <n v="0.7"/>
    <x v="1"/>
    <x v="5"/>
    <n v="-10.617599999999999"/>
    <n v="-0.79999999999999993"/>
    <n v="1"/>
  </r>
  <r>
    <n v="2972"/>
    <s v="CA-2017-167941"/>
    <d v="2017-11-06T00:00:00"/>
    <x v="3"/>
    <s v="Q4"/>
    <x v="23"/>
    <d v="2017-11-09T00:00:00"/>
    <s v="Second Class"/>
    <x v="535"/>
    <x v="535"/>
    <s v="Consumer"/>
    <s v="United States"/>
    <s v="Fayetteville"/>
    <x v="3"/>
    <n v="28314"/>
    <x v="0"/>
    <x v="1381"/>
    <x v="0"/>
    <x v="5"/>
    <x v="1366"/>
    <n v="28.271999999999998"/>
    <s v="Medium"/>
    <n v="2"/>
    <n v="0.2"/>
    <x v="2"/>
    <x v="2"/>
    <n v="6.3612000000000002"/>
    <n v="0.22500000000000001"/>
    <n v="0"/>
  </r>
  <r>
    <n v="2973"/>
    <s v="CA-2017-167941"/>
    <d v="2017-11-06T00:00:00"/>
    <x v="3"/>
    <s v="Q4"/>
    <x v="23"/>
    <d v="2017-11-09T00:00:00"/>
    <s v="Second Class"/>
    <x v="535"/>
    <x v="535"/>
    <s v="Consumer"/>
    <s v="United States"/>
    <s v="Fayetteville"/>
    <x v="3"/>
    <n v="28314"/>
    <x v="0"/>
    <x v="459"/>
    <x v="1"/>
    <x v="4"/>
    <x v="460"/>
    <n v="259.13600000000002"/>
    <s v="High"/>
    <n v="4"/>
    <n v="0.2"/>
    <x v="2"/>
    <x v="2"/>
    <n v="-51.827199999999998"/>
    <n v="-0.19999999999999998"/>
    <n v="1"/>
  </r>
  <r>
    <n v="2974"/>
    <s v="CA-2017-111808"/>
    <d v="2017-12-16T00:00:00"/>
    <x v="3"/>
    <s v="Q4"/>
    <x v="22"/>
    <d v="2017-12-20T00:00:00"/>
    <s v="Standard Class"/>
    <x v="239"/>
    <x v="239"/>
    <s v="Consumer"/>
    <s v="United States"/>
    <s v="Tulsa"/>
    <x v="26"/>
    <n v="74133"/>
    <x v="2"/>
    <x v="870"/>
    <x v="1"/>
    <x v="8"/>
    <x v="864"/>
    <n v="10.8"/>
    <s v="Low"/>
    <n v="5"/>
    <n v="0"/>
    <x v="0"/>
    <x v="0"/>
    <n v="5.1840000000000002"/>
    <n v="0.48"/>
    <n v="0"/>
  </r>
  <r>
    <n v="2975"/>
    <s v="CA-2015-137512"/>
    <d v="2015-05-07T00:00:00"/>
    <x v="1"/>
    <s v="Q2"/>
    <x v="33"/>
    <d v="2015-05-12T00:00:00"/>
    <s v="Standard Class"/>
    <x v="165"/>
    <x v="165"/>
    <s v="Consumer"/>
    <s v="United States"/>
    <s v="Allen"/>
    <x v="5"/>
    <n v="75002"/>
    <x v="2"/>
    <x v="616"/>
    <x v="0"/>
    <x v="3"/>
    <x v="616"/>
    <n v="244.006"/>
    <s v="High"/>
    <n v="2"/>
    <n v="0.3"/>
    <x v="1"/>
    <x v="4"/>
    <n v="-31.372199999999999"/>
    <n v="-0.12857142857142856"/>
    <n v="1"/>
  </r>
  <r>
    <n v="2976"/>
    <s v="CA-2015-137512"/>
    <d v="2015-05-07T00:00:00"/>
    <x v="1"/>
    <s v="Q2"/>
    <x v="33"/>
    <d v="2015-05-12T00:00:00"/>
    <s v="Standard Class"/>
    <x v="165"/>
    <x v="165"/>
    <s v="Consumer"/>
    <s v="United States"/>
    <s v="Allen"/>
    <x v="5"/>
    <n v="75002"/>
    <x v="2"/>
    <x v="1463"/>
    <x v="1"/>
    <x v="10"/>
    <x v="1449"/>
    <n v="15.936"/>
    <s v="Low"/>
    <n v="4"/>
    <n v="0.2"/>
    <x v="2"/>
    <x v="2"/>
    <n v="5.3784000000000001"/>
    <n v="0.33750000000000002"/>
    <n v="0"/>
  </r>
  <r>
    <n v="2977"/>
    <s v="CA-2017-139773"/>
    <d v="2017-12-04T00:00:00"/>
    <x v="3"/>
    <s v="Q4"/>
    <x v="22"/>
    <d v="2017-12-04T00:00:00"/>
    <s v="Same Day"/>
    <x v="1"/>
    <x v="1"/>
    <s v="Corporate"/>
    <s v="United States"/>
    <s v="Philadelphia"/>
    <x v="9"/>
    <n v="19143"/>
    <x v="3"/>
    <x v="1464"/>
    <x v="0"/>
    <x v="1"/>
    <x v="1450"/>
    <n v="188.55199999999999"/>
    <s v="High"/>
    <n v="7"/>
    <n v="0.3"/>
    <x v="1"/>
    <x v="4"/>
    <n v="-2.6936"/>
    <n v="-1.4285714285714287E-2"/>
    <n v="1"/>
  </r>
  <r>
    <n v="2978"/>
    <s v="CA-2017-134607"/>
    <d v="2017-10-03T00:00:00"/>
    <x v="3"/>
    <s v="Q4"/>
    <x v="13"/>
    <d v="2017-10-08T00:00:00"/>
    <s v="Second Class"/>
    <x v="332"/>
    <x v="332"/>
    <s v="Consumer"/>
    <s v="United States"/>
    <s v="Rochester"/>
    <x v="15"/>
    <n v="14609"/>
    <x v="3"/>
    <x v="1011"/>
    <x v="1"/>
    <x v="4"/>
    <x v="1003"/>
    <n v="22.58"/>
    <s v="Low"/>
    <n v="2"/>
    <n v="0"/>
    <x v="0"/>
    <x v="0"/>
    <n v="5.8708"/>
    <n v="0.26"/>
    <n v="0"/>
  </r>
  <r>
    <n v="2979"/>
    <s v="CA-2014-109232"/>
    <d v="2014-01-13T00:00:00"/>
    <x v="2"/>
    <s v="Q1"/>
    <x v="46"/>
    <d v="2014-01-16T00:00:00"/>
    <s v="Second Class"/>
    <x v="444"/>
    <x v="444"/>
    <s v="Consumer"/>
    <s v="United States"/>
    <s v="Mount Pleasant"/>
    <x v="20"/>
    <n v="29464"/>
    <x v="0"/>
    <x v="1455"/>
    <x v="0"/>
    <x v="1"/>
    <x v="1441"/>
    <n v="545.94000000000005"/>
    <s v="High"/>
    <n v="6"/>
    <n v="0"/>
    <x v="0"/>
    <x v="0"/>
    <n v="87.350399999999993"/>
    <n v="0.15999999999999998"/>
    <n v="0"/>
  </r>
  <r>
    <n v="2980"/>
    <s v="CA-2015-139850"/>
    <d v="2015-06-12T00:00:00"/>
    <x v="1"/>
    <s v="Q2"/>
    <x v="40"/>
    <d v="2015-06-17T00:00:00"/>
    <s v="Standard Class"/>
    <x v="673"/>
    <x v="673"/>
    <s v="Consumer"/>
    <s v="United States"/>
    <s v="Philadelphia"/>
    <x v="9"/>
    <n v="19134"/>
    <x v="3"/>
    <x v="1465"/>
    <x v="1"/>
    <x v="10"/>
    <x v="1451"/>
    <n v="20.736000000000001"/>
    <s v="Low"/>
    <n v="4"/>
    <n v="0.2"/>
    <x v="2"/>
    <x v="2"/>
    <n v="7.2576000000000001"/>
    <n v="0.35"/>
    <n v="0"/>
  </r>
  <r>
    <n v="2981"/>
    <s v="CA-2015-139850"/>
    <d v="2015-06-12T00:00:00"/>
    <x v="1"/>
    <s v="Q2"/>
    <x v="40"/>
    <d v="2015-06-17T00:00:00"/>
    <s v="Standard Class"/>
    <x v="673"/>
    <x v="673"/>
    <s v="Consumer"/>
    <s v="United States"/>
    <s v="Philadelphia"/>
    <x v="9"/>
    <n v="19134"/>
    <x v="3"/>
    <x v="1251"/>
    <x v="0"/>
    <x v="5"/>
    <x v="1235"/>
    <n v="43.295999999999999"/>
    <s v="Medium"/>
    <n v="2"/>
    <n v="0.2"/>
    <x v="2"/>
    <x v="2"/>
    <n v="4.3296000000000001"/>
    <n v="0.1"/>
    <n v="0"/>
  </r>
  <r>
    <n v="2982"/>
    <s v="CA-2014-131310"/>
    <d v="2014-07-12T00:00:00"/>
    <x v="2"/>
    <s v="Q3"/>
    <x v="39"/>
    <d v="2014-07-18T00:00:00"/>
    <s v="Standard Class"/>
    <x v="52"/>
    <x v="52"/>
    <s v="Consumer"/>
    <s v="United States"/>
    <s v="Seattle"/>
    <x v="4"/>
    <n v="98115"/>
    <x v="1"/>
    <x v="1464"/>
    <x v="0"/>
    <x v="1"/>
    <x v="1450"/>
    <n v="123.136"/>
    <s v="High"/>
    <n v="4"/>
    <n v="0.2"/>
    <x v="2"/>
    <x v="2"/>
    <n v="13.8528"/>
    <n v="0.1125"/>
    <n v="0"/>
  </r>
  <r>
    <n v="2983"/>
    <s v="CA-2014-131310"/>
    <d v="2014-07-12T00:00:00"/>
    <x v="2"/>
    <s v="Q3"/>
    <x v="39"/>
    <d v="2014-07-18T00:00:00"/>
    <s v="Standard Class"/>
    <x v="52"/>
    <x v="52"/>
    <s v="Consumer"/>
    <s v="United States"/>
    <s v="Seattle"/>
    <x v="4"/>
    <n v="98115"/>
    <x v="1"/>
    <x v="653"/>
    <x v="1"/>
    <x v="8"/>
    <x v="653"/>
    <n v="11.263999999999999"/>
    <s v="Low"/>
    <n v="4"/>
    <n v="0.2"/>
    <x v="2"/>
    <x v="2"/>
    <n v="3.8016000000000001"/>
    <n v="0.33750000000000002"/>
    <n v="0"/>
  </r>
  <r>
    <n v="2984"/>
    <s v="US-2014-112872"/>
    <d v="2014-12-06T00:00:00"/>
    <x v="2"/>
    <s v="Q4"/>
    <x v="20"/>
    <d v="2014-12-11T00:00:00"/>
    <s v="Second Class"/>
    <x v="53"/>
    <x v="53"/>
    <s v="Consumer"/>
    <s v="United States"/>
    <s v="Springfield"/>
    <x v="21"/>
    <n v="97477"/>
    <x v="1"/>
    <x v="330"/>
    <x v="1"/>
    <x v="4"/>
    <x v="330"/>
    <n v="53.423999999999999"/>
    <s v="Medium"/>
    <n v="3"/>
    <n v="0.2"/>
    <x v="2"/>
    <x v="2"/>
    <n v="4.6745999999999999"/>
    <n v="8.7499999999999994E-2"/>
    <n v="0"/>
  </r>
  <r>
    <n v="2985"/>
    <s v="US-2014-112872"/>
    <d v="2014-12-06T00:00:00"/>
    <x v="2"/>
    <s v="Q4"/>
    <x v="20"/>
    <d v="2014-12-11T00:00:00"/>
    <s v="Second Class"/>
    <x v="53"/>
    <x v="53"/>
    <s v="Consumer"/>
    <s v="United States"/>
    <s v="Springfield"/>
    <x v="21"/>
    <n v="97477"/>
    <x v="1"/>
    <x v="1258"/>
    <x v="0"/>
    <x v="3"/>
    <x v="1242"/>
    <n v="275.49"/>
    <s v="High"/>
    <n v="1"/>
    <n v="0.5"/>
    <x v="1"/>
    <x v="1"/>
    <n v="-170.8038"/>
    <n v="-0.62"/>
    <n v="1"/>
  </r>
  <r>
    <n v="2986"/>
    <s v="CA-2016-139269"/>
    <d v="2016-05-25T00:00:00"/>
    <x v="0"/>
    <s v="Q2"/>
    <x v="35"/>
    <d v="2016-05-30T00:00:00"/>
    <s v="Standard Class"/>
    <x v="674"/>
    <x v="674"/>
    <s v="Home Office"/>
    <s v="United States"/>
    <s v="Columbus"/>
    <x v="32"/>
    <n v="31907"/>
    <x v="0"/>
    <x v="1466"/>
    <x v="0"/>
    <x v="5"/>
    <x v="1452"/>
    <n v="24.96"/>
    <s v="Medium"/>
    <n v="4"/>
    <n v="0"/>
    <x v="0"/>
    <x v="0"/>
    <n v="6.24"/>
    <n v="0.25"/>
    <n v="0"/>
  </r>
  <r>
    <n v="2987"/>
    <s v="CA-2016-139269"/>
    <d v="2016-05-25T00:00:00"/>
    <x v="0"/>
    <s v="Q2"/>
    <x v="35"/>
    <d v="2016-05-30T00:00:00"/>
    <s v="Standard Class"/>
    <x v="674"/>
    <x v="674"/>
    <s v="Home Office"/>
    <s v="United States"/>
    <s v="Columbus"/>
    <x v="32"/>
    <n v="31907"/>
    <x v="0"/>
    <x v="364"/>
    <x v="1"/>
    <x v="10"/>
    <x v="364"/>
    <n v="19.36"/>
    <s v="Low"/>
    <n v="2"/>
    <n v="0"/>
    <x v="0"/>
    <x v="0"/>
    <n v="9.2927999999999997"/>
    <n v="0.48"/>
    <n v="0"/>
  </r>
  <r>
    <n v="2988"/>
    <s v="CA-2016-139269"/>
    <d v="2016-05-25T00:00:00"/>
    <x v="0"/>
    <s v="Q2"/>
    <x v="35"/>
    <d v="2016-05-30T00:00:00"/>
    <s v="Standard Class"/>
    <x v="674"/>
    <x v="674"/>
    <s v="Home Office"/>
    <s v="United States"/>
    <s v="Columbus"/>
    <x v="32"/>
    <n v="31907"/>
    <x v="0"/>
    <x v="426"/>
    <x v="1"/>
    <x v="4"/>
    <x v="426"/>
    <n v="1267.6500000000001"/>
    <s v="High"/>
    <n v="9"/>
    <n v="0"/>
    <x v="0"/>
    <x v="0"/>
    <n v="152.11799999999999"/>
    <n v="0.11999999999999998"/>
    <n v="0"/>
  </r>
  <r>
    <n v="2989"/>
    <s v="CA-2016-139010"/>
    <d v="2016-02-21T00:00:00"/>
    <x v="0"/>
    <s v="Q1"/>
    <x v="47"/>
    <d v="2016-02-26T00:00:00"/>
    <s v="Second Class"/>
    <x v="637"/>
    <x v="637"/>
    <s v="Corporate"/>
    <s v="United States"/>
    <s v="Los Angeles"/>
    <x v="1"/>
    <n v="90032"/>
    <x v="1"/>
    <x v="1421"/>
    <x v="2"/>
    <x v="11"/>
    <x v="1409"/>
    <n v="12.99"/>
    <s v="Low"/>
    <n v="1"/>
    <n v="0"/>
    <x v="0"/>
    <x v="0"/>
    <n v="0.77939999999999998"/>
    <n v="0.06"/>
    <n v="0"/>
  </r>
  <r>
    <n v="2990"/>
    <s v="CA-2016-139010"/>
    <d v="2016-02-21T00:00:00"/>
    <x v="0"/>
    <s v="Q1"/>
    <x v="47"/>
    <d v="2016-02-26T00:00:00"/>
    <s v="Second Class"/>
    <x v="637"/>
    <x v="637"/>
    <s v="Corporate"/>
    <s v="United States"/>
    <s v="Los Angeles"/>
    <x v="1"/>
    <n v="90032"/>
    <x v="1"/>
    <x v="1458"/>
    <x v="1"/>
    <x v="8"/>
    <x v="1444"/>
    <n v="18.559999999999999"/>
    <s v="Low"/>
    <n v="4"/>
    <n v="0.2"/>
    <x v="2"/>
    <x v="2"/>
    <n v="6.4960000000000004"/>
    <n v="0.35000000000000003"/>
    <n v="0"/>
  </r>
  <r>
    <n v="2991"/>
    <s v="CA-2016-139010"/>
    <d v="2016-02-21T00:00:00"/>
    <x v="0"/>
    <s v="Q1"/>
    <x v="47"/>
    <d v="2016-02-26T00:00:00"/>
    <s v="Second Class"/>
    <x v="637"/>
    <x v="637"/>
    <s v="Corporate"/>
    <s v="United States"/>
    <s v="Los Angeles"/>
    <x v="1"/>
    <n v="90032"/>
    <x v="1"/>
    <x v="435"/>
    <x v="1"/>
    <x v="4"/>
    <x v="435"/>
    <n v="449.15"/>
    <s v="High"/>
    <n v="5"/>
    <n v="0"/>
    <x v="0"/>
    <x v="0"/>
    <n v="8.9830000000000005"/>
    <n v="2.0000000000000004E-2"/>
    <n v="0"/>
  </r>
  <r>
    <n v="2992"/>
    <s v="CA-2016-139010"/>
    <d v="2016-02-21T00:00:00"/>
    <x v="0"/>
    <s v="Q1"/>
    <x v="47"/>
    <d v="2016-02-26T00:00:00"/>
    <s v="Second Class"/>
    <x v="637"/>
    <x v="637"/>
    <s v="Corporate"/>
    <s v="United States"/>
    <s v="Los Angeles"/>
    <x v="1"/>
    <n v="90032"/>
    <x v="1"/>
    <x v="78"/>
    <x v="1"/>
    <x v="8"/>
    <x v="78"/>
    <n v="31.248000000000001"/>
    <s v="Medium"/>
    <n v="7"/>
    <n v="0.2"/>
    <x v="2"/>
    <x v="2"/>
    <n v="10.9368"/>
    <n v="0.35"/>
    <n v="0"/>
  </r>
  <r>
    <n v="2993"/>
    <s v="CA-2016-134376"/>
    <d v="2016-10-02T00:00:00"/>
    <x v="0"/>
    <s v="Q4"/>
    <x v="32"/>
    <d v="2016-10-06T00:00:00"/>
    <s v="Standard Class"/>
    <x v="640"/>
    <x v="640"/>
    <s v="Corporate"/>
    <s v="United States"/>
    <s v="New York City"/>
    <x v="15"/>
    <n v="10024"/>
    <x v="3"/>
    <x v="564"/>
    <x v="1"/>
    <x v="9"/>
    <x v="564"/>
    <n v="61.44"/>
    <s v="Medium"/>
    <n v="3"/>
    <n v="0"/>
    <x v="0"/>
    <x v="0"/>
    <n v="16.588799999999999"/>
    <n v="0.27"/>
    <n v="0"/>
  </r>
  <r>
    <n v="2994"/>
    <s v="CA-2017-147291"/>
    <d v="2017-03-11T00:00:00"/>
    <x v="3"/>
    <s v="Q1"/>
    <x v="42"/>
    <d v="2017-03-17T00:00:00"/>
    <s v="Standard Class"/>
    <x v="77"/>
    <x v="77"/>
    <s v="Consumer"/>
    <s v="United States"/>
    <s v="Detroit"/>
    <x v="12"/>
    <n v="48227"/>
    <x v="2"/>
    <x v="1188"/>
    <x v="1"/>
    <x v="8"/>
    <x v="1174"/>
    <n v="895.92"/>
    <s v="High"/>
    <n v="4"/>
    <n v="0"/>
    <x v="0"/>
    <x v="0"/>
    <n v="421.08240000000001"/>
    <n v="0.47000000000000003"/>
    <n v="0"/>
  </r>
  <r>
    <n v="2995"/>
    <s v="CA-2016-112893"/>
    <d v="2016-09-09T00:00:00"/>
    <x v="0"/>
    <s v="Q3"/>
    <x v="21"/>
    <d v="2016-09-13T00:00:00"/>
    <s v="Second Class"/>
    <x v="247"/>
    <x v="247"/>
    <s v="Consumer"/>
    <s v="United States"/>
    <s v="Stockton"/>
    <x v="1"/>
    <n v="95207"/>
    <x v="1"/>
    <x v="68"/>
    <x v="1"/>
    <x v="8"/>
    <x v="1453"/>
    <n v="55.36"/>
    <s v="Medium"/>
    <n v="4"/>
    <n v="0.2"/>
    <x v="2"/>
    <x v="2"/>
    <n v="18.684000000000001"/>
    <n v="0.33750000000000002"/>
    <n v="0"/>
  </r>
  <r>
    <n v="2996"/>
    <s v="US-2014-150532"/>
    <d v="2014-07-14T00:00:00"/>
    <x v="2"/>
    <s v="Q3"/>
    <x v="39"/>
    <d v="2014-07-21T00:00:00"/>
    <s v="Standard Class"/>
    <x v="171"/>
    <x v="171"/>
    <s v="Consumer"/>
    <s v="United States"/>
    <s v="Phoenix"/>
    <x v="16"/>
    <n v="85023"/>
    <x v="1"/>
    <x v="4"/>
    <x v="1"/>
    <x v="4"/>
    <x v="4"/>
    <n v="55.92"/>
    <s v="Medium"/>
    <n v="5"/>
    <n v="0.2"/>
    <x v="2"/>
    <x v="2"/>
    <n v="6.2910000000000004"/>
    <n v="0.1125"/>
    <n v="0"/>
  </r>
  <r>
    <n v="2997"/>
    <s v="CA-2014-138317"/>
    <d v="2014-06-21T00:00:00"/>
    <x v="2"/>
    <s v="Q2"/>
    <x v="3"/>
    <d v="2014-06-25T00:00:00"/>
    <s v="Standard Class"/>
    <x v="508"/>
    <x v="508"/>
    <s v="Consumer"/>
    <s v="United States"/>
    <s v="Philadelphia"/>
    <x v="9"/>
    <n v="19120"/>
    <x v="3"/>
    <x v="837"/>
    <x v="1"/>
    <x v="12"/>
    <x v="153"/>
    <n v="24.896000000000001"/>
    <s v="Medium"/>
    <n v="4"/>
    <n v="0.2"/>
    <x v="2"/>
    <x v="2"/>
    <n v="8.4024000000000001"/>
    <n v="0.33749999999999997"/>
    <n v="0"/>
  </r>
  <r>
    <n v="2998"/>
    <s v="CA-2014-138317"/>
    <d v="2014-06-21T00:00:00"/>
    <x v="2"/>
    <s v="Q2"/>
    <x v="3"/>
    <d v="2014-06-25T00:00:00"/>
    <s v="Standard Class"/>
    <x v="508"/>
    <x v="508"/>
    <s v="Consumer"/>
    <s v="United States"/>
    <s v="Philadelphia"/>
    <x v="9"/>
    <n v="19120"/>
    <x v="3"/>
    <x v="1467"/>
    <x v="0"/>
    <x v="5"/>
    <x v="1454"/>
    <n v="3.984"/>
    <s v="Low"/>
    <n v="1"/>
    <n v="0.2"/>
    <x v="2"/>
    <x v="2"/>
    <n v="0.64739999999999998"/>
    <n v="0.16250000000000001"/>
    <n v="0"/>
  </r>
  <r>
    <n v="2999"/>
    <s v="CA-2014-138317"/>
    <d v="2014-06-21T00:00:00"/>
    <x v="2"/>
    <s v="Q2"/>
    <x v="3"/>
    <d v="2014-06-25T00:00:00"/>
    <s v="Standard Class"/>
    <x v="508"/>
    <x v="508"/>
    <s v="Consumer"/>
    <s v="United States"/>
    <s v="Philadelphia"/>
    <x v="9"/>
    <n v="19120"/>
    <x v="3"/>
    <x v="246"/>
    <x v="2"/>
    <x v="11"/>
    <x v="247"/>
    <n v="95.968000000000004"/>
    <s v="Medium"/>
    <n v="4"/>
    <n v="0.2"/>
    <x v="2"/>
    <x v="2"/>
    <n v="28.790400000000002"/>
    <n v="0.3"/>
    <n v="0"/>
  </r>
  <r>
    <n v="3000"/>
    <s v="CA-2014-138317"/>
    <d v="2014-06-21T00:00:00"/>
    <x v="2"/>
    <s v="Q2"/>
    <x v="3"/>
    <d v="2014-06-25T00:00:00"/>
    <s v="Standard Class"/>
    <x v="508"/>
    <x v="508"/>
    <s v="Consumer"/>
    <s v="United States"/>
    <s v="Philadelphia"/>
    <x v="9"/>
    <n v="19120"/>
    <x v="3"/>
    <x v="1468"/>
    <x v="2"/>
    <x v="15"/>
    <x v="1455"/>
    <n v="206.99100000000001"/>
    <s v="High"/>
    <n v="3"/>
    <n v="0.7"/>
    <x v="1"/>
    <x v="5"/>
    <n v="-172.49250000000001"/>
    <n v="-0.83333333333333326"/>
    <n v="1"/>
  </r>
  <r>
    <n v="3001"/>
    <s v="CA-2014-138317"/>
    <d v="2014-06-21T00:00:00"/>
    <x v="2"/>
    <s v="Q2"/>
    <x v="3"/>
    <d v="2014-06-25T00:00:00"/>
    <s v="Standard Class"/>
    <x v="508"/>
    <x v="508"/>
    <s v="Consumer"/>
    <s v="United States"/>
    <s v="Philadelphia"/>
    <x v="9"/>
    <n v="19120"/>
    <x v="3"/>
    <x v="1109"/>
    <x v="1"/>
    <x v="9"/>
    <x v="1098"/>
    <n v="44.415999999999997"/>
    <s v="Medium"/>
    <n v="2"/>
    <n v="0.2"/>
    <x v="2"/>
    <x v="2"/>
    <n v="3.8864000000000001"/>
    <n v="8.7500000000000008E-2"/>
    <n v="0"/>
  </r>
  <r>
    <n v="3002"/>
    <s v="CA-2014-138317"/>
    <d v="2014-06-21T00:00:00"/>
    <x v="2"/>
    <s v="Q2"/>
    <x v="3"/>
    <d v="2014-06-25T00:00:00"/>
    <s v="Standard Class"/>
    <x v="508"/>
    <x v="508"/>
    <s v="Consumer"/>
    <s v="United States"/>
    <s v="Philadelphia"/>
    <x v="9"/>
    <n v="19120"/>
    <x v="3"/>
    <x v="491"/>
    <x v="1"/>
    <x v="8"/>
    <x v="491"/>
    <n v="9.0060000000000002"/>
    <s v="Low"/>
    <n v="2"/>
    <n v="0.7"/>
    <x v="1"/>
    <x v="5"/>
    <n v="-7.2047999999999996"/>
    <n v="-0.79999999999999993"/>
    <n v="1"/>
  </r>
  <r>
    <n v="3003"/>
    <s v="CA-2015-130610"/>
    <d v="2015-07-05T00:00:00"/>
    <x v="1"/>
    <s v="Q3"/>
    <x v="38"/>
    <d v="2015-07-10T00:00:00"/>
    <s v="Standard Class"/>
    <x v="163"/>
    <x v="163"/>
    <s v="Home Office"/>
    <s v="United States"/>
    <s v="Sterling Heights"/>
    <x v="12"/>
    <n v="48310"/>
    <x v="2"/>
    <x v="1469"/>
    <x v="1"/>
    <x v="8"/>
    <x v="1456"/>
    <n v="19"/>
    <s v="Low"/>
    <n v="5"/>
    <n v="0"/>
    <x v="0"/>
    <x v="0"/>
    <n v="8.93"/>
    <n v="0.47"/>
    <n v="0"/>
  </r>
  <r>
    <n v="3004"/>
    <s v="CA-2017-104381"/>
    <d v="2017-12-16T00:00:00"/>
    <x v="3"/>
    <s v="Q4"/>
    <x v="22"/>
    <d v="2017-12-23T00:00:00"/>
    <s v="Standard Class"/>
    <x v="279"/>
    <x v="279"/>
    <s v="Home Office"/>
    <s v="United States"/>
    <s v="Rochester"/>
    <x v="15"/>
    <n v="14609"/>
    <x v="3"/>
    <x v="1124"/>
    <x v="1"/>
    <x v="8"/>
    <x v="1112"/>
    <n v="33.375999999999998"/>
    <s v="Medium"/>
    <n v="4"/>
    <n v="0.2"/>
    <x v="2"/>
    <x v="2"/>
    <n v="10.43"/>
    <n v="0.3125"/>
    <n v="0"/>
  </r>
  <r>
    <n v="3005"/>
    <s v="CA-2016-131499"/>
    <d v="2016-09-08T00:00:00"/>
    <x v="0"/>
    <s v="Q3"/>
    <x v="21"/>
    <d v="2016-09-10T00:00:00"/>
    <s v="First Class"/>
    <x v="675"/>
    <x v="675"/>
    <s v="Home Office"/>
    <s v="United States"/>
    <s v="New York City"/>
    <x v="15"/>
    <n v="10011"/>
    <x v="3"/>
    <x v="1470"/>
    <x v="1"/>
    <x v="9"/>
    <x v="1457"/>
    <n v="207.48"/>
    <s v="High"/>
    <n v="1"/>
    <n v="0"/>
    <x v="0"/>
    <x v="0"/>
    <n v="62.244"/>
    <n v="0.3"/>
    <n v="0"/>
  </r>
  <r>
    <n v="3006"/>
    <s v="CA-2014-148761"/>
    <d v="2014-05-17T00:00:00"/>
    <x v="2"/>
    <s v="Q2"/>
    <x v="8"/>
    <d v="2014-05-21T00:00:00"/>
    <s v="Standard Class"/>
    <x v="50"/>
    <x v="50"/>
    <s v="Home Office"/>
    <s v="United States"/>
    <s v="Eau Claire"/>
    <x v="6"/>
    <n v="54703"/>
    <x v="2"/>
    <x v="997"/>
    <x v="1"/>
    <x v="8"/>
    <x v="989"/>
    <n v="91.68"/>
    <s v="Medium"/>
    <n v="3"/>
    <n v="0"/>
    <x v="0"/>
    <x v="0"/>
    <n v="45.84"/>
    <n v="0.5"/>
    <n v="0"/>
  </r>
  <r>
    <n v="3007"/>
    <s v="CA-2017-116519"/>
    <d v="2017-10-13T00:00:00"/>
    <x v="3"/>
    <s v="Q4"/>
    <x v="13"/>
    <d v="2017-10-15T00:00:00"/>
    <s v="First Class"/>
    <x v="257"/>
    <x v="257"/>
    <s v="Consumer"/>
    <s v="United States"/>
    <s v="New York City"/>
    <x v="15"/>
    <n v="10009"/>
    <x v="3"/>
    <x v="1107"/>
    <x v="1"/>
    <x v="9"/>
    <x v="1096"/>
    <n v="904.9"/>
    <s v="High"/>
    <n v="5"/>
    <n v="0"/>
    <x v="0"/>
    <x v="0"/>
    <n v="253.37200000000001"/>
    <n v="0.28000000000000003"/>
    <n v="0"/>
  </r>
  <r>
    <n v="3008"/>
    <s v="CA-2014-130729"/>
    <d v="2014-10-24T00:00:00"/>
    <x v="2"/>
    <s v="Q4"/>
    <x v="18"/>
    <d v="2014-10-29T00:00:00"/>
    <s v="Standard Class"/>
    <x v="211"/>
    <x v="211"/>
    <s v="Consumer"/>
    <s v="United States"/>
    <s v="Rancho Cucamonga"/>
    <x v="1"/>
    <n v="91730"/>
    <x v="1"/>
    <x v="276"/>
    <x v="1"/>
    <x v="8"/>
    <x v="276"/>
    <n v="34.271999999999998"/>
    <s v="Medium"/>
    <n v="3"/>
    <n v="0.2"/>
    <x v="2"/>
    <x v="2"/>
    <n v="11.138400000000001"/>
    <n v="0.32500000000000001"/>
    <n v="0"/>
  </r>
  <r>
    <n v="3009"/>
    <s v="CA-2016-124772"/>
    <d v="2016-12-05T00:00:00"/>
    <x v="0"/>
    <s v="Q4"/>
    <x v="5"/>
    <d v="2016-12-06T00:00:00"/>
    <s v="First Class"/>
    <x v="506"/>
    <x v="506"/>
    <s v="Consumer"/>
    <s v="United States"/>
    <s v="Murray"/>
    <x v="0"/>
    <n v="42071"/>
    <x v="0"/>
    <x v="1268"/>
    <x v="0"/>
    <x v="5"/>
    <x v="1252"/>
    <n v="191.82"/>
    <s v="High"/>
    <n v="3"/>
    <n v="0"/>
    <x v="0"/>
    <x v="0"/>
    <n v="74.809799999999996"/>
    <n v="0.39"/>
    <n v="0"/>
  </r>
  <r>
    <n v="3010"/>
    <s v="CA-2016-115525"/>
    <d v="2016-07-25T00:00:00"/>
    <x v="0"/>
    <s v="Q3"/>
    <x v="16"/>
    <d v="2016-07-29T00:00:00"/>
    <s v="Standard Class"/>
    <x v="645"/>
    <x v="645"/>
    <s v="Corporate"/>
    <s v="United States"/>
    <s v="Toledo"/>
    <x v="24"/>
    <n v="43615"/>
    <x v="3"/>
    <x v="1306"/>
    <x v="1"/>
    <x v="9"/>
    <x v="1291"/>
    <n v="243.88"/>
    <s v="High"/>
    <n v="5"/>
    <n v="0.2"/>
    <x v="2"/>
    <x v="2"/>
    <n v="27.436499999999999"/>
    <n v="0.1125"/>
    <n v="0"/>
  </r>
  <r>
    <n v="3011"/>
    <s v="CA-2017-134845"/>
    <d v="2017-04-17T00:00:00"/>
    <x v="3"/>
    <s v="Q2"/>
    <x v="4"/>
    <d v="2017-04-23T00:00:00"/>
    <s v="Standard Class"/>
    <x v="676"/>
    <x v="676"/>
    <s v="Home Office"/>
    <s v="United States"/>
    <s v="Louisville"/>
    <x v="22"/>
    <n v="80027"/>
    <x v="1"/>
    <x v="385"/>
    <x v="1"/>
    <x v="8"/>
    <x v="386"/>
    <n v="12.03"/>
    <s v="Low"/>
    <n v="5"/>
    <n v="0.7"/>
    <x v="1"/>
    <x v="5"/>
    <n v="-9.2230000000000008"/>
    <n v="-0.76666666666666672"/>
    <n v="1"/>
  </r>
  <r>
    <n v="3012"/>
    <s v="CA-2017-134845"/>
    <d v="2017-04-17T00:00:00"/>
    <x v="3"/>
    <s v="Q2"/>
    <x v="4"/>
    <d v="2017-04-23T00:00:00"/>
    <s v="Standard Class"/>
    <x v="676"/>
    <x v="676"/>
    <s v="Home Office"/>
    <s v="United States"/>
    <s v="Louisville"/>
    <x v="22"/>
    <n v="80027"/>
    <x v="1"/>
    <x v="155"/>
    <x v="2"/>
    <x v="15"/>
    <x v="156"/>
    <n v="2549.9850000000001"/>
    <s v="High"/>
    <n v="5"/>
    <n v="0.7"/>
    <x v="1"/>
    <x v="5"/>
    <n v="-3399.98"/>
    <n v="-1.3333333333333333"/>
    <n v="1"/>
  </r>
  <r>
    <n v="3013"/>
    <s v="CA-2017-134845"/>
    <d v="2017-04-17T00:00:00"/>
    <x v="3"/>
    <s v="Q2"/>
    <x v="4"/>
    <d v="2017-04-23T00:00:00"/>
    <s v="Standard Class"/>
    <x v="676"/>
    <x v="676"/>
    <s v="Home Office"/>
    <s v="United States"/>
    <s v="Louisville"/>
    <x v="22"/>
    <n v="80027"/>
    <x v="1"/>
    <x v="379"/>
    <x v="1"/>
    <x v="8"/>
    <x v="380"/>
    <n v="21.594000000000001"/>
    <s v="Low"/>
    <n v="2"/>
    <n v="0.7"/>
    <x v="1"/>
    <x v="5"/>
    <n v="-15.835599999999999"/>
    <n v="-0.73333333333333328"/>
    <n v="1"/>
  </r>
  <r>
    <n v="3014"/>
    <s v="CA-2017-134845"/>
    <d v="2017-04-17T00:00:00"/>
    <x v="3"/>
    <s v="Q2"/>
    <x v="4"/>
    <d v="2017-04-23T00:00:00"/>
    <s v="Standard Class"/>
    <x v="676"/>
    <x v="676"/>
    <s v="Home Office"/>
    <s v="United States"/>
    <s v="Louisville"/>
    <x v="22"/>
    <n v="80027"/>
    <x v="1"/>
    <x v="591"/>
    <x v="1"/>
    <x v="8"/>
    <x v="591"/>
    <n v="8.9640000000000004"/>
    <s v="Low"/>
    <n v="6"/>
    <n v="0.7"/>
    <x v="1"/>
    <x v="5"/>
    <n v="-6.5735999999999999"/>
    <n v="-0.73333333333333328"/>
    <n v="1"/>
  </r>
  <r>
    <n v="3015"/>
    <s v="CA-2017-134845"/>
    <d v="2017-04-17T00:00:00"/>
    <x v="3"/>
    <s v="Q2"/>
    <x v="4"/>
    <d v="2017-04-23T00:00:00"/>
    <s v="Standard Class"/>
    <x v="676"/>
    <x v="676"/>
    <s v="Home Office"/>
    <s v="United States"/>
    <s v="Louisville"/>
    <x v="22"/>
    <n v="80027"/>
    <x v="1"/>
    <x v="510"/>
    <x v="1"/>
    <x v="10"/>
    <x v="510"/>
    <n v="20.736000000000001"/>
    <s v="Low"/>
    <n v="4"/>
    <n v="0.2"/>
    <x v="2"/>
    <x v="2"/>
    <n v="7.2576000000000001"/>
    <n v="0.35"/>
    <n v="0"/>
  </r>
  <r>
    <n v="3016"/>
    <s v="US-2015-138919"/>
    <d v="2015-09-17T00:00:00"/>
    <x v="1"/>
    <s v="Q3"/>
    <x v="11"/>
    <d v="2015-09-21T00:00:00"/>
    <s v="Standard Class"/>
    <x v="60"/>
    <x v="60"/>
    <s v="Home Office"/>
    <s v="United States"/>
    <s v="New York City"/>
    <x v="15"/>
    <n v="10035"/>
    <x v="3"/>
    <x v="738"/>
    <x v="0"/>
    <x v="3"/>
    <x v="737"/>
    <n v="344.22"/>
    <s v="High"/>
    <n v="2"/>
    <n v="0.4"/>
    <x v="1"/>
    <x v="7"/>
    <n v="-103.26600000000001"/>
    <n v="-0.3"/>
    <n v="1"/>
  </r>
  <r>
    <n v="3017"/>
    <s v="US-2016-160528"/>
    <d v="2016-08-23T00:00:00"/>
    <x v="0"/>
    <s v="Q3"/>
    <x v="28"/>
    <d v="2016-08-30T00:00:00"/>
    <s v="Standard Class"/>
    <x v="414"/>
    <x v="414"/>
    <s v="Home Office"/>
    <s v="United States"/>
    <s v="Pharr"/>
    <x v="5"/>
    <n v="78577"/>
    <x v="2"/>
    <x v="418"/>
    <x v="1"/>
    <x v="4"/>
    <x v="418"/>
    <n v="727.29600000000005"/>
    <s v="High"/>
    <n v="8"/>
    <n v="0.2"/>
    <x v="2"/>
    <x v="2"/>
    <n v="-172.7328"/>
    <n v="-0.23749999999999999"/>
    <n v="1"/>
  </r>
  <r>
    <n v="3018"/>
    <s v="US-2016-160528"/>
    <d v="2016-08-23T00:00:00"/>
    <x v="0"/>
    <s v="Q3"/>
    <x v="28"/>
    <d v="2016-08-30T00:00:00"/>
    <s v="Standard Class"/>
    <x v="414"/>
    <x v="414"/>
    <s v="Home Office"/>
    <s v="United States"/>
    <s v="Pharr"/>
    <x v="5"/>
    <n v="78577"/>
    <x v="2"/>
    <x v="1155"/>
    <x v="0"/>
    <x v="5"/>
    <x v="1143"/>
    <n v="22.608000000000001"/>
    <s v="Low"/>
    <n v="3"/>
    <n v="0.6"/>
    <x v="1"/>
    <x v="6"/>
    <n v="-10.1736"/>
    <n v="-0.45"/>
    <n v="1"/>
  </r>
  <r>
    <n v="3019"/>
    <s v="US-2016-160528"/>
    <d v="2016-08-23T00:00:00"/>
    <x v="0"/>
    <s v="Q3"/>
    <x v="28"/>
    <d v="2016-08-30T00:00:00"/>
    <s v="Standard Class"/>
    <x v="414"/>
    <x v="414"/>
    <s v="Home Office"/>
    <s v="United States"/>
    <s v="Pharr"/>
    <x v="5"/>
    <n v="78577"/>
    <x v="2"/>
    <x v="1200"/>
    <x v="2"/>
    <x v="11"/>
    <x v="1185"/>
    <n v="666.4"/>
    <s v="High"/>
    <n v="7"/>
    <n v="0.2"/>
    <x v="2"/>
    <x v="2"/>
    <n v="-33.32"/>
    <n v="-0.05"/>
    <n v="1"/>
  </r>
  <r>
    <n v="3020"/>
    <s v="CA-2015-123568"/>
    <d v="2015-11-08T00:00:00"/>
    <x v="1"/>
    <s v="Q4"/>
    <x v="6"/>
    <d v="2015-11-14T00:00:00"/>
    <s v="Standard Class"/>
    <x v="183"/>
    <x v="183"/>
    <s v="Consumer"/>
    <s v="United States"/>
    <s v="West Jordan"/>
    <x v="7"/>
    <n v="84084"/>
    <x v="1"/>
    <x v="1471"/>
    <x v="1"/>
    <x v="13"/>
    <x v="1458"/>
    <n v="5.04"/>
    <s v="Low"/>
    <n v="3"/>
    <n v="0"/>
    <x v="0"/>
    <x v="0"/>
    <n v="0.2016"/>
    <n v="0.04"/>
    <n v="0"/>
  </r>
  <r>
    <n v="3021"/>
    <s v="CA-2015-123568"/>
    <d v="2015-11-08T00:00:00"/>
    <x v="1"/>
    <s v="Q4"/>
    <x v="6"/>
    <d v="2015-11-14T00:00:00"/>
    <s v="Standard Class"/>
    <x v="183"/>
    <x v="183"/>
    <s v="Consumer"/>
    <s v="United States"/>
    <s v="West Jordan"/>
    <x v="7"/>
    <n v="84084"/>
    <x v="1"/>
    <x v="1030"/>
    <x v="1"/>
    <x v="10"/>
    <x v="1021"/>
    <n v="92.94"/>
    <s v="Medium"/>
    <n v="3"/>
    <n v="0"/>
    <x v="0"/>
    <x v="0"/>
    <n v="41.823"/>
    <n v="0.45"/>
    <n v="0"/>
  </r>
  <r>
    <n v="3022"/>
    <s v="CA-2015-123568"/>
    <d v="2015-11-08T00:00:00"/>
    <x v="1"/>
    <s v="Q4"/>
    <x v="6"/>
    <d v="2015-11-14T00:00:00"/>
    <s v="Standard Class"/>
    <x v="183"/>
    <x v="183"/>
    <s v="Consumer"/>
    <s v="United States"/>
    <s v="West Jordan"/>
    <x v="7"/>
    <n v="84084"/>
    <x v="1"/>
    <x v="642"/>
    <x v="0"/>
    <x v="5"/>
    <x v="642"/>
    <n v="66.69"/>
    <s v="Medium"/>
    <n v="3"/>
    <n v="0"/>
    <x v="0"/>
    <x v="0"/>
    <n v="22.0077"/>
    <n v="0.33"/>
    <n v="0"/>
  </r>
  <r>
    <n v="3023"/>
    <s v="CA-2015-123568"/>
    <d v="2015-11-08T00:00:00"/>
    <x v="1"/>
    <s v="Q4"/>
    <x v="6"/>
    <d v="2015-11-14T00:00:00"/>
    <s v="Standard Class"/>
    <x v="183"/>
    <x v="183"/>
    <s v="Consumer"/>
    <s v="United States"/>
    <s v="West Jordan"/>
    <x v="7"/>
    <n v="84084"/>
    <x v="1"/>
    <x v="710"/>
    <x v="1"/>
    <x v="8"/>
    <x v="709"/>
    <n v="91.68"/>
    <s v="Medium"/>
    <n v="5"/>
    <n v="0.2"/>
    <x v="2"/>
    <x v="2"/>
    <n v="28.65"/>
    <n v="0.31249999999999994"/>
    <n v="0"/>
  </r>
  <r>
    <n v="3024"/>
    <s v="CA-2017-124674"/>
    <d v="2017-11-17T00:00:00"/>
    <x v="3"/>
    <s v="Q4"/>
    <x v="23"/>
    <d v="2017-11-23T00:00:00"/>
    <s v="Standard Class"/>
    <x v="677"/>
    <x v="677"/>
    <s v="Consumer"/>
    <s v="United States"/>
    <s v="Brownsville"/>
    <x v="5"/>
    <n v="78521"/>
    <x v="2"/>
    <x v="1275"/>
    <x v="0"/>
    <x v="0"/>
    <x v="1260"/>
    <n v="327.7328"/>
    <s v="High"/>
    <n v="2"/>
    <n v="0.32"/>
    <x v="1"/>
    <x v="7"/>
    <n v="-14.4588"/>
    <n v="-4.4117647058823532E-2"/>
    <n v="1"/>
  </r>
  <r>
    <n v="3025"/>
    <s v="CA-2015-164441"/>
    <d v="2015-11-08T00:00:00"/>
    <x v="1"/>
    <s v="Q4"/>
    <x v="6"/>
    <d v="2015-11-13T00:00:00"/>
    <s v="Standard Class"/>
    <x v="549"/>
    <x v="549"/>
    <s v="Consumer"/>
    <s v="United States"/>
    <s v="New York City"/>
    <x v="15"/>
    <n v="10011"/>
    <x v="3"/>
    <x v="305"/>
    <x v="1"/>
    <x v="8"/>
    <x v="305"/>
    <n v="52.271999999999998"/>
    <s v="Medium"/>
    <n v="11"/>
    <n v="0.2"/>
    <x v="2"/>
    <x v="2"/>
    <n v="17.6418"/>
    <n v="0.33750000000000002"/>
    <n v="0"/>
  </r>
  <r>
    <n v="3026"/>
    <s v="CA-2015-164441"/>
    <d v="2015-11-08T00:00:00"/>
    <x v="1"/>
    <s v="Q4"/>
    <x v="6"/>
    <d v="2015-11-13T00:00:00"/>
    <s v="Standard Class"/>
    <x v="549"/>
    <x v="549"/>
    <s v="Consumer"/>
    <s v="United States"/>
    <s v="New York City"/>
    <x v="15"/>
    <n v="10011"/>
    <x v="3"/>
    <x v="457"/>
    <x v="1"/>
    <x v="10"/>
    <x v="458"/>
    <n v="17.940000000000001"/>
    <s v="Low"/>
    <n v="3"/>
    <n v="0"/>
    <x v="0"/>
    <x v="0"/>
    <n v="8.0730000000000004"/>
    <n v="0.45"/>
    <n v="0"/>
  </r>
  <r>
    <n v="3027"/>
    <s v="CA-2017-169054"/>
    <d v="2017-04-22T00:00:00"/>
    <x v="3"/>
    <s v="Q2"/>
    <x v="4"/>
    <d v="2017-04-26T00:00:00"/>
    <s v="Standard Class"/>
    <x v="246"/>
    <x v="246"/>
    <s v="Home Office"/>
    <s v="United States"/>
    <s v="Philadelphia"/>
    <x v="9"/>
    <n v="19140"/>
    <x v="3"/>
    <x v="1060"/>
    <x v="0"/>
    <x v="5"/>
    <x v="1049"/>
    <n v="254.352"/>
    <s v="High"/>
    <n v="3"/>
    <n v="0.2"/>
    <x v="2"/>
    <x v="2"/>
    <n v="0"/>
    <n v="0"/>
    <n v="0"/>
  </r>
  <r>
    <n v="3028"/>
    <s v="CA-2014-106719"/>
    <d v="2014-08-24T00:00:00"/>
    <x v="2"/>
    <s v="Q3"/>
    <x v="9"/>
    <d v="2014-08-24T00:00:00"/>
    <s v="Same Day"/>
    <x v="516"/>
    <x v="516"/>
    <s v="Corporate"/>
    <s v="United States"/>
    <s v="Billings"/>
    <x v="37"/>
    <n v="59102"/>
    <x v="1"/>
    <x v="1472"/>
    <x v="1"/>
    <x v="8"/>
    <x v="1459"/>
    <n v="8.2880000000000003"/>
    <s v="Low"/>
    <n v="2"/>
    <n v="0.2"/>
    <x v="2"/>
    <x v="2"/>
    <n v="2.6936"/>
    <n v="0.32500000000000001"/>
    <n v="0"/>
  </r>
  <r>
    <n v="3029"/>
    <s v="CA-2017-116855"/>
    <d v="2017-12-17T00:00:00"/>
    <x v="3"/>
    <s v="Q4"/>
    <x v="22"/>
    <d v="2017-12-21T00:00:00"/>
    <s v="Standard Class"/>
    <x v="482"/>
    <x v="482"/>
    <s v="Consumer"/>
    <s v="United States"/>
    <s v="Chesapeake"/>
    <x v="17"/>
    <n v="23320"/>
    <x v="0"/>
    <x v="931"/>
    <x v="0"/>
    <x v="1"/>
    <x v="924"/>
    <n v="504.9"/>
    <s v="High"/>
    <n v="5"/>
    <n v="0"/>
    <x v="0"/>
    <x v="0"/>
    <n v="80.784000000000006"/>
    <n v="0.16000000000000003"/>
    <n v="0"/>
  </r>
  <r>
    <n v="3030"/>
    <s v="US-2016-164189"/>
    <d v="2016-03-24T00:00:00"/>
    <x v="0"/>
    <s v="Q1"/>
    <x v="17"/>
    <d v="2016-03-28T00:00:00"/>
    <s v="Standard Class"/>
    <x v="112"/>
    <x v="112"/>
    <s v="Corporate"/>
    <s v="United States"/>
    <s v="Gresham"/>
    <x v="21"/>
    <n v="97030"/>
    <x v="1"/>
    <x v="1419"/>
    <x v="2"/>
    <x v="7"/>
    <x v="1407"/>
    <n v="403.16800000000001"/>
    <s v="High"/>
    <n v="4"/>
    <n v="0.2"/>
    <x v="2"/>
    <x v="2"/>
    <n v="25.198"/>
    <n v="6.25E-2"/>
    <n v="0"/>
  </r>
  <r>
    <n v="3031"/>
    <s v="CA-2015-168480"/>
    <d v="2015-09-21T00:00:00"/>
    <x v="1"/>
    <s v="Q3"/>
    <x v="11"/>
    <d v="2015-09-27T00:00:00"/>
    <s v="Standard Class"/>
    <x v="678"/>
    <x v="678"/>
    <s v="Corporate"/>
    <s v="United States"/>
    <s v="Lincoln Park"/>
    <x v="12"/>
    <n v="48146"/>
    <x v="2"/>
    <x v="1195"/>
    <x v="0"/>
    <x v="0"/>
    <x v="1180"/>
    <n v="194.32"/>
    <s v="High"/>
    <n v="4"/>
    <n v="0"/>
    <x v="0"/>
    <x v="0"/>
    <n v="31.091200000000001"/>
    <n v="0.16"/>
    <n v="0"/>
  </r>
  <r>
    <n v="3032"/>
    <s v="CA-2015-168480"/>
    <d v="2015-09-21T00:00:00"/>
    <x v="1"/>
    <s v="Q3"/>
    <x v="11"/>
    <d v="2015-09-27T00:00:00"/>
    <s v="Standard Class"/>
    <x v="678"/>
    <x v="678"/>
    <s v="Corporate"/>
    <s v="United States"/>
    <s v="Lincoln Park"/>
    <x v="12"/>
    <n v="48146"/>
    <x v="2"/>
    <x v="1062"/>
    <x v="1"/>
    <x v="6"/>
    <x v="1051"/>
    <n v="25.99"/>
    <s v="Medium"/>
    <n v="1"/>
    <n v="0"/>
    <x v="0"/>
    <x v="0"/>
    <n v="7.5370999999999997"/>
    <n v="0.28999999999999998"/>
    <n v="0"/>
  </r>
  <r>
    <n v="3033"/>
    <s v="US-2016-114293"/>
    <d v="2016-11-21T00:00:00"/>
    <x v="0"/>
    <s v="Q4"/>
    <x v="0"/>
    <d v="2016-11-26T00:00:00"/>
    <s v="Standard Class"/>
    <x v="423"/>
    <x v="423"/>
    <s v="Consumer"/>
    <s v="United States"/>
    <s v="Gresham"/>
    <x v="21"/>
    <n v="97030"/>
    <x v="1"/>
    <x v="1225"/>
    <x v="0"/>
    <x v="1"/>
    <x v="1209"/>
    <n v="195.136"/>
    <s v="High"/>
    <n v="4"/>
    <n v="0.2"/>
    <x v="2"/>
    <x v="2"/>
    <n v="-12.196"/>
    <n v="-6.25E-2"/>
    <n v="1"/>
  </r>
  <r>
    <n v="3034"/>
    <s v="CA-2017-134173"/>
    <d v="2017-09-16T00:00:00"/>
    <x v="3"/>
    <s v="Q3"/>
    <x v="15"/>
    <d v="2017-09-21T00:00:00"/>
    <s v="Standard Class"/>
    <x v="144"/>
    <x v="144"/>
    <s v="Home Office"/>
    <s v="United States"/>
    <s v="Philadelphia"/>
    <x v="9"/>
    <n v="19143"/>
    <x v="3"/>
    <x v="1114"/>
    <x v="1"/>
    <x v="10"/>
    <x v="1103"/>
    <n v="20.736000000000001"/>
    <s v="Low"/>
    <n v="4"/>
    <n v="0.2"/>
    <x v="2"/>
    <x v="2"/>
    <n v="7.2576000000000001"/>
    <n v="0.35"/>
    <n v="0"/>
  </r>
  <r>
    <n v="3035"/>
    <s v="US-2015-123960"/>
    <d v="2015-06-11T00:00:00"/>
    <x v="1"/>
    <s v="Q2"/>
    <x v="40"/>
    <d v="2015-06-16T00:00:00"/>
    <s v="Standard Class"/>
    <x v="205"/>
    <x v="205"/>
    <s v="Consumer"/>
    <s v="United States"/>
    <s v="Monroe"/>
    <x v="28"/>
    <n v="71203"/>
    <x v="0"/>
    <x v="1044"/>
    <x v="2"/>
    <x v="11"/>
    <x v="1033"/>
    <n v="53.7"/>
    <s v="Medium"/>
    <n v="6"/>
    <n v="0"/>
    <x v="0"/>
    <x v="0"/>
    <n v="10.202999999999999"/>
    <n v="0.18999999999999997"/>
    <n v="0"/>
  </r>
  <r>
    <n v="3036"/>
    <s v="US-2015-123960"/>
    <d v="2015-06-11T00:00:00"/>
    <x v="1"/>
    <s v="Q2"/>
    <x v="40"/>
    <d v="2015-06-16T00:00:00"/>
    <s v="Standard Class"/>
    <x v="205"/>
    <x v="205"/>
    <s v="Consumer"/>
    <s v="United States"/>
    <s v="Monroe"/>
    <x v="28"/>
    <n v="71203"/>
    <x v="0"/>
    <x v="1472"/>
    <x v="1"/>
    <x v="8"/>
    <x v="1459"/>
    <n v="36.26"/>
    <s v="Medium"/>
    <n v="7"/>
    <n v="0"/>
    <x v="0"/>
    <x v="0"/>
    <n v="16.679600000000001"/>
    <n v="0.46"/>
    <n v="0"/>
  </r>
  <r>
    <n v="3037"/>
    <s v="US-2015-123960"/>
    <d v="2015-06-11T00:00:00"/>
    <x v="1"/>
    <s v="Q2"/>
    <x v="40"/>
    <d v="2015-06-16T00:00:00"/>
    <s v="Standard Class"/>
    <x v="205"/>
    <x v="205"/>
    <s v="Consumer"/>
    <s v="United States"/>
    <s v="Monroe"/>
    <x v="28"/>
    <n v="71203"/>
    <x v="0"/>
    <x v="1473"/>
    <x v="1"/>
    <x v="6"/>
    <x v="1460"/>
    <n v="56.3"/>
    <s v="Medium"/>
    <n v="2"/>
    <n v="0"/>
    <x v="0"/>
    <x v="0"/>
    <n v="15.763999999999999"/>
    <n v="0.28000000000000003"/>
    <n v="0"/>
  </r>
  <r>
    <n v="3038"/>
    <s v="US-2015-123960"/>
    <d v="2015-06-11T00:00:00"/>
    <x v="1"/>
    <s v="Q2"/>
    <x v="40"/>
    <d v="2015-06-16T00:00:00"/>
    <s v="Standard Class"/>
    <x v="205"/>
    <x v="205"/>
    <s v="Consumer"/>
    <s v="United States"/>
    <s v="Monroe"/>
    <x v="28"/>
    <n v="71203"/>
    <x v="0"/>
    <x v="498"/>
    <x v="1"/>
    <x v="10"/>
    <x v="498"/>
    <n v="32.4"/>
    <s v="Medium"/>
    <n v="5"/>
    <n v="0"/>
    <x v="0"/>
    <x v="0"/>
    <n v="15.552"/>
    <n v="0.48"/>
    <n v="0"/>
  </r>
  <r>
    <n v="3039"/>
    <s v="US-2015-123960"/>
    <d v="2015-06-11T00:00:00"/>
    <x v="1"/>
    <s v="Q2"/>
    <x v="40"/>
    <d v="2015-06-16T00:00:00"/>
    <s v="Standard Class"/>
    <x v="205"/>
    <x v="205"/>
    <s v="Consumer"/>
    <s v="United States"/>
    <s v="Monroe"/>
    <x v="28"/>
    <n v="71203"/>
    <x v="0"/>
    <x v="1474"/>
    <x v="0"/>
    <x v="5"/>
    <x v="1461"/>
    <n v="29.16"/>
    <s v="Medium"/>
    <n v="2"/>
    <n v="0"/>
    <x v="0"/>
    <x v="0"/>
    <n v="10.789199999999999"/>
    <n v="0.37"/>
    <n v="0"/>
  </r>
  <r>
    <n v="3040"/>
    <s v="CA-2017-101749"/>
    <d v="2017-10-03T00:00:00"/>
    <x v="3"/>
    <s v="Q4"/>
    <x v="13"/>
    <d v="2017-10-08T00:00:00"/>
    <s v="Standard Class"/>
    <x v="442"/>
    <x v="442"/>
    <s v="Corporate"/>
    <s v="United States"/>
    <s v="Pasadena"/>
    <x v="1"/>
    <n v="91104"/>
    <x v="1"/>
    <x v="719"/>
    <x v="0"/>
    <x v="3"/>
    <x v="718"/>
    <n v="171.28800000000001"/>
    <s v="High"/>
    <n v="3"/>
    <n v="0.2"/>
    <x v="2"/>
    <x v="2"/>
    <n v="-6.4233000000000002"/>
    <n v="-3.7499999999999999E-2"/>
    <n v="1"/>
  </r>
  <r>
    <n v="3041"/>
    <s v="US-2016-147991"/>
    <d v="2016-05-05T00:00:00"/>
    <x v="0"/>
    <s v="Q2"/>
    <x v="35"/>
    <d v="2016-05-09T00:00:00"/>
    <s v="Standard Class"/>
    <x v="9"/>
    <x v="9"/>
    <s v="Consumer"/>
    <s v="United States"/>
    <s v="Chattanooga"/>
    <x v="18"/>
    <n v="37421"/>
    <x v="0"/>
    <x v="1006"/>
    <x v="0"/>
    <x v="5"/>
    <x v="998"/>
    <n v="16.72"/>
    <s v="Low"/>
    <n v="5"/>
    <n v="0.2"/>
    <x v="2"/>
    <x v="2"/>
    <n v="3.3439999999999999"/>
    <n v="0.2"/>
    <n v="0"/>
  </r>
  <r>
    <n v="3042"/>
    <s v="CA-2017-149559"/>
    <d v="2017-09-11T00:00:00"/>
    <x v="3"/>
    <s v="Q3"/>
    <x v="15"/>
    <d v="2017-09-12T00:00:00"/>
    <s v="Same Day"/>
    <x v="580"/>
    <x v="580"/>
    <s v="Home Office"/>
    <s v="United States"/>
    <s v="Long Beach"/>
    <x v="1"/>
    <n v="90805"/>
    <x v="1"/>
    <x v="860"/>
    <x v="1"/>
    <x v="10"/>
    <x v="854"/>
    <n v="12.96"/>
    <s v="Low"/>
    <n v="2"/>
    <n v="0"/>
    <x v="0"/>
    <x v="0"/>
    <n v="6.2207999999999997"/>
    <n v="0.47999999999999993"/>
    <n v="0"/>
  </r>
  <r>
    <n v="3043"/>
    <s v="CA-2017-149559"/>
    <d v="2017-09-11T00:00:00"/>
    <x v="3"/>
    <s v="Q3"/>
    <x v="15"/>
    <d v="2017-09-12T00:00:00"/>
    <s v="Same Day"/>
    <x v="580"/>
    <x v="580"/>
    <s v="Home Office"/>
    <s v="United States"/>
    <s v="Long Beach"/>
    <x v="1"/>
    <n v="90805"/>
    <x v="1"/>
    <x v="1475"/>
    <x v="1"/>
    <x v="12"/>
    <x v="1462"/>
    <n v="22.18"/>
    <s v="Low"/>
    <n v="2"/>
    <n v="0"/>
    <x v="0"/>
    <x v="0"/>
    <n v="10.8682"/>
    <n v="0.49"/>
    <n v="0"/>
  </r>
  <r>
    <n v="3044"/>
    <s v="CA-2017-149559"/>
    <d v="2017-09-11T00:00:00"/>
    <x v="3"/>
    <s v="Q3"/>
    <x v="15"/>
    <d v="2017-09-12T00:00:00"/>
    <s v="Same Day"/>
    <x v="580"/>
    <x v="580"/>
    <s v="Home Office"/>
    <s v="United States"/>
    <s v="Long Beach"/>
    <x v="1"/>
    <n v="90805"/>
    <x v="1"/>
    <x v="1476"/>
    <x v="0"/>
    <x v="1"/>
    <x v="1463"/>
    <n v="2054.2719999999999"/>
    <s v="High"/>
    <n v="8"/>
    <n v="0.2"/>
    <x v="2"/>
    <x v="2"/>
    <n v="256.78399999999999"/>
    <n v="0.125"/>
    <n v="0"/>
  </r>
  <r>
    <n v="3045"/>
    <s v="CA-2015-135174"/>
    <d v="2015-04-30T00:00:00"/>
    <x v="1"/>
    <s v="Q2"/>
    <x v="19"/>
    <d v="2015-05-02T00:00:00"/>
    <s v="Second Class"/>
    <x v="546"/>
    <x v="546"/>
    <s v="Consumer"/>
    <s v="United States"/>
    <s v="Troy"/>
    <x v="24"/>
    <n v="45373"/>
    <x v="3"/>
    <x v="638"/>
    <x v="2"/>
    <x v="7"/>
    <x v="638"/>
    <n v="1022.97"/>
    <s v="High"/>
    <n v="5"/>
    <n v="0.4"/>
    <x v="1"/>
    <x v="7"/>
    <n v="-255.74250000000001"/>
    <n v="-0.25"/>
    <n v="1"/>
  </r>
  <r>
    <n v="3046"/>
    <s v="CA-2017-125290"/>
    <d v="2017-11-06T00:00:00"/>
    <x v="3"/>
    <s v="Q4"/>
    <x v="23"/>
    <d v="2017-11-10T00:00:00"/>
    <s v="Second Class"/>
    <x v="254"/>
    <x v="254"/>
    <s v="Home Office"/>
    <s v="United States"/>
    <s v="Minneapolis"/>
    <x v="11"/>
    <n v="55407"/>
    <x v="2"/>
    <x v="1477"/>
    <x v="1"/>
    <x v="6"/>
    <x v="1464"/>
    <n v="13.9"/>
    <s v="Low"/>
    <n v="5"/>
    <n v="0"/>
    <x v="0"/>
    <x v="0"/>
    <n v="3.6139999999999999"/>
    <n v="0.26"/>
    <n v="0"/>
  </r>
  <r>
    <n v="3047"/>
    <s v="CA-2017-125290"/>
    <d v="2017-11-06T00:00:00"/>
    <x v="3"/>
    <s v="Q4"/>
    <x v="23"/>
    <d v="2017-11-10T00:00:00"/>
    <s v="Second Class"/>
    <x v="254"/>
    <x v="254"/>
    <s v="Home Office"/>
    <s v="United States"/>
    <s v="Minneapolis"/>
    <x v="11"/>
    <n v="55407"/>
    <x v="2"/>
    <x v="813"/>
    <x v="1"/>
    <x v="10"/>
    <x v="33"/>
    <n v="26.38"/>
    <s v="Medium"/>
    <n v="1"/>
    <n v="0"/>
    <x v="0"/>
    <x v="0"/>
    <n v="12.1348"/>
    <n v="0.46"/>
    <n v="0"/>
  </r>
  <r>
    <n v="3048"/>
    <s v="CA-2014-137351"/>
    <d v="2014-09-30T00:00:00"/>
    <x v="2"/>
    <s v="Q3"/>
    <x v="30"/>
    <d v="2014-10-04T00:00:00"/>
    <s v="Standard Class"/>
    <x v="140"/>
    <x v="140"/>
    <s v="Consumer"/>
    <s v="United States"/>
    <s v="Seattle"/>
    <x v="4"/>
    <n v="98105"/>
    <x v="1"/>
    <x v="8"/>
    <x v="1"/>
    <x v="8"/>
    <x v="8"/>
    <n v="43.176000000000002"/>
    <s v="Medium"/>
    <n v="7"/>
    <n v="0.2"/>
    <x v="2"/>
    <x v="2"/>
    <n v="13.4925"/>
    <n v="0.3125"/>
    <n v="0"/>
  </r>
  <r>
    <n v="3049"/>
    <s v="CA-2017-121419"/>
    <d v="2017-04-02T00:00:00"/>
    <x v="3"/>
    <s v="Q2"/>
    <x v="4"/>
    <d v="2017-04-04T00:00:00"/>
    <s v="First Class"/>
    <x v="679"/>
    <x v="679"/>
    <s v="Home Office"/>
    <s v="United States"/>
    <s v="Columbus"/>
    <x v="32"/>
    <n v="31907"/>
    <x v="0"/>
    <x v="121"/>
    <x v="0"/>
    <x v="3"/>
    <x v="121"/>
    <n v="411.8"/>
    <s v="High"/>
    <n v="2"/>
    <n v="0"/>
    <x v="0"/>
    <x v="0"/>
    <n v="70.006"/>
    <n v="0.16999999999999998"/>
    <n v="0"/>
  </r>
  <r>
    <n v="3050"/>
    <s v="CA-2017-121419"/>
    <d v="2017-04-02T00:00:00"/>
    <x v="3"/>
    <s v="Q2"/>
    <x v="4"/>
    <d v="2017-04-04T00:00:00"/>
    <s v="First Class"/>
    <x v="679"/>
    <x v="679"/>
    <s v="Home Office"/>
    <s v="United States"/>
    <s v="Columbus"/>
    <x v="32"/>
    <n v="31907"/>
    <x v="0"/>
    <x v="293"/>
    <x v="2"/>
    <x v="11"/>
    <x v="293"/>
    <n v="360"/>
    <s v="High"/>
    <n v="4"/>
    <n v="0"/>
    <x v="0"/>
    <x v="0"/>
    <n v="129.6"/>
    <n v="0.36"/>
    <n v="0"/>
  </r>
  <r>
    <n v="3051"/>
    <s v="US-2017-148054"/>
    <d v="2017-10-06T00:00:00"/>
    <x v="3"/>
    <s v="Q4"/>
    <x v="13"/>
    <d v="2017-10-11T00:00:00"/>
    <s v="Standard Class"/>
    <x v="125"/>
    <x v="125"/>
    <s v="Home Office"/>
    <s v="United States"/>
    <s v="Meridian"/>
    <x v="45"/>
    <n v="83642"/>
    <x v="1"/>
    <x v="1478"/>
    <x v="0"/>
    <x v="5"/>
    <x v="1465"/>
    <n v="41.96"/>
    <s v="Medium"/>
    <n v="2"/>
    <n v="0"/>
    <x v="0"/>
    <x v="0"/>
    <n v="2.9371999999999998"/>
    <n v="6.9999999999999993E-2"/>
    <n v="0"/>
  </r>
  <r>
    <n v="3052"/>
    <s v="US-2017-148054"/>
    <d v="2017-10-06T00:00:00"/>
    <x v="3"/>
    <s v="Q4"/>
    <x v="13"/>
    <d v="2017-10-11T00:00:00"/>
    <s v="Standard Class"/>
    <x v="125"/>
    <x v="125"/>
    <s v="Home Office"/>
    <s v="United States"/>
    <s v="Meridian"/>
    <x v="45"/>
    <n v="83642"/>
    <x v="1"/>
    <x v="1051"/>
    <x v="1"/>
    <x v="9"/>
    <x v="1040"/>
    <n v="227.84"/>
    <s v="High"/>
    <n v="4"/>
    <n v="0"/>
    <x v="0"/>
    <x v="0"/>
    <n v="66.073599999999999"/>
    <n v="0.28999999999999998"/>
    <n v="0"/>
  </r>
  <r>
    <n v="3053"/>
    <s v="US-2017-148054"/>
    <d v="2017-10-06T00:00:00"/>
    <x v="3"/>
    <s v="Q4"/>
    <x v="13"/>
    <d v="2017-10-11T00:00:00"/>
    <s v="Standard Class"/>
    <x v="125"/>
    <x v="125"/>
    <s v="Home Office"/>
    <s v="United States"/>
    <s v="Meridian"/>
    <x v="45"/>
    <n v="83642"/>
    <x v="1"/>
    <x v="1237"/>
    <x v="1"/>
    <x v="10"/>
    <x v="1220"/>
    <n v="37.94"/>
    <s v="Medium"/>
    <n v="2"/>
    <n v="0"/>
    <x v="0"/>
    <x v="0"/>
    <n v="18.211200000000002"/>
    <n v="0.48000000000000009"/>
    <n v="0"/>
  </r>
  <r>
    <n v="3054"/>
    <s v="CA-2016-128517"/>
    <d v="2016-04-09T00:00:00"/>
    <x v="0"/>
    <s v="Q2"/>
    <x v="25"/>
    <d v="2016-04-14T00:00:00"/>
    <s v="Second Class"/>
    <x v="680"/>
    <x v="680"/>
    <s v="Home Office"/>
    <s v="United States"/>
    <s v="Detroit"/>
    <x v="12"/>
    <n v="48227"/>
    <x v="2"/>
    <x v="1367"/>
    <x v="2"/>
    <x v="7"/>
    <x v="1352"/>
    <n v="517.9"/>
    <s v="High"/>
    <n v="2"/>
    <n v="0"/>
    <x v="0"/>
    <x v="0"/>
    <n v="134.654"/>
    <n v="0.26"/>
    <n v="0"/>
  </r>
  <r>
    <n v="3055"/>
    <s v="CA-2016-128517"/>
    <d v="2016-04-09T00:00:00"/>
    <x v="0"/>
    <s v="Q2"/>
    <x v="25"/>
    <d v="2016-04-14T00:00:00"/>
    <s v="Second Class"/>
    <x v="680"/>
    <x v="680"/>
    <s v="Home Office"/>
    <s v="United States"/>
    <s v="Detroit"/>
    <x v="12"/>
    <n v="48227"/>
    <x v="2"/>
    <x v="446"/>
    <x v="1"/>
    <x v="8"/>
    <x v="446"/>
    <n v="5.28"/>
    <s v="Low"/>
    <n v="2"/>
    <n v="0"/>
    <x v="0"/>
    <x v="0"/>
    <n v="2.4287999999999998"/>
    <n v="0.45999999999999996"/>
    <n v="0"/>
  </r>
  <r>
    <n v="3056"/>
    <s v="US-2015-100377"/>
    <d v="2015-08-28T00:00:00"/>
    <x v="1"/>
    <s v="Q3"/>
    <x v="37"/>
    <d v="2015-09-01T00:00:00"/>
    <s v="Standard Class"/>
    <x v="477"/>
    <x v="477"/>
    <s v="Corporate"/>
    <s v="United States"/>
    <s v="Chicago"/>
    <x v="10"/>
    <n v="60623"/>
    <x v="2"/>
    <x v="890"/>
    <x v="2"/>
    <x v="16"/>
    <x v="883"/>
    <n v="2799.96"/>
    <s v="High"/>
    <n v="5"/>
    <n v="0.2"/>
    <x v="2"/>
    <x v="2"/>
    <n v="874.98749999999995"/>
    <n v="0.3125"/>
    <n v="0"/>
  </r>
  <r>
    <n v="3057"/>
    <s v="CA-2017-131492"/>
    <d v="2017-10-19T00:00:00"/>
    <x v="3"/>
    <s v="Q4"/>
    <x v="13"/>
    <d v="2017-10-24T00:00:00"/>
    <s v="Second Class"/>
    <x v="511"/>
    <x v="511"/>
    <s v="Corporate"/>
    <s v="United States"/>
    <s v="San Francisco"/>
    <x v="1"/>
    <n v="94110"/>
    <x v="1"/>
    <x v="1343"/>
    <x v="1"/>
    <x v="12"/>
    <x v="1328"/>
    <n v="8.9600000000000009"/>
    <s v="Low"/>
    <n v="2"/>
    <n v="0"/>
    <x v="0"/>
    <x v="0"/>
    <n v="4.3007999999999997"/>
    <n v="0.47999999999999993"/>
    <n v="0"/>
  </r>
  <r>
    <n v="3058"/>
    <s v="CA-2017-131492"/>
    <d v="2017-10-19T00:00:00"/>
    <x v="3"/>
    <s v="Q4"/>
    <x v="13"/>
    <d v="2017-10-24T00:00:00"/>
    <s v="Second Class"/>
    <x v="511"/>
    <x v="511"/>
    <s v="Corporate"/>
    <s v="United States"/>
    <s v="San Francisco"/>
    <x v="1"/>
    <n v="94110"/>
    <x v="1"/>
    <x v="1042"/>
    <x v="1"/>
    <x v="2"/>
    <x v="1031"/>
    <n v="31.5"/>
    <s v="Medium"/>
    <n v="10"/>
    <n v="0"/>
    <x v="0"/>
    <x v="0"/>
    <n v="15.12"/>
    <n v="0.48"/>
    <n v="0"/>
  </r>
  <r>
    <n v="3059"/>
    <s v="CA-2017-131492"/>
    <d v="2017-10-19T00:00:00"/>
    <x v="3"/>
    <s v="Q4"/>
    <x v="13"/>
    <d v="2017-10-24T00:00:00"/>
    <s v="Second Class"/>
    <x v="511"/>
    <x v="511"/>
    <s v="Corporate"/>
    <s v="United States"/>
    <s v="San Francisco"/>
    <x v="1"/>
    <n v="94110"/>
    <x v="1"/>
    <x v="677"/>
    <x v="0"/>
    <x v="5"/>
    <x v="677"/>
    <n v="30.56"/>
    <s v="Medium"/>
    <n v="2"/>
    <n v="0"/>
    <x v="0"/>
    <x v="0"/>
    <n v="10.3904"/>
    <n v="0.34"/>
    <n v="0"/>
  </r>
  <r>
    <n v="3060"/>
    <s v="CA-2017-131492"/>
    <d v="2017-10-19T00:00:00"/>
    <x v="3"/>
    <s v="Q4"/>
    <x v="13"/>
    <d v="2017-10-24T00:00:00"/>
    <s v="Second Class"/>
    <x v="511"/>
    <x v="511"/>
    <s v="Corporate"/>
    <s v="United States"/>
    <s v="San Francisco"/>
    <x v="1"/>
    <n v="94110"/>
    <x v="1"/>
    <x v="1479"/>
    <x v="0"/>
    <x v="3"/>
    <x v="1466"/>
    <n v="24.367999999999999"/>
    <s v="Low"/>
    <n v="2"/>
    <n v="0.2"/>
    <x v="2"/>
    <x v="2"/>
    <n v="-3.3506"/>
    <n v="-0.13750000000000001"/>
    <n v="1"/>
  </r>
  <r>
    <n v="3061"/>
    <s v="CA-2016-144554"/>
    <d v="2016-11-07T00:00:00"/>
    <x v="0"/>
    <s v="Q4"/>
    <x v="0"/>
    <d v="2016-11-12T00:00:00"/>
    <s v="Standard Class"/>
    <x v="664"/>
    <x v="664"/>
    <s v="Corporate"/>
    <s v="United States"/>
    <s v="Newark"/>
    <x v="24"/>
    <n v="43055"/>
    <x v="3"/>
    <x v="1233"/>
    <x v="2"/>
    <x v="11"/>
    <x v="1216"/>
    <n v="119.976"/>
    <s v="Medium"/>
    <n v="3"/>
    <n v="0.2"/>
    <x v="2"/>
    <x v="2"/>
    <n v="22.4955"/>
    <n v="0.1875"/>
    <n v="0"/>
  </r>
  <r>
    <n v="3062"/>
    <s v="CA-2017-127621"/>
    <d v="2017-03-03T00:00:00"/>
    <x v="3"/>
    <s v="Q1"/>
    <x v="42"/>
    <d v="2017-03-07T00:00:00"/>
    <s v="Standard Class"/>
    <x v="681"/>
    <x v="681"/>
    <s v="Consumer"/>
    <s v="United States"/>
    <s v="Dallas"/>
    <x v="5"/>
    <n v="75081"/>
    <x v="2"/>
    <x v="794"/>
    <x v="1"/>
    <x v="10"/>
    <x v="792"/>
    <n v="26.88"/>
    <s v="Medium"/>
    <n v="8"/>
    <n v="0.2"/>
    <x v="2"/>
    <x v="2"/>
    <n v="9.7439999999999998"/>
    <n v="0.36249999999999999"/>
    <n v="0"/>
  </r>
  <r>
    <n v="3063"/>
    <s v="CA-2015-145184"/>
    <d v="2015-11-27T00:00:00"/>
    <x v="1"/>
    <s v="Q4"/>
    <x v="6"/>
    <d v="2015-11-29T00:00:00"/>
    <s v="First Class"/>
    <x v="251"/>
    <x v="251"/>
    <s v="Corporate"/>
    <s v="United States"/>
    <s v="Newark"/>
    <x v="13"/>
    <n v="19711"/>
    <x v="3"/>
    <x v="1480"/>
    <x v="2"/>
    <x v="7"/>
    <x v="1467"/>
    <n v="83.97"/>
    <s v="Medium"/>
    <n v="3"/>
    <n v="0"/>
    <x v="0"/>
    <x v="0"/>
    <n v="23.511600000000001"/>
    <n v="0.28000000000000003"/>
    <n v="0"/>
  </r>
  <r>
    <n v="3064"/>
    <s v="CA-2015-145184"/>
    <d v="2015-11-27T00:00:00"/>
    <x v="1"/>
    <s v="Q4"/>
    <x v="6"/>
    <d v="2015-11-29T00:00:00"/>
    <s v="First Class"/>
    <x v="251"/>
    <x v="251"/>
    <s v="Corporate"/>
    <s v="United States"/>
    <s v="Newark"/>
    <x v="13"/>
    <n v="19711"/>
    <x v="3"/>
    <x v="1481"/>
    <x v="2"/>
    <x v="11"/>
    <x v="1468"/>
    <n v="104.97"/>
    <s v="Medium"/>
    <n v="3"/>
    <n v="0"/>
    <x v="0"/>
    <x v="0"/>
    <n v="7.3479000000000001"/>
    <n v="7.0000000000000007E-2"/>
    <n v="0"/>
  </r>
  <r>
    <n v="3065"/>
    <s v="CA-2017-106859"/>
    <d v="2017-03-13T00:00:00"/>
    <x v="3"/>
    <s v="Q1"/>
    <x v="42"/>
    <d v="2017-03-18T00:00:00"/>
    <s v="Second Class"/>
    <x v="682"/>
    <x v="682"/>
    <s v="Home Office"/>
    <s v="United States"/>
    <s v="Albuquerque"/>
    <x v="27"/>
    <n v="87105"/>
    <x v="1"/>
    <x v="75"/>
    <x v="1"/>
    <x v="4"/>
    <x v="75"/>
    <n v="90.8"/>
    <s v="Medium"/>
    <n v="8"/>
    <n v="0"/>
    <x v="0"/>
    <x v="0"/>
    <n v="25.423999999999999"/>
    <n v="0.28000000000000003"/>
    <n v="0"/>
  </r>
  <r>
    <n v="3066"/>
    <s v="CA-2017-106859"/>
    <d v="2017-03-13T00:00:00"/>
    <x v="3"/>
    <s v="Q1"/>
    <x v="42"/>
    <d v="2017-03-18T00:00:00"/>
    <s v="Second Class"/>
    <x v="682"/>
    <x v="682"/>
    <s v="Home Office"/>
    <s v="United States"/>
    <s v="Albuquerque"/>
    <x v="27"/>
    <n v="87105"/>
    <x v="1"/>
    <x v="722"/>
    <x v="2"/>
    <x v="7"/>
    <x v="721"/>
    <n v="140.73599999999999"/>
    <s v="High"/>
    <n v="8"/>
    <n v="0.2"/>
    <x v="2"/>
    <x v="2"/>
    <n v="49.257599999999996"/>
    <n v="0.35"/>
    <n v="0"/>
  </r>
  <r>
    <n v="3067"/>
    <s v="CA-2017-106859"/>
    <d v="2017-03-13T00:00:00"/>
    <x v="3"/>
    <s v="Q1"/>
    <x v="42"/>
    <d v="2017-03-18T00:00:00"/>
    <s v="Second Class"/>
    <x v="682"/>
    <x v="682"/>
    <s v="Home Office"/>
    <s v="United States"/>
    <s v="Albuquerque"/>
    <x v="27"/>
    <n v="87105"/>
    <x v="1"/>
    <x v="1482"/>
    <x v="2"/>
    <x v="11"/>
    <x v="1469"/>
    <n v="214.95"/>
    <s v="High"/>
    <n v="5"/>
    <n v="0"/>
    <x v="0"/>
    <x v="0"/>
    <n v="88.129499999999993"/>
    <n v="0.41"/>
    <n v="0"/>
  </r>
  <r>
    <n v="3068"/>
    <s v="CA-2017-106859"/>
    <d v="2017-03-13T00:00:00"/>
    <x v="3"/>
    <s v="Q1"/>
    <x v="42"/>
    <d v="2017-03-18T00:00:00"/>
    <s v="Second Class"/>
    <x v="682"/>
    <x v="682"/>
    <s v="Home Office"/>
    <s v="United States"/>
    <s v="Albuquerque"/>
    <x v="27"/>
    <n v="87105"/>
    <x v="1"/>
    <x v="1483"/>
    <x v="1"/>
    <x v="10"/>
    <x v="1470"/>
    <n v="45.36"/>
    <s v="Medium"/>
    <n v="7"/>
    <n v="0"/>
    <x v="0"/>
    <x v="0"/>
    <n v="21.7728"/>
    <n v="0.48"/>
    <n v="0"/>
  </r>
  <r>
    <n v="3069"/>
    <s v="CA-2017-106859"/>
    <d v="2017-03-13T00:00:00"/>
    <x v="3"/>
    <s v="Q1"/>
    <x v="42"/>
    <d v="2017-03-18T00:00:00"/>
    <s v="Second Class"/>
    <x v="682"/>
    <x v="682"/>
    <s v="Home Office"/>
    <s v="United States"/>
    <s v="Albuquerque"/>
    <x v="27"/>
    <n v="87105"/>
    <x v="1"/>
    <x v="1415"/>
    <x v="1"/>
    <x v="10"/>
    <x v="1402"/>
    <n v="288.24"/>
    <s v="High"/>
    <n v="6"/>
    <n v="0"/>
    <x v="0"/>
    <x v="0"/>
    <n v="138.3552"/>
    <n v="0.48"/>
    <n v="0"/>
  </r>
  <r>
    <n v="3070"/>
    <s v="US-2017-120089"/>
    <d v="2017-11-30T00:00:00"/>
    <x v="3"/>
    <s v="Q4"/>
    <x v="23"/>
    <d v="2017-11-30T00:00:00"/>
    <s v="Same Day"/>
    <x v="529"/>
    <x v="529"/>
    <s v="Home Office"/>
    <s v="United States"/>
    <s v="Toledo"/>
    <x v="24"/>
    <n v="43615"/>
    <x v="3"/>
    <x v="1470"/>
    <x v="1"/>
    <x v="9"/>
    <x v="1457"/>
    <n v="663.93600000000004"/>
    <s v="High"/>
    <n v="4"/>
    <n v="0.2"/>
    <x v="2"/>
    <x v="2"/>
    <n v="82.992000000000004"/>
    <n v="0.125"/>
    <n v="0"/>
  </r>
  <r>
    <n v="3071"/>
    <s v="CA-2014-119375"/>
    <d v="2014-11-17T00:00:00"/>
    <x v="2"/>
    <s v="Q4"/>
    <x v="7"/>
    <d v="2014-11-22T00:00:00"/>
    <s v="Standard Class"/>
    <x v="289"/>
    <x v="289"/>
    <s v="Corporate"/>
    <s v="United States"/>
    <s v="Newark"/>
    <x v="13"/>
    <n v="19711"/>
    <x v="3"/>
    <x v="1074"/>
    <x v="1"/>
    <x v="4"/>
    <x v="1064"/>
    <n v="2934.33"/>
    <s v="High"/>
    <n v="7"/>
    <n v="0"/>
    <x v="0"/>
    <x v="0"/>
    <n v="792.26909999999998"/>
    <n v="0.27"/>
    <n v="0"/>
  </r>
  <r>
    <n v="3072"/>
    <s v="CA-2014-119375"/>
    <d v="2014-11-17T00:00:00"/>
    <x v="2"/>
    <s v="Q4"/>
    <x v="7"/>
    <d v="2014-11-22T00:00:00"/>
    <s v="Standard Class"/>
    <x v="289"/>
    <x v="289"/>
    <s v="Corporate"/>
    <s v="United States"/>
    <s v="Newark"/>
    <x v="13"/>
    <n v="19711"/>
    <x v="3"/>
    <x v="1484"/>
    <x v="0"/>
    <x v="5"/>
    <x v="1471"/>
    <n v="124.41"/>
    <s v="High"/>
    <n v="3"/>
    <n v="0"/>
    <x v="0"/>
    <x v="0"/>
    <n v="14.9292"/>
    <n v="0.12"/>
    <n v="0"/>
  </r>
  <r>
    <n v="3073"/>
    <s v="CA-2014-119375"/>
    <d v="2014-11-17T00:00:00"/>
    <x v="2"/>
    <s v="Q4"/>
    <x v="7"/>
    <d v="2014-11-22T00:00:00"/>
    <s v="Standard Class"/>
    <x v="289"/>
    <x v="289"/>
    <s v="Corporate"/>
    <s v="United States"/>
    <s v="Newark"/>
    <x v="13"/>
    <n v="19711"/>
    <x v="3"/>
    <x v="684"/>
    <x v="1"/>
    <x v="6"/>
    <x v="684"/>
    <n v="57.75"/>
    <s v="Medium"/>
    <n v="5"/>
    <n v="0"/>
    <x v="0"/>
    <x v="0"/>
    <n v="26.565000000000001"/>
    <n v="0.46"/>
    <n v="0"/>
  </r>
  <r>
    <n v="3074"/>
    <s v="CA-2016-125206"/>
    <d v="2016-01-03T00:00:00"/>
    <x v="0"/>
    <s v="Q1"/>
    <x v="12"/>
    <d v="2016-01-05T00:00:00"/>
    <s v="First Class"/>
    <x v="235"/>
    <x v="235"/>
    <s v="Consumer"/>
    <s v="United States"/>
    <s v="Los Angeles"/>
    <x v="1"/>
    <n v="90045"/>
    <x v="1"/>
    <x v="1277"/>
    <x v="1"/>
    <x v="4"/>
    <x v="1262"/>
    <n v="114.46"/>
    <s v="Medium"/>
    <n v="2"/>
    <n v="0"/>
    <x v="0"/>
    <x v="0"/>
    <n v="28.614999999999998"/>
    <n v="0.25"/>
    <n v="0"/>
  </r>
  <r>
    <n v="3075"/>
    <s v="CA-2015-126137"/>
    <d v="2015-10-03T00:00:00"/>
    <x v="1"/>
    <s v="Q4"/>
    <x v="2"/>
    <d v="2015-10-08T00:00:00"/>
    <s v="Standard Class"/>
    <x v="94"/>
    <x v="94"/>
    <s v="Consumer"/>
    <s v="United States"/>
    <s v="Los Angeles"/>
    <x v="1"/>
    <n v="90032"/>
    <x v="1"/>
    <x v="631"/>
    <x v="0"/>
    <x v="0"/>
    <x v="631"/>
    <n v="120.666"/>
    <s v="Medium"/>
    <n v="2"/>
    <n v="0.15"/>
    <x v="2"/>
    <x v="2"/>
    <n v="18.454799999999999"/>
    <n v="0.15294117647058822"/>
    <n v="0"/>
  </r>
  <r>
    <n v="3076"/>
    <s v="CA-2014-143903"/>
    <d v="2014-07-20T00:00:00"/>
    <x v="2"/>
    <s v="Q3"/>
    <x v="39"/>
    <d v="2014-07-24T00:00:00"/>
    <s v="Standard Class"/>
    <x v="454"/>
    <x v="454"/>
    <s v="Home Office"/>
    <s v="United States"/>
    <s v="Dallas"/>
    <x v="5"/>
    <n v="75217"/>
    <x v="2"/>
    <x v="384"/>
    <x v="1"/>
    <x v="4"/>
    <x v="385"/>
    <n v="342.86399999999998"/>
    <s v="High"/>
    <n v="3"/>
    <n v="0.2"/>
    <x v="2"/>
    <x v="2"/>
    <n v="38.572200000000002"/>
    <n v="0.11250000000000002"/>
    <n v="0"/>
  </r>
  <r>
    <n v="3077"/>
    <s v="CA-2014-143903"/>
    <d v="2014-07-20T00:00:00"/>
    <x v="2"/>
    <s v="Q3"/>
    <x v="39"/>
    <d v="2014-07-24T00:00:00"/>
    <s v="Standard Class"/>
    <x v="454"/>
    <x v="454"/>
    <s v="Home Office"/>
    <s v="United States"/>
    <s v="Dallas"/>
    <x v="5"/>
    <n v="75217"/>
    <x v="2"/>
    <x v="904"/>
    <x v="0"/>
    <x v="5"/>
    <x v="896"/>
    <n v="16.739999999999998"/>
    <s v="Low"/>
    <n v="5"/>
    <n v="0.6"/>
    <x v="1"/>
    <x v="6"/>
    <n v="-14.228999999999999"/>
    <n v="-0.85"/>
    <n v="1"/>
  </r>
  <r>
    <n v="3078"/>
    <s v="CA-2014-143903"/>
    <d v="2014-07-20T00:00:00"/>
    <x v="2"/>
    <s v="Q3"/>
    <x v="39"/>
    <d v="2014-07-24T00:00:00"/>
    <s v="Standard Class"/>
    <x v="454"/>
    <x v="454"/>
    <s v="Home Office"/>
    <s v="United States"/>
    <s v="Dallas"/>
    <x v="5"/>
    <n v="75217"/>
    <x v="2"/>
    <x v="483"/>
    <x v="0"/>
    <x v="1"/>
    <x v="483"/>
    <n v="981.37199999999996"/>
    <s v="High"/>
    <n v="2"/>
    <n v="0.3"/>
    <x v="1"/>
    <x v="4"/>
    <n v="-140.196"/>
    <n v="-0.14285714285714285"/>
    <n v="1"/>
  </r>
  <r>
    <n v="3079"/>
    <s v="CA-2014-104780"/>
    <d v="2014-05-21T00:00:00"/>
    <x v="2"/>
    <s v="Q2"/>
    <x v="8"/>
    <d v="2014-05-25T00:00:00"/>
    <s v="Standard Class"/>
    <x v="404"/>
    <x v="404"/>
    <s v="Home Office"/>
    <s v="United States"/>
    <s v="San Diego"/>
    <x v="1"/>
    <n v="92037"/>
    <x v="1"/>
    <x v="181"/>
    <x v="1"/>
    <x v="6"/>
    <x v="182"/>
    <n v="31.84"/>
    <s v="Medium"/>
    <n v="8"/>
    <n v="0"/>
    <x v="0"/>
    <x v="0"/>
    <n v="10.507199999999999"/>
    <n v="0.32999999999999996"/>
    <n v="0"/>
  </r>
  <r>
    <n v="3080"/>
    <s v="CA-2017-101182"/>
    <d v="2017-09-04T00:00:00"/>
    <x v="3"/>
    <s v="Q3"/>
    <x v="15"/>
    <d v="2017-09-05T00:00:00"/>
    <s v="First Class"/>
    <x v="683"/>
    <x v="683"/>
    <s v="Home Office"/>
    <s v="United States"/>
    <s v="Apple Valley"/>
    <x v="1"/>
    <n v="92307"/>
    <x v="1"/>
    <x v="585"/>
    <x v="1"/>
    <x v="10"/>
    <x v="585"/>
    <n v="12.96"/>
    <s v="Low"/>
    <n v="2"/>
    <n v="0"/>
    <x v="0"/>
    <x v="0"/>
    <n v="6.2207999999999997"/>
    <n v="0.47999999999999993"/>
    <n v="0"/>
  </r>
  <r>
    <n v="3081"/>
    <s v="CA-2017-101182"/>
    <d v="2017-09-04T00:00:00"/>
    <x v="3"/>
    <s v="Q3"/>
    <x v="15"/>
    <d v="2017-09-05T00:00:00"/>
    <s v="First Class"/>
    <x v="683"/>
    <x v="683"/>
    <s v="Home Office"/>
    <s v="United States"/>
    <s v="Apple Valley"/>
    <x v="1"/>
    <n v="92307"/>
    <x v="1"/>
    <x v="831"/>
    <x v="2"/>
    <x v="7"/>
    <x v="826"/>
    <n v="43.176000000000002"/>
    <s v="Medium"/>
    <n v="3"/>
    <n v="0.2"/>
    <x v="2"/>
    <x v="2"/>
    <n v="15.111599999999999"/>
    <n v="0.35"/>
    <n v="0"/>
  </r>
  <r>
    <n v="3082"/>
    <s v="US-2017-132297"/>
    <d v="2017-05-27T00:00:00"/>
    <x v="3"/>
    <s v="Q2"/>
    <x v="24"/>
    <d v="2017-06-02T00:00:00"/>
    <s v="Standard Class"/>
    <x v="108"/>
    <x v="108"/>
    <s v="Home Office"/>
    <s v="United States"/>
    <s v="Louisville"/>
    <x v="0"/>
    <n v="40214"/>
    <x v="0"/>
    <x v="705"/>
    <x v="1"/>
    <x v="8"/>
    <x v="705"/>
    <n v="58.34"/>
    <s v="Medium"/>
    <n v="2"/>
    <n v="0"/>
    <x v="0"/>
    <x v="0"/>
    <n v="28.0032"/>
    <n v="0.48"/>
    <n v="0"/>
  </r>
  <r>
    <n v="3083"/>
    <s v="US-2017-132297"/>
    <d v="2017-05-27T00:00:00"/>
    <x v="3"/>
    <s v="Q2"/>
    <x v="24"/>
    <d v="2017-06-02T00:00:00"/>
    <s v="Standard Class"/>
    <x v="108"/>
    <x v="108"/>
    <s v="Home Office"/>
    <s v="United States"/>
    <s v="Louisville"/>
    <x v="0"/>
    <n v="40214"/>
    <x v="0"/>
    <x v="1400"/>
    <x v="2"/>
    <x v="7"/>
    <x v="1387"/>
    <n v="539.97"/>
    <s v="High"/>
    <n v="3"/>
    <n v="0"/>
    <x v="0"/>
    <x v="0"/>
    <n v="134.99250000000001"/>
    <n v="0.25"/>
    <n v="0"/>
  </r>
  <r>
    <n v="3084"/>
    <s v="CA-2014-100328"/>
    <d v="2014-01-28T00:00:00"/>
    <x v="2"/>
    <s v="Q1"/>
    <x v="46"/>
    <d v="2014-02-03T00:00:00"/>
    <s v="Standard Class"/>
    <x v="209"/>
    <x v="209"/>
    <s v="Consumer"/>
    <s v="United States"/>
    <s v="New York City"/>
    <x v="15"/>
    <n v="10024"/>
    <x v="3"/>
    <x v="185"/>
    <x v="1"/>
    <x v="8"/>
    <x v="186"/>
    <n v="3.9279999999999999"/>
    <s v="Low"/>
    <n v="1"/>
    <n v="0.2"/>
    <x v="2"/>
    <x v="2"/>
    <n v="1.3257000000000001"/>
    <n v="0.33750000000000002"/>
    <n v="0"/>
  </r>
  <r>
    <n v="3085"/>
    <s v="CA-2017-118773"/>
    <d v="2017-02-09T00:00:00"/>
    <x v="3"/>
    <s v="Q1"/>
    <x v="31"/>
    <d v="2017-02-14T00:00:00"/>
    <s v="Standard Class"/>
    <x v="599"/>
    <x v="599"/>
    <s v="Consumer"/>
    <s v="United States"/>
    <s v="Houston"/>
    <x v="5"/>
    <n v="77070"/>
    <x v="2"/>
    <x v="382"/>
    <x v="1"/>
    <x v="8"/>
    <x v="383"/>
    <n v="252.78399999999999"/>
    <s v="High"/>
    <n v="4"/>
    <n v="0.8"/>
    <x v="1"/>
    <x v="3"/>
    <n v="-417.09359999999998"/>
    <n v="-1.65"/>
    <n v="1"/>
  </r>
  <r>
    <n v="3086"/>
    <s v="CA-2017-118773"/>
    <d v="2017-02-09T00:00:00"/>
    <x v="3"/>
    <s v="Q1"/>
    <x v="31"/>
    <d v="2017-02-14T00:00:00"/>
    <s v="Standard Class"/>
    <x v="599"/>
    <x v="599"/>
    <s v="Consumer"/>
    <s v="United States"/>
    <s v="Houston"/>
    <x v="5"/>
    <n v="77070"/>
    <x v="2"/>
    <x v="657"/>
    <x v="2"/>
    <x v="11"/>
    <x v="657"/>
    <n v="127.98399999999999"/>
    <s v="High"/>
    <n v="2"/>
    <n v="0.2"/>
    <x v="2"/>
    <x v="2"/>
    <n v="15.997999999999999"/>
    <n v="0.125"/>
    <n v="0"/>
  </r>
  <r>
    <n v="3087"/>
    <s v="CA-2017-118773"/>
    <d v="2017-02-09T00:00:00"/>
    <x v="3"/>
    <s v="Q1"/>
    <x v="31"/>
    <d v="2017-02-14T00:00:00"/>
    <s v="Standard Class"/>
    <x v="599"/>
    <x v="599"/>
    <s v="Consumer"/>
    <s v="United States"/>
    <s v="Houston"/>
    <x v="5"/>
    <n v="77070"/>
    <x v="2"/>
    <x v="1467"/>
    <x v="0"/>
    <x v="5"/>
    <x v="1454"/>
    <n v="3.984"/>
    <s v="Low"/>
    <n v="2"/>
    <n v="0.6"/>
    <x v="1"/>
    <x v="6"/>
    <n v="-2.6892"/>
    <n v="-0.67500000000000004"/>
    <n v="1"/>
  </r>
  <r>
    <n v="3088"/>
    <s v="CA-2017-118773"/>
    <d v="2017-02-09T00:00:00"/>
    <x v="3"/>
    <s v="Q1"/>
    <x v="31"/>
    <d v="2017-02-14T00:00:00"/>
    <s v="Standard Class"/>
    <x v="599"/>
    <x v="599"/>
    <s v="Consumer"/>
    <s v="United States"/>
    <s v="Houston"/>
    <x v="5"/>
    <n v="77070"/>
    <x v="2"/>
    <x v="791"/>
    <x v="1"/>
    <x v="9"/>
    <x v="789"/>
    <n v="12.992000000000001"/>
    <s v="Low"/>
    <n v="2"/>
    <n v="0.8"/>
    <x v="1"/>
    <x v="3"/>
    <n v="-32.479999999999997"/>
    <n v="-2.4999999999999996"/>
    <n v="1"/>
  </r>
  <r>
    <n v="3089"/>
    <s v="US-2017-159205"/>
    <d v="2017-03-31T00:00:00"/>
    <x v="3"/>
    <s v="Q1"/>
    <x v="42"/>
    <d v="2017-04-02T00:00:00"/>
    <s v="Second Class"/>
    <x v="626"/>
    <x v="626"/>
    <s v="Home Office"/>
    <s v="United States"/>
    <s v="Henderson"/>
    <x v="0"/>
    <n v="42420"/>
    <x v="0"/>
    <x v="1122"/>
    <x v="0"/>
    <x v="5"/>
    <x v="1110"/>
    <n v="61"/>
    <s v="Medium"/>
    <n v="5"/>
    <n v="0"/>
    <x v="0"/>
    <x v="0"/>
    <n v="25.62"/>
    <n v="0.42000000000000004"/>
    <n v="0"/>
  </r>
  <r>
    <n v="3090"/>
    <s v="US-2017-159205"/>
    <d v="2017-03-31T00:00:00"/>
    <x v="3"/>
    <s v="Q1"/>
    <x v="42"/>
    <d v="2017-04-02T00:00:00"/>
    <s v="Second Class"/>
    <x v="626"/>
    <x v="626"/>
    <s v="Home Office"/>
    <s v="United States"/>
    <s v="Henderson"/>
    <x v="0"/>
    <n v="42420"/>
    <x v="0"/>
    <x v="1485"/>
    <x v="2"/>
    <x v="7"/>
    <x v="1472"/>
    <n v="671.93"/>
    <s v="High"/>
    <n v="7"/>
    <n v="0"/>
    <x v="0"/>
    <x v="0"/>
    <n v="188.1404"/>
    <n v="0.28000000000000003"/>
    <n v="0"/>
  </r>
  <r>
    <n v="3091"/>
    <s v="CA-2016-112123"/>
    <d v="2016-03-03T00:00:00"/>
    <x v="0"/>
    <s v="Q1"/>
    <x v="17"/>
    <d v="2016-03-08T00:00:00"/>
    <s v="Standard Class"/>
    <x v="3"/>
    <x v="3"/>
    <s v="Consumer"/>
    <s v="United States"/>
    <s v="Newark"/>
    <x v="13"/>
    <n v="19711"/>
    <x v="3"/>
    <x v="669"/>
    <x v="1"/>
    <x v="8"/>
    <x v="669"/>
    <n v="447.86"/>
    <s v="High"/>
    <n v="7"/>
    <n v="0"/>
    <x v="0"/>
    <x v="0"/>
    <n v="219.45140000000001"/>
    <n v="0.49"/>
    <n v="0"/>
  </r>
  <r>
    <n v="3092"/>
    <s v="CA-2016-112123"/>
    <d v="2016-03-03T00:00:00"/>
    <x v="0"/>
    <s v="Q1"/>
    <x v="17"/>
    <d v="2016-03-08T00:00:00"/>
    <s v="Standard Class"/>
    <x v="3"/>
    <x v="3"/>
    <s v="Consumer"/>
    <s v="United States"/>
    <s v="Newark"/>
    <x v="13"/>
    <n v="19711"/>
    <x v="3"/>
    <x v="664"/>
    <x v="2"/>
    <x v="7"/>
    <x v="664"/>
    <n v="479.95"/>
    <s v="High"/>
    <n v="5"/>
    <n v="0"/>
    <x v="0"/>
    <x v="0"/>
    <n v="129.5865"/>
    <n v="0.27"/>
    <n v="0"/>
  </r>
  <r>
    <n v="3093"/>
    <s v="CA-2016-112123"/>
    <d v="2016-03-03T00:00:00"/>
    <x v="0"/>
    <s v="Q1"/>
    <x v="17"/>
    <d v="2016-03-08T00:00:00"/>
    <s v="Standard Class"/>
    <x v="3"/>
    <x v="3"/>
    <s v="Consumer"/>
    <s v="United States"/>
    <s v="Newark"/>
    <x v="13"/>
    <n v="19711"/>
    <x v="3"/>
    <x v="1486"/>
    <x v="1"/>
    <x v="10"/>
    <x v="1473"/>
    <n v="166.44"/>
    <s v="High"/>
    <n v="3"/>
    <n v="0"/>
    <x v="0"/>
    <x v="0"/>
    <n v="79.891199999999998"/>
    <n v="0.48"/>
    <n v="0"/>
  </r>
  <r>
    <n v="3094"/>
    <s v="CA-2015-114468"/>
    <d v="2015-08-23T00:00:00"/>
    <x v="1"/>
    <s v="Q3"/>
    <x v="37"/>
    <d v="2015-08-23T00:00:00"/>
    <s v="Same Day"/>
    <x v="143"/>
    <x v="143"/>
    <s v="Consumer"/>
    <s v="United States"/>
    <s v="Bolingbrook"/>
    <x v="10"/>
    <n v="60440"/>
    <x v="2"/>
    <x v="558"/>
    <x v="1"/>
    <x v="14"/>
    <x v="557"/>
    <n v="31.68"/>
    <s v="Medium"/>
    <n v="4"/>
    <n v="0.2"/>
    <x v="2"/>
    <x v="2"/>
    <n v="2.7719999999999998"/>
    <n v="8.7499999999999994E-2"/>
    <n v="0"/>
  </r>
  <r>
    <n v="3095"/>
    <s v="CA-2015-114468"/>
    <d v="2015-08-23T00:00:00"/>
    <x v="1"/>
    <s v="Q3"/>
    <x v="37"/>
    <d v="2015-08-23T00:00:00"/>
    <s v="Same Day"/>
    <x v="143"/>
    <x v="143"/>
    <s v="Consumer"/>
    <s v="United States"/>
    <s v="Bolingbrook"/>
    <x v="10"/>
    <n v="60440"/>
    <x v="2"/>
    <x v="1145"/>
    <x v="1"/>
    <x v="10"/>
    <x v="1133"/>
    <n v="10.368"/>
    <s v="Low"/>
    <n v="2"/>
    <n v="0.2"/>
    <x v="2"/>
    <x v="2"/>
    <n v="3.6288"/>
    <n v="0.35"/>
    <n v="0"/>
  </r>
  <r>
    <n v="3096"/>
    <s v="CA-2015-114468"/>
    <d v="2015-08-23T00:00:00"/>
    <x v="1"/>
    <s v="Q3"/>
    <x v="37"/>
    <d v="2015-08-23T00:00:00"/>
    <s v="Same Day"/>
    <x v="143"/>
    <x v="143"/>
    <s v="Consumer"/>
    <s v="United States"/>
    <s v="Bolingbrook"/>
    <x v="10"/>
    <n v="60440"/>
    <x v="2"/>
    <x v="1014"/>
    <x v="1"/>
    <x v="13"/>
    <x v="128"/>
    <n v="12.032"/>
    <s v="Low"/>
    <n v="8"/>
    <n v="0.2"/>
    <x v="2"/>
    <x v="2"/>
    <n v="2.2559999999999998"/>
    <n v="0.18749999999999997"/>
    <n v="0"/>
  </r>
  <r>
    <n v="3097"/>
    <s v="CA-2015-114468"/>
    <d v="2015-08-23T00:00:00"/>
    <x v="1"/>
    <s v="Q3"/>
    <x v="37"/>
    <d v="2015-08-23T00:00:00"/>
    <s v="Same Day"/>
    <x v="143"/>
    <x v="143"/>
    <s v="Consumer"/>
    <s v="United States"/>
    <s v="Bolingbrook"/>
    <x v="10"/>
    <n v="60440"/>
    <x v="2"/>
    <x v="336"/>
    <x v="1"/>
    <x v="9"/>
    <x v="336"/>
    <n v="5.7679999999999998"/>
    <s v="Low"/>
    <n v="2"/>
    <n v="0.8"/>
    <x v="1"/>
    <x v="3"/>
    <n v="-13.5548"/>
    <n v="-2.35"/>
    <n v="1"/>
  </r>
  <r>
    <n v="3098"/>
    <s v="CA-2017-135692"/>
    <d v="2017-04-27T00:00:00"/>
    <x v="3"/>
    <s v="Q2"/>
    <x v="4"/>
    <d v="2017-05-01T00:00:00"/>
    <s v="Standard Class"/>
    <x v="51"/>
    <x v="51"/>
    <s v="Corporate"/>
    <s v="United States"/>
    <s v="Fort Worth"/>
    <x v="5"/>
    <n v="76106"/>
    <x v="2"/>
    <x v="322"/>
    <x v="1"/>
    <x v="2"/>
    <x v="322"/>
    <n v="33.119999999999997"/>
    <s v="Medium"/>
    <n v="4"/>
    <n v="0.2"/>
    <x v="2"/>
    <x v="2"/>
    <n v="11.592000000000001"/>
    <n v="0.35000000000000003"/>
    <n v="0"/>
  </r>
  <r>
    <n v="3099"/>
    <s v="CA-2017-135692"/>
    <d v="2017-04-27T00:00:00"/>
    <x v="3"/>
    <s v="Q2"/>
    <x v="4"/>
    <d v="2017-05-01T00:00:00"/>
    <s v="Standard Class"/>
    <x v="51"/>
    <x v="51"/>
    <s v="Corporate"/>
    <s v="United States"/>
    <s v="Fort Worth"/>
    <x v="5"/>
    <n v="76106"/>
    <x v="2"/>
    <x v="317"/>
    <x v="0"/>
    <x v="0"/>
    <x v="317"/>
    <n v="220.26560000000001"/>
    <s v="High"/>
    <n v="4"/>
    <n v="0.32"/>
    <x v="1"/>
    <x v="7"/>
    <n v="-42.1096"/>
    <n v="-0.19117647058823528"/>
    <n v="1"/>
  </r>
  <r>
    <n v="3100"/>
    <s v="CA-2017-131233"/>
    <d v="2017-04-14T00:00:00"/>
    <x v="3"/>
    <s v="Q2"/>
    <x v="4"/>
    <d v="2017-04-19T00:00:00"/>
    <s v="Standard Class"/>
    <x v="394"/>
    <x v="394"/>
    <s v="Consumer"/>
    <s v="United States"/>
    <s v="New York City"/>
    <x v="15"/>
    <n v="10024"/>
    <x v="3"/>
    <x v="1366"/>
    <x v="1"/>
    <x v="8"/>
    <x v="307"/>
    <n v="10.776"/>
    <s v="Low"/>
    <n v="3"/>
    <n v="0.2"/>
    <x v="2"/>
    <x v="2"/>
    <n v="3.5022000000000002"/>
    <n v="0.32500000000000001"/>
    <n v="0"/>
  </r>
  <r>
    <n v="3101"/>
    <s v="CA-2017-131233"/>
    <d v="2017-04-14T00:00:00"/>
    <x v="3"/>
    <s v="Q2"/>
    <x v="4"/>
    <d v="2017-04-19T00:00:00"/>
    <s v="Standard Class"/>
    <x v="394"/>
    <x v="394"/>
    <s v="Consumer"/>
    <s v="United States"/>
    <s v="New York City"/>
    <x v="15"/>
    <n v="10024"/>
    <x v="3"/>
    <x v="713"/>
    <x v="0"/>
    <x v="0"/>
    <x v="712"/>
    <n v="242.352"/>
    <s v="High"/>
    <n v="3"/>
    <n v="0.2"/>
    <x v="2"/>
    <x v="2"/>
    <n v="9.0882000000000005"/>
    <n v="3.7499999999999999E-2"/>
    <n v="0"/>
  </r>
  <r>
    <n v="3102"/>
    <s v="CA-2017-119578"/>
    <d v="2017-12-22T00:00:00"/>
    <x v="3"/>
    <s v="Q4"/>
    <x v="22"/>
    <d v="2017-12-27T00:00:00"/>
    <s v="Second Class"/>
    <x v="684"/>
    <x v="684"/>
    <s v="Corporate"/>
    <s v="United States"/>
    <s v="Providence"/>
    <x v="34"/>
    <n v="2908"/>
    <x v="3"/>
    <x v="413"/>
    <x v="1"/>
    <x v="14"/>
    <x v="413"/>
    <n v="695.16"/>
    <s v="High"/>
    <n v="6"/>
    <n v="0"/>
    <x v="0"/>
    <x v="0"/>
    <n v="34.758000000000003"/>
    <n v="0.05"/>
    <n v="0"/>
  </r>
  <r>
    <n v="3103"/>
    <s v="CA-2017-119578"/>
    <d v="2017-12-22T00:00:00"/>
    <x v="3"/>
    <s v="Q4"/>
    <x v="22"/>
    <d v="2017-12-27T00:00:00"/>
    <s v="Second Class"/>
    <x v="684"/>
    <x v="684"/>
    <s v="Corporate"/>
    <s v="United States"/>
    <s v="Providence"/>
    <x v="34"/>
    <n v="2908"/>
    <x v="3"/>
    <x v="1487"/>
    <x v="0"/>
    <x v="0"/>
    <x v="1474"/>
    <n v="220.98"/>
    <s v="High"/>
    <n v="1"/>
    <n v="0"/>
    <x v="0"/>
    <x v="0"/>
    <n v="50.825400000000002"/>
    <n v="0.23"/>
    <n v="0"/>
  </r>
  <r>
    <n v="3104"/>
    <s v="CA-2016-124562"/>
    <d v="2016-12-08T00:00:00"/>
    <x v="0"/>
    <s v="Q4"/>
    <x v="5"/>
    <d v="2016-12-12T00:00:00"/>
    <s v="Standard Class"/>
    <x v="655"/>
    <x v="655"/>
    <s v="Home Office"/>
    <s v="United States"/>
    <s v="Columbus"/>
    <x v="24"/>
    <n v="43229"/>
    <x v="3"/>
    <x v="1488"/>
    <x v="1"/>
    <x v="8"/>
    <x v="1475"/>
    <n v="12.957000000000001"/>
    <s v="Low"/>
    <n v="7"/>
    <n v="0.7"/>
    <x v="1"/>
    <x v="5"/>
    <n v="-9.5017999999999994"/>
    <n v="-0.73333333333333328"/>
    <n v="1"/>
  </r>
  <r>
    <n v="3105"/>
    <s v="US-2017-140074"/>
    <d v="2017-03-23T00:00:00"/>
    <x v="3"/>
    <s v="Q1"/>
    <x v="42"/>
    <d v="2017-03-29T00:00:00"/>
    <s v="Standard Class"/>
    <x v="685"/>
    <x v="685"/>
    <s v="Consumer"/>
    <s v="United States"/>
    <s v="New York City"/>
    <x v="15"/>
    <n v="10024"/>
    <x v="3"/>
    <x v="1489"/>
    <x v="1"/>
    <x v="10"/>
    <x v="1476"/>
    <n v="25.68"/>
    <s v="Medium"/>
    <n v="6"/>
    <n v="0"/>
    <x v="0"/>
    <x v="0"/>
    <n v="11.555999999999999"/>
    <n v="0.44999999999999996"/>
    <n v="0"/>
  </r>
  <r>
    <n v="3106"/>
    <s v="CA-2016-103037"/>
    <d v="2016-07-25T00:00:00"/>
    <x v="0"/>
    <s v="Q3"/>
    <x v="16"/>
    <d v="2016-07-29T00:00:00"/>
    <s v="Standard Class"/>
    <x v="175"/>
    <x v="175"/>
    <s v="Corporate"/>
    <s v="United States"/>
    <s v="Houston"/>
    <x v="5"/>
    <n v="77070"/>
    <x v="2"/>
    <x v="522"/>
    <x v="1"/>
    <x v="2"/>
    <x v="522"/>
    <n v="15.712"/>
    <s v="Low"/>
    <n v="4"/>
    <n v="0.2"/>
    <x v="2"/>
    <x v="2"/>
    <n v="5.6955999999999998"/>
    <n v="0.36249999999999999"/>
    <n v="0"/>
  </r>
  <r>
    <n v="3107"/>
    <s v="CA-2017-127460"/>
    <d v="2017-07-10T00:00:00"/>
    <x v="3"/>
    <s v="Q3"/>
    <x v="10"/>
    <d v="2017-07-14T00:00:00"/>
    <s v="Standard Class"/>
    <x v="435"/>
    <x v="435"/>
    <s v="Home Office"/>
    <s v="United States"/>
    <s v="Aurora"/>
    <x v="10"/>
    <n v="60505"/>
    <x v="2"/>
    <x v="821"/>
    <x v="1"/>
    <x v="4"/>
    <x v="817"/>
    <n v="298.464"/>
    <s v="High"/>
    <n v="6"/>
    <n v="0.2"/>
    <x v="2"/>
    <x v="2"/>
    <n v="26.115600000000001"/>
    <n v="8.7500000000000008E-2"/>
    <n v="0"/>
  </r>
  <r>
    <n v="3108"/>
    <s v="CA-2016-121671"/>
    <d v="2016-07-17T00:00:00"/>
    <x v="0"/>
    <s v="Q3"/>
    <x v="16"/>
    <d v="2016-07-22T00:00:00"/>
    <s v="Standard Class"/>
    <x v="4"/>
    <x v="4"/>
    <s v="Consumer"/>
    <s v="United States"/>
    <s v="Springfield"/>
    <x v="25"/>
    <n v="65807"/>
    <x v="2"/>
    <x v="1490"/>
    <x v="1"/>
    <x v="10"/>
    <x v="1477"/>
    <n v="21.93"/>
    <s v="Low"/>
    <n v="3"/>
    <n v="0"/>
    <x v="0"/>
    <x v="0"/>
    <n v="10.0878"/>
    <n v="0.45999999999999996"/>
    <n v="0"/>
  </r>
  <r>
    <n v="3109"/>
    <s v="CA-2016-121671"/>
    <d v="2016-07-17T00:00:00"/>
    <x v="0"/>
    <s v="Q3"/>
    <x v="16"/>
    <d v="2016-07-22T00:00:00"/>
    <s v="Standard Class"/>
    <x v="4"/>
    <x v="4"/>
    <s v="Consumer"/>
    <s v="United States"/>
    <s v="Springfield"/>
    <x v="25"/>
    <n v="65807"/>
    <x v="2"/>
    <x v="871"/>
    <x v="1"/>
    <x v="4"/>
    <x v="865"/>
    <n v="242.94"/>
    <s v="High"/>
    <n v="3"/>
    <n v="0"/>
    <x v="0"/>
    <x v="0"/>
    <n v="4.8587999999999996"/>
    <n v="1.9999999999999997E-2"/>
    <n v="0"/>
  </r>
  <r>
    <n v="3110"/>
    <s v="CA-2016-121671"/>
    <d v="2016-07-17T00:00:00"/>
    <x v="0"/>
    <s v="Q3"/>
    <x v="16"/>
    <d v="2016-07-22T00:00:00"/>
    <s v="Standard Class"/>
    <x v="4"/>
    <x v="4"/>
    <s v="Consumer"/>
    <s v="United States"/>
    <s v="Springfield"/>
    <x v="25"/>
    <n v="65807"/>
    <x v="2"/>
    <x v="827"/>
    <x v="1"/>
    <x v="10"/>
    <x v="823"/>
    <n v="7.64"/>
    <s v="Low"/>
    <n v="1"/>
    <n v="0"/>
    <x v="0"/>
    <x v="0"/>
    <n v="3.7435999999999998"/>
    <n v="0.49"/>
    <n v="0"/>
  </r>
  <r>
    <n v="3111"/>
    <s v="CA-2016-121671"/>
    <d v="2016-07-17T00:00:00"/>
    <x v="0"/>
    <s v="Q3"/>
    <x v="16"/>
    <d v="2016-07-22T00:00:00"/>
    <s v="Standard Class"/>
    <x v="4"/>
    <x v="4"/>
    <s v="Consumer"/>
    <s v="United States"/>
    <s v="Springfield"/>
    <x v="25"/>
    <n v="65807"/>
    <x v="2"/>
    <x v="548"/>
    <x v="1"/>
    <x v="10"/>
    <x v="548"/>
    <n v="51.84"/>
    <s v="Medium"/>
    <n v="8"/>
    <n v="0"/>
    <x v="0"/>
    <x v="0"/>
    <n v="25.401599999999998"/>
    <n v="0.48999999999999994"/>
    <n v="0"/>
  </r>
  <r>
    <n v="3112"/>
    <s v="CA-2016-121671"/>
    <d v="2016-07-17T00:00:00"/>
    <x v="0"/>
    <s v="Q3"/>
    <x v="16"/>
    <d v="2016-07-22T00:00:00"/>
    <s v="Standard Class"/>
    <x v="4"/>
    <x v="4"/>
    <s v="Consumer"/>
    <s v="United States"/>
    <s v="Springfield"/>
    <x v="25"/>
    <n v="65807"/>
    <x v="2"/>
    <x v="1244"/>
    <x v="1"/>
    <x v="4"/>
    <x v="1227"/>
    <n v="265.17"/>
    <s v="High"/>
    <n v="1"/>
    <n v="0"/>
    <x v="0"/>
    <x v="0"/>
    <n v="47.730600000000003"/>
    <n v="0.18"/>
    <n v="0"/>
  </r>
  <r>
    <n v="3113"/>
    <s v="CA-2016-150350"/>
    <d v="2016-08-23T00:00:00"/>
    <x v="0"/>
    <s v="Q3"/>
    <x v="28"/>
    <d v="2016-08-30T00:00:00"/>
    <s v="Standard Class"/>
    <x v="474"/>
    <x v="474"/>
    <s v="Consumer"/>
    <s v="United States"/>
    <s v="Seattle"/>
    <x v="4"/>
    <n v="98105"/>
    <x v="1"/>
    <x v="1491"/>
    <x v="2"/>
    <x v="15"/>
    <x v="1478"/>
    <n v="837.6"/>
    <s v="High"/>
    <n v="3"/>
    <n v="0.2"/>
    <x v="2"/>
    <x v="2"/>
    <n v="62.82"/>
    <n v="7.4999999999999997E-2"/>
    <n v="0"/>
  </r>
  <r>
    <n v="3114"/>
    <s v="CA-2016-150350"/>
    <d v="2016-08-23T00:00:00"/>
    <x v="0"/>
    <s v="Q3"/>
    <x v="28"/>
    <d v="2016-08-30T00:00:00"/>
    <s v="Standard Class"/>
    <x v="474"/>
    <x v="474"/>
    <s v="Consumer"/>
    <s v="United States"/>
    <s v="Seattle"/>
    <x v="4"/>
    <n v="98105"/>
    <x v="1"/>
    <x v="113"/>
    <x v="1"/>
    <x v="12"/>
    <x v="113"/>
    <n v="135.9"/>
    <s v="High"/>
    <n v="5"/>
    <n v="0"/>
    <x v="0"/>
    <x v="0"/>
    <n v="63.872999999999998"/>
    <n v="0.47"/>
    <n v="0"/>
  </r>
  <r>
    <n v="3115"/>
    <s v="CA-2016-150350"/>
    <d v="2016-08-23T00:00:00"/>
    <x v="0"/>
    <s v="Q3"/>
    <x v="28"/>
    <d v="2016-08-30T00:00:00"/>
    <s v="Standard Class"/>
    <x v="474"/>
    <x v="474"/>
    <s v="Consumer"/>
    <s v="United States"/>
    <s v="Seattle"/>
    <x v="4"/>
    <n v="98105"/>
    <x v="1"/>
    <x v="1215"/>
    <x v="1"/>
    <x v="10"/>
    <x v="1199"/>
    <n v="34.68"/>
    <s v="Medium"/>
    <n v="6"/>
    <n v="0"/>
    <x v="0"/>
    <x v="0"/>
    <n v="16.993200000000002"/>
    <n v="0.49000000000000005"/>
    <n v="0"/>
  </r>
  <r>
    <n v="3116"/>
    <s v="CA-2016-150350"/>
    <d v="2016-08-23T00:00:00"/>
    <x v="0"/>
    <s v="Q3"/>
    <x v="28"/>
    <d v="2016-08-30T00:00:00"/>
    <s v="Standard Class"/>
    <x v="474"/>
    <x v="474"/>
    <s v="Consumer"/>
    <s v="United States"/>
    <s v="Seattle"/>
    <x v="4"/>
    <n v="98105"/>
    <x v="1"/>
    <x v="913"/>
    <x v="0"/>
    <x v="1"/>
    <x v="905"/>
    <n v="532.70399999999995"/>
    <s v="High"/>
    <n v="6"/>
    <n v="0.2"/>
    <x v="2"/>
    <x v="2"/>
    <n v="-39.952800000000003"/>
    <n v="-7.5000000000000011E-2"/>
    <n v="1"/>
  </r>
  <r>
    <n v="3117"/>
    <s v="CA-2016-150350"/>
    <d v="2016-08-23T00:00:00"/>
    <x v="0"/>
    <s v="Q3"/>
    <x v="28"/>
    <d v="2016-08-30T00:00:00"/>
    <s v="Standard Class"/>
    <x v="474"/>
    <x v="474"/>
    <s v="Consumer"/>
    <s v="United States"/>
    <s v="Seattle"/>
    <x v="4"/>
    <n v="98105"/>
    <x v="1"/>
    <x v="22"/>
    <x v="1"/>
    <x v="9"/>
    <x v="22"/>
    <n v="43.1"/>
    <s v="Medium"/>
    <n v="5"/>
    <n v="0"/>
    <x v="0"/>
    <x v="0"/>
    <n v="11.206"/>
    <n v="0.25999999999999995"/>
    <n v="0"/>
  </r>
  <r>
    <n v="3118"/>
    <s v="CA-2016-150350"/>
    <d v="2016-08-23T00:00:00"/>
    <x v="0"/>
    <s v="Q3"/>
    <x v="28"/>
    <d v="2016-08-30T00:00:00"/>
    <s v="Standard Class"/>
    <x v="474"/>
    <x v="474"/>
    <s v="Consumer"/>
    <s v="United States"/>
    <s v="Seattle"/>
    <x v="4"/>
    <n v="98105"/>
    <x v="1"/>
    <x v="168"/>
    <x v="1"/>
    <x v="14"/>
    <x v="169"/>
    <n v="15.88"/>
    <s v="Low"/>
    <n v="4"/>
    <n v="0"/>
    <x v="0"/>
    <x v="0"/>
    <n v="0.1588"/>
    <n v="9.9999999999999985E-3"/>
    <n v="0"/>
  </r>
  <r>
    <n v="3119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299"/>
    <x v="0"/>
    <x v="1"/>
    <x v="299"/>
    <n v="1123.92"/>
    <s v="High"/>
    <n v="5"/>
    <n v="0.2"/>
    <x v="2"/>
    <x v="2"/>
    <n v="-182.637"/>
    <n v="-0.16249999999999998"/>
    <n v="1"/>
  </r>
  <r>
    <n v="3120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495"/>
    <x v="2"/>
    <x v="7"/>
    <x v="495"/>
    <n v="249.584"/>
    <s v="High"/>
    <n v="2"/>
    <n v="0.2"/>
    <x v="2"/>
    <x v="2"/>
    <n v="31.198"/>
    <n v="0.125"/>
    <n v="0"/>
  </r>
  <r>
    <n v="3121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1492"/>
    <x v="0"/>
    <x v="5"/>
    <x v="1479"/>
    <n v="48.671999999999997"/>
    <s v="Medium"/>
    <n v="3"/>
    <n v="0.2"/>
    <x v="2"/>
    <x v="2"/>
    <n v="7.3007999999999997"/>
    <n v="0.15"/>
    <n v="0"/>
  </r>
  <r>
    <n v="3122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108"/>
    <x v="1"/>
    <x v="6"/>
    <x v="108"/>
    <n v="60.768000000000001"/>
    <s v="Medium"/>
    <n v="2"/>
    <n v="0.2"/>
    <x v="2"/>
    <x v="2"/>
    <n v="7.5960000000000001"/>
    <n v="0.125"/>
    <n v="0"/>
  </r>
  <r>
    <n v="3123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270"/>
    <x v="1"/>
    <x v="8"/>
    <x v="270"/>
    <n v="78.599999999999994"/>
    <s v="Medium"/>
    <n v="5"/>
    <n v="0.7"/>
    <x v="1"/>
    <x v="5"/>
    <n v="-62.88"/>
    <n v="-0.8"/>
    <n v="1"/>
  </r>
  <r>
    <n v="3124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1375"/>
    <x v="1"/>
    <x v="8"/>
    <x v="1360"/>
    <n v="3.7679999999999998"/>
    <s v="Low"/>
    <n v="2"/>
    <n v="0.7"/>
    <x v="1"/>
    <x v="5"/>
    <n v="-3.14"/>
    <n v="-0.83333333333333337"/>
    <n v="1"/>
  </r>
  <r>
    <n v="3125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486"/>
    <x v="1"/>
    <x v="4"/>
    <x v="486"/>
    <n v="1036.624"/>
    <s v="High"/>
    <n v="2"/>
    <n v="0.2"/>
    <x v="2"/>
    <x v="2"/>
    <n v="51.831200000000003"/>
    <n v="0.05"/>
    <n v="0"/>
  </r>
  <r>
    <n v="3126"/>
    <s v="CA-2015-121720"/>
    <d v="2015-06-11T00:00:00"/>
    <x v="1"/>
    <s v="Q2"/>
    <x v="40"/>
    <d v="2015-06-12T00:00:00"/>
    <s v="First Class"/>
    <x v="531"/>
    <x v="531"/>
    <s v="Corporate"/>
    <s v="United States"/>
    <s v="Lakeland"/>
    <x v="2"/>
    <n v="33801"/>
    <x v="0"/>
    <x v="718"/>
    <x v="1"/>
    <x v="4"/>
    <x v="717"/>
    <n v="563.80799999999999"/>
    <s v="High"/>
    <n v="4"/>
    <n v="0.2"/>
    <x v="2"/>
    <x v="2"/>
    <n v="21.142800000000001"/>
    <n v="3.7500000000000006E-2"/>
    <n v="0"/>
  </r>
  <r>
    <n v="3127"/>
    <s v="CA-2017-149895"/>
    <d v="2017-09-08T00:00:00"/>
    <x v="3"/>
    <s v="Q3"/>
    <x v="15"/>
    <d v="2017-09-12T00:00:00"/>
    <s v="Standard Class"/>
    <x v="686"/>
    <x v="686"/>
    <s v="Consumer"/>
    <s v="United States"/>
    <s v="Philadelphia"/>
    <x v="9"/>
    <n v="19134"/>
    <x v="3"/>
    <x v="883"/>
    <x v="2"/>
    <x v="7"/>
    <x v="1480"/>
    <n v="258.52800000000002"/>
    <s v="High"/>
    <n v="2"/>
    <n v="0.4"/>
    <x v="1"/>
    <x v="7"/>
    <n v="-47.396799999999999"/>
    <n v="-0.18333333333333332"/>
    <n v="1"/>
  </r>
  <r>
    <n v="3128"/>
    <s v="CA-2017-147564"/>
    <d v="2017-10-02T00:00:00"/>
    <x v="3"/>
    <s v="Q4"/>
    <x v="13"/>
    <d v="2017-10-06T00:00:00"/>
    <s v="Standard Class"/>
    <x v="669"/>
    <x v="669"/>
    <s v="Consumer"/>
    <s v="United States"/>
    <s v="New York City"/>
    <x v="15"/>
    <n v="10011"/>
    <x v="3"/>
    <x v="1493"/>
    <x v="1"/>
    <x v="10"/>
    <x v="1481"/>
    <n v="49.12"/>
    <s v="Medium"/>
    <n v="4"/>
    <n v="0"/>
    <x v="0"/>
    <x v="0"/>
    <n v="23.086400000000001"/>
    <n v="0.47000000000000003"/>
    <n v="0"/>
  </r>
  <r>
    <n v="3129"/>
    <s v="CA-2014-136399"/>
    <d v="2014-12-16T00:00:00"/>
    <x v="2"/>
    <s v="Q4"/>
    <x v="20"/>
    <d v="2014-12-17T00:00:00"/>
    <s v="First Class"/>
    <x v="385"/>
    <x v="385"/>
    <s v="Home Office"/>
    <s v="United States"/>
    <s v="Los Angeles"/>
    <x v="1"/>
    <n v="90049"/>
    <x v="1"/>
    <x v="642"/>
    <x v="0"/>
    <x v="5"/>
    <x v="642"/>
    <n v="44.46"/>
    <s v="Medium"/>
    <n v="2"/>
    <n v="0"/>
    <x v="0"/>
    <x v="0"/>
    <n v="14.671799999999999"/>
    <n v="0.32999999999999996"/>
    <n v="0"/>
  </r>
  <r>
    <n v="3130"/>
    <s v="CA-2014-136399"/>
    <d v="2014-12-16T00:00:00"/>
    <x v="2"/>
    <s v="Q4"/>
    <x v="20"/>
    <d v="2014-12-17T00:00:00"/>
    <s v="First Class"/>
    <x v="385"/>
    <x v="385"/>
    <s v="Home Office"/>
    <s v="United States"/>
    <s v="Los Angeles"/>
    <x v="1"/>
    <n v="90049"/>
    <x v="1"/>
    <x v="291"/>
    <x v="0"/>
    <x v="1"/>
    <x v="291"/>
    <n v="241.56800000000001"/>
    <s v="High"/>
    <n v="2"/>
    <n v="0.2"/>
    <x v="2"/>
    <x v="2"/>
    <n v="18.117599999999999"/>
    <n v="7.4999999999999997E-2"/>
    <n v="0"/>
  </r>
  <r>
    <n v="3131"/>
    <s v="CA-2014-136399"/>
    <d v="2014-12-16T00:00:00"/>
    <x v="2"/>
    <s v="Q4"/>
    <x v="20"/>
    <d v="2014-12-17T00:00:00"/>
    <s v="First Class"/>
    <x v="385"/>
    <x v="385"/>
    <s v="Home Office"/>
    <s v="United States"/>
    <s v="Los Angeles"/>
    <x v="1"/>
    <n v="90049"/>
    <x v="1"/>
    <x v="552"/>
    <x v="2"/>
    <x v="11"/>
    <x v="551"/>
    <n v="395"/>
    <s v="High"/>
    <n v="5"/>
    <n v="0"/>
    <x v="0"/>
    <x v="0"/>
    <n v="39.5"/>
    <n v="0.1"/>
    <n v="0"/>
  </r>
  <r>
    <n v="3132"/>
    <s v="CA-2014-136399"/>
    <d v="2014-12-16T00:00:00"/>
    <x v="2"/>
    <s v="Q4"/>
    <x v="20"/>
    <d v="2014-12-17T00:00:00"/>
    <s v="First Class"/>
    <x v="385"/>
    <x v="385"/>
    <s v="Home Office"/>
    <s v="United States"/>
    <s v="Los Angeles"/>
    <x v="1"/>
    <n v="90049"/>
    <x v="1"/>
    <x v="34"/>
    <x v="2"/>
    <x v="7"/>
    <x v="34"/>
    <n v="627.16800000000001"/>
    <s v="High"/>
    <n v="4"/>
    <n v="0.2"/>
    <x v="2"/>
    <x v="2"/>
    <n v="70.556399999999996"/>
    <n v="0.11249999999999999"/>
    <n v="0"/>
  </r>
  <r>
    <n v="3133"/>
    <s v="CA-2014-107916"/>
    <d v="2014-08-24T00:00:00"/>
    <x v="2"/>
    <s v="Q3"/>
    <x v="9"/>
    <d v="2014-08-26T00:00:00"/>
    <s v="First Class"/>
    <x v="687"/>
    <x v="687"/>
    <s v="Corporate"/>
    <s v="United States"/>
    <s v="Oceanside"/>
    <x v="15"/>
    <n v="11572"/>
    <x v="3"/>
    <x v="1494"/>
    <x v="0"/>
    <x v="5"/>
    <x v="1482"/>
    <n v="13.28"/>
    <s v="Low"/>
    <n v="2"/>
    <n v="0"/>
    <x v="0"/>
    <x v="0"/>
    <n v="6.3743999999999996"/>
    <n v="0.48"/>
    <n v="0"/>
  </r>
  <r>
    <n v="3134"/>
    <s v="CA-2014-107916"/>
    <d v="2014-08-24T00:00:00"/>
    <x v="2"/>
    <s v="Q3"/>
    <x v="9"/>
    <d v="2014-08-26T00:00:00"/>
    <s v="First Class"/>
    <x v="687"/>
    <x v="687"/>
    <s v="Corporate"/>
    <s v="United States"/>
    <s v="Oceanside"/>
    <x v="15"/>
    <n v="11572"/>
    <x v="3"/>
    <x v="1085"/>
    <x v="1"/>
    <x v="8"/>
    <x v="1075"/>
    <n v="12.672000000000001"/>
    <s v="Low"/>
    <n v="3"/>
    <n v="0.2"/>
    <x v="2"/>
    <x v="2"/>
    <n v="4.4352"/>
    <n v="0.35"/>
    <n v="0"/>
  </r>
  <r>
    <n v="3135"/>
    <s v="CA-2017-164168"/>
    <d v="2017-11-12T00:00:00"/>
    <x v="3"/>
    <s v="Q4"/>
    <x v="23"/>
    <d v="2017-11-18T00:00:00"/>
    <s v="Standard Class"/>
    <x v="60"/>
    <x v="60"/>
    <s v="Home Office"/>
    <s v="United States"/>
    <s v="Dallas"/>
    <x v="5"/>
    <n v="75081"/>
    <x v="2"/>
    <x v="997"/>
    <x v="1"/>
    <x v="8"/>
    <x v="989"/>
    <n v="30.56"/>
    <s v="Medium"/>
    <n v="5"/>
    <n v="0.8"/>
    <x v="1"/>
    <x v="3"/>
    <n v="-45.84"/>
    <n v="-1.5000000000000002"/>
    <n v="1"/>
  </r>
  <r>
    <n v="3136"/>
    <s v="CA-2017-164168"/>
    <d v="2017-11-12T00:00:00"/>
    <x v="3"/>
    <s v="Q4"/>
    <x v="23"/>
    <d v="2017-11-18T00:00:00"/>
    <s v="Standard Class"/>
    <x v="60"/>
    <x v="60"/>
    <s v="Home Office"/>
    <s v="United States"/>
    <s v="Dallas"/>
    <x v="5"/>
    <n v="75081"/>
    <x v="2"/>
    <x v="571"/>
    <x v="1"/>
    <x v="4"/>
    <x v="571"/>
    <n v="77.951999999999998"/>
    <s v="Medium"/>
    <n v="3"/>
    <n v="0.2"/>
    <x v="2"/>
    <x v="2"/>
    <n v="-15.590400000000001"/>
    <n v="-0.2"/>
    <n v="1"/>
  </r>
  <r>
    <n v="3137"/>
    <s v="CA-2017-164168"/>
    <d v="2017-11-12T00:00:00"/>
    <x v="3"/>
    <s v="Q4"/>
    <x v="23"/>
    <d v="2017-11-18T00:00:00"/>
    <s v="Standard Class"/>
    <x v="60"/>
    <x v="60"/>
    <s v="Home Office"/>
    <s v="United States"/>
    <s v="Dallas"/>
    <x v="5"/>
    <n v="75081"/>
    <x v="2"/>
    <x v="1495"/>
    <x v="2"/>
    <x v="7"/>
    <x v="1483"/>
    <n v="67.992000000000004"/>
    <s v="Medium"/>
    <n v="1"/>
    <n v="0.2"/>
    <x v="2"/>
    <x v="2"/>
    <n v="8.4990000000000006"/>
    <n v="0.125"/>
    <n v="0"/>
  </r>
  <r>
    <n v="3138"/>
    <s v="CA-2017-164168"/>
    <d v="2017-11-12T00:00:00"/>
    <x v="3"/>
    <s v="Q4"/>
    <x v="23"/>
    <d v="2017-11-18T00:00:00"/>
    <s v="Standard Class"/>
    <x v="60"/>
    <x v="60"/>
    <s v="Home Office"/>
    <s v="United States"/>
    <s v="Dallas"/>
    <x v="5"/>
    <n v="75081"/>
    <x v="2"/>
    <x v="588"/>
    <x v="1"/>
    <x v="12"/>
    <x v="588"/>
    <n v="12.224"/>
    <s v="Low"/>
    <n v="2"/>
    <n v="0.2"/>
    <x v="2"/>
    <x v="2"/>
    <n v="4.4311999999999996"/>
    <n v="0.36249999999999993"/>
    <n v="0"/>
  </r>
  <r>
    <n v="3139"/>
    <s v="CA-2017-164168"/>
    <d v="2017-11-12T00:00:00"/>
    <x v="3"/>
    <s v="Q4"/>
    <x v="23"/>
    <d v="2017-11-18T00:00:00"/>
    <s v="Standard Class"/>
    <x v="60"/>
    <x v="60"/>
    <s v="Home Office"/>
    <s v="United States"/>
    <s v="Dallas"/>
    <x v="5"/>
    <n v="75081"/>
    <x v="2"/>
    <x v="1130"/>
    <x v="2"/>
    <x v="11"/>
    <x v="1118"/>
    <n v="44.783999999999999"/>
    <s v="Medium"/>
    <n v="2"/>
    <n v="0.2"/>
    <x v="2"/>
    <x v="2"/>
    <n v="-0.55979999999999996"/>
    <n v="-1.2499999999999999E-2"/>
    <n v="1"/>
  </r>
  <r>
    <n v="3140"/>
    <s v="CA-2017-164168"/>
    <d v="2017-11-12T00:00:00"/>
    <x v="3"/>
    <s v="Q4"/>
    <x v="23"/>
    <d v="2017-11-18T00:00:00"/>
    <s v="Standard Class"/>
    <x v="60"/>
    <x v="60"/>
    <s v="Home Office"/>
    <s v="United States"/>
    <s v="Dallas"/>
    <x v="5"/>
    <n v="75081"/>
    <x v="2"/>
    <x v="285"/>
    <x v="0"/>
    <x v="5"/>
    <x v="285"/>
    <n v="22.847999999999999"/>
    <s v="Low"/>
    <n v="3"/>
    <n v="0.6"/>
    <x v="1"/>
    <x v="6"/>
    <n v="-17.7072"/>
    <n v="-0.77500000000000002"/>
    <n v="1"/>
  </r>
  <r>
    <n v="3141"/>
    <s v="CA-2015-112557"/>
    <d v="2015-04-25T00:00:00"/>
    <x v="1"/>
    <s v="Q2"/>
    <x v="19"/>
    <d v="2015-04-28T00:00:00"/>
    <s v="First Class"/>
    <x v="139"/>
    <x v="139"/>
    <s v="Consumer"/>
    <s v="United States"/>
    <s v="New York City"/>
    <x v="15"/>
    <n v="10035"/>
    <x v="3"/>
    <x v="14"/>
    <x v="1"/>
    <x v="9"/>
    <x v="14"/>
    <n v="206.43"/>
    <s v="High"/>
    <n v="3"/>
    <n v="0"/>
    <x v="0"/>
    <x v="0"/>
    <n v="90.8292"/>
    <n v="0.44"/>
    <n v="0"/>
  </r>
  <r>
    <n v="3142"/>
    <s v="US-2014-122959"/>
    <d v="2014-12-12T00:00:00"/>
    <x v="2"/>
    <s v="Q4"/>
    <x v="20"/>
    <d v="2014-12-12T00:00:00"/>
    <s v="Same Day"/>
    <x v="388"/>
    <x v="388"/>
    <s v="Corporate"/>
    <s v="United States"/>
    <s v="San Antonio"/>
    <x v="5"/>
    <n v="78207"/>
    <x v="2"/>
    <x v="115"/>
    <x v="1"/>
    <x v="8"/>
    <x v="115"/>
    <n v="210.392"/>
    <s v="High"/>
    <n v="2"/>
    <n v="0.8"/>
    <x v="1"/>
    <x v="3"/>
    <n v="-336.62720000000002"/>
    <n v="-1.6"/>
    <n v="1"/>
  </r>
  <r>
    <n v="3143"/>
    <s v="CA-2017-162572"/>
    <d v="2017-09-25T00:00:00"/>
    <x v="3"/>
    <s v="Q3"/>
    <x v="15"/>
    <d v="2017-09-27T00:00:00"/>
    <s v="Second Class"/>
    <x v="181"/>
    <x v="181"/>
    <s v="Consumer"/>
    <s v="United States"/>
    <s v="Cincinnati"/>
    <x v="24"/>
    <n v="45231"/>
    <x v="3"/>
    <x v="246"/>
    <x v="2"/>
    <x v="11"/>
    <x v="247"/>
    <n v="119.96"/>
    <s v="Medium"/>
    <n v="5"/>
    <n v="0.2"/>
    <x v="2"/>
    <x v="2"/>
    <n v="35.988"/>
    <n v="0.3"/>
    <n v="0"/>
  </r>
  <r>
    <n v="3144"/>
    <s v="CA-2017-162572"/>
    <d v="2017-09-25T00:00:00"/>
    <x v="3"/>
    <s v="Q3"/>
    <x v="15"/>
    <d v="2017-09-27T00:00:00"/>
    <s v="Second Class"/>
    <x v="181"/>
    <x v="181"/>
    <s v="Consumer"/>
    <s v="United States"/>
    <s v="Cincinnati"/>
    <x v="24"/>
    <n v="45231"/>
    <x v="3"/>
    <x v="147"/>
    <x v="1"/>
    <x v="6"/>
    <x v="148"/>
    <n v="10.608000000000001"/>
    <s v="Low"/>
    <n v="6"/>
    <n v="0.2"/>
    <x v="2"/>
    <x v="2"/>
    <n v="0.92820000000000003"/>
    <n v="8.7499999999999994E-2"/>
    <n v="0"/>
  </r>
  <r>
    <n v="3145"/>
    <s v="US-2016-148110"/>
    <d v="2016-09-05T00:00:00"/>
    <x v="0"/>
    <s v="Q3"/>
    <x v="21"/>
    <d v="2016-09-11T00:00:00"/>
    <s v="Standard Class"/>
    <x v="255"/>
    <x v="255"/>
    <s v="Corporate"/>
    <s v="United States"/>
    <s v="Austin"/>
    <x v="5"/>
    <n v="78745"/>
    <x v="2"/>
    <x v="474"/>
    <x v="0"/>
    <x v="1"/>
    <x v="475"/>
    <n v="347.80200000000002"/>
    <s v="High"/>
    <n v="7"/>
    <n v="0.3"/>
    <x v="1"/>
    <x v="4"/>
    <n v="-24.843"/>
    <n v="-7.1428571428571425E-2"/>
    <n v="1"/>
  </r>
  <r>
    <n v="3146"/>
    <s v="CA-2017-131828"/>
    <d v="2017-02-11T00:00:00"/>
    <x v="3"/>
    <s v="Q1"/>
    <x v="31"/>
    <d v="2017-02-13T00:00:00"/>
    <s v="Second Class"/>
    <x v="688"/>
    <x v="688"/>
    <s v="Corporate"/>
    <s v="United States"/>
    <s v="Seattle"/>
    <x v="4"/>
    <n v="98105"/>
    <x v="1"/>
    <x v="1496"/>
    <x v="0"/>
    <x v="1"/>
    <x v="1484"/>
    <n v="963.13599999999997"/>
    <s v="High"/>
    <n v="4"/>
    <n v="0.2"/>
    <x v="2"/>
    <x v="2"/>
    <n v="108.3528"/>
    <n v="0.1125"/>
    <n v="0"/>
  </r>
  <r>
    <n v="3147"/>
    <s v="CA-2017-131828"/>
    <d v="2017-02-11T00:00:00"/>
    <x v="3"/>
    <s v="Q1"/>
    <x v="31"/>
    <d v="2017-02-13T00:00:00"/>
    <s v="Second Class"/>
    <x v="688"/>
    <x v="688"/>
    <s v="Corporate"/>
    <s v="United States"/>
    <s v="Seattle"/>
    <x v="4"/>
    <n v="98105"/>
    <x v="1"/>
    <x v="687"/>
    <x v="2"/>
    <x v="7"/>
    <x v="687"/>
    <n v="88.775999999999996"/>
    <s v="Medium"/>
    <n v="3"/>
    <n v="0.2"/>
    <x v="2"/>
    <x v="2"/>
    <n v="7.7679"/>
    <n v="8.7500000000000008E-2"/>
    <n v="0"/>
  </r>
  <r>
    <n v="3148"/>
    <s v="CA-2014-109218"/>
    <d v="2014-06-30T00:00:00"/>
    <x v="2"/>
    <s v="Q2"/>
    <x v="3"/>
    <d v="2014-07-03T00:00:00"/>
    <s v="Second Class"/>
    <x v="255"/>
    <x v="255"/>
    <s v="Corporate"/>
    <s v="United States"/>
    <s v="Los Angeles"/>
    <x v="1"/>
    <n v="90004"/>
    <x v="1"/>
    <x v="313"/>
    <x v="1"/>
    <x v="6"/>
    <x v="313"/>
    <n v="32.4"/>
    <s v="Medium"/>
    <n v="5"/>
    <n v="0"/>
    <x v="0"/>
    <x v="0"/>
    <n v="10.368"/>
    <n v="0.32"/>
    <n v="0"/>
  </r>
  <r>
    <n v="3149"/>
    <s v="CA-2016-120558"/>
    <d v="2016-06-07T00:00:00"/>
    <x v="0"/>
    <s v="Q2"/>
    <x v="1"/>
    <d v="2016-06-10T00:00:00"/>
    <s v="First Class"/>
    <x v="279"/>
    <x v="279"/>
    <s v="Home Office"/>
    <s v="United States"/>
    <s v="New York City"/>
    <x v="15"/>
    <n v="10035"/>
    <x v="3"/>
    <x v="490"/>
    <x v="1"/>
    <x v="10"/>
    <x v="490"/>
    <n v="32.4"/>
    <s v="Medium"/>
    <n v="5"/>
    <n v="0"/>
    <x v="0"/>
    <x v="0"/>
    <n v="15.552"/>
    <n v="0.48"/>
    <n v="0"/>
  </r>
  <r>
    <n v="3150"/>
    <s v="US-2014-109036"/>
    <d v="2014-12-20T00:00:00"/>
    <x v="2"/>
    <s v="Q4"/>
    <x v="20"/>
    <d v="2014-12-25T00:00:00"/>
    <s v="Standard Class"/>
    <x v="168"/>
    <x v="168"/>
    <s v="Consumer"/>
    <s v="United States"/>
    <s v="Seattle"/>
    <x v="4"/>
    <n v="98103"/>
    <x v="1"/>
    <x v="254"/>
    <x v="1"/>
    <x v="2"/>
    <x v="255"/>
    <n v="31.05"/>
    <s v="Medium"/>
    <n v="3"/>
    <n v="0"/>
    <x v="0"/>
    <x v="0"/>
    <n v="14.904"/>
    <n v="0.48"/>
    <n v="0"/>
  </r>
  <r>
    <n v="3151"/>
    <s v="CA-2015-147830"/>
    <d v="2015-12-15T00:00:00"/>
    <x v="1"/>
    <s v="Q4"/>
    <x v="14"/>
    <d v="2015-12-18T00:00:00"/>
    <s v="First Class"/>
    <x v="173"/>
    <x v="173"/>
    <s v="Consumer"/>
    <s v="United States"/>
    <s v="Newark"/>
    <x v="24"/>
    <n v="43055"/>
    <x v="3"/>
    <x v="695"/>
    <x v="2"/>
    <x v="11"/>
    <x v="1062"/>
    <n v="2025.36"/>
    <s v="High"/>
    <n v="6"/>
    <n v="0.2"/>
    <x v="2"/>
    <x v="2"/>
    <n v="607.60799999999995"/>
    <n v="0.3"/>
    <n v="0"/>
  </r>
  <r>
    <n v="3152"/>
    <s v="CA-2015-147830"/>
    <d v="2015-12-15T00:00:00"/>
    <x v="1"/>
    <s v="Q4"/>
    <x v="14"/>
    <d v="2015-12-18T00:00:00"/>
    <s v="First Class"/>
    <x v="173"/>
    <x v="173"/>
    <s v="Consumer"/>
    <s v="United States"/>
    <s v="Newark"/>
    <x v="24"/>
    <n v="43055"/>
    <x v="3"/>
    <x v="1497"/>
    <x v="2"/>
    <x v="15"/>
    <x v="1485"/>
    <n v="1799.9939999999999"/>
    <s v="High"/>
    <n v="2"/>
    <n v="0.7"/>
    <x v="1"/>
    <x v="5"/>
    <n v="-2639.9911999999999"/>
    <n v="-1.4666666666666668"/>
    <n v="1"/>
  </r>
  <r>
    <n v="3153"/>
    <s v="CA-2015-147830"/>
    <d v="2015-12-15T00:00:00"/>
    <x v="1"/>
    <s v="Q4"/>
    <x v="14"/>
    <d v="2015-12-18T00:00:00"/>
    <s v="First Class"/>
    <x v="173"/>
    <x v="173"/>
    <s v="Consumer"/>
    <s v="United States"/>
    <s v="Newark"/>
    <x v="24"/>
    <n v="43055"/>
    <x v="3"/>
    <x v="1495"/>
    <x v="2"/>
    <x v="7"/>
    <x v="1483"/>
    <n v="101.988"/>
    <s v="Medium"/>
    <n v="2"/>
    <n v="0.4"/>
    <x v="1"/>
    <x v="7"/>
    <n v="-16.998000000000001"/>
    <n v="-0.16666666666666669"/>
    <n v="1"/>
  </r>
  <r>
    <n v="3154"/>
    <s v="CA-2015-147830"/>
    <d v="2015-12-15T00:00:00"/>
    <x v="1"/>
    <s v="Q4"/>
    <x v="14"/>
    <d v="2015-12-18T00:00:00"/>
    <s v="First Class"/>
    <x v="173"/>
    <x v="173"/>
    <s v="Consumer"/>
    <s v="United States"/>
    <s v="Newark"/>
    <x v="24"/>
    <n v="43055"/>
    <x v="3"/>
    <x v="267"/>
    <x v="0"/>
    <x v="5"/>
    <x v="267"/>
    <n v="262.86399999999998"/>
    <s v="High"/>
    <n v="7"/>
    <n v="0.2"/>
    <x v="2"/>
    <x v="2"/>
    <n v="69.001800000000003"/>
    <n v="0.26250000000000001"/>
    <n v="0"/>
  </r>
  <r>
    <n v="3155"/>
    <s v="CA-2017-150497"/>
    <d v="2017-07-20T00:00:00"/>
    <x v="3"/>
    <s v="Q3"/>
    <x v="10"/>
    <d v="2017-07-24T00:00:00"/>
    <s v="Standard Class"/>
    <x v="416"/>
    <x v="416"/>
    <s v="Corporate"/>
    <s v="United States"/>
    <s v="Maple Grove"/>
    <x v="11"/>
    <n v="55369"/>
    <x v="2"/>
    <x v="1498"/>
    <x v="1"/>
    <x v="8"/>
    <x v="1486"/>
    <n v="735.98"/>
    <s v="High"/>
    <n v="2"/>
    <n v="0"/>
    <x v="0"/>
    <x v="0"/>
    <n v="331.19099999999997"/>
    <n v="0.44999999999999996"/>
    <n v="0"/>
  </r>
  <r>
    <n v="3156"/>
    <s v="CA-2014-128986"/>
    <d v="2014-08-03T00:00:00"/>
    <x v="2"/>
    <s v="Q3"/>
    <x v="9"/>
    <d v="2014-08-05T00:00:00"/>
    <s v="Second Class"/>
    <x v="689"/>
    <x v="689"/>
    <s v="Home Office"/>
    <s v="United States"/>
    <s v="Glendale"/>
    <x v="16"/>
    <n v="85301"/>
    <x v="1"/>
    <x v="968"/>
    <x v="1"/>
    <x v="10"/>
    <x v="961"/>
    <n v="93.024000000000001"/>
    <s v="Medium"/>
    <n v="3"/>
    <n v="0.2"/>
    <x v="2"/>
    <x v="2"/>
    <n v="33.721200000000003"/>
    <n v="0.36250000000000004"/>
    <n v="0"/>
  </r>
  <r>
    <n v="3157"/>
    <s v="CA-2015-139584"/>
    <d v="2015-08-24T00:00:00"/>
    <x v="1"/>
    <s v="Q3"/>
    <x v="37"/>
    <d v="2015-08-28T00:00:00"/>
    <s v="Standard Class"/>
    <x v="613"/>
    <x v="613"/>
    <s v="Corporate"/>
    <s v="United States"/>
    <s v="New York City"/>
    <x v="15"/>
    <n v="10009"/>
    <x v="3"/>
    <x v="10"/>
    <x v="0"/>
    <x v="3"/>
    <x v="10"/>
    <n v="284.36399999999998"/>
    <s v="High"/>
    <n v="2"/>
    <n v="0.4"/>
    <x v="1"/>
    <x v="7"/>
    <n v="-75.830399999999997"/>
    <n v="-0.26666666666666666"/>
    <n v="1"/>
  </r>
  <r>
    <n v="3158"/>
    <s v="CA-2015-139584"/>
    <d v="2015-08-24T00:00:00"/>
    <x v="1"/>
    <s v="Q3"/>
    <x v="37"/>
    <d v="2015-08-28T00:00:00"/>
    <s v="Standard Class"/>
    <x v="613"/>
    <x v="613"/>
    <s v="Corporate"/>
    <s v="United States"/>
    <s v="New York City"/>
    <x v="15"/>
    <n v="10009"/>
    <x v="3"/>
    <x v="197"/>
    <x v="2"/>
    <x v="11"/>
    <x v="198"/>
    <n v="26"/>
    <s v="Medium"/>
    <n v="2"/>
    <n v="0"/>
    <x v="0"/>
    <x v="0"/>
    <n v="11.7"/>
    <n v="0.44999999999999996"/>
    <n v="0"/>
  </r>
  <r>
    <n v="3159"/>
    <s v="US-2016-162677"/>
    <d v="2016-03-26T00:00:00"/>
    <x v="0"/>
    <s v="Q1"/>
    <x v="17"/>
    <d v="2016-03-27T00:00:00"/>
    <s v="First Class"/>
    <x v="203"/>
    <x v="203"/>
    <s v="Consumer"/>
    <s v="United States"/>
    <s v="Jacksonville"/>
    <x v="3"/>
    <n v="28540"/>
    <x v="0"/>
    <x v="1036"/>
    <x v="1"/>
    <x v="4"/>
    <x v="1026"/>
    <n v="67.64"/>
    <s v="Medium"/>
    <n v="5"/>
    <n v="0.2"/>
    <x v="2"/>
    <x v="2"/>
    <n v="5.9184999999999999"/>
    <n v="8.7499999999999994E-2"/>
    <n v="0"/>
  </r>
  <r>
    <n v="3160"/>
    <s v="US-2016-162677"/>
    <d v="2016-03-26T00:00:00"/>
    <x v="0"/>
    <s v="Q1"/>
    <x v="17"/>
    <d v="2016-03-27T00:00:00"/>
    <s v="First Class"/>
    <x v="203"/>
    <x v="203"/>
    <s v="Consumer"/>
    <s v="United States"/>
    <s v="Jacksonville"/>
    <x v="3"/>
    <n v="28540"/>
    <x v="0"/>
    <x v="959"/>
    <x v="2"/>
    <x v="11"/>
    <x v="952"/>
    <n v="119.976"/>
    <s v="Medium"/>
    <n v="3"/>
    <n v="0.2"/>
    <x v="2"/>
    <x v="2"/>
    <n v="-17.996400000000001"/>
    <n v="-0.15000000000000002"/>
    <n v="1"/>
  </r>
  <r>
    <n v="3161"/>
    <s v="US-2014-150924"/>
    <d v="2014-09-12T00:00:00"/>
    <x v="2"/>
    <s v="Q3"/>
    <x v="30"/>
    <d v="2014-09-16T00:00:00"/>
    <s v="Second Class"/>
    <x v="690"/>
    <x v="690"/>
    <s v="Consumer"/>
    <s v="United States"/>
    <s v="Houston"/>
    <x v="5"/>
    <n v="77070"/>
    <x v="2"/>
    <x v="1499"/>
    <x v="1"/>
    <x v="8"/>
    <x v="1487"/>
    <n v="5.18"/>
    <s v="Low"/>
    <n v="5"/>
    <n v="0.8"/>
    <x v="1"/>
    <x v="3"/>
    <n v="-8.0289999999999999"/>
    <n v="-1.55"/>
    <n v="1"/>
  </r>
  <r>
    <n v="3162"/>
    <s v="CA-2014-153969"/>
    <d v="2014-09-21T00:00:00"/>
    <x v="2"/>
    <s v="Q3"/>
    <x v="30"/>
    <d v="2014-09-25T00:00:00"/>
    <s v="Standard Class"/>
    <x v="520"/>
    <x v="520"/>
    <s v="Consumer"/>
    <s v="United States"/>
    <s v="San Francisco"/>
    <x v="1"/>
    <n v="94109"/>
    <x v="1"/>
    <x v="837"/>
    <x v="1"/>
    <x v="12"/>
    <x v="153"/>
    <n v="15.56"/>
    <s v="Low"/>
    <n v="2"/>
    <n v="0"/>
    <x v="0"/>
    <x v="0"/>
    <n v="7.3132000000000001"/>
    <n v="0.47"/>
    <n v="0"/>
  </r>
  <r>
    <n v="3163"/>
    <s v="CA-2014-153969"/>
    <d v="2014-09-21T00:00:00"/>
    <x v="2"/>
    <s v="Q3"/>
    <x v="30"/>
    <d v="2014-09-25T00:00:00"/>
    <s v="Standard Class"/>
    <x v="520"/>
    <x v="520"/>
    <s v="Consumer"/>
    <s v="United States"/>
    <s v="San Francisco"/>
    <x v="1"/>
    <n v="94109"/>
    <x v="1"/>
    <x v="1358"/>
    <x v="1"/>
    <x v="12"/>
    <x v="1344"/>
    <n v="78.349999999999994"/>
    <s v="Medium"/>
    <n v="5"/>
    <n v="0"/>
    <x v="0"/>
    <x v="0"/>
    <n v="36.8245"/>
    <n v="0.47000000000000003"/>
    <n v="0"/>
  </r>
  <r>
    <n v="3164"/>
    <s v="CA-2014-153969"/>
    <d v="2014-09-21T00:00:00"/>
    <x v="2"/>
    <s v="Q3"/>
    <x v="30"/>
    <d v="2014-09-25T00:00:00"/>
    <s v="Standard Class"/>
    <x v="520"/>
    <x v="520"/>
    <s v="Consumer"/>
    <s v="United States"/>
    <s v="San Francisco"/>
    <x v="1"/>
    <n v="94109"/>
    <x v="1"/>
    <x v="1500"/>
    <x v="1"/>
    <x v="6"/>
    <x v="1488"/>
    <n v="59.52"/>
    <s v="Medium"/>
    <n v="3"/>
    <n v="0"/>
    <x v="0"/>
    <x v="0"/>
    <n v="15.475199999999999"/>
    <n v="0.25999999999999995"/>
    <n v="0"/>
  </r>
  <r>
    <n v="3165"/>
    <s v="CA-2014-153969"/>
    <d v="2014-09-21T00:00:00"/>
    <x v="2"/>
    <s v="Q3"/>
    <x v="30"/>
    <d v="2014-09-25T00:00:00"/>
    <s v="Standard Class"/>
    <x v="520"/>
    <x v="520"/>
    <s v="Consumer"/>
    <s v="United States"/>
    <s v="San Francisco"/>
    <x v="1"/>
    <n v="94109"/>
    <x v="1"/>
    <x v="1450"/>
    <x v="1"/>
    <x v="10"/>
    <x v="1437"/>
    <n v="38.520000000000003"/>
    <s v="Medium"/>
    <n v="9"/>
    <n v="0"/>
    <x v="0"/>
    <x v="0"/>
    <n v="17.334"/>
    <n v="0.44999999999999996"/>
    <n v="0"/>
  </r>
  <r>
    <n v="3166"/>
    <s v="CA-2014-153969"/>
    <d v="2014-09-21T00:00:00"/>
    <x v="2"/>
    <s v="Q3"/>
    <x v="30"/>
    <d v="2014-09-25T00:00:00"/>
    <s v="Standard Class"/>
    <x v="520"/>
    <x v="520"/>
    <s v="Consumer"/>
    <s v="United States"/>
    <s v="San Francisco"/>
    <x v="1"/>
    <n v="94109"/>
    <x v="1"/>
    <x v="1501"/>
    <x v="2"/>
    <x v="7"/>
    <x v="1489"/>
    <n v="239.98400000000001"/>
    <s v="High"/>
    <n v="2"/>
    <n v="0.2"/>
    <x v="2"/>
    <x v="2"/>
    <n v="23.9984"/>
    <n v="9.9999999999999992E-2"/>
    <n v="0"/>
  </r>
  <r>
    <n v="3167"/>
    <s v="CA-2014-153969"/>
    <d v="2014-09-21T00:00:00"/>
    <x v="2"/>
    <s v="Q3"/>
    <x v="30"/>
    <d v="2014-09-25T00:00:00"/>
    <s v="Standard Class"/>
    <x v="520"/>
    <x v="520"/>
    <s v="Consumer"/>
    <s v="United States"/>
    <s v="San Francisco"/>
    <x v="1"/>
    <n v="94109"/>
    <x v="1"/>
    <x v="1408"/>
    <x v="1"/>
    <x v="10"/>
    <x v="1395"/>
    <n v="19.350000000000001"/>
    <s v="Low"/>
    <n v="3"/>
    <n v="0"/>
    <x v="0"/>
    <x v="0"/>
    <n v="9.4815000000000005"/>
    <n v="0.49"/>
    <n v="0"/>
  </r>
  <r>
    <n v="3168"/>
    <s v="CA-2016-146682"/>
    <d v="2016-10-29T00:00:00"/>
    <x v="0"/>
    <s v="Q4"/>
    <x v="32"/>
    <d v="2016-10-31T00:00:00"/>
    <s v="First Class"/>
    <x v="147"/>
    <x v="147"/>
    <s v="Consumer"/>
    <s v="United States"/>
    <s v="Lansing"/>
    <x v="12"/>
    <n v="48911"/>
    <x v="2"/>
    <x v="278"/>
    <x v="0"/>
    <x v="5"/>
    <x v="278"/>
    <n v="67"/>
    <s v="Medium"/>
    <n v="5"/>
    <n v="0"/>
    <x v="0"/>
    <x v="0"/>
    <n v="32.159999999999997"/>
    <n v="0.47999999999999993"/>
    <n v="0"/>
  </r>
  <r>
    <n v="3169"/>
    <s v="CA-2016-138695"/>
    <d v="2016-05-28T00:00:00"/>
    <x v="0"/>
    <s v="Q2"/>
    <x v="35"/>
    <d v="2016-06-03T00:00:00"/>
    <s v="Standard Class"/>
    <x v="169"/>
    <x v="169"/>
    <s v="Corporate"/>
    <s v="United States"/>
    <s v="Tallahassee"/>
    <x v="2"/>
    <n v="32303"/>
    <x v="0"/>
    <x v="1225"/>
    <x v="0"/>
    <x v="1"/>
    <x v="1209"/>
    <n v="390.27199999999999"/>
    <s v="High"/>
    <n v="8"/>
    <n v="0.2"/>
    <x v="2"/>
    <x v="2"/>
    <n v="-24.391999999999999"/>
    <n v="-6.25E-2"/>
    <n v="1"/>
  </r>
  <r>
    <n v="3170"/>
    <s v="CA-2016-138695"/>
    <d v="2016-05-28T00:00:00"/>
    <x v="0"/>
    <s v="Q2"/>
    <x v="35"/>
    <d v="2016-06-03T00:00:00"/>
    <s v="Standard Class"/>
    <x v="169"/>
    <x v="169"/>
    <s v="Corporate"/>
    <s v="United States"/>
    <s v="Tallahassee"/>
    <x v="2"/>
    <n v="32303"/>
    <x v="0"/>
    <x v="457"/>
    <x v="1"/>
    <x v="10"/>
    <x v="458"/>
    <n v="62.192"/>
    <s v="Medium"/>
    <n v="13"/>
    <n v="0.2"/>
    <x v="2"/>
    <x v="2"/>
    <n v="19.434999999999999"/>
    <n v="0.3125"/>
    <n v="0"/>
  </r>
  <r>
    <n v="3171"/>
    <s v="CA-2017-107461"/>
    <d v="2017-12-21T00:00:00"/>
    <x v="3"/>
    <s v="Q4"/>
    <x v="22"/>
    <d v="2017-12-26T00:00:00"/>
    <s v="Second Class"/>
    <x v="7"/>
    <x v="7"/>
    <s v="Consumer"/>
    <s v="United States"/>
    <s v="Columbia"/>
    <x v="20"/>
    <n v="29203"/>
    <x v="0"/>
    <x v="1406"/>
    <x v="1"/>
    <x v="8"/>
    <x v="1393"/>
    <n v="23.88"/>
    <s v="Low"/>
    <n v="6"/>
    <n v="0"/>
    <x v="0"/>
    <x v="0"/>
    <n v="11.223599999999999"/>
    <n v="0.47"/>
    <n v="0"/>
  </r>
  <r>
    <n v="3172"/>
    <s v="US-2016-133879"/>
    <d v="2016-03-21T00:00:00"/>
    <x v="0"/>
    <s v="Q1"/>
    <x v="17"/>
    <d v="2016-03-28T00:00:00"/>
    <s v="Standard Class"/>
    <x v="446"/>
    <x v="446"/>
    <s v="Consumer"/>
    <s v="United States"/>
    <s v="Chicago"/>
    <x v="10"/>
    <n v="60623"/>
    <x v="2"/>
    <x v="741"/>
    <x v="1"/>
    <x v="8"/>
    <x v="739"/>
    <n v="3.1680000000000001"/>
    <s v="Low"/>
    <n v="2"/>
    <n v="0.8"/>
    <x v="1"/>
    <x v="3"/>
    <n v="-4.7519999999999998"/>
    <n v="-1.4999999999999998"/>
    <n v="1"/>
  </r>
  <r>
    <n v="3173"/>
    <s v="US-2016-133879"/>
    <d v="2016-03-21T00:00:00"/>
    <x v="0"/>
    <s v="Q1"/>
    <x v="17"/>
    <d v="2016-03-28T00:00:00"/>
    <s v="Standard Class"/>
    <x v="446"/>
    <x v="446"/>
    <s v="Consumer"/>
    <s v="United States"/>
    <s v="Chicago"/>
    <x v="10"/>
    <n v="60623"/>
    <x v="2"/>
    <x v="662"/>
    <x v="0"/>
    <x v="1"/>
    <x v="662"/>
    <n v="528.42999999999995"/>
    <s v="High"/>
    <n v="5"/>
    <n v="0.3"/>
    <x v="1"/>
    <x v="4"/>
    <n v="0"/>
    <n v="0"/>
    <n v="0"/>
  </r>
  <r>
    <n v="3174"/>
    <s v="US-2016-133879"/>
    <d v="2016-03-21T00:00:00"/>
    <x v="0"/>
    <s v="Q1"/>
    <x v="17"/>
    <d v="2016-03-28T00:00:00"/>
    <s v="Standard Class"/>
    <x v="446"/>
    <x v="446"/>
    <s v="Consumer"/>
    <s v="United States"/>
    <s v="Chicago"/>
    <x v="10"/>
    <n v="60623"/>
    <x v="2"/>
    <x v="1260"/>
    <x v="1"/>
    <x v="6"/>
    <x v="1244"/>
    <n v="13.391999999999999"/>
    <s v="Low"/>
    <n v="3"/>
    <n v="0.2"/>
    <x v="2"/>
    <x v="2"/>
    <n v="1.5065999999999999"/>
    <n v="0.1125"/>
    <n v="0"/>
  </r>
  <r>
    <n v="3175"/>
    <s v="CA-2017-157483"/>
    <d v="2017-11-11T00:00:00"/>
    <x v="3"/>
    <s v="Q4"/>
    <x v="23"/>
    <d v="2017-11-18T00:00:00"/>
    <s v="Standard Class"/>
    <x v="212"/>
    <x v="212"/>
    <s v="Consumer"/>
    <s v="United States"/>
    <s v="Detroit"/>
    <x v="12"/>
    <n v="48227"/>
    <x v="2"/>
    <x v="1502"/>
    <x v="1"/>
    <x v="6"/>
    <x v="1490"/>
    <n v="181.86"/>
    <s v="High"/>
    <n v="7"/>
    <n v="0"/>
    <x v="0"/>
    <x v="0"/>
    <n v="50.9208"/>
    <n v="0.27999999999999997"/>
    <n v="0"/>
  </r>
  <r>
    <n v="3176"/>
    <s v="US-2017-132059"/>
    <d v="2017-09-23T00:00:00"/>
    <x v="3"/>
    <s v="Q3"/>
    <x v="15"/>
    <d v="2017-09-29T00:00:00"/>
    <s v="Standard Class"/>
    <x v="275"/>
    <x v="275"/>
    <s v="Consumer"/>
    <s v="United States"/>
    <s v="Fort Collins"/>
    <x v="22"/>
    <n v="80525"/>
    <x v="1"/>
    <x v="789"/>
    <x v="0"/>
    <x v="0"/>
    <x v="787"/>
    <n v="180.58799999999999"/>
    <s v="High"/>
    <n v="2"/>
    <n v="0.7"/>
    <x v="1"/>
    <x v="5"/>
    <n v="-240.78399999999999"/>
    <n v="-1.3333333333333333"/>
    <n v="1"/>
  </r>
  <r>
    <n v="3177"/>
    <s v="US-2017-132059"/>
    <d v="2017-09-23T00:00:00"/>
    <x v="3"/>
    <s v="Q3"/>
    <x v="15"/>
    <d v="2017-09-29T00:00:00"/>
    <s v="Standard Class"/>
    <x v="275"/>
    <x v="275"/>
    <s v="Consumer"/>
    <s v="United States"/>
    <s v="Fort Collins"/>
    <x v="22"/>
    <n v="80525"/>
    <x v="1"/>
    <x v="1048"/>
    <x v="2"/>
    <x v="11"/>
    <x v="1037"/>
    <n v="47.984000000000002"/>
    <s v="Medium"/>
    <n v="2"/>
    <n v="0.2"/>
    <x v="2"/>
    <x v="2"/>
    <n v="0.5998"/>
    <n v="1.2499999999999999E-2"/>
    <n v="0"/>
  </r>
  <r>
    <n v="3178"/>
    <s v="CA-2017-122280"/>
    <d v="2017-09-10T00:00:00"/>
    <x v="3"/>
    <s v="Q3"/>
    <x v="15"/>
    <d v="2017-09-10T00:00:00"/>
    <s v="Same Day"/>
    <x v="129"/>
    <x v="129"/>
    <s v="Consumer"/>
    <s v="United States"/>
    <s v="New York City"/>
    <x v="15"/>
    <n v="10024"/>
    <x v="3"/>
    <x v="945"/>
    <x v="1"/>
    <x v="10"/>
    <x v="938"/>
    <n v="18.760000000000002"/>
    <s v="Low"/>
    <n v="2"/>
    <n v="0"/>
    <x v="0"/>
    <x v="0"/>
    <n v="9.0047999999999995"/>
    <n v="0.47999999999999993"/>
    <n v="0"/>
  </r>
  <r>
    <n v="3179"/>
    <s v="CA-2017-105235"/>
    <d v="2017-12-05T00:00:00"/>
    <x v="3"/>
    <s v="Q4"/>
    <x v="22"/>
    <d v="2017-12-11T00:00:00"/>
    <s v="Standard Class"/>
    <x v="416"/>
    <x v="416"/>
    <s v="Corporate"/>
    <s v="United States"/>
    <s v="New York City"/>
    <x v="15"/>
    <n v="10011"/>
    <x v="3"/>
    <x v="5"/>
    <x v="0"/>
    <x v="5"/>
    <x v="5"/>
    <n v="20.94"/>
    <s v="Low"/>
    <n v="3"/>
    <n v="0"/>
    <x v="0"/>
    <x v="0"/>
    <n v="6.0726000000000004"/>
    <n v="0.28999999999999998"/>
    <n v="0"/>
  </r>
  <r>
    <n v="3180"/>
    <s v="CA-2017-105235"/>
    <d v="2017-12-05T00:00:00"/>
    <x v="3"/>
    <s v="Q4"/>
    <x v="22"/>
    <d v="2017-12-11T00:00:00"/>
    <s v="Standard Class"/>
    <x v="416"/>
    <x v="416"/>
    <s v="Corporate"/>
    <s v="United States"/>
    <s v="New York City"/>
    <x v="15"/>
    <n v="10011"/>
    <x v="3"/>
    <x v="138"/>
    <x v="0"/>
    <x v="5"/>
    <x v="139"/>
    <n v="58.68"/>
    <s v="Medium"/>
    <n v="2"/>
    <n v="0"/>
    <x v="0"/>
    <x v="0"/>
    <n v="18.190799999999999"/>
    <n v="0.31"/>
    <n v="0"/>
  </r>
  <r>
    <n v="3181"/>
    <s v="CA-2017-105235"/>
    <d v="2017-12-05T00:00:00"/>
    <x v="3"/>
    <s v="Q4"/>
    <x v="22"/>
    <d v="2017-12-11T00:00:00"/>
    <s v="Standard Class"/>
    <x v="416"/>
    <x v="416"/>
    <s v="Corporate"/>
    <s v="United States"/>
    <s v="New York City"/>
    <x v="15"/>
    <n v="10011"/>
    <x v="3"/>
    <x v="473"/>
    <x v="1"/>
    <x v="9"/>
    <x v="474"/>
    <n v="254.9"/>
    <s v="High"/>
    <n v="5"/>
    <n v="0"/>
    <x v="0"/>
    <x v="0"/>
    <n v="68.822999999999993"/>
    <n v="0.26999999999999996"/>
    <n v="0"/>
  </r>
  <r>
    <n v="3182"/>
    <s v="CA-2017-152912"/>
    <d v="2017-11-09T00:00:00"/>
    <x v="3"/>
    <s v="Q4"/>
    <x v="23"/>
    <d v="2017-11-12T00:00:00"/>
    <s v="Second Class"/>
    <x v="312"/>
    <x v="312"/>
    <s v="Corporate"/>
    <s v="United States"/>
    <s v="Columbia"/>
    <x v="39"/>
    <n v="21044"/>
    <x v="3"/>
    <x v="544"/>
    <x v="1"/>
    <x v="8"/>
    <x v="544"/>
    <n v="9.64"/>
    <s v="Low"/>
    <n v="2"/>
    <n v="0"/>
    <x v="0"/>
    <x v="0"/>
    <n v="4.4344000000000001"/>
    <n v="0.45999999999999996"/>
    <n v="0"/>
  </r>
  <r>
    <n v="3183"/>
    <s v="CA-2017-152912"/>
    <d v="2017-11-09T00:00:00"/>
    <x v="3"/>
    <s v="Q4"/>
    <x v="23"/>
    <d v="2017-11-12T00:00:00"/>
    <s v="Second Class"/>
    <x v="312"/>
    <x v="312"/>
    <s v="Corporate"/>
    <s v="United States"/>
    <s v="Columbia"/>
    <x v="39"/>
    <n v="21044"/>
    <x v="3"/>
    <x v="717"/>
    <x v="2"/>
    <x v="11"/>
    <x v="716"/>
    <n v="826.62"/>
    <s v="High"/>
    <n v="3"/>
    <n v="0"/>
    <x v="0"/>
    <x v="0"/>
    <n v="355.44659999999999"/>
    <n v="0.43"/>
    <n v="0"/>
  </r>
  <r>
    <n v="3184"/>
    <s v="CA-2017-152912"/>
    <d v="2017-11-09T00:00:00"/>
    <x v="3"/>
    <s v="Q4"/>
    <x v="23"/>
    <d v="2017-11-12T00:00:00"/>
    <s v="Second Class"/>
    <x v="312"/>
    <x v="312"/>
    <s v="Corporate"/>
    <s v="United States"/>
    <s v="Columbia"/>
    <x v="39"/>
    <n v="21044"/>
    <x v="3"/>
    <x v="245"/>
    <x v="1"/>
    <x v="4"/>
    <x v="246"/>
    <n v="1633.14"/>
    <s v="High"/>
    <n v="9"/>
    <n v="0"/>
    <x v="0"/>
    <x v="0"/>
    <n v="473.61059999999998"/>
    <n v="0.28999999999999998"/>
    <n v="0"/>
  </r>
  <r>
    <n v="3185"/>
    <s v="CA-2017-152912"/>
    <d v="2017-11-09T00:00:00"/>
    <x v="3"/>
    <s v="Q4"/>
    <x v="23"/>
    <d v="2017-11-12T00:00:00"/>
    <s v="Second Class"/>
    <x v="312"/>
    <x v="312"/>
    <s v="Corporate"/>
    <s v="United States"/>
    <s v="Columbia"/>
    <x v="39"/>
    <n v="21044"/>
    <x v="3"/>
    <x v="245"/>
    <x v="1"/>
    <x v="4"/>
    <x v="246"/>
    <n v="544.38"/>
    <s v="High"/>
    <n v="3"/>
    <n v="0"/>
    <x v="0"/>
    <x v="0"/>
    <n v="157.87020000000001"/>
    <n v="0.29000000000000004"/>
    <n v="0"/>
  </r>
  <r>
    <n v="3186"/>
    <s v="CA-2014-123498"/>
    <d v="2014-11-07T00:00:00"/>
    <x v="2"/>
    <s v="Q4"/>
    <x v="7"/>
    <d v="2014-11-09T00:00:00"/>
    <s v="First Class"/>
    <x v="568"/>
    <x v="568"/>
    <s v="Corporate"/>
    <s v="United States"/>
    <s v="Houston"/>
    <x v="5"/>
    <n v="77041"/>
    <x v="2"/>
    <x v="1311"/>
    <x v="1"/>
    <x v="8"/>
    <x v="1297"/>
    <n v="26.045999999999999"/>
    <s v="Medium"/>
    <n v="3"/>
    <n v="0.8"/>
    <x v="1"/>
    <x v="3"/>
    <n v="-44.278199999999998"/>
    <n v="-1.7"/>
    <n v="1"/>
  </r>
  <r>
    <n v="3187"/>
    <s v="CA-2014-123498"/>
    <d v="2014-11-07T00:00:00"/>
    <x v="2"/>
    <s v="Q4"/>
    <x v="7"/>
    <d v="2014-11-09T00:00:00"/>
    <s v="First Class"/>
    <x v="568"/>
    <x v="568"/>
    <s v="Corporate"/>
    <s v="United States"/>
    <s v="Houston"/>
    <x v="5"/>
    <n v="77041"/>
    <x v="2"/>
    <x v="1503"/>
    <x v="1"/>
    <x v="12"/>
    <x v="153"/>
    <n v="74.352000000000004"/>
    <s v="Medium"/>
    <n v="3"/>
    <n v="0.2"/>
    <x v="2"/>
    <x v="2"/>
    <n v="26.9526"/>
    <n v="0.36249999999999999"/>
    <n v="0"/>
  </r>
  <r>
    <n v="3188"/>
    <s v="CA-2017-159352"/>
    <d v="2017-03-12T00:00:00"/>
    <x v="3"/>
    <s v="Q1"/>
    <x v="42"/>
    <d v="2017-03-17T00:00:00"/>
    <s v="Standard Class"/>
    <x v="10"/>
    <x v="10"/>
    <s v="Corporate"/>
    <s v="United States"/>
    <s v="Lowell"/>
    <x v="31"/>
    <n v="1852"/>
    <x v="3"/>
    <x v="857"/>
    <x v="2"/>
    <x v="7"/>
    <x v="851"/>
    <n v="69.930000000000007"/>
    <s v="Medium"/>
    <n v="7"/>
    <n v="0"/>
    <x v="0"/>
    <x v="0"/>
    <n v="32.1678"/>
    <n v="0.45999999999999996"/>
    <n v="0"/>
  </r>
  <r>
    <n v="3189"/>
    <s v="US-2017-146416"/>
    <d v="2017-10-20T00:00:00"/>
    <x v="3"/>
    <s v="Q4"/>
    <x v="13"/>
    <d v="2017-10-22T00:00:00"/>
    <s v="Second Class"/>
    <x v="68"/>
    <x v="68"/>
    <s v="Corporate"/>
    <s v="United States"/>
    <s v="Woodland"/>
    <x v="1"/>
    <n v="95695"/>
    <x v="1"/>
    <x v="1171"/>
    <x v="1"/>
    <x v="2"/>
    <x v="1157"/>
    <n v="3.75"/>
    <s v="Low"/>
    <n v="1"/>
    <n v="0"/>
    <x v="0"/>
    <x v="0"/>
    <n v="1.8"/>
    <n v="0.48000000000000004"/>
    <n v="0"/>
  </r>
  <r>
    <n v="3190"/>
    <s v="US-2017-146416"/>
    <d v="2017-10-20T00:00:00"/>
    <x v="3"/>
    <s v="Q4"/>
    <x v="13"/>
    <d v="2017-10-22T00:00:00"/>
    <s v="Second Class"/>
    <x v="68"/>
    <x v="68"/>
    <s v="Corporate"/>
    <s v="United States"/>
    <s v="Woodland"/>
    <x v="1"/>
    <n v="95695"/>
    <x v="1"/>
    <x v="1504"/>
    <x v="1"/>
    <x v="8"/>
    <x v="1491"/>
    <n v="20.928000000000001"/>
    <s v="Low"/>
    <n v="4"/>
    <n v="0.2"/>
    <x v="2"/>
    <x v="2"/>
    <n v="7.5864000000000003"/>
    <n v="0.36249999999999999"/>
    <n v="0"/>
  </r>
  <r>
    <n v="3191"/>
    <s v="US-2015-163783"/>
    <d v="2015-12-27T00:00:00"/>
    <x v="1"/>
    <s v="Q4"/>
    <x v="14"/>
    <d v="2016-01-01T00:00:00"/>
    <s v="Standard Class"/>
    <x v="660"/>
    <x v="660"/>
    <s v="Home Office"/>
    <s v="United States"/>
    <s v="Chicago"/>
    <x v="10"/>
    <n v="60610"/>
    <x v="2"/>
    <x v="1505"/>
    <x v="1"/>
    <x v="4"/>
    <x v="1492"/>
    <n v="12.672000000000001"/>
    <s v="Low"/>
    <n v="3"/>
    <n v="0.2"/>
    <x v="2"/>
    <x v="2"/>
    <n v="-3.1680000000000001"/>
    <n v="-0.25"/>
    <n v="1"/>
  </r>
  <r>
    <n v="3192"/>
    <s v="CA-2017-123981"/>
    <d v="2017-10-02T00:00:00"/>
    <x v="3"/>
    <s v="Q4"/>
    <x v="13"/>
    <d v="2017-10-08T00:00:00"/>
    <s v="Standard Class"/>
    <x v="338"/>
    <x v="338"/>
    <s v="Corporate"/>
    <s v="United States"/>
    <s v="New York City"/>
    <x v="15"/>
    <n v="10035"/>
    <x v="3"/>
    <x v="803"/>
    <x v="2"/>
    <x v="7"/>
    <x v="801"/>
    <n v="65.989999999999995"/>
    <s v="Medium"/>
    <n v="1"/>
    <n v="0"/>
    <x v="0"/>
    <x v="0"/>
    <n v="17.157399999999999"/>
    <n v="0.26"/>
    <n v="0"/>
  </r>
  <r>
    <n v="3193"/>
    <s v="CA-2017-158953"/>
    <d v="2017-06-04T00:00:00"/>
    <x v="3"/>
    <s v="Q2"/>
    <x v="27"/>
    <d v="2017-06-08T00:00:00"/>
    <s v="Standard Class"/>
    <x v="614"/>
    <x v="614"/>
    <s v="Corporate"/>
    <s v="United States"/>
    <s v="Missouri City"/>
    <x v="5"/>
    <n v="77489"/>
    <x v="2"/>
    <x v="248"/>
    <x v="1"/>
    <x v="8"/>
    <x v="249"/>
    <n v="6.37"/>
    <s v="Low"/>
    <n v="7"/>
    <n v="0.8"/>
    <x v="1"/>
    <x v="3"/>
    <n v="-9.5549999999999997"/>
    <n v="-1.5"/>
    <n v="1"/>
  </r>
  <r>
    <n v="3194"/>
    <s v="CA-2014-165428"/>
    <d v="2014-09-01T00:00:00"/>
    <x v="2"/>
    <s v="Q3"/>
    <x v="30"/>
    <d v="2014-09-04T00:00:00"/>
    <s v="First Class"/>
    <x v="691"/>
    <x v="691"/>
    <s v="Consumer"/>
    <s v="United States"/>
    <s v="Houston"/>
    <x v="5"/>
    <n v="77036"/>
    <x v="2"/>
    <x v="525"/>
    <x v="1"/>
    <x v="8"/>
    <x v="525"/>
    <n v="3.6480000000000001"/>
    <s v="Low"/>
    <n v="3"/>
    <n v="0.8"/>
    <x v="1"/>
    <x v="3"/>
    <n v="-6.0191999999999997"/>
    <n v="-1.65"/>
    <n v="1"/>
  </r>
  <r>
    <n v="3195"/>
    <s v="CA-2014-165428"/>
    <d v="2014-09-01T00:00:00"/>
    <x v="2"/>
    <s v="Q3"/>
    <x v="30"/>
    <d v="2014-09-04T00:00:00"/>
    <s v="First Class"/>
    <x v="691"/>
    <x v="691"/>
    <s v="Consumer"/>
    <s v="United States"/>
    <s v="Houston"/>
    <x v="5"/>
    <n v="77036"/>
    <x v="2"/>
    <x v="260"/>
    <x v="1"/>
    <x v="10"/>
    <x v="260"/>
    <n v="31.103999999999999"/>
    <s v="Medium"/>
    <n v="6"/>
    <n v="0.2"/>
    <x v="2"/>
    <x v="2"/>
    <n v="10.8864"/>
    <n v="0.35000000000000003"/>
    <n v="0"/>
  </r>
  <r>
    <n v="3196"/>
    <s v="CA-2016-169026"/>
    <d v="2016-08-08T00:00:00"/>
    <x v="0"/>
    <s v="Q3"/>
    <x v="28"/>
    <d v="2016-08-13T00:00:00"/>
    <s v="Standard Class"/>
    <x v="475"/>
    <x v="475"/>
    <s v="Home Office"/>
    <s v="United States"/>
    <s v="Jackson"/>
    <x v="35"/>
    <n v="39212"/>
    <x v="0"/>
    <x v="1506"/>
    <x v="1"/>
    <x v="13"/>
    <x v="1493"/>
    <n v="23.34"/>
    <s v="Low"/>
    <n v="3"/>
    <n v="0"/>
    <x v="0"/>
    <x v="0"/>
    <n v="0.2334"/>
    <n v="0.01"/>
    <n v="0"/>
  </r>
  <r>
    <n v="3197"/>
    <s v="CA-2017-109750"/>
    <d v="2017-07-22T00:00:00"/>
    <x v="3"/>
    <s v="Q3"/>
    <x v="10"/>
    <d v="2017-07-28T00:00:00"/>
    <s v="Standard Class"/>
    <x v="92"/>
    <x v="92"/>
    <s v="Corporate"/>
    <s v="United States"/>
    <s v="New York City"/>
    <x v="15"/>
    <n v="10009"/>
    <x v="3"/>
    <x v="312"/>
    <x v="2"/>
    <x v="7"/>
    <x v="312"/>
    <n v="29.97"/>
    <s v="Medium"/>
    <n v="3"/>
    <n v="0"/>
    <x v="0"/>
    <x v="0"/>
    <n v="14.085900000000001"/>
    <n v="0.47000000000000003"/>
    <n v="0"/>
  </r>
  <r>
    <n v="3198"/>
    <s v="CA-2015-149384"/>
    <d v="2015-07-10T00:00:00"/>
    <x v="1"/>
    <s v="Q3"/>
    <x v="38"/>
    <d v="2015-07-10T00:00:00"/>
    <s v="Same Day"/>
    <x v="13"/>
    <x v="13"/>
    <s v="Consumer"/>
    <s v="United States"/>
    <s v="Tempe"/>
    <x v="16"/>
    <n v="85281"/>
    <x v="1"/>
    <x v="1390"/>
    <x v="1"/>
    <x v="8"/>
    <x v="1376"/>
    <n v="3.3660000000000001"/>
    <s v="Low"/>
    <n v="3"/>
    <n v="0.7"/>
    <x v="1"/>
    <x v="5"/>
    <n v="-2.2440000000000002"/>
    <n v="-0.66666666666666674"/>
    <n v="1"/>
  </r>
  <r>
    <n v="3199"/>
    <s v="CA-2014-131527"/>
    <d v="2014-12-01T00:00:00"/>
    <x v="2"/>
    <s v="Q4"/>
    <x v="20"/>
    <d v="2014-12-07T00:00:00"/>
    <s v="Standard Class"/>
    <x v="509"/>
    <x v="509"/>
    <s v="Consumer"/>
    <s v="United States"/>
    <s v="Jacksonville"/>
    <x v="3"/>
    <n v="28540"/>
    <x v="0"/>
    <x v="1507"/>
    <x v="2"/>
    <x v="7"/>
    <x v="1494"/>
    <n v="95.968000000000004"/>
    <s v="Medium"/>
    <n v="4"/>
    <n v="0.2"/>
    <x v="2"/>
    <x v="2"/>
    <n v="9.5968"/>
    <n v="9.9999999999999992E-2"/>
    <n v="0"/>
  </r>
  <r>
    <n v="3200"/>
    <s v="CA-2017-164000"/>
    <d v="2017-12-18T00:00:00"/>
    <x v="3"/>
    <s v="Q4"/>
    <x v="22"/>
    <d v="2017-12-22T00:00:00"/>
    <s v="Standard Class"/>
    <x v="692"/>
    <x v="692"/>
    <s v="Corporate"/>
    <s v="United States"/>
    <s v="Philadelphia"/>
    <x v="9"/>
    <n v="19134"/>
    <x v="3"/>
    <x v="1412"/>
    <x v="1"/>
    <x v="6"/>
    <x v="1399"/>
    <n v="18.704000000000001"/>
    <s v="Low"/>
    <n v="7"/>
    <n v="0.2"/>
    <x v="2"/>
    <x v="2"/>
    <n v="2.3380000000000001"/>
    <n v="0.125"/>
    <n v="0"/>
  </r>
  <r>
    <n v="3201"/>
    <s v="CA-2014-164224"/>
    <d v="2014-05-18T00:00:00"/>
    <x v="2"/>
    <s v="Q2"/>
    <x v="8"/>
    <d v="2014-05-20T00:00:00"/>
    <s v="Second Class"/>
    <x v="74"/>
    <x v="74"/>
    <s v="Consumer"/>
    <s v="United States"/>
    <s v="Akron"/>
    <x v="24"/>
    <n v="44312"/>
    <x v="3"/>
    <x v="1292"/>
    <x v="0"/>
    <x v="5"/>
    <x v="1278"/>
    <n v="149.232"/>
    <s v="High"/>
    <n v="3"/>
    <n v="0.2"/>
    <x v="2"/>
    <x v="2"/>
    <n v="3.7307999999999999"/>
    <n v="2.4999999999999998E-2"/>
    <n v="0"/>
  </r>
  <r>
    <n v="3202"/>
    <s v="CA-2014-164224"/>
    <d v="2014-05-18T00:00:00"/>
    <x v="2"/>
    <s v="Q2"/>
    <x v="8"/>
    <d v="2014-05-20T00:00:00"/>
    <s v="Second Class"/>
    <x v="74"/>
    <x v="74"/>
    <s v="Consumer"/>
    <s v="United States"/>
    <s v="Akron"/>
    <x v="24"/>
    <n v="44312"/>
    <x v="3"/>
    <x v="1050"/>
    <x v="1"/>
    <x v="10"/>
    <x v="1039"/>
    <n v="15.936"/>
    <s v="Low"/>
    <n v="4"/>
    <n v="0.2"/>
    <x v="2"/>
    <x v="2"/>
    <n v="5.7767999999999997"/>
    <n v="0.36249999999999999"/>
    <n v="0"/>
  </r>
  <r>
    <n v="3203"/>
    <s v="CA-2014-158372"/>
    <d v="2014-11-10T00:00:00"/>
    <x v="2"/>
    <s v="Q4"/>
    <x v="7"/>
    <d v="2014-11-16T00:00:00"/>
    <s v="Standard Class"/>
    <x v="76"/>
    <x v="76"/>
    <s v="Consumer"/>
    <s v="United States"/>
    <s v="San Diego"/>
    <x v="1"/>
    <n v="92037"/>
    <x v="1"/>
    <x v="539"/>
    <x v="2"/>
    <x v="7"/>
    <x v="539"/>
    <n v="601.53599999999994"/>
    <s v="High"/>
    <n v="8"/>
    <n v="0.2"/>
    <x v="2"/>
    <x v="2"/>
    <n v="60.153599999999997"/>
    <n v="0.1"/>
    <n v="0"/>
  </r>
  <r>
    <n v="3204"/>
    <s v="CA-2014-158372"/>
    <d v="2014-11-10T00:00:00"/>
    <x v="2"/>
    <s v="Q4"/>
    <x v="7"/>
    <d v="2014-11-16T00:00:00"/>
    <s v="Standard Class"/>
    <x v="76"/>
    <x v="76"/>
    <s v="Consumer"/>
    <s v="United States"/>
    <s v="San Diego"/>
    <x v="1"/>
    <n v="92037"/>
    <x v="1"/>
    <x v="916"/>
    <x v="2"/>
    <x v="11"/>
    <x v="908"/>
    <n v="10.99"/>
    <s v="Low"/>
    <n v="1"/>
    <n v="0"/>
    <x v="0"/>
    <x v="0"/>
    <n v="4.2861000000000002"/>
    <n v="0.39"/>
    <n v="0"/>
  </r>
  <r>
    <n v="3205"/>
    <s v="CA-2014-158372"/>
    <d v="2014-11-10T00:00:00"/>
    <x v="2"/>
    <s v="Q4"/>
    <x v="7"/>
    <d v="2014-11-16T00:00:00"/>
    <s v="Standard Class"/>
    <x v="76"/>
    <x v="76"/>
    <s v="Consumer"/>
    <s v="United States"/>
    <s v="San Diego"/>
    <x v="1"/>
    <n v="92037"/>
    <x v="1"/>
    <x v="63"/>
    <x v="0"/>
    <x v="5"/>
    <x v="63"/>
    <n v="39.880000000000003"/>
    <s v="Medium"/>
    <n v="2"/>
    <n v="0"/>
    <x v="0"/>
    <x v="0"/>
    <n v="11.166399999999999"/>
    <n v="0.27999999999999997"/>
    <n v="0"/>
  </r>
  <r>
    <n v="3206"/>
    <s v="CA-2014-158372"/>
    <d v="2014-11-10T00:00:00"/>
    <x v="2"/>
    <s v="Q4"/>
    <x v="7"/>
    <d v="2014-11-16T00:00:00"/>
    <s v="Standard Class"/>
    <x v="76"/>
    <x v="76"/>
    <s v="Consumer"/>
    <s v="United States"/>
    <s v="San Diego"/>
    <x v="1"/>
    <n v="92037"/>
    <x v="1"/>
    <x v="565"/>
    <x v="1"/>
    <x v="10"/>
    <x v="565"/>
    <n v="62.24"/>
    <s v="Medium"/>
    <n v="8"/>
    <n v="0"/>
    <x v="0"/>
    <x v="0"/>
    <n v="28.007999999999999"/>
    <n v="0.44999999999999996"/>
    <n v="0"/>
  </r>
  <r>
    <n v="3207"/>
    <s v="CA-2014-158372"/>
    <d v="2014-11-10T00:00:00"/>
    <x v="2"/>
    <s v="Q4"/>
    <x v="7"/>
    <d v="2014-11-16T00:00:00"/>
    <s v="Standard Class"/>
    <x v="76"/>
    <x v="76"/>
    <s v="Consumer"/>
    <s v="United States"/>
    <s v="San Diego"/>
    <x v="1"/>
    <n v="92037"/>
    <x v="1"/>
    <x v="882"/>
    <x v="0"/>
    <x v="5"/>
    <x v="876"/>
    <n v="53.2"/>
    <s v="Medium"/>
    <n v="5"/>
    <n v="0"/>
    <x v="0"/>
    <x v="0"/>
    <n v="14.896000000000001"/>
    <n v="0.28000000000000003"/>
    <n v="0"/>
  </r>
  <r>
    <n v="3208"/>
    <s v="CA-2014-158372"/>
    <d v="2014-11-10T00:00:00"/>
    <x v="2"/>
    <s v="Q4"/>
    <x v="7"/>
    <d v="2014-11-16T00:00:00"/>
    <s v="Standard Class"/>
    <x v="76"/>
    <x v="76"/>
    <s v="Consumer"/>
    <s v="United States"/>
    <s v="San Diego"/>
    <x v="1"/>
    <n v="92037"/>
    <x v="1"/>
    <x v="1508"/>
    <x v="1"/>
    <x v="2"/>
    <x v="1495"/>
    <n v="39.840000000000003"/>
    <s v="Medium"/>
    <n v="8"/>
    <n v="0"/>
    <x v="0"/>
    <x v="0"/>
    <n v="18.3264"/>
    <n v="0.45999999999999996"/>
    <n v="0"/>
  </r>
  <r>
    <n v="3209"/>
    <s v="CA-2016-108882"/>
    <d v="2016-01-09T00:00:00"/>
    <x v="0"/>
    <s v="Q1"/>
    <x v="12"/>
    <d v="2016-01-15T00:00:00"/>
    <s v="Standard Class"/>
    <x v="156"/>
    <x v="156"/>
    <s v="Corporate"/>
    <s v="United States"/>
    <s v="Fresno"/>
    <x v="1"/>
    <n v="93727"/>
    <x v="1"/>
    <x v="1509"/>
    <x v="2"/>
    <x v="11"/>
    <x v="1496"/>
    <n v="349.95"/>
    <s v="High"/>
    <n v="5"/>
    <n v="0"/>
    <x v="0"/>
    <x v="0"/>
    <n v="118.983"/>
    <n v="0.34"/>
    <n v="0"/>
  </r>
  <r>
    <n v="3210"/>
    <s v="CA-2016-108882"/>
    <d v="2016-01-09T00:00:00"/>
    <x v="0"/>
    <s v="Q1"/>
    <x v="12"/>
    <d v="2016-01-15T00:00:00"/>
    <s v="Standard Class"/>
    <x v="156"/>
    <x v="156"/>
    <s v="Corporate"/>
    <s v="United States"/>
    <s v="Fresno"/>
    <x v="1"/>
    <n v="93727"/>
    <x v="1"/>
    <x v="66"/>
    <x v="2"/>
    <x v="7"/>
    <x v="66"/>
    <n v="377.928"/>
    <s v="High"/>
    <n v="9"/>
    <n v="0.2"/>
    <x v="2"/>
    <x v="2"/>
    <n v="141.72300000000001"/>
    <n v="0.37500000000000006"/>
    <n v="0"/>
  </r>
  <r>
    <n v="3211"/>
    <s v="US-2017-108245"/>
    <d v="2017-09-22T00:00:00"/>
    <x v="3"/>
    <s v="Q3"/>
    <x v="15"/>
    <d v="2017-09-27T00:00:00"/>
    <s v="Standard Class"/>
    <x v="64"/>
    <x v="64"/>
    <s v="Corporate"/>
    <s v="United States"/>
    <s v="Pearland"/>
    <x v="5"/>
    <n v="77581"/>
    <x v="2"/>
    <x v="407"/>
    <x v="1"/>
    <x v="12"/>
    <x v="153"/>
    <n v="13.391999999999999"/>
    <s v="Low"/>
    <n v="3"/>
    <n v="0.2"/>
    <x v="2"/>
    <x v="2"/>
    <n v="5.0220000000000002"/>
    <n v="0.37500000000000006"/>
    <n v="0"/>
  </r>
  <r>
    <n v="3212"/>
    <s v="US-2017-108245"/>
    <d v="2017-09-22T00:00:00"/>
    <x v="3"/>
    <s v="Q3"/>
    <x v="15"/>
    <d v="2017-09-27T00:00:00"/>
    <s v="Standard Class"/>
    <x v="64"/>
    <x v="64"/>
    <s v="Corporate"/>
    <s v="United States"/>
    <s v="Pearland"/>
    <x v="5"/>
    <n v="77581"/>
    <x v="2"/>
    <x v="385"/>
    <x v="1"/>
    <x v="8"/>
    <x v="386"/>
    <n v="11.228"/>
    <s v="Low"/>
    <n v="7"/>
    <n v="0.8"/>
    <x v="1"/>
    <x v="3"/>
    <n v="-18.526199999999999"/>
    <n v="-1.65"/>
    <n v="1"/>
  </r>
  <r>
    <n v="3213"/>
    <s v="CA-2014-142314"/>
    <d v="2014-12-23T00:00:00"/>
    <x v="2"/>
    <s v="Q4"/>
    <x v="20"/>
    <d v="2014-12-28T00:00:00"/>
    <s v="Standard Class"/>
    <x v="227"/>
    <x v="227"/>
    <s v="Consumer"/>
    <s v="United States"/>
    <s v="Richmond"/>
    <x v="14"/>
    <n v="47374"/>
    <x v="2"/>
    <x v="551"/>
    <x v="1"/>
    <x v="9"/>
    <x v="550"/>
    <n v="207.24"/>
    <s v="High"/>
    <n v="11"/>
    <n v="0"/>
    <x v="0"/>
    <x v="0"/>
    <n v="58.027200000000001"/>
    <n v="0.27999999999999997"/>
    <n v="0"/>
  </r>
  <r>
    <n v="3214"/>
    <s v="CA-2016-132409"/>
    <d v="2016-05-26T00:00:00"/>
    <x v="0"/>
    <s v="Q2"/>
    <x v="35"/>
    <d v="2016-06-01T00:00:00"/>
    <s v="Standard Class"/>
    <x v="260"/>
    <x v="260"/>
    <s v="Corporate"/>
    <s v="United States"/>
    <s v="Philadelphia"/>
    <x v="9"/>
    <n v="19134"/>
    <x v="3"/>
    <x v="868"/>
    <x v="1"/>
    <x v="6"/>
    <x v="862"/>
    <n v="1.504"/>
    <s v="Low"/>
    <n v="1"/>
    <n v="0.2"/>
    <x v="2"/>
    <x v="2"/>
    <n v="0.16919999999999999"/>
    <n v="0.11249999999999999"/>
    <n v="0"/>
  </r>
  <r>
    <n v="3215"/>
    <s v="CA-2016-132409"/>
    <d v="2016-05-26T00:00:00"/>
    <x v="0"/>
    <s v="Q2"/>
    <x v="35"/>
    <d v="2016-06-01T00:00:00"/>
    <s v="Standard Class"/>
    <x v="260"/>
    <x v="260"/>
    <s v="Corporate"/>
    <s v="United States"/>
    <s v="Philadelphia"/>
    <x v="9"/>
    <n v="19134"/>
    <x v="3"/>
    <x v="1112"/>
    <x v="1"/>
    <x v="9"/>
    <x v="1101"/>
    <n v="34.847999999999999"/>
    <s v="Medium"/>
    <n v="2"/>
    <n v="0.2"/>
    <x v="2"/>
    <x v="2"/>
    <n v="6.5339999999999998"/>
    <n v="0.1875"/>
    <n v="0"/>
  </r>
  <r>
    <n v="3216"/>
    <s v="CA-2017-150189"/>
    <d v="2017-07-08T00:00:00"/>
    <x v="3"/>
    <s v="Q3"/>
    <x v="10"/>
    <d v="2017-07-10T00:00:00"/>
    <s v="First Class"/>
    <x v="364"/>
    <x v="364"/>
    <s v="Consumer"/>
    <s v="United States"/>
    <s v="San Mateo"/>
    <x v="1"/>
    <n v="94403"/>
    <x v="1"/>
    <x v="49"/>
    <x v="1"/>
    <x v="2"/>
    <x v="49"/>
    <n v="75.180000000000007"/>
    <s v="Medium"/>
    <n v="6"/>
    <n v="0"/>
    <x v="0"/>
    <x v="0"/>
    <n v="35.334600000000002"/>
    <n v="0.47"/>
    <n v="0"/>
  </r>
  <r>
    <n v="3217"/>
    <s v="CA-2014-114433"/>
    <d v="2014-05-13T00:00:00"/>
    <x v="2"/>
    <s v="Q2"/>
    <x v="8"/>
    <d v="2014-05-17T00:00:00"/>
    <s v="Standard Class"/>
    <x v="268"/>
    <x v="268"/>
    <s v="Consumer"/>
    <s v="United States"/>
    <s v="Oakland"/>
    <x v="1"/>
    <n v="94601"/>
    <x v="1"/>
    <x v="1233"/>
    <x v="2"/>
    <x v="11"/>
    <x v="1216"/>
    <n v="149.97"/>
    <s v="High"/>
    <n v="3"/>
    <n v="0"/>
    <x v="0"/>
    <x v="0"/>
    <n v="52.4895"/>
    <n v="0.35"/>
    <n v="0"/>
  </r>
  <r>
    <n v="3218"/>
    <s v="CA-2017-104640"/>
    <d v="2017-11-10T00:00:00"/>
    <x v="3"/>
    <s v="Q4"/>
    <x v="23"/>
    <d v="2017-11-16T00:00:00"/>
    <s v="Standard Class"/>
    <x v="395"/>
    <x v="395"/>
    <s v="Corporate"/>
    <s v="United States"/>
    <s v="New York City"/>
    <x v="15"/>
    <n v="10024"/>
    <x v="3"/>
    <x v="760"/>
    <x v="1"/>
    <x v="8"/>
    <x v="758"/>
    <n v="931.17600000000004"/>
    <s v="High"/>
    <n v="3"/>
    <n v="0.2"/>
    <x v="2"/>
    <x v="2"/>
    <n v="314.27190000000002"/>
    <n v="0.33750000000000002"/>
    <n v="0"/>
  </r>
  <r>
    <n v="3219"/>
    <s v="CA-2017-104640"/>
    <d v="2017-11-10T00:00:00"/>
    <x v="3"/>
    <s v="Q4"/>
    <x v="23"/>
    <d v="2017-11-16T00:00:00"/>
    <s v="Standard Class"/>
    <x v="395"/>
    <x v="395"/>
    <s v="Corporate"/>
    <s v="United States"/>
    <s v="New York City"/>
    <x v="15"/>
    <n v="10024"/>
    <x v="3"/>
    <x v="883"/>
    <x v="2"/>
    <x v="7"/>
    <x v="1480"/>
    <n v="430.88"/>
    <s v="High"/>
    <n v="2"/>
    <n v="0"/>
    <x v="0"/>
    <x v="0"/>
    <n v="124.9552"/>
    <n v="0.29000000000000004"/>
    <n v="0"/>
  </r>
  <r>
    <n v="3220"/>
    <s v="US-2015-137008"/>
    <d v="2015-10-02T00:00:00"/>
    <x v="1"/>
    <s v="Q4"/>
    <x v="2"/>
    <d v="2015-10-08T00:00:00"/>
    <s v="Standard Class"/>
    <x v="687"/>
    <x v="687"/>
    <s v="Corporate"/>
    <s v="United States"/>
    <s v="Lakewood"/>
    <x v="30"/>
    <n v="8701"/>
    <x v="3"/>
    <x v="1237"/>
    <x v="1"/>
    <x v="10"/>
    <x v="1220"/>
    <n v="94.85"/>
    <s v="Medium"/>
    <n v="5"/>
    <n v="0"/>
    <x v="0"/>
    <x v="0"/>
    <n v="45.527999999999999"/>
    <n v="0.48000000000000004"/>
    <n v="0"/>
  </r>
  <r>
    <n v="3221"/>
    <s v="US-2015-137008"/>
    <d v="2015-10-02T00:00:00"/>
    <x v="1"/>
    <s v="Q4"/>
    <x v="2"/>
    <d v="2015-10-08T00:00:00"/>
    <s v="Standard Class"/>
    <x v="687"/>
    <x v="687"/>
    <s v="Corporate"/>
    <s v="United States"/>
    <s v="Lakewood"/>
    <x v="30"/>
    <n v="8701"/>
    <x v="3"/>
    <x v="118"/>
    <x v="1"/>
    <x v="12"/>
    <x v="118"/>
    <n v="51.12"/>
    <s v="Medium"/>
    <n v="4"/>
    <n v="0"/>
    <x v="0"/>
    <x v="0"/>
    <n v="23.004000000000001"/>
    <n v="0.45000000000000007"/>
    <n v="0"/>
  </r>
  <r>
    <n v="3222"/>
    <s v="US-2015-137008"/>
    <d v="2015-10-02T00:00:00"/>
    <x v="1"/>
    <s v="Q4"/>
    <x v="2"/>
    <d v="2015-10-08T00:00:00"/>
    <s v="Standard Class"/>
    <x v="687"/>
    <x v="687"/>
    <s v="Corporate"/>
    <s v="United States"/>
    <s v="Lakewood"/>
    <x v="30"/>
    <n v="8701"/>
    <x v="3"/>
    <x v="293"/>
    <x v="2"/>
    <x v="11"/>
    <x v="293"/>
    <n v="90"/>
    <s v="Medium"/>
    <n v="1"/>
    <n v="0"/>
    <x v="0"/>
    <x v="0"/>
    <n v="32.4"/>
    <n v="0.36"/>
    <n v="0"/>
  </r>
  <r>
    <n v="3223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1017"/>
    <x v="1"/>
    <x v="10"/>
    <x v="1008"/>
    <n v="9.4079999999999995"/>
    <s v="Low"/>
    <n v="2"/>
    <n v="0.2"/>
    <x v="2"/>
    <x v="2"/>
    <n v="3.4104000000000001"/>
    <n v="0.36250000000000004"/>
    <n v="0"/>
  </r>
  <r>
    <n v="3224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848"/>
    <x v="1"/>
    <x v="13"/>
    <x v="128"/>
    <n v="4.6719999999999997"/>
    <s v="Low"/>
    <n v="2"/>
    <n v="0.2"/>
    <x v="2"/>
    <x v="2"/>
    <n v="1.46"/>
    <n v="0.3125"/>
    <n v="0"/>
  </r>
  <r>
    <n v="3225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256"/>
    <x v="2"/>
    <x v="7"/>
    <x v="257"/>
    <n v="318.39999999999998"/>
    <s v="High"/>
    <n v="2"/>
    <n v="0.2"/>
    <x v="2"/>
    <x v="2"/>
    <n v="107.46"/>
    <n v="0.33750000000000002"/>
    <n v="0"/>
  </r>
  <r>
    <n v="3226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1510"/>
    <x v="1"/>
    <x v="12"/>
    <x v="1497"/>
    <n v="12.768000000000001"/>
    <s v="Low"/>
    <n v="6"/>
    <n v="0.2"/>
    <x v="2"/>
    <x v="2"/>
    <n v="4.6284000000000001"/>
    <n v="0.36249999999999999"/>
    <n v="0"/>
  </r>
  <r>
    <n v="3227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1511"/>
    <x v="1"/>
    <x v="14"/>
    <x v="1498"/>
    <n v="15.36"/>
    <s v="Low"/>
    <n v="2"/>
    <n v="0.2"/>
    <x v="2"/>
    <x v="2"/>
    <n v="-3.2639999999999998"/>
    <n v="-0.21249999999999999"/>
    <n v="1"/>
  </r>
  <r>
    <n v="3228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664"/>
    <x v="2"/>
    <x v="7"/>
    <x v="664"/>
    <n v="230.376"/>
    <s v="High"/>
    <n v="3"/>
    <n v="0.2"/>
    <x v="2"/>
    <x v="2"/>
    <n v="20.157900000000001"/>
    <n v="8.7500000000000008E-2"/>
    <n v="0"/>
  </r>
  <r>
    <n v="3229"/>
    <s v="CA-2014-108189"/>
    <d v="2014-10-02T00:00:00"/>
    <x v="2"/>
    <s v="Q4"/>
    <x v="18"/>
    <d v="2014-10-05T00:00:00"/>
    <s v="First Class"/>
    <x v="20"/>
    <x v="20"/>
    <s v="Corporate"/>
    <s v="United States"/>
    <s v="Tempe"/>
    <x v="16"/>
    <n v="85281"/>
    <x v="1"/>
    <x v="1044"/>
    <x v="2"/>
    <x v="11"/>
    <x v="1033"/>
    <n v="7.16"/>
    <s v="Low"/>
    <n v="1"/>
    <n v="0.2"/>
    <x v="2"/>
    <x v="2"/>
    <n v="-8.9499999999999996E-2"/>
    <n v="-1.2499999999999999E-2"/>
    <n v="1"/>
  </r>
  <r>
    <n v="3230"/>
    <s v="CA-2014-154641"/>
    <d v="2014-08-11T00:00:00"/>
    <x v="2"/>
    <s v="Q3"/>
    <x v="9"/>
    <d v="2014-08-16T00:00:00"/>
    <s v="Standard Class"/>
    <x v="107"/>
    <x v="107"/>
    <s v="Consumer"/>
    <s v="United States"/>
    <s v="New York City"/>
    <x v="15"/>
    <n v="10035"/>
    <x v="3"/>
    <x v="458"/>
    <x v="1"/>
    <x v="4"/>
    <x v="459"/>
    <n v="375.34"/>
    <s v="High"/>
    <n v="1"/>
    <n v="0"/>
    <x v="0"/>
    <x v="0"/>
    <n v="18.766999999999999"/>
    <n v="0.05"/>
    <n v="0"/>
  </r>
  <r>
    <n v="3231"/>
    <s v="CA-2017-131625"/>
    <d v="2017-09-01T00:00:00"/>
    <x v="3"/>
    <s v="Q3"/>
    <x v="15"/>
    <d v="2017-09-05T00:00:00"/>
    <s v="Second Class"/>
    <x v="202"/>
    <x v="202"/>
    <s v="Consumer"/>
    <s v="United States"/>
    <s v="New York City"/>
    <x v="15"/>
    <n v="10009"/>
    <x v="3"/>
    <x v="935"/>
    <x v="0"/>
    <x v="5"/>
    <x v="928"/>
    <n v="114.9"/>
    <s v="Medium"/>
    <n v="5"/>
    <n v="0"/>
    <x v="0"/>
    <x v="0"/>
    <n v="39.066000000000003"/>
    <n v="0.34"/>
    <n v="0"/>
  </r>
  <r>
    <n v="3232"/>
    <s v="US-2017-156356"/>
    <d v="2017-04-16T00:00:00"/>
    <x v="3"/>
    <s v="Q2"/>
    <x v="4"/>
    <d v="2017-04-22T00:00:00"/>
    <s v="Standard Class"/>
    <x v="444"/>
    <x v="444"/>
    <s v="Consumer"/>
    <s v="United States"/>
    <s v="Houston"/>
    <x v="5"/>
    <n v="77095"/>
    <x v="2"/>
    <x v="1311"/>
    <x v="1"/>
    <x v="8"/>
    <x v="1297"/>
    <n v="26.045999999999999"/>
    <s v="Medium"/>
    <n v="3"/>
    <n v="0.8"/>
    <x v="1"/>
    <x v="3"/>
    <n v="-44.278199999999998"/>
    <n v="-1.7"/>
    <n v="1"/>
  </r>
  <r>
    <n v="3233"/>
    <s v="US-2017-156356"/>
    <d v="2017-04-16T00:00:00"/>
    <x v="3"/>
    <s v="Q2"/>
    <x v="4"/>
    <d v="2017-04-22T00:00:00"/>
    <s v="Standard Class"/>
    <x v="444"/>
    <x v="444"/>
    <s v="Consumer"/>
    <s v="United States"/>
    <s v="Houston"/>
    <x v="5"/>
    <n v="77095"/>
    <x v="2"/>
    <x v="497"/>
    <x v="1"/>
    <x v="8"/>
    <x v="497"/>
    <n v="2.8959999999999999"/>
    <s v="Low"/>
    <n v="1"/>
    <n v="0.8"/>
    <x v="1"/>
    <x v="3"/>
    <n v="-4.7784000000000004"/>
    <n v="-1.6500000000000001"/>
    <n v="1"/>
  </r>
  <r>
    <n v="3234"/>
    <s v="US-2017-156356"/>
    <d v="2017-04-16T00:00:00"/>
    <x v="3"/>
    <s v="Q2"/>
    <x v="4"/>
    <d v="2017-04-22T00:00:00"/>
    <s v="Standard Class"/>
    <x v="444"/>
    <x v="444"/>
    <s v="Consumer"/>
    <s v="United States"/>
    <s v="Houston"/>
    <x v="5"/>
    <n v="77095"/>
    <x v="2"/>
    <x v="1512"/>
    <x v="1"/>
    <x v="4"/>
    <x v="1499"/>
    <n v="32.543999999999997"/>
    <s v="Medium"/>
    <n v="2"/>
    <n v="0.2"/>
    <x v="2"/>
    <x v="2"/>
    <n v="-7.7291999999999996"/>
    <n v="-0.23750000000000002"/>
    <n v="1"/>
  </r>
  <r>
    <n v="3235"/>
    <s v="CA-2016-138933"/>
    <d v="2016-04-24T00:00:00"/>
    <x v="0"/>
    <s v="Q2"/>
    <x v="25"/>
    <d v="2016-04-27T00:00:00"/>
    <s v="First Class"/>
    <x v="691"/>
    <x v="691"/>
    <s v="Consumer"/>
    <s v="United States"/>
    <s v="Riverside"/>
    <x v="1"/>
    <n v="92503"/>
    <x v="1"/>
    <x v="591"/>
    <x v="1"/>
    <x v="8"/>
    <x v="591"/>
    <n v="3.984"/>
    <s v="Low"/>
    <n v="1"/>
    <n v="0.2"/>
    <x v="2"/>
    <x v="2"/>
    <n v="1.3944000000000001"/>
    <n v="0.35000000000000003"/>
    <n v="0"/>
  </r>
  <r>
    <n v="3236"/>
    <s v="CA-2016-140746"/>
    <d v="2016-01-15T00:00:00"/>
    <x v="0"/>
    <s v="Q1"/>
    <x v="12"/>
    <d v="2016-01-15T00:00:00"/>
    <s v="Same Day"/>
    <x v="116"/>
    <x v="116"/>
    <s v="Consumer"/>
    <s v="United States"/>
    <s v="Fairfield"/>
    <x v="29"/>
    <n v="6824"/>
    <x v="3"/>
    <x v="257"/>
    <x v="0"/>
    <x v="3"/>
    <x v="258"/>
    <n v="181.797"/>
    <s v="High"/>
    <n v="1"/>
    <n v="0.3"/>
    <x v="1"/>
    <x v="4"/>
    <n v="-15.582599999999999"/>
    <n v="-8.5714285714285715E-2"/>
    <n v="1"/>
  </r>
  <r>
    <n v="3237"/>
    <s v="CA-2016-146836"/>
    <d v="2016-05-02T00:00:00"/>
    <x v="0"/>
    <s v="Q2"/>
    <x v="35"/>
    <d v="2016-05-02T00:00:00"/>
    <s v="Same Day"/>
    <x v="693"/>
    <x v="693"/>
    <s v="Consumer"/>
    <s v="United States"/>
    <s v="New York City"/>
    <x v="15"/>
    <n v="10024"/>
    <x v="3"/>
    <x v="355"/>
    <x v="1"/>
    <x v="4"/>
    <x v="355"/>
    <n v="44.94"/>
    <s v="Medium"/>
    <n v="3"/>
    <n v="0"/>
    <x v="0"/>
    <x v="0"/>
    <n v="12.5832"/>
    <n v="0.28000000000000003"/>
    <n v="0"/>
  </r>
  <r>
    <n v="3238"/>
    <s v="CA-2016-146836"/>
    <d v="2016-05-02T00:00:00"/>
    <x v="0"/>
    <s v="Q2"/>
    <x v="35"/>
    <d v="2016-05-02T00:00:00"/>
    <s v="Same Day"/>
    <x v="693"/>
    <x v="693"/>
    <s v="Consumer"/>
    <s v="United States"/>
    <s v="New York City"/>
    <x v="15"/>
    <n v="10024"/>
    <x v="3"/>
    <x v="412"/>
    <x v="1"/>
    <x v="8"/>
    <x v="412"/>
    <n v="45.576000000000001"/>
    <s v="Medium"/>
    <n v="3"/>
    <n v="0.2"/>
    <x v="2"/>
    <x v="2"/>
    <n v="15.951599999999999"/>
    <n v="0.35"/>
    <n v="0"/>
  </r>
  <r>
    <n v="3239"/>
    <s v="US-2016-127971"/>
    <d v="2016-11-20T00:00:00"/>
    <x v="0"/>
    <s v="Q4"/>
    <x v="0"/>
    <d v="2016-11-27T00:00:00"/>
    <s v="Standard Class"/>
    <x v="694"/>
    <x v="694"/>
    <s v="Corporate"/>
    <s v="United States"/>
    <s v="Houston"/>
    <x v="5"/>
    <n v="77095"/>
    <x v="2"/>
    <x v="1209"/>
    <x v="0"/>
    <x v="1"/>
    <x v="1194"/>
    <n v="318.43"/>
    <s v="High"/>
    <n v="5"/>
    <n v="0.3"/>
    <x v="1"/>
    <x v="4"/>
    <n v="-77.332999999999998"/>
    <n v="-0.24285714285714285"/>
    <n v="1"/>
  </r>
  <r>
    <n v="3240"/>
    <s v="US-2016-127971"/>
    <d v="2016-11-20T00:00:00"/>
    <x v="0"/>
    <s v="Q4"/>
    <x v="0"/>
    <d v="2016-11-27T00:00:00"/>
    <s v="Standard Class"/>
    <x v="694"/>
    <x v="694"/>
    <s v="Corporate"/>
    <s v="United States"/>
    <s v="Houston"/>
    <x v="5"/>
    <n v="77095"/>
    <x v="2"/>
    <x v="1513"/>
    <x v="2"/>
    <x v="7"/>
    <x v="1500"/>
    <n v="122.92"/>
    <s v="Medium"/>
    <n v="7"/>
    <n v="0.2"/>
    <x v="2"/>
    <x v="2"/>
    <n v="46.094999999999999"/>
    <n v="0.375"/>
    <n v="0"/>
  </r>
  <r>
    <n v="3241"/>
    <s v="US-2016-127971"/>
    <d v="2016-11-20T00:00:00"/>
    <x v="0"/>
    <s v="Q4"/>
    <x v="0"/>
    <d v="2016-11-27T00:00:00"/>
    <s v="Standard Class"/>
    <x v="694"/>
    <x v="694"/>
    <s v="Corporate"/>
    <s v="United States"/>
    <s v="Houston"/>
    <x v="5"/>
    <n v="77095"/>
    <x v="2"/>
    <x v="325"/>
    <x v="0"/>
    <x v="5"/>
    <x v="325"/>
    <n v="7.0679999999999996"/>
    <s v="Low"/>
    <n v="3"/>
    <n v="0.6"/>
    <x v="1"/>
    <x v="6"/>
    <n v="-2.8271999999999999"/>
    <n v="-0.4"/>
    <n v="1"/>
  </r>
  <r>
    <n v="3242"/>
    <s v="US-2016-140809"/>
    <d v="2016-02-01T00:00:00"/>
    <x v="0"/>
    <s v="Q1"/>
    <x v="47"/>
    <d v="2016-02-03T00:00:00"/>
    <s v="First Class"/>
    <x v="316"/>
    <x v="316"/>
    <s v="Corporate"/>
    <s v="United States"/>
    <s v="Arlington"/>
    <x v="17"/>
    <n v="22204"/>
    <x v="0"/>
    <x v="1011"/>
    <x v="1"/>
    <x v="4"/>
    <x v="1003"/>
    <n v="56.45"/>
    <s v="Medium"/>
    <n v="5"/>
    <n v="0"/>
    <x v="0"/>
    <x v="0"/>
    <n v="14.677"/>
    <n v="0.25999999999999995"/>
    <n v="0"/>
  </r>
  <r>
    <n v="3243"/>
    <s v="CA-2017-114524"/>
    <d v="2017-03-31T00:00:00"/>
    <x v="3"/>
    <s v="Q1"/>
    <x v="42"/>
    <d v="2017-04-05T00:00:00"/>
    <s v="Second Class"/>
    <x v="283"/>
    <x v="283"/>
    <s v="Consumer"/>
    <s v="United States"/>
    <s v="Chicago"/>
    <x v="10"/>
    <n v="60623"/>
    <x v="2"/>
    <x v="1472"/>
    <x v="1"/>
    <x v="8"/>
    <x v="1459"/>
    <n v="13.468"/>
    <s v="Low"/>
    <n v="13"/>
    <n v="0.8"/>
    <x v="1"/>
    <x v="3"/>
    <n v="-22.895600000000002"/>
    <n v="-1.7000000000000002"/>
    <n v="1"/>
  </r>
  <r>
    <n v="3244"/>
    <s v="CA-2017-113355"/>
    <d v="2017-12-01T00:00:00"/>
    <x v="3"/>
    <s v="Q4"/>
    <x v="22"/>
    <d v="2017-12-05T00:00:00"/>
    <s v="Standard Class"/>
    <x v="695"/>
    <x v="695"/>
    <s v="Consumer"/>
    <s v="United States"/>
    <s v="Grand Prairie"/>
    <x v="5"/>
    <n v="75051"/>
    <x v="2"/>
    <x v="1514"/>
    <x v="2"/>
    <x v="7"/>
    <x v="1501"/>
    <n v="219.8"/>
    <s v="High"/>
    <n v="5"/>
    <n v="0.2"/>
    <x v="2"/>
    <x v="2"/>
    <n v="24.727499999999999"/>
    <n v="0.11249999999999999"/>
    <n v="0"/>
  </r>
  <r>
    <n v="3245"/>
    <s v="CA-2017-113355"/>
    <d v="2017-12-01T00:00:00"/>
    <x v="3"/>
    <s v="Q4"/>
    <x v="22"/>
    <d v="2017-12-05T00:00:00"/>
    <s v="Standard Class"/>
    <x v="695"/>
    <x v="695"/>
    <s v="Consumer"/>
    <s v="United States"/>
    <s v="Grand Prairie"/>
    <x v="5"/>
    <n v="75051"/>
    <x v="2"/>
    <x v="291"/>
    <x v="0"/>
    <x v="1"/>
    <x v="291"/>
    <n v="317.05799999999999"/>
    <s v="High"/>
    <n v="3"/>
    <n v="0.3"/>
    <x v="1"/>
    <x v="4"/>
    <n v="-18.117599999999999"/>
    <n v="-5.7142857142857141E-2"/>
    <n v="1"/>
  </r>
  <r>
    <n v="3246"/>
    <s v="US-2017-140907"/>
    <d v="2017-12-10T00:00:00"/>
    <x v="3"/>
    <s v="Q4"/>
    <x v="22"/>
    <d v="2017-12-12T00:00:00"/>
    <s v="Second Class"/>
    <x v="130"/>
    <x v="130"/>
    <s v="Corporate"/>
    <s v="United States"/>
    <s v="Seattle"/>
    <x v="4"/>
    <n v="98103"/>
    <x v="1"/>
    <x v="960"/>
    <x v="2"/>
    <x v="11"/>
    <x v="953"/>
    <n v="49.08"/>
    <s v="Medium"/>
    <n v="3"/>
    <n v="0"/>
    <x v="0"/>
    <x v="0"/>
    <n v="4.9080000000000004"/>
    <n v="0.1"/>
    <n v="0"/>
  </r>
  <r>
    <n v="3247"/>
    <s v="US-2017-140907"/>
    <d v="2017-12-10T00:00:00"/>
    <x v="3"/>
    <s v="Q4"/>
    <x v="22"/>
    <d v="2017-12-12T00:00:00"/>
    <s v="Second Class"/>
    <x v="130"/>
    <x v="130"/>
    <s v="Corporate"/>
    <s v="United States"/>
    <s v="Seattle"/>
    <x v="4"/>
    <n v="98103"/>
    <x v="1"/>
    <x v="391"/>
    <x v="1"/>
    <x v="4"/>
    <x v="392"/>
    <n v="324.89999999999998"/>
    <s v="High"/>
    <n v="5"/>
    <n v="0"/>
    <x v="0"/>
    <x v="0"/>
    <n v="38.988"/>
    <n v="0.12000000000000001"/>
    <n v="0"/>
  </r>
  <r>
    <n v="3248"/>
    <s v="US-2017-140907"/>
    <d v="2017-12-10T00:00:00"/>
    <x v="3"/>
    <s v="Q4"/>
    <x v="22"/>
    <d v="2017-12-12T00:00:00"/>
    <s v="Second Class"/>
    <x v="130"/>
    <x v="130"/>
    <s v="Corporate"/>
    <s v="United States"/>
    <s v="Seattle"/>
    <x v="4"/>
    <n v="98103"/>
    <x v="1"/>
    <x v="1515"/>
    <x v="1"/>
    <x v="6"/>
    <x v="1502"/>
    <n v="18.239999999999998"/>
    <s v="Low"/>
    <n v="3"/>
    <n v="0"/>
    <x v="0"/>
    <x v="0"/>
    <n v="5.2896000000000001"/>
    <n v="0.29000000000000004"/>
    <n v="0"/>
  </r>
  <r>
    <n v="3249"/>
    <s v="CA-2016-159730"/>
    <d v="2016-09-17T00:00:00"/>
    <x v="0"/>
    <s v="Q3"/>
    <x v="21"/>
    <d v="2016-09-21T00:00:00"/>
    <s v="Standard Class"/>
    <x v="319"/>
    <x v="319"/>
    <s v="Home Office"/>
    <s v="United States"/>
    <s v="Seattle"/>
    <x v="4"/>
    <n v="98103"/>
    <x v="1"/>
    <x v="1459"/>
    <x v="0"/>
    <x v="1"/>
    <x v="1445"/>
    <n v="113.88800000000001"/>
    <s v="Medium"/>
    <n v="2"/>
    <n v="0.2"/>
    <x v="2"/>
    <x v="2"/>
    <n v="9.9651999999999994"/>
    <n v="8.7499999999999994E-2"/>
    <n v="0"/>
  </r>
  <r>
    <n v="3250"/>
    <s v="CA-2016-159730"/>
    <d v="2016-09-17T00:00:00"/>
    <x v="0"/>
    <s v="Q3"/>
    <x v="21"/>
    <d v="2016-09-21T00:00:00"/>
    <s v="Standard Class"/>
    <x v="319"/>
    <x v="319"/>
    <s v="Home Office"/>
    <s v="United States"/>
    <s v="Seattle"/>
    <x v="4"/>
    <n v="98103"/>
    <x v="1"/>
    <x v="665"/>
    <x v="2"/>
    <x v="7"/>
    <x v="665"/>
    <n v="105.584"/>
    <s v="Medium"/>
    <n v="2"/>
    <n v="0.2"/>
    <x v="2"/>
    <x v="2"/>
    <n v="7.9188000000000001"/>
    <n v="7.4999999999999997E-2"/>
    <n v="0"/>
  </r>
  <r>
    <n v="3251"/>
    <s v="CA-2016-157868"/>
    <d v="2016-12-23T00:00:00"/>
    <x v="0"/>
    <s v="Q4"/>
    <x v="5"/>
    <d v="2016-12-29T00:00:00"/>
    <s v="Standard Class"/>
    <x v="565"/>
    <x v="565"/>
    <s v="Corporate"/>
    <s v="United States"/>
    <s v="Grand Rapids"/>
    <x v="12"/>
    <n v="49505"/>
    <x v="2"/>
    <x v="1053"/>
    <x v="1"/>
    <x v="13"/>
    <x v="1042"/>
    <n v="24.85"/>
    <s v="Low"/>
    <n v="7"/>
    <n v="0"/>
    <x v="0"/>
    <x v="0"/>
    <n v="11.679500000000001"/>
    <n v="0.47000000000000003"/>
    <n v="0"/>
  </r>
  <r>
    <n v="3252"/>
    <s v="CA-2017-119389"/>
    <d v="2017-04-17T00:00:00"/>
    <x v="3"/>
    <s v="Q2"/>
    <x v="4"/>
    <d v="2017-04-19T00:00:00"/>
    <s v="First Class"/>
    <x v="696"/>
    <x v="696"/>
    <s v="Consumer"/>
    <s v="United States"/>
    <s v="Philadelphia"/>
    <x v="9"/>
    <n v="19120"/>
    <x v="3"/>
    <x v="1001"/>
    <x v="0"/>
    <x v="5"/>
    <x v="1253"/>
    <n v="60.311999999999998"/>
    <s v="Medium"/>
    <n v="3"/>
    <n v="0.2"/>
    <x v="2"/>
    <x v="2"/>
    <n v="5.2773000000000003"/>
    <n v="8.7500000000000008E-2"/>
    <n v="0"/>
  </r>
  <r>
    <n v="3253"/>
    <s v="CA-2017-110373"/>
    <d v="2017-10-27T00:00:00"/>
    <x v="3"/>
    <s v="Q4"/>
    <x v="13"/>
    <d v="2017-10-30T00:00:00"/>
    <s v="Second Class"/>
    <x v="15"/>
    <x v="15"/>
    <s v="Home Office"/>
    <s v="United States"/>
    <s v="Chicago"/>
    <x v="10"/>
    <n v="60610"/>
    <x v="2"/>
    <x v="425"/>
    <x v="1"/>
    <x v="6"/>
    <x v="425"/>
    <n v="7.056"/>
    <s v="Low"/>
    <n v="3"/>
    <n v="0.2"/>
    <x v="2"/>
    <x v="2"/>
    <n v="2.2050000000000001"/>
    <n v="0.3125"/>
    <n v="0"/>
  </r>
  <r>
    <n v="3254"/>
    <s v="CA-2017-110373"/>
    <d v="2017-10-27T00:00:00"/>
    <x v="3"/>
    <s v="Q4"/>
    <x v="13"/>
    <d v="2017-10-30T00:00:00"/>
    <s v="Second Class"/>
    <x v="15"/>
    <x v="15"/>
    <s v="Home Office"/>
    <s v="United States"/>
    <s v="Chicago"/>
    <x v="10"/>
    <n v="60610"/>
    <x v="2"/>
    <x v="1259"/>
    <x v="2"/>
    <x v="7"/>
    <x v="1243"/>
    <n v="27.184000000000001"/>
    <s v="Medium"/>
    <n v="2"/>
    <n v="0.2"/>
    <x v="2"/>
    <x v="2"/>
    <n v="2.0388000000000002"/>
    <n v="7.4999999999999997E-2"/>
    <n v="0"/>
  </r>
  <r>
    <n v="3255"/>
    <s v="CA-2016-155474"/>
    <d v="2016-07-08T00:00:00"/>
    <x v="0"/>
    <s v="Q3"/>
    <x v="16"/>
    <d v="2016-07-14T00:00:00"/>
    <s v="Standard Class"/>
    <x v="417"/>
    <x v="417"/>
    <s v="Consumer"/>
    <s v="United States"/>
    <s v="Seattle"/>
    <x v="4"/>
    <n v="98105"/>
    <x v="1"/>
    <x v="233"/>
    <x v="2"/>
    <x v="7"/>
    <x v="234"/>
    <n v="107.98399999999999"/>
    <s v="Medium"/>
    <n v="1"/>
    <n v="0.2"/>
    <x v="2"/>
    <x v="2"/>
    <n v="9.4486000000000008"/>
    <n v="8.7500000000000008E-2"/>
    <n v="0"/>
  </r>
  <r>
    <n v="3256"/>
    <s v="CA-2016-155474"/>
    <d v="2016-07-08T00:00:00"/>
    <x v="0"/>
    <s v="Q3"/>
    <x v="16"/>
    <d v="2016-07-14T00:00:00"/>
    <s v="Standard Class"/>
    <x v="417"/>
    <x v="417"/>
    <s v="Consumer"/>
    <s v="United States"/>
    <s v="Seattle"/>
    <x v="4"/>
    <n v="98105"/>
    <x v="1"/>
    <x v="1232"/>
    <x v="1"/>
    <x v="8"/>
    <x v="1215"/>
    <n v="19.295999999999999"/>
    <s v="Low"/>
    <n v="3"/>
    <n v="0.2"/>
    <x v="2"/>
    <x v="2"/>
    <n v="6.03"/>
    <n v="0.3125"/>
    <n v="0"/>
  </r>
  <r>
    <n v="3257"/>
    <s v="CA-2015-155453"/>
    <d v="2015-08-09T00:00:00"/>
    <x v="1"/>
    <s v="Q3"/>
    <x v="37"/>
    <d v="2015-08-14T00:00:00"/>
    <s v="Standard Class"/>
    <x v="19"/>
    <x v="19"/>
    <s v="Corporate"/>
    <s v="United States"/>
    <s v="Jacksonville"/>
    <x v="2"/>
    <n v="32216"/>
    <x v="0"/>
    <x v="745"/>
    <x v="1"/>
    <x v="2"/>
    <x v="743"/>
    <n v="4.6079999999999997"/>
    <s v="Low"/>
    <n v="2"/>
    <n v="0.2"/>
    <x v="2"/>
    <x v="2"/>
    <n v="1.6704000000000001"/>
    <n v="0.36250000000000004"/>
    <n v="0"/>
  </r>
  <r>
    <n v="3258"/>
    <s v="US-2016-161844"/>
    <d v="2016-12-09T00:00:00"/>
    <x v="0"/>
    <s v="Q4"/>
    <x v="5"/>
    <d v="2016-12-14T00:00:00"/>
    <s v="Second Class"/>
    <x v="460"/>
    <x v="460"/>
    <s v="Corporate"/>
    <s v="United States"/>
    <s v="Franklin"/>
    <x v="18"/>
    <n v="37064"/>
    <x v="0"/>
    <x v="972"/>
    <x v="0"/>
    <x v="3"/>
    <x v="966"/>
    <n v="79.974000000000004"/>
    <s v="Medium"/>
    <n v="3"/>
    <n v="0.4"/>
    <x v="1"/>
    <x v="7"/>
    <n v="-29.323799999999999"/>
    <n v="-0.36666666666666664"/>
    <n v="1"/>
  </r>
  <r>
    <n v="3259"/>
    <s v="US-2016-161844"/>
    <d v="2016-12-09T00:00:00"/>
    <x v="0"/>
    <s v="Q4"/>
    <x v="5"/>
    <d v="2016-12-14T00:00:00"/>
    <s v="Second Class"/>
    <x v="460"/>
    <x v="460"/>
    <s v="Corporate"/>
    <s v="United States"/>
    <s v="Franklin"/>
    <x v="18"/>
    <n v="37064"/>
    <x v="0"/>
    <x v="696"/>
    <x v="1"/>
    <x v="8"/>
    <x v="696"/>
    <n v="2.9460000000000002"/>
    <s v="Low"/>
    <n v="2"/>
    <n v="0.7"/>
    <x v="1"/>
    <x v="5"/>
    <n v="-2.0621999999999998"/>
    <n v="-0.69999999999999984"/>
    <n v="1"/>
  </r>
  <r>
    <n v="3260"/>
    <s v="US-2016-162103"/>
    <d v="2016-11-13T00:00:00"/>
    <x v="0"/>
    <s v="Q4"/>
    <x v="0"/>
    <d v="2016-11-17T00:00:00"/>
    <s v="Standard Class"/>
    <x v="697"/>
    <x v="697"/>
    <s v="Home Office"/>
    <s v="United States"/>
    <s v="Highland Park"/>
    <x v="10"/>
    <n v="60035"/>
    <x v="2"/>
    <x v="460"/>
    <x v="1"/>
    <x v="8"/>
    <x v="461"/>
    <n v="3.1360000000000001"/>
    <s v="Low"/>
    <n v="2"/>
    <n v="0.8"/>
    <x v="1"/>
    <x v="3"/>
    <n v="-4.7039999999999997"/>
    <n v="-1.4999999999999998"/>
    <n v="1"/>
  </r>
  <r>
    <n v="3261"/>
    <s v="CA-2014-151554"/>
    <d v="2014-11-14T00:00:00"/>
    <x v="2"/>
    <s v="Q4"/>
    <x v="7"/>
    <d v="2014-11-15T00:00:00"/>
    <s v="First Class"/>
    <x v="698"/>
    <x v="698"/>
    <s v="Corporate"/>
    <s v="United States"/>
    <s v="Pasadena"/>
    <x v="5"/>
    <n v="77506"/>
    <x v="2"/>
    <x v="1516"/>
    <x v="1"/>
    <x v="10"/>
    <x v="1503"/>
    <n v="20.736000000000001"/>
    <s v="Low"/>
    <n v="4"/>
    <n v="0.2"/>
    <x v="2"/>
    <x v="2"/>
    <n v="7.2576000000000001"/>
    <n v="0.35"/>
    <n v="0"/>
  </r>
  <r>
    <n v="3262"/>
    <s v="CA-2014-140662"/>
    <d v="2014-11-17T00:00:00"/>
    <x v="2"/>
    <s v="Q4"/>
    <x v="7"/>
    <d v="2014-11-19T00:00:00"/>
    <s v="First Class"/>
    <x v="131"/>
    <x v="131"/>
    <s v="Corporate"/>
    <s v="United States"/>
    <s v="San Francisco"/>
    <x v="1"/>
    <n v="94109"/>
    <x v="1"/>
    <x v="959"/>
    <x v="2"/>
    <x v="11"/>
    <x v="952"/>
    <n v="99.98"/>
    <s v="Medium"/>
    <n v="2"/>
    <n v="0"/>
    <x v="0"/>
    <x v="0"/>
    <n v="7.9984000000000002"/>
    <n v="0.08"/>
    <n v="0"/>
  </r>
  <r>
    <n v="3263"/>
    <s v="CA-2014-140662"/>
    <d v="2014-11-17T00:00:00"/>
    <x v="2"/>
    <s v="Q4"/>
    <x v="7"/>
    <d v="2014-11-19T00:00:00"/>
    <s v="First Class"/>
    <x v="131"/>
    <x v="131"/>
    <s v="Corporate"/>
    <s v="United States"/>
    <s v="San Francisco"/>
    <x v="1"/>
    <n v="94109"/>
    <x v="1"/>
    <x v="656"/>
    <x v="1"/>
    <x v="10"/>
    <x v="656"/>
    <n v="733.95"/>
    <s v="High"/>
    <n v="7"/>
    <n v="0"/>
    <x v="0"/>
    <x v="0"/>
    <n v="352.29599999999999"/>
    <n v="0.48"/>
    <n v="0"/>
  </r>
  <r>
    <n v="3264"/>
    <s v="CA-2014-140662"/>
    <d v="2014-11-17T00:00:00"/>
    <x v="2"/>
    <s v="Q4"/>
    <x v="7"/>
    <d v="2014-11-19T00:00:00"/>
    <s v="First Class"/>
    <x v="131"/>
    <x v="131"/>
    <s v="Corporate"/>
    <s v="United States"/>
    <s v="San Francisco"/>
    <x v="1"/>
    <n v="94109"/>
    <x v="1"/>
    <x v="1429"/>
    <x v="1"/>
    <x v="9"/>
    <x v="1417"/>
    <n v="241.44"/>
    <s v="High"/>
    <n v="3"/>
    <n v="0"/>
    <x v="0"/>
    <x v="0"/>
    <n v="72.432000000000002"/>
    <n v="0.3"/>
    <n v="0"/>
  </r>
  <r>
    <n v="3265"/>
    <s v="CA-2016-122518"/>
    <d v="2016-03-04T00:00:00"/>
    <x v="0"/>
    <s v="Q1"/>
    <x v="17"/>
    <d v="2016-03-08T00:00:00"/>
    <s v="Second Class"/>
    <x v="575"/>
    <x v="575"/>
    <s v="Corporate"/>
    <s v="United States"/>
    <s v="Miami"/>
    <x v="2"/>
    <n v="33180"/>
    <x v="0"/>
    <x v="1042"/>
    <x v="1"/>
    <x v="2"/>
    <x v="1031"/>
    <n v="10.08"/>
    <s v="Low"/>
    <n v="4"/>
    <n v="0.2"/>
    <x v="2"/>
    <x v="2"/>
    <n v="3.528"/>
    <n v="0.35"/>
    <n v="0"/>
  </r>
  <r>
    <n v="3266"/>
    <s v="US-2014-126571"/>
    <d v="2014-10-11T00:00:00"/>
    <x v="2"/>
    <s v="Q4"/>
    <x v="18"/>
    <d v="2014-10-15T00:00:00"/>
    <s v="Standard Class"/>
    <x v="535"/>
    <x v="535"/>
    <s v="Consumer"/>
    <s v="United States"/>
    <s v="Philadelphia"/>
    <x v="9"/>
    <n v="19120"/>
    <x v="3"/>
    <x v="718"/>
    <x v="1"/>
    <x v="4"/>
    <x v="717"/>
    <n v="281.904"/>
    <s v="High"/>
    <n v="2"/>
    <n v="0.2"/>
    <x v="2"/>
    <x v="2"/>
    <n v="10.571400000000001"/>
    <n v="3.7500000000000006E-2"/>
    <n v="0"/>
  </r>
  <r>
    <n v="3267"/>
    <s v="US-2014-126571"/>
    <d v="2014-10-11T00:00:00"/>
    <x v="2"/>
    <s v="Q4"/>
    <x v="18"/>
    <d v="2014-10-15T00:00:00"/>
    <s v="Standard Class"/>
    <x v="535"/>
    <x v="535"/>
    <s v="Consumer"/>
    <s v="United States"/>
    <s v="Philadelphia"/>
    <x v="9"/>
    <n v="19120"/>
    <x v="3"/>
    <x v="556"/>
    <x v="1"/>
    <x v="12"/>
    <x v="555"/>
    <n v="201.43199999999999"/>
    <s v="High"/>
    <n v="3"/>
    <n v="0.2"/>
    <x v="2"/>
    <x v="2"/>
    <n v="67.9833"/>
    <n v="0.33750000000000002"/>
    <n v="0"/>
  </r>
  <r>
    <n v="3268"/>
    <s v="CA-2014-143840"/>
    <d v="2014-05-22T00:00:00"/>
    <x v="2"/>
    <s v="Q2"/>
    <x v="8"/>
    <d v="2014-05-29T00:00:00"/>
    <s v="Standard Class"/>
    <x v="699"/>
    <x v="699"/>
    <s v="Consumer"/>
    <s v="United States"/>
    <s v="Decatur"/>
    <x v="19"/>
    <n v="35601"/>
    <x v="0"/>
    <x v="704"/>
    <x v="2"/>
    <x v="7"/>
    <x v="704"/>
    <n v="135.97999999999999"/>
    <s v="High"/>
    <n v="2"/>
    <n v="0"/>
    <x v="0"/>
    <x v="0"/>
    <n v="33.994999999999997"/>
    <n v="0.25"/>
    <n v="0"/>
  </r>
  <r>
    <n v="3269"/>
    <s v="CA-2014-143840"/>
    <d v="2014-05-22T00:00:00"/>
    <x v="2"/>
    <s v="Q2"/>
    <x v="8"/>
    <d v="2014-05-29T00:00:00"/>
    <s v="Standard Class"/>
    <x v="699"/>
    <x v="699"/>
    <s v="Consumer"/>
    <s v="United States"/>
    <s v="Decatur"/>
    <x v="19"/>
    <n v="35601"/>
    <x v="0"/>
    <x v="1517"/>
    <x v="2"/>
    <x v="7"/>
    <x v="1504"/>
    <n v="44.95"/>
    <s v="Medium"/>
    <n v="1"/>
    <n v="0"/>
    <x v="0"/>
    <x v="0"/>
    <n v="12.586"/>
    <n v="0.27999999999999997"/>
    <n v="0"/>
  </r>
  <r>
    <n v="3270"/>
    <s v="CA-2014-115980"/>
    <d v="2014-07-15T00:00:00"/>
    <x v="2"/>
    <s v="Q3"/>
    <x v="39"/>
    <d v="2014-07-19T00:00:00"/>
    <s v="Standard Class"/>
    <x v="100"/>
    <x v="100"/>
    <s v="Corporate"/>
    <s v="United States"/>
    <s v="Sioux Falls"/>
    <x v="44"/>
    <n v="57103"/>
    <x v="2"/>
    <x v="1425"/>
    <x v="2"/>
    <x v="11"/>
    <x v="1413"/>
    <n v="2.97"/>
    <s v="Low"/>
    <n v="3"/>
    <n v="0"/>
    <x v="0"/>
    <x v="0"/>
    <n v="1.3068"/>
    <n v="0.43999999999999995"/>
    <n v="0"/>
  </r>
  <r>
    <n v="3271"/>
    <s v="CA-2014-115980"/>
    <d v="2014-07-15T00:00:00"/>
    <x v="2"/>
    <s v="Q3"/>
    <x v="39"/>
    <d v="2014-07-19T00:00:00"/>
    <s v="Standard Class"/>
    <x v="100"/>
    <x v="100"/>
    <s v="Corporate"/>
    <s v="United States"/>
    <s v="Sioux Falls"/>
    <x v="44"/>
    <n v="57103"/>
    <x v="2"/>
    <x v="52"/>
    <x v="1"/>
    <x v="13"/>
    <x v="52"/>
    <n v="6.54"/>
    <s v="Low"/>
    <n v="3"/>
    <n v="0"/>
    <x v="0"/>
    <x v="0"/>
    <n v="2.6814"/>
    <n v="0.41"/>
    <n v="0"/>
  </r>
  <r>
    <n v="3272"/>
    <s v="CA-2015-155145"/>
    <d v="2015-12-27T00:00:00"/>
    <x v="1"/>
    <s v="Q4"/>
    <x v="14"/>
    <d v="2015-12-29T00:00:00"/>
    <s v="Second Class"/>
    <x v="634"/>
    <x v="634"/>
    <s v="Corporate"/>
    <s v="United States"/>
    <s v="Visalia"/>
    <x v="1"/>
    <n v="93277"/>
    <x v="1"/>
    <x v="1425"/>
    <x v="2"/>
    <x v="11"/>
    <x v="1413"/>
    <n v="7.92"/>
    <s v="Low"/>
    <n v="8"/>
    <n v="0"/>
    <x v="0"/>
    <x v="0"/>
    <n v="3.4847999999999999"/>
    <n v="0.44"/>
    <n v="0"/>
  </r>
  <r>
    <n v="3273"/>
    <s v="CA-2015-146038"/>
    <d v="2015-02-09T00:00:00"/>
    <x v="1"/>
    <s v="Q1"/>
    <x v="36"/>
    <d v="2015-02-16T00:00:00"/>
    <s v="Standard Class"/>
    <x v="695"/>
    <x v="695"/>
    <s v="Consumer"/>
    <s v="United States"/>
    <s v="Los Angeles"/>
    <x v="1"/>
    <n v="90049"/>
    <x v="1"/>
    <x v="23"/>
    <x v="0"/>
    <x v="1"/>
    <x v="23"/>
    <n v="203.92"/>
    <s v="High"/>
    <n v="5"/>
    <n v="0.2"/>
    <x v="2"/>
    <x v="2"/>
    <n v="22.940999999999999"/>
    <n v="0.1125"/>
    <n v="0"/>
  </r>
  <r>
    <n v="3274"/>
    <s v="CA-2017-133865"/>
    <d v="2017-05-08T00:00:00"/>
    <x v="3"/>
    <s v="Q2"/>
    <x v="24"/>
    <d v="2017-05-12T00:00:00"/>
    <s v="Standard Class"/>
    <x v="390"/>
    <x v="390"/>
    <s v="Home Office"/>
    <s v="United States"/>
    <s v="Los Angeles"/>
    <x v="1"/>
    <n v="90032"/>
    <x v="1"/>
    <x v="890"/>
    <x v="2"/>
    <x v="16"/>
    <x v="883"/>
    <n v="3359.9520000000002"/>
    <s v="High"/>
    <n v="6"/>
    <n v="0.2"/>
    <x v="2"/>
    <x v="2"/>
    <n v="1049.9849999999999"/>
    <n v="0.31249999999999994"/>
    <n v="0"/>
  </r>
  <r>
    <n v="3275"/>
    <s v="CA-2017-116358"/>
    <d v="2017-11-02T00:00:00"/>
    <x v="3"/>
    <s v="Q4"/>
    <x v="23"/>
    <d v="2017-11-06T00:00:00"/>
    <s v="Standard Class"/>
    <x v="366"/>
    <x v="366"/>
    <s v="Corporate"/>
    <s v="United States"/>
    <s v="Overland Park"/>
    <x v="41"/>
    <n v="66212"/>
    <x v="2"/>
    <x v="829"/>
    <x v="1"/>
    <x v="13"/>
    <x v="128"/>
    <n v="18.239999999999998"/>
    <s v="Low"/>
    <n v="3"/>
    <n v="0"/>
    <x v="0"/>
    <x v="0"/>
    <n v="9.1199999999999992"/>
    <n v="0.5"/>
    <n v="0"/>
  </r>
  <r>
    <n v="3276"/>
    <s v="CA-2017-116358"/>
    <d v="2017-11-02T00:00:00"/>
    <x v="3"/>
    <s v="Q4"/>
    <x v="23"/>
    <d v="2017-11-06T00:00:00"/>
    <s v="Standard Class"/>
    <x v="366"/>
    <x v="366"/>
    <s v="Corporate"/>
    <s v="United States"/>
    <s v="Overland Park"/>
    <x v="41"/>
    <n v="66212"/>
    <x v="2"/>
    <x v="182"/>
    <x v="1"/>
    <x v="6"/>
    <x v="183"/>
    <n v="27.78"/>
    <s v="Medium"/>
    <n v="6"/>
    <n v="0"/>
    <x v="0"/>
    <x v="0"/>
    <n v="9.1674000000000007"/>
    <n v="0.33"/>
    <n v="0"/>
  </r>
  <r>
    <n v="3277"/>
    <s v="CA-2014-102988"/>
    <d v="2014-04-05T00:00:00"/>
    <x v="2"/>
    <s v="Q2"/>
    <x v="41"/>
    <d v="2014-04-09T00:00:00"/>
    <s v="Second Class"/>
    <x v="620"/>
    <x v="620"/>
    <s v="Corporate"/>
    <s v="United States"/>
    <s v="Alexandria"/>
    <x v="17"/>
    <n v="22304"/>
    <x v="0"/>
    <x v="346"/>
    <x v="1"/>
    <x v="6"/>
    <x v="346"/>
    <n v="22.96"/>
    <s v="Low"/>
    <n v="7"/>
    <n v="0"/>
    <x v="0"/>
    <x v="0"/>
    <n v="7.5768000000000004"/>
    <n v="0.33"/>
    <n v="0"/>
  </r>
  <r>
    <n v="3278"/>
    <s v="CA-2014-102988"/>
    <d v="2014-04-05T00:00:00"/>
    <x v="2"/>
    <s v="Q2"/>
    <x v="41"/>
    <d v="2014-04-09T00:00:00"/>
    <s v="Second Class"/>
    <x v="620"/>
    <x v="620"/>
    <s v="Corporate"/>
    <s v="United States"/>
    <s v="Alexandria"/>
    <x v="17"/>
    <n v="22304"/>
    <x v="0"/>
    <x v="1129"/>
    <x v="2"/>
    <x v="7"/>
    <x v="1117"/>
    <n v="28.99"/>
    <s v="Medium"/>
    <n v="1"/>
    <n v="0"/>
    <x v="0"/>
    <x v="0"/>
    <n v="8.4070999999999998"/>
    <n v="0.29000000000000004"/>
    <n v="0"/>
  </r>
  <r>
    <n v="3279"/>
    <s v="CA-2014-102988"/>
    <d v="2014-04-05T00:00:00"/>
    <x v="2"/>
    <s v="Q2"/>
    <x v="41"/>
    <d v="2014-04-09T00:00:00"/>
    <s v="Second Class"/>
    <x v="620"/>
    <x v="620"/>
    <s v="Corporate"/>
    <s v="United States"/>
    <s v="Alexandria"/>
    <x v="17"/>
    <n v="22304"/>
    <x v="0"/>
    <x v="219"/>
    <x v="1"/>
    <x v="10"/>
    <x v="220"/>
    <n v="12.96"/>
    <s v="Low"/>
    <n v="2"/>
    <n v="0"/>
    <x v="0"/>
    <x v="0"/>
    <n v="6.3503999999999996"/>
    <n v="0.48999999999999994"/>
    <n v="0"/>
  </r>
  <r>
    <n v="3280"/>
    <s v="CA-2014-102988"/>
    <d v="2014-04-05T00:00:00"/>
    <x v="2"/>
    <s v="Q2"/>
    <x v="41"/>
    <d v="2014-04-09T00:00:00"/>
    <s v="Second Class"/>
    <x v="620"/>
    <x v="620"/>
    <s v="Corporate"/>
    <s v="United States"/>
    <s v="Alexandria"/>
    <x v="17"/>
    <n v="22304"/>
    <x v="0"/>
    <x v="1210"/>
    <x v="1"/>
    <x v="6"/>
    <x v="1195"/>
    <n v="22.96"/>
    <s v="Low"/>
    <n v="7"/>
    <n v="0"/>
    <x v="0"/>
    <x v="0"/>
    <n v="6.6584000000000003"/>
    <n v="0.28999999999999998"/>
    <n v="0"/>
  </r>
  <r>
    <n v="3281"/>
    <s v="CA-2014-102988"/>
    <d v="2014-04-05T00:00:00"/>
    <x v="2"/>
    <s v="Q2"/>
    <x v="41"/>
    <d v="2014-04-09T00:00:00"/>
    <s v="Second Class"/>
    <x v="620"/>
    <x v="620"/>
    <s v="Corporate"/>
    <s v="United States"/>
    <s v="Alexandria"/>
    <x v="17"/>
    <n v="22304"/>
    <x v="0"/>
    <x v="465"/>
    <x v="1"/>
    <x v="14"/>
    <x v="466"/>
    <n v="4164.05"/>
    <s v="High"/>
    <n v="5"/>
    <n v="0"/>
    <x v="0"/>
    <x v="0"/>
    <n v="83.281000000000006"/>
    <n v="0.02"/>
    <n v="0"/>
  </r>
  <r>
    <n v="3282"/>
    <s v="US-2014-117170"/>
    <d v="2014-09-17T00:00:00"/>
    <x v="2"/>
    <s v="Q3"/>
    <x v="30"/>
    <d v="2014-09-24T00:00:00"/>
    <s v="Standard Class"/>
    <x v="446"/>
    <x v="446"/>
    <s v="Consumer"/>
    <s v="United States"/>
    <s v="Raleigh"/>
    <x v="3"/>
    <n v="27604"/>
    <x v="0"/>
    <x v="1016"/>
    <x v="2"/>
    <x v="11"/>
    <x v="1007"/>
    <n v="47.984000000000002"/>
    <s v="Medium"/>
    <n v="2"/>
    <n v="0.2"/>
    <x v="2"/>
    <x v="2"/>
    <n v="13.195600000000001"/>
    <n v="0.27500000000000002"/>
    <n v="0"/>
  </r>
  <r>
    <n v="3283"/>
    <s v="US-2014-117170"/>
    <d v="2014-09-17T00:00:00"/>
    <x v="2"/>
    <s v="Q3"/>
    <x v="30"/>
    <d v="2014-09-24T00:00:00"/>
    <s v="Standard Class"/>
    <x v="446"/>
    <x v="446"/>
    <s v="Consumer"/>
    <s v="United States"/>
    <s v="Raleigh"/>
    <x v="3"/>
    <n v="27604"/>
    <x v="0"/>
    <x v="874"/>
    <x v="1"/>
    <x v="10"/>
    <x v="868"/>
    <n v="4.6239999999999997"/>
    <s v="Low"/>
    <n v="1"/>
    <n v="0.2"/>
    <x v="2"/>
    <x v="2"/>
    <n v="1.6761999999999999"/>
    <n v="0.36249999999999999"/>
    <n v="0"/>
  </r>
  <r>
    <n v="3284"/>
    <s v="CA-2014-159478"/>
    <d v="2014-09-30T00:00:00"/>
    <x v="2"/>
    <s v="Q3"/>
    <x v="30"/>
    <d v="2014-10-06T00:00:00"/>
    <s v="Standard Class"/>
    <x v="186"/>
    <x v="186"/>
    <s v="Corporate"/>
    <s v="United States"/>
    <s v="New York City"/>
    <x v="15"/>
    <n v="10035"/>
    <x v="3"/>
    <x v="534"/>
    <x v="0"/>
    <x v="5"/>
    <x v="534"/>
    <n v="15.24"/>
    <s v="Low"/>
    <n v="3"/>
    <n v="0"/>
    <x v="0"/>
    <x v="0"/>
    <n v="5.1816000000000004"/>
    <n v="0.34"/>
    <n v="0"/>
  </r>
  <r>
    <n v="3285"/>
    <s v="CA-2014-103702"/>
    <d v="2014-09-12T00:00:00"/>
    <x v="2"/>
    <s v="Q3"/>
    <x v="30"/>
    <d v="2014-09-17T00:00:00"/>
    <s v="Standard Class"/>
    <x v="314"/>
    <x v="314"/>
    <s v="Consumer"/>
    <s v="United States"/>
    <s v="Fairfield"/>
    <x v="24"/>
    <n v="45014"/>
    <x v="3"/>
    <x v="471"/>
    <x v="1"/>
    <x v="8"/>
    <x v="472"/>
    <n v="63.923999999999999"/>
    <s v="Medium"/>
    <n v="7"/>
    <n v="0.7"/>
    <x v="1"/>
    <x v="5"/>
    <n v="-46.877600000000001"/>
    <n v="-0.73333333333333339"/>
    <n v="1"/>
  </r>
  <r>
    <n v="3286"/>
    <s v="CA-2017-150525"/>
    <d v="2017-02-20T00:00:00"/>
    <x v="3"/>
    <s v="Q1"/>
    <x v="31"/>
    <d v="2017-02-25T00:00:00"/>
    <s v="Standard Class"/>
    <x v="655"/>
    <x v="655"/>
    <s v="Home Office"/>
    <s v="United States"/>
    <s v="Muskogee"/>
    <x v="26"/>
    <n v="74403"/>
    <x v="2"/>
    <x v="836"/>
    <x v="1"/>
    <x v="6"/>
    <x v="831"/>
    <n v="6.56"/>
    <s v="Low"/>
    <n v="2"/>
    <n v="0"/>
    <x v="0"/>
    <x v="0"/>
    <n v="1.9024000000000001"/>
    <n v="0.29000000000000004"/>
    <n v="0"/>
  </r>
  <r>
    <n v="3287"/>
    <s v="CA-2017-150525"/>
    <d v="2017-02-20T00:00:00"/>
    <x v="3"/>
    <s v="Q1"/>
    <x v="31"/>
    <d v="2017-02-25T00:00:00"/>
    <s v="Standard Class"/>
    <x v="655"/>
    <x v="655"/>
    <s v="Home Office"/>
    <s v="United States"/>
    <s v="Muskogee"/>
    <x v="26"/>
    <n v="74403"/>
    <x v="2"/>
    <x v="1518"/>
    <x v="1"/>
    <x v="9"/>
    <x v="1505"/>
    <n v="13.11"/>
    <s v="Low"/>
    <n v="3"/>
    <n v="0"/>
    <x v="0"/>
    <x v="0"/>
    <n v="3.4085999999999999"/>
    <n v="0.26"/>
    <n v="0"/>
  </r>
  <r>
    <n v="3288"/>
    <s v="CA-2015-157770"/>
    <d v="2015-12-13T00:00:00"/>
    <x v="1"/>
    <s v="Q4"/>
    <x v="14"/>
    <d v="2015-12-15T00:00:00"/>
    <s v="First Class"/>
    <x v="361"/>
    <x v="361"/>
    <s v="Consumer"/>
    <s v="United States"/>
    <s v="Temecula"/>
    <x v="1"/>
    <n v="92592"/>
    <x v="1"/>
    <x v="638"/>
    <x v="2"/>
    <x v="7"/>
    <x v="759"/>
    <n v="494.37599999999998"/>
    <s v="High"/>
    <n v="3"/>
    <n v="0.2"/>
    <x v="2"/>
    <x v="2"/>
    <n v="49.437600000000003"/>
    <n v="0.1"/>
    <n v="0"/>
  </r>
  <r>
    <n v="3289"/>
    <s v="CA-2015-157770"/>
    <d v="2015-12-13T00:00:00"/>
    <x v="1"/>
    <s v="Q4"/>
    <x v="14"/>
    <d v="2015-12-15T00:00:00"/>
    <s v="First Class"/>
    <x v="361"/>
    <x v="361"/>
    <s v="Consumer"/>
    <s v="United States"/>
    <s v="Temecula"/>
    <x v="1"/>
    <n v="92592"/>
    <x v="1"/>
    <x v="347"/>
    <x v="1"/>
    <x v="8"/>
    <x v="347"/>
    <n v="29.2"/>
    <s v="Medium"/>
    <n v="5"/>
    <n v="0.2"/>
    <x v="2"/>
    <x v="2"/>
    <n v="9.8550000000000004"/>
    <n v="0.33750000000000002"/>
    <n v="0"/>
  </r>
  <r>
    <n v="3290"/>
    <s v="CA-2015-157770"/>
    <d v="2015-12-13T00:00:00"/>
    <x v="1"/>
    <s v="Q4"/>
    <x v="14"/>
    <d v="2015-12-15T00:00:00"/>
    <s v="First Class"/>
    <x v="361"/>
    <x v="361"/>
    <s v="Consumer"/>
    <s v="United States"/>
    <s v="Temecula"/>
    <x v="1"/>
    <n v="92592"/>
    <x v="1"/>
    <x v="100"/>
    <x v="2"/>
    <x v="11"/>
    <x v="100"/>
    <n v="248.85"/>
    <s v="High"/>
    <n v="5"/>
    <n v="0"/>
    <x v="0"/>
    <x v="0"/>
    <n v="27.3735"/>
    <n v="0.11"/>
    <n v="0"/>
  </r>
  <r>
    <n v="3291"/>
    <s v="CA-2015-157770"/>
    <d v="2015-12-13T00:00:00"/>
    <x v="1"/>
    <s v="Q4"/>
    <x v="14"/>
    <d v="2015-12-15T00:00:00"/>
    <s v="First Class"/>
    <x v="361"/>
    <x v="361"/>
    <s v="Consumer"/>
    <s v="United States"/>
    <s v="Temecula"/>
    <x v="1"/>
    <n v="92592"/>
    <x v="1"/>
    <x v="1519"/>
    <x v="2"/>
    <x v="11"/>
    <x v="1506"/>
    <n v="36.24"/>
    <s v="Medium"/>
    <n v="1"/>
    <n v="0"/>
    <x v="0"/>
    <x v="0"/>
    <n v="15.220800000000001"/>
    <n v="0.42"/>
    <n v="0"/>
  </r>
  <r>
    <n v="3292"/>
    <s v="CA-2016-167290"/>
    <d v="2016-10-30T00:00:00"/>
    <x v="0"/>
    <s v="Q4"/>
    <x v="32"/>
    <d v="2016-11-04T00:00:00"/>
    <s v="Standard Class"/>
    <x v="639"/>
    <x v="639"/>
    <s v="Consumer"/>
    <s v="United States"/>
    <s v="Sterling Heights"/>
    <x v="12"/>
    <n v="48310"/>
    <x v="2"/>
    <x v="512"/>
    <x v="1"/>
    <x v="6"/>
    <x v="512"/>
    <n v="11.68"/>
    <s v="Low"/>
    <n v="2"/>
    <n v="0"/>
    <x v="0"/>
    <x v="0"/>
    <n v="3.504"/>
    <n v="0.3"/>
    <n v="0"/>
  </r>
  <r>
    <n v="3293"/>
    <s v="CA-2014-106264"/>
    <d v="2014-12-26T00:00:00"/>
    <x v="2"/>
    <s v="Q4"/>
    <x v="20"/>
    <d v="2014-12-30T00:00:00"/>
    <s v="Standard Class"/>
    <x v="242"/>
    <x v="242"/>
    <s v="Consumer"/>
    <s v="United States"/>
    <s v="San Diego"/>
    <x v="1"/>
    <n v="92024"/>
    <x v="1"/>
    <x v="168"/>
    <x v="1"/>
    <x v="14"/>
    <x v="169"/>
    <n v="11.91"/>
    <s v="Low"/>
    <n v="3"/>
    <n v="0"/>
    <x v="0"/>
    <x v="0"/>
    <n v="0.1191"/>
    <n v="0.01"/>
    <n v="0"/>
  </r>
  <r>
    <n v="3294"/>
    <s v="CA-2014-106264"/>
    <d v="2014-12-26T00:00:00"/>
    <x v="2"/>
    <s v="Q4"/>
    <x v="20"/>
    <d v="2014-12-30T00:00:00"/>
    <s v="Standard Class"/>
    <x v="242"/>
    <x v="242"/>
    <s v="Consumer"/>
    <s v="United States"/>
    <s v="San Diego"/>
    <x v="1"/>
    <n v="92024"/>
    <x v="1"/>
    <x v="852"/>
    <x v="0"/>
    <x v="5"/>
    <x v="845"/>
    <n v="3.48"/>
    <s v="Low"/>
    <n v="2"/>
    <n v="0"/>
    <x v="0"/>
    <x v="0"/>
    <n v="1.1135999999999999"/>
    <n v="0.32"/>
    <n v="0"/>
  </r>
  <r>
    <n v="3295"/>
    <s v="CA-2014-138023"/>
    <d v="2014-08-15T00:00:00"/>
    <x v="2"/>
    <s v="Q3"/>
    <x v="9"/>
    <d v="2014-08-18T00:00:00"/>
    <s v="First Class"/>
    <x v="168"/>
    <x v="168"/>
    <s v="Consumer"/>
    <s v="United States"/>
    <s v="Dallas"/>
    <x v="5"/>
    <n v="75081"/>
    <x v="2"/>
    <x v="612"/>
    <x v="1"/>
    <x v="8"/>
    <x v="612"/>
    <n v="30.96"/>
    <s v="Medium"/>
    <n v="8"/>
    <n v="0.8"/>
    <x v="1"/>
    <x v="3"/>
    <n v="-52.631999999999998"/>
    <n v="-1.7"/>
    <n v="1"/>
  </r>
  <r>
    <n v="3296"/>
    <s v="CA-2017-113418"/>
    <d v="2017-10-01T00:00:00"/>
    <x v="3"/>
    <s v="Q4"/>
    <x v="13"/>
    <d v="2017-10-03T00:00:00"/>
    <s v="First Class"/>
    <x v="475"/>
    <x v="475"/>
    <s v="Home Office"/>
    <s v="United States"/>
    <s v="New York City"/>
    <x v="15"/>
    <n v="10035"/>
    <x v="3"/>
    <x v="1520"/>
    <x v="2"/>
    <x v="15"/>
    <x v="1507"/>
    <n v="1704.89"/>
    <s v="High"/>
    <n v="11"/>
    <n v="0"/>
    <x v="0"/>
    <x v="0"/>
    <n v="767.20050000000003"/>
    <n v="0.45"/>
    <n v="0"/>
  </r>
  <r>
    <n v="3297"/>
    <s v="US-2015-110569"/>
    <d v="2015-05-23T00:00:00"/>
    <x v="1"/>
    <s v="Q2"/>
    <x v="33"/>
    <d v="2015-05-30T00:00:00"/>
    <s v="Standard Class"/>
    <x v="12"/>
    <x v="12"/>
    <s v="Consumer"/>
    <s v="United States"/>
    <s v="Phoenix"/>
    <x v="16"/>
    <n v="85023"/>
    <x v="1"/>
    <x v="624"/>
    <x v="1"/>
    <x v="8"/>
    <x v="624"/>
    <n v="19.193999999999999"/>
    <s v="Low"/>
    <n v="7"/>
    <n v="0.7"/>
    <x v="1"/>
    <x v="5"/>
    <n v="-12.795999999999999"/>
    <n v="-0.66666666666666663"/>
    <n v="1"/>
  </r>
  <r>
    <n v="3298"/>
    <s v="US-2015-110569"/>
    <d v="2015-05-23T00:00:00"/>
    <x v="1"/>
    <s v="Q2"/>
    <x v="33"/>
    <d v="2015-05-30T00:00:00"/>
    <s v="Standard Class"/>
    <x v="12"/>
    <x v="12"/>
    <s v="Consumer"/>
    <s v="United States"/>
    <s v="Phoenix"/>
    <x v="16"/>
    <n v="85023"/>
    <x v="1"/>
    <x v="513"/>
    <x v="1"/>
    <x v="9"/>
    <x v="513"/>
    <n v="121.792"/>
    <s v="Medium"/>
    <n v="4"/>
    <n v="0.2"/>
    <x v="2"/>
    <x v="2"/>
    <n v="13.701599999999999"/>
    <n v="0.11249999999999999"/>
    <n v="0"/>
  </r>
  <r>
    <n v="3299"/>
    <s v="CA-2017-136308"/>
    <d v="2017-11-16T00:00:00"/>
    <x v="3"/>
    <s v="Q4"/>
    <x v="23"/>
    <d v="2017-11-16T00:00:00"/>
    <s v="Same Day"/>
    <x v="360"/>
    <x v="360"/>
    <s v="Corporate"/>
    <s v="United States"/>
    <s v="San Francisco"/>
    <x v="1"/>
    <n v="94122"/>
    <x v="1"/>
    <x v="1150"/>
    <x v="2"/>
    <x v="15"/>
    <x v="1138"/>
    <n v="1919.9760000000001"/>
    <s v="High"/>
    <n v="3"/>
    <n v="0.2"/>
    <x v="2"/>
    <x v="2"/>
    <n v="215.9973"/>
    <n v="0.11249999999999999"/>
    <n v="0"/>
  </r>
  <r>
    <n v="3300"/>
    <s v="US-2014-159926"/>
    <d v="2014-11-18T00:00:00"/>
    <x v="2"/>
    <s v="Q4"/>
    <x v="7"/>
    <d v="2014-11-22T00:00:00"/>
    <s v="Standard Class"/>
    <x v="229"/>
    <x v="229"/>
    <s v="Consumer"/>
    <s v="United States"/>
    <s v="Philadelphia"/>
    <x v="9"/>
    <n v="19140"/>
    <x v="3"/>
    <x v="13"/>
    <x v="1"/>
    <x v="8"/>
    <x v="13"/>
    <n v="50.997"/>
    <s v="Medium"/>
    <n v="1"/>
    <n v="0.7"/>
    <x v="1"/>
    <x v="5"/>
    <n v="-40.797600000000003"/>
    <n v="-0.8"/>
    <n v="1"/>
  </r>
  <r>
    <n v="3301"/>
    <s v="US-2014-159926"/>
    <d v="2014-11-18T00:00:00"/>
    <x v="2"/>
    <s v="Q4"/>
    <x v="7"/>
    <d v="2014-11-22T00:00:00"/>
    <s v="Standard Class"/>
    <x v="229"/>
    <x v="229"/>
    <s v="Consumer"/>
    <s v="United States"/>
    <s v="Philadelphia"/>
    <x v="9"/>
    <n v="19140"/>
    <x v="3"/>
    <x v="82"/>
    <x v="1"/>
    <x v="4"/>
    <x v="82"/>
    <n v="76.792000000000002"/>
    <s v="Medium"/>
    <n v="1"/>
    <n v="0.2"/>
    <x v="2"/>
    <x v="2"/>
    <n v="-16.318300000000001"/>
    <n v="-0.21249999999999999"/>
    <n v="1"/>
  </r>
  <r>
    <n v="3302"/>
    <s v="US-2014-159926"/>
    <d v="2014-11-18T00:00:00"/>
    <x v="2"/>
    <s v="Q4"/>
    <x v="7"/>
    <d v="2014-11-22T00:00:00"/>
    <s v="Standard Class"/>
    <x v="229"/>
    <x v="229"/>
    <s v="Consumer"/>
    <s v="United States"/>
    <s v="Philadelphia"/>
    <x v="9"/>
    <n v="19140"/>
    <x v="3"/>
    <x v="1521"/>
    <x v="2"/>
    <x v="7"/>
    <x v="1508"/>
    <n v="539.96400000000006"/>
    <s v="High"/>
    <n v="6"/>
    <n v="0.4"/>
    <x v="1"/>
    <x v="7"/>
    <n v="-107.9928"/>
    <n v="-0.19999999999999998"/>
    <n v="1"/>
  </r>
  <r>
    <n v="3303"/>
    <s v="US-2014-159926"/>
    <d v="2014-11-18T00:00:00"/>
    <x v="2"/>
    <s v="Q4"/>
    <x v="7"/>
    <d v="2014-11-22T00:00:00"/>
    <s v="Standard Class"/>
    <x v="229"/>
    <x v="229"/>
    <s v="Consumer"/>
    <s v="United States"/>
    <s v="Philadelphia"/>
    <x v="9"/>
    <n v="19140"/>
    <x v="3"/>
    <x v="1001"/>
    <x v="0"/>
    <x v="5"/>
    <x v="1253"/>
    <n v="60.311999999999998"/>
    <s v="Medium"/>
    <n v="3"/>
    <n v="0.2"/>
    <x v="2"/>
    <x v="2"/>
    <n v="5.2773000000000003"/>
    <n v="8.7500000000000008E-2"/>
    <n v="0"/>
  </r>
  <r>
    <n v="3304"/>
    <s v="US-2014-159926"/>
    <d v="2014-11-18T00:00:00"/>
    <x v="2"/>
    <s v="Q4"/>
    <x v="7"/>
    <d v="2014-11-22T00:00:00"/>
    <s v="Standard Class"/>
    <x v="229"/>
    <x v="229"/>
    <s v="Consumer"/>
    <s v="United States"/>
    <s v="Philadelphia"/>
    <x v="9"/>
    <n v="19140"/>
    <x v="3"/>
    <x v="870"/>
    <x v="1"/>
    <x v="8"/>
    <x v="864"/>
    <n v="1.944"/>
    <s v="Low"/>
    <n v="3"/>
    <n v="0.7"/>
    <x v="1"/>
    <x v="5"/>
    <n v="-1.4256"/>
    <n v="-0.73333333333333339"/>
    <n v="1"/>
  </r>
  <r>
    <n v="3305"/>
    <s v="CA-2014-104738"/>
    <d v="2014-12-30T00:00:00"/>
    <x v="2"/>
    <s v="Q4"/>
    <x v="20"/>
    <d v="2015-01-01T00:00:00"/>
    <s v="Second Class"/>
    <x v="407"/>
    <x v="407"/>
    <s v="Corporate"/>
    <s v="United States"/>
    <s v="Laredo"/>
    <x v="5"/>
    <n v="78041"/>
    <x v="2"/>
    <x v="897"/>
    <x v="1"/>
    <x v="12"/>
    <x v="890"/>
    <n v="12.984"/>
    <s v="Low"/>
    <n v="3"/>
    <n v="0.2"/>
    <x v="2"/>
    <x v="2"/>
    <n v="4.7066999999999997"/>
    <n v="0.36249999999999999"/>
    <n v="0"/>
  </r>
  <r>
    <n v="3306"/>
    <s v="CA-2014-104738"/>
    <d v="2014-12-30T00:00:00"/>
    <x v="2"/>
    <s v="Q4"/>
    <x v="20"/>
    <d v="2015-01-01T00:00:00"/>
    <s v="Second Class"/>
    <x v="407"/>
    <x v="407"/>
    <s v="Corporate"/>
    <s v="United States"/>
    <s v="Laredo"/>
    <x v="5"/>
    <n v="78041"/>
    <x v="2"/>
    <x v="1236"/>
    <x v="2"/>
    <x v="7"/>
    <x v="1219"/>
    <n v="217.584"/>
    <s v="High"/>
    <n v="2"/>
    <n v="0.2"/>
    <x v="2"/>
    <x v="2"/>
    <n v="19.038599999999999"/>
    <n v="8.7499999999999994E-2"/>
    <n v="0"/>
  </r>
  <r>
    <n v="3307"/>
    <s v="CA-2014-104738"/>
    <d v="2014-12-30T00:00:00"/>
    <x v="2"/>
    <s v="Q4"/>
    <x v="20"/>
    <d v="2015-01-01T00:00:00"/>
    <s v="Second Class"/>
    <x v="407"/>
    <x v="407"/>
    <s v="Corporate"/>
    <s v="United States"/>
    <s v="Laredo"/>
    <x v="5"/>
    <n v="78041"/>
    <x v="2"/>
    <x v="819"/>
    <x v="2"/>
    <x v="7"/>
    <x v="815"/>
    <n v="328.77600000000001"/>
    <s v="High"/>
    <n v="3"/>
    <n v="0.2"/>
    <x v="2"/>
    <x v="2"/>
    <n v="28.767900000000001"/>
    <n v="8.7499999999999994E-2"/>
    <n v="0"/>
  </r>
  <r>
    <n v="3308"/>
    <s v="CA-2014-104738"/>
    <d v="2014-12-30T00:00:00"/>
    <x v="2"/>
    <s v="Q4"/>
    <x v="20"/>
    <d v="2015-01-01T00:00:00"/>
    <s v="Second Class"/>
    <x v="407"/>
    <x v="407"/>
    <s v="Corporate"/>
    <s v="United States"/>
    <s v="Laredo"/>
    <x v="5"/>
    <n v="78041"/>
    <x v="2"/>
    <x v="315"/>
    <x v="1"/>
    <x v="8"/>
    <x v="315"/>
    <n v="2.286"/>
    <s v="Low"/>
    <n v="3"/>
    <n v="0.8"/>
    <x v="1"/>
    <x v="3"/>
    <n v="-3.6576"/>
    <n v="-1.5999999999999999"/>
    <n v="1"/>
  </r>
  <r>
    <n v="3309"/>
    <s v="CA-2014-104738"/>
    <d v="2014-12-30T00:00:00"/>
    <x v="2"/>
    <s v="Q4"/>
    <x v="20"/>
    <d v="2015-01-01T00:00:00"/>
    <s v="Second Class"/>
    <x v="407"/>
    <x v="407"/>
    <s v="Corporate"/>
    <s v="United States"/>
    <s v="Laredo"/>
    <x v="5"/>
    <n v="78041"/>
    <x v="2"/>
    <x v="246"/>
    <x v="2"/>
    <x v="11"/>
    <x v="247"/>
    <n v="47.984000000000002"/>
    <s v="Medium"/>
    <n v="2"/>
    <n v="0.2"/>
    <x v="2"/>
    <x v="2"/>
    <n v="14.395200000000001"/>
    <n v="0.3"/>
    <n v="0"/>
  </r>
  <r>
    <n v="3310"/>
    <s v="CA-2015-144386"/>
    <d v="2015-11-05T00:00:00"/>
    <x v="1"/>
    <s v="Q4"/>
    <x v="6"/>
    <d v="2015-11-11T00:00:00"/>
    <s v="Standard Class"/>
    <x v="265"/>
    <x v="265"/>
    <s v="Corporate"/>
    <s v="United States"/>
    <s v="New York City"/>
    <x v="15"/>
    <n v="10009"/>
    <x v="3"/>
    <x v="1085"/>
    <x v="1"/>
    <x v="8"/>
    <x v="1075"/>
    <n v="25.344000000000001"/>
    <s v="Medium"/>
    <n v="6"/>
    <n v="0.2"/>
    <x v="2"/>
    <x v="2"/>
    <n v="8.8704000000000001"/>
    <n v="0.35"/>
    <n v="0"/>
  </r>
  <r>
    <n v="3311"/>
    <s v="CA-2016-111416"/>
    <d v="2016-09-17T00:00:00"/>
    <x v="0"/>
    <s v="Q3"/>
    <x v="21"/>
    <d v="2016-09-22T00:00:00"/>
    <s v="Standard Class"/>
    <x v="560"/>
    <x v="560"/>
    <s v="Consumer"/>
    <s v="United States"/>
    <s v="New York City"/>
    <x v="15"/>
    <n v="10035"/>
    <x v="3"/>
    <x v="920"/>
    <x v="1"/>
    <x v="8"/>
    <x v="912"/>
    <n v="232.4"/>
    <s v="High"/>
    <n v="5"/>
    <n v="0.2"/>
    <x v="2"/>
    <x v="2"/>
    <n v="78.435000000000002"/>
    <n v="0.33750000000000002"/>
    <n v="0"/>
  </r>
  <r>
    <n v="3312"/>
    <s v="CA-2016-162747"/>
    <d v="2016-03-20T00:00:00"/>
    <x v="0"/>
    <s v="Q1"/>
    <x v="17"/>
    <d v="2016-03-25T00:00:00"/>
    <s v="Second Class"/>
    <x v="692"/>
    <x v="692"/>
    <s v="Corporate"/>
    <s v="United States"/>
    <s v="Gulfport"/>
    <x v="35"/>
    <n v="39503"/>
    <x v="0"/>
    <x v="893"/>
    <x v="0"/>
    <x v="5"/>
    <x v="886"/>
    <n v="86.45"/>
    <s v="Medium"/>
    <n v="7"/>
    <n v="0"/>
    <x v="0"/>
    <x v="0"/>
    <n v="38.037999999999997"/>
    <n v="0.43999999999999995"/>
    <n v="0"/>
  </r>
  <r>
    <n v="3313"/>
    <s v="US-2014-133130"/>
    <d v="2014-09-27T00:00:00"/>
    <x v="2"/>
    <s v="Q3"/>
    <x v="30"/>
    <d v="2014-10-01T00:00:00"/>
    <s v="Standard Class"/>
    <x v="513"/>
    <x v="513"/>
    <s v="Consumer"/>
    <s v="United States"/>
    <s v="San Diego"/>
    <x v="1"/>
    <n v="92037"/>
    <x v="1"/>
    <x v="291"/>
    <x v="0"/>
    <x v="1"/>
    <x v="291"/>
    <n v="603.91999999999996"/>
    <s v="High"/>
    <n v="5"/>
    <n v="0.2"/>
    <x v="2"/>
    <x v="2"/>
    <n v="45.293999999999997"/>
    <n v="7.4999999999999997E-2"/>
    <n v="0"/>
  </r>
  <r>
    <n v="3314"/>
    <s v="US-2014-133130"/>
    <d v="2014-09-27T00:00:00"/>
    <x v="2"/>
    <s v="Q3"/>
    <x v="30"/>
    <d v="2014-10-01T00:00:00"/>
    <s v="Standard Class"/>
    <x v="513"/>
    <x v="513"/>
    <s v="Consumer"/>
    <s v="United States"/>
    <s v="San Diego"/>
    <x v="1"/>
    <n v="92037"/>
    <x v="1"/>
    <x v="1127"/>
    <x v="1"/>
    <x v="10"/>
    <x v="1115"/>
    <n v="81.98"/>
    <s v="Medium"/>
    <n v="2"/>
    <n v="0"/>
    <x v="0"/>
    <x v="0"/>
    <n v="40.170200000000001"/>
    <n v="0.49"/>
    <n v="0"/>
  </r>
  <r>
    <n v="3315"/>
    <s v="CA-2017-169978"/>
    <d v="2017-12-24T00:00:00"/>
    <x v="3"/>
    <s v="Q4"/>
    <x v="22"/>
    <d v="2017-12-28T00:00:00"/>
    <s v="Standard Class"/>
    <x v="643"/>
    <x v="643"/>
    <s v="Consumer"/>
    <s v="United States"/>
    <s v="Oceanside"/>
    <x v="15"/>
    <n v="11572"/>
    <x v="3"/>
    <x v="291"/>
    <x v="0"/>
    <x v="1"/>
    <x v="291"/>
    <n v="271.76400000000001"/>
    <s v="High"/>
    <n v="2"/>
    <n v="0.1"/>
    <x v="3"/>
    <x v="8"/>
    <n v="48.313600000000001"/>
    <n v="0.17777777777777778"/>
    <n v="0"/>
  </r>
  <r>
    <n v="3316"/>
    <s v="CA-2017-169978"/>
    <d v="2017-12-24T00:00:00"/>
    <x v="3"/>
    <s v="Q4"/>
    <x v="22"/>
    <d v="2017-12-28T00:00:00"/>
    <s v="Standard Class"/>
    <x v="643"/>
    <x v="643"/>
    <s v="Consumer"/>
    <s v="United States"/>
    <s v="Oceanside"/>
    <x v="15"/>
    <n v="11572"/>
    <x v="3"/>
    <x v="1120"/>
    <x v="1"/>
    <x v="8"/>
    <x v="1108"/>
    <n v="14.375999999999999"/>
    <s v="Low"/>
    <n v="3"/>
    <n v="0.2"/>
    <x v="2"/>
    <x v="2"/>
    <n v="4.8518999999999997"/>
    <n v="0.33749999999999997"/>
    <n v="0"/>
  </r>
  <r>
    <n v="3317"/>
    <s v="CA-2017-161739"/>
    <d v="2017-11-10T00:00:00"/>
    <x v="3"/>
    <s v="Q4"/>
    <x v="23"/>
    <d v="2017-11-15T00:00:00"/>
    <s v="Second Class"/>
    <x v="494"/>
    <x v="494"/>
    <s v="Corporate"/>
    <s v="United States"/>
    <s v="Round Rock"/>
    <x v="5"/>
    <n v="78664"/>
    <x v="2"/>
    <x v="1304"/>
    <x v="0"/>
    <x v="5"/>
    <x v="1289"/>
    <n v="341.96"/>
    <s v="High"/>
    <n v="5"/>
    <n v="0.6"/>
    <x v="1"/>
    <x v="6"/>
    <n v="-427.45"/>
    <n v="-1.25"/>
    <n v="1"/>
  </r>
  <r>
    <n v="3318"/>
    <s v="CA-2015-165057"/>
    <d v="2015-09-11T00:00:00"/>
    <x v="1"/>
    <s v="Q3"/>
    <x v="11"/>
    <d v="2015-09-15T00:00:00"/>
    <s v="Standard Class"/>
    <x v="56"/>
    <x v="56"/>
    <s v="Consumer"/>
    <s v="United States"/>
    <s v="Redlands"/>
    <x v="1"/>
    <n v="92374"/>
    <x v="1"/>
    <x v="626"/>
    <x v="1"/>
    <x v="6"/>
    <x v="626"/>
    <n v="181.35"/>
    <s v="High"/>
    <n v="9"/>
    <n v="0"/>
    <x v="0"/>
    <x v="0"/>
    <n v="48.964500000000001"/>
    <n v="0.27"/>
    <n v="0"/>
  </r>
  <r>
    <n v="3319"/>
    <s v="CA-2015-165057"/>
    <d v="2015-09-11T00:00:00"/>
    <x v="1"/>
    <s v="Q3"/>
    <x v="11"/>
    <d v="2015-09-15T00:00:00"/>
    <s v="Standard Class"/>
    <x v="56"/>
    <x v="56"/>
    <s v="Consumer"/>
    <s v="United States"/>
    <s v="Redlands"/>
    <x v="1"/>
    <n v="92374"/>
    <x v="1"/>
    <x v="1186"/>
    <x v="1"/>
    <x v="2"/>
    <x v="1172"/>
    <n v="8.64"/>
    <s v="Low"/>
    <n v="3"/>
    <n v="0"/>
    <x v="0"/>
    <x v="0"/>
    <n v="4.2336"/>
    <n v="0.49"/>
    <n v="0"/>
  </r>
  <r>
    <n v="3320"/>
    <s v="CA-2014-134551"/>
    <d v="2014-12-20T00:00:00"/>
    <x v="2"/>
    <s v="Q4"/>
    <x v="20"/>
    <d v="2014-12-25T00:00:00"/>
    <s v="Standard Class"/>
    <x v="700"/>
    <x v="700"/>
    <s v="Consumer"/>
    <s v="United States"/>
    <s v="Columbia"/>
    <x v="18"/>
    <n v="38401"/>
    <x v="0"/>
    <x v="1037"/>
    <x v="1"/>
    <x v="9"/>
    <x v="1027"/>
    <n v="43.512"/>
    <s v="Medium"/>
    <n v="7"/>
    <n v="0.2"/>
    <x v="2"/>
    <x v="2"/>
    <n v="3.8073000000000001"/>
    <n v="8.7500000000000008E-2"/>
    <n v="0"/>
  </r>
  <r>
    <n v="3321"/>
    <s v="CA-2014-134551"/>
    <d v="2014-12-20T00:00:00"/>
    <x v="2"/>
    <s v="Q4"/>
    <x v="20"/>
    <d v="2014-12-25T00:00:00"/>
    <s v="Standard Class"/>
    <x v="700"/>
    <x v="700"/>
    <s v="Consumer"/>
    <s v="United States"/>
    <s v="Columbia"/>
    <x v="18"/>
    <n v="38401"/>
    <x v="0"/>
    <x v="157"/>
    <x v="0"/>
    <x v="1"/>
    <x v="158"/>
    <n v="662.88"/>
    <s v="High"/>
    <n v="3"/>
    <n v="0.2"/>
    <x v="2"/>
    <x v="2"/>
    <n v="74.573999999999998"/>
    <n v="0.1125"/>
    <n v="0"/>
  </r>
  <r>
    <n v="3322"/>
    <s v="CA-2014-134551"/>
    <d v="2014-12-20T00:00:00"/>
    <x v="2"/>
    <s v="Q4"/>
    <x v="20"/>
    <d v="2014-12-25T00:00:00"/>
    <s v="Standard Class"/>
    <x v="700"/>
    <x v="700"/>
    <s v="Consumer"/>
    <s v="United States"/>
    <s v="Columbia"/>
    <x v="18"/>
    <n v="38401"/>
    <x v="0"/>
    <x v="1076"/>
    <x v="1"/>
    <x v="10"/>
    <x v="1066"/>
    <n v="25.92"/>
    <s v="Medium"/>
    <n v="5"/>
    <n v="0.2"/>
    <x v="2"/>
    <x v="2"/>
    <n v="9.0719999999999992"/>
    <n v="0.34999999999999992"/>
    <n v="0"/>
  </r>
  <r>
    <n v="3323"/>
    <s v="CA-2015-120810"/>
    <d v="2015-07-23T00:00:00"/>
    <x v="1"/>
    <s v="Q3"/>
    <x v="38"/>
    <d v="2015-07-27T00:00:00"/>
    <s v="Standard Class"/>
    <x v="274"/>
    <x v="274"/>
    <s v="Home Office"/>
    <s v="United States"/>
    <s v="New York City"/>
    <x v="15"/>
    <n v="10009"/>
    <x v="3"/>
    <x v="9"/>
    <x v="1"/>
    <x v="9"/>
    <x v="9"/>
    <n v="68.94"/>
    <s v="Medium"/>
    <n v="3"/>
    <n v="0"/>
    <x v="0"/>
    <x v="0"/>
    <n v="20.681999999999999"/>
    <n v="0.3"/>
    <n v="0"/>
  </r>
  <r>
    <n v="3324"/>
    <s v="CA-2015-120810"/>
    <d v="2015-07-23T00:00:00"/>
    <x v="1"/>
    <s v="Q3"/>
    <x v="38"/>
    <d v="2015-07-27T00:00:00"/>
    <s v="Standard Class"/>
    <x v="274"/>
    <x v="274"/>
    <s v="Home Office"/>
    <s v="United States"/>
    <s v="New York City"/>
    <x v="15"/>
    <n v="10009"/>
    <x v="3"/>
    <x v="592"/>
    <x v="0"/>
    <x v="5"/>
    <x v="592"/>
    <n v="128.82"/>
    <s v="High"/>
    <n v="3"/>
    <n v="0"/>
    <x v="0"/>
    <x v="0"/>
    <n v="50.239800000000002"/>
    <n v="0.39"/>
    <n v="0"/>
  </r>
  <r>
    <n v="3325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1176"/>
    <x v="1"/>
    <x v="8"/>
    <x v="1162"/>
    <n v="896.99"/>
    <s v="High"/>
    <n v="5"/>
    <n v="0.8"/>
    <x v="1"/>
    <x v="3"/>
    <n v="-1480.0335"/>
    <n v="-1.65"/>
    <n v="1"/>
  </r>
  <r>
    <n v="3326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1488"/>
    <x v="1"/>
    <x v="8"/>
    <x v="1475"/>
    <n v="1.234"/>
    <s v="Low"/>
    <n v="1"/>
    <n v="0.8"/>
    <x v="1"/>
    <x v="3"/>
    <n v="-1.9743999999999999"/>
    <n v="-1.5999999999999999"/>
    <n v="1"/>
  </r>
  <r>
    <n v="3327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1473"/>
    <x v="1"/>
    <x v="6"/>
    <x v="1460"/>
    <n v="67.56"/>
    <s v="Medium"/>
    <n v="3"/>
    <n v="0.2"/>
    <x v="2"/>
    <x v="2"/>
    <n v="6.7560000000000002"/>
    <n v="0.1"/>
    <n v="0"/>
  </r>
  <r>
    <n v="3328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362"/>
    <x v="1"/>
    <x v="10"/>
    <x v="362"/>
    <n v="21.72"/>
    <s v="Low"/>
    <n v="5"/>
    <n v="0.2"/>
    <x v="2"/>
    <x v="2"/>
    <n v="7.8734999999999999"/>
    <n v="0.36249999999999999"/>
    <n v="0"/>
  </r>
  <r>
    <n v="3329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1522"/>
    <x v="1"/>
    <x v="10"/>
    <x v="1509"/>
    <n v="262.33600000000001"/>
    <s v="High"/>
    <n v="8"/>
    <n v="0.2"/>
    <x v="2"/>
    <x v="2"/>
    <n v="95.096800000000002"/>
    <n v="0.36249999999999999"/>
    <n v="0"/>
  </r>
  <r>
    <n v="3330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918"/>
    <x v="2"/>
    <x v="7"/>
    <x v="910"/>
    <n v="148.47999999999999"/>
    <s v="High"/>
    <n v="2"/>
    <n v="0.2"/>
    <x v="2"/>
    <x v="2"/>
    <n v="16.704000000000001"/>
    <n v="0.11250000000000002"/>
    <n v="0"/>
  </r>
  <r>
    <n v="3331"/>
    <s v="CA-2014-165309"/>
    <d v="2014-11-11T00:00:00"/>
    <x v="2"/>
    <s v="Q4"/>
    <x v="7"/>
    <d v="2014-11-15T00:00:00"/>
    <s v="Standard Class"/>
    <x v="30"/>
    <x v="30"/>
    <s v="Consumer"/>
    <s v="United States"/>
    <s v="Houston"/>
    <x v="5"/>
    <n v="77095"/>
    <x v="2"/>
    <x v="1161"/>
    <x v="2"/>
    <x v="7"/>
    <x v="1148"/>
    <n v="241.17599999999999"/>
    <s v="High"/>
    <n v="3"/>
    <n v="0.2"/>
    <x v="2"/>
    <x v="2"/>
    <n v="15.073499999999999"/>
    <n v="6.25E-2"/>
    <n v="0"/>
  </r>
  <r>
    <n v="3332"/>
    <s v="CA-2017-122595"/>
    <d v="2017-12-14T00:00:00"/>
    <x v="3"/>
    <s v="Q4"/>
    <x v="22"/>
    <d v="2017-12-20T00:00:00"/>
    <s v="Standard Class"/>
    <x v="39"/>
    <x v="39"/>
    <s v="Home Office"/>
    <s v="United States"/>
    <s v="Chicago"/>
    <x v="10"/>
    <n v="60653"/>
    <x v="2"/>
    <x v="1523"/>
    <x v="2"/>
    <x v="11"/>
    <x v="1510"/>
    <n v="227.976"/>
    <s v="High"/>
    <n v="3"/>
    <n v="0.2"/>
    <x v="2"/>
    <x v="2"/>
    <n v="28.497"/>
    <n v="0.125"/>
    <n v="0"/>
  </r>
  <r>
    <n v="3333"/>
    <s v="CA-2017-122595"/>
    <d v="2017-12-14T00:00:00"/>
    <x v="3"/>
    <s v="Q4"/>
    <x v="22"/>
    <d v="2017-12-20T00:00:00"/>
    <s v="Standard Class"/>
    <x v="39"/>
    <x v="39"/>
    <s v="Home Office"/>
    <s v="United States"/>
    <s v="Chicago"/>
    <x v="10"/>
    <n v="60653"/>
    <x v="2"/>
    <x v="1513"/>
    <x v="2"/>
    <x v="7"/>
    <x v="1500"/>
    <n v="52.68"/>
    <s v="Medium"/>
    <n v="3"/>
    <n v="0.2"/>
    <x v="2"/>
    <x v="2"/>
    <n v="19.754999999999999"/>
    <n v="0.375"/>
    <n v="0"/>
  </r>
  <r>
    <n v="3334"/>
    <s v="CA-2017-122595"/>
    <d v="2017-12-14T00:00:00"/>
    <x v="3"/>
    <s v="Q4"/>
    <x v="22"/>
    <d v="2017-12-20T00:00:00"/>
    <s v="Standard Class"/>
    <x v="39"/>
    <x v="39"/>
    <s v="Home Office"/>
    <s v="United States"/>
    <s v="Chicago"/>
    <x v="10"/>
    <n v="60653"/>
    <x v="2"/>
    <x v="1524"/>
    <x v="0"/>
    <x v="5"/>
    <x v="1511"/>
    <n v="2.032"/>
    <s v="Low"/>
    <n v="1"/>
    <n v="0.6"/>
    <x v="1"/>
    <x v="6"/>
    <n v="-1.3208"/>
    <n v="-0.65"/>
    <n v="1"/>
  </r>
  <r>
    <n v="3335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786"/>
    <x v="1"/>
    <x v="6"/>
    <x v="785"/>
    <n v="17.12"/>
    <s v="Low"/>
    <n v="4"/>
    <n v="0"/>
    <x v="0"/>
    <x v="0"/>
    <n v="4.9648000000000003"/>
    <n v="0.28999999999999998"/>
    <n v="0"/>
  </r>
  <r>
    <n v="3336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524"/>
    <x v="2"/>
    <x v="7"/>
    <x v="524"/>
    <n v="431.96800000000002"/>
    <s v="High"/>
    <n v="4"/>
    <n v="0.2"/>
    <x v="2"/>
    <x v="2"/>
    <n v="37.797199999999997"/>
    <n v="8.7499999999999994E-2"/>
    <n v="0"/>
  </r>
  <r>
    <n v="3337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1525"/>
    <x v="0"/>
    <x v="5"/>
    <x v="1512"/>
    <n v="129.91999999999999"/>
    <s v="High"/>
    <n v="4"/>
    <n v="0"/>
    <x v="0"/>
    <x v="0"/>
    <n v="10.393599999999999"/>
    <n v="0.08"/>
    <n v="0"/>
  </r>
  <r>
    <n v="3338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10"/>
    <x v="0"/>
    <x v="3"/>
    <x v="10"/>
    <n v="568.72799999999995"/>
    <s v="High"/>
    <n v="3"/>
    <n v="0.2"/>
    <x v="2"/>
    <x v="2"/>
    <n v="28.436399999999999"/>
    <n v="0.05"/>
    <n v="0"/>
  </r>
  <r>
    <n v="3339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1526"/>
    <x v="1"/>
    <x v="8"/>
    <x v="1513"/>
    <n v="117.14400000000001"/>
    <s v="Medium"/>
    <n v="9"/>
    <n v="0.2"/>
    <x v="2"/>
    <x v="2"/>
    <n v="42.464700000000001"/>
    <n v="0.36249999999999999"/>
    <n v="0"/>
  </r>
  <r>
    <n v="3340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1527"/>
    <x v="1"/>
    <x v="9"/>
    <x v="1514"/>
    <n v="203.52"/>
    <s v="High"/>
    <n v="3"/>
    <n v="0"/>
    <x v="0"/>
    <x v="0"/>
    <n v="54.950400000000002"/>
    <n v="0.27"/>
    <n v="0"/>
  </r>
  <r>
    <n v="3341"/>
    <s v="US-2017-109253"/>
    <d v="2017-08-21T00:00:00"/>
    <x v="3"/>
    <s v="Q3"/>
    <x v="43"/>
    <d v="2017-08-22T00:00:00"/>
    <s v="First Class"/>
    <x v="701"/>
    <x v="701"/>
    <s v="Consumer"/>
    <s v="United States"/>
    <s v="Oakland"/>
    <x v="1"/>
    <n v="94601"/>
    <x v="1"/>
    <x v="322"/>
    <x v="1"/>
    <x v="2"/>
    <x v="322"/>
    <n v="51.75"/>
    <s v="Medium"/>
    <n v="5"/>
    <n v="0"/>
    <x v="0"/>
    <x v="0"/>
    <n v="24.84"/>
    <n v="0.48"/>
    <n v="0"/>
  </r>
  <r>
    <n v="3342"/>
    <s v="CA-2016-145982"/>
    <d v="2016-08-27T00:00:00"/>
    <x v="0"/>
    <s v="Q3"/>
    <x v="28"/>
    <d v="2016-09-01T00:00:00"/>
    <s v="Second Class"/>
    <x v="26"/>
    <x v="26"/>
    <s v="Consumer"/>
    <s v="United States"/>
    <s v="Quincy"/>
    <x v="31"/>
    <n v="2169"/>
    <x v="3"/>
    <x v="1127"/>
    <x v="1"/>
    <x v="10"/>
    <x v="1115"/>
    <n v="122.97"/>
    <s v="High"/>
    <n v="3"/>
    <n v="0"/>
    <x v="0"/>
    <x v="0"/>
    <n v="60.255299999999998"/>
    <n v="0.49"/>
    <n v="0"/>
  </r>
  <r>
    <n v="3343"/>
    <s v="CA-2016-145982"/>
    <d v="2016-08-27T00:00:00"/>
    <x v="0"/>
    <s v="Q3"/>
    <x v="28"/>
    <d v="2016-09-01T00:00:00"/>
    <s v="Second Class"/>
    <x v="26"/>
    <x v="26"/>
    <s v="Consumer"/>
    <s v="United States"/>
    <s v="Quincy"/>
    <x v="31"/>
    <n v="2169"/>
    <x v="3"/>
    <x v="1110"/>
    <x v="0"/>
    <x v="3"/>
    <x v="1099"/>
    <n v="244.61500000000001"/>
    <s v="High"/>
    <n v="1"/>
    <n v="0.3"/>
    <x v="1"/>
    <x v="4"/>
    <n v="20.966999999999999"/>
    <n v="8.5714285714285701E-2"/>
    <n v="0"/>
  </r>
  <r>
    <n v="3344"/>
    <s v="CA-2016-145982"/>
    <d v="2016-08-27T00:00:00"/>
    <x v="0"/>
    <s v="Q3"/>
    <x v="28"/>
    <d v="2016-09-01T00:00:00"/>
    <s v="Second Class"/>
    <x v="26"/>
    <x v="26"/>
    <s v="Consumer"/>
    <s v="United States"/>
    <s v="Quincy"/>
    <x v="31"/>
    <n v="2169"/>
    <x v="3"/>
    <x v="222"/>
    <x v="2"/>
    <x v="7"/>
    <x v="223"/>
    <n v="59.97"/>
    <s v="Medium"/>
    <n v="3"/>
    <n v="0"/>
    <x v="0"/>
    <x v="0"/>
    <n v="28.785599999999999"/>
    <n v="0.48"/>
    <n v="0"/>
  </r>
  <r>
    <n v="3345"/>
    <s v="CA-2016-145982"/>
    <d v="2016-08-27T00:00:00"/>
    <x v="0"/>
    <s v="Q3"/>
    <x v="28"/>
    <d v="2016-09-01T00:00:00"/>
    <s v="Second Class"/>
    <x v="26"/>
    <x v="26"/>
    <s v="Consumer"/>
    <s v="United States"/>
    <s v="Quincy"/>
    <x v="31"/>
    <n v="2169"/>
    <x v="3"/>
    <x v="187"/>
    <x v="1"/>
    <x v="10"/>
    <x v="188"/>
    <n v="81.540000000000006"/>
    <s v="Medium"/>
    <n v="9"/>
    <n v="0"/>
    <x v="0"/>
    <x v="0"/>
    <n v="36.692999999999998"/>
    <n v="0.44999999999999996"/>
    <n v="0"/>
  </r>
  <r>
    <n v="3346"/>
    <s v="CA-2016-145982"/>
    <d v="2016-08-27T00:00:00"/>
    <x v="0"/>
    <s v="Q3"/>
    <x v="28"/>
    <d v="2016-09-01T00:00:00"/>
    <s v="Second Class"/>
    <x v="26"/>
    <x v="26"/>
    <s v="Consumer"/>
    <s v="United States"/>
    <s v="Quincy"/>
    <x v="31"/>
    <n v="2169"/>
    <x v="3"/>
    <x v="848"/>
    <x v="1"/>
    <x v="13"/>
    <x v="128"/>
    <n v="11.68"/>
    <s v="Low"/>
    <n v="4"/>
    <n v="0"/>
    <x v="0"/>
    <x v="0"/>
    <n v="5.2560000000000002"/>
    <n v="0.45"/>
    <n v="0"/>
  </r>
  <r>
    <n v="3347"/>
    <s v="CA-2016-145982"/>
    <d v="2016-08-27T00:00:00"/>
    <x v="0"/>
    <s v="Q3"/>
    <x v="28"/>
    <d v="2016-09-01T00:00:00"/>
    <s v="Second Class"/>
    <x v="26"/>
    <x v="26"/>
    <s v="Consumer"/>
    <s v="United States"/>
    <s v="Quincy"/>
    <x v="31"/>
    <n v="2169"/>
    <x v="3"/>
    <x v="1458"/>
    <x v="1"/>
    <x v="8"/>
    <x v="1444"/>
    <n v="29"/>
    <s v="Medium"/>
    <n v="5"/>
    <n v="0"/>
    <x v="0"/>
    <x v="0"/>
    <n v="13.92"/>
    <n v="0.48"/>
    <n v="0"/>
  </r>
  <r>
    <n v="3348"/>
    <s v="CA-2015-112014"/>
    <d v="2015-08-13T00:00:00"/>
    <x v="1"/>
    <s v="Q3"/>
    <x v="37"/>
    <d v="2015-08-20T00:00:00"/>
    <s v="Standard Class"/>
    <x v="21"/>
    <x v="21"/>
    <s v="Corporate"/>
    <s v="United States"/>
    <s v="Yucaipa"/>
    <x v="1"/>
    <n v="92399"/>
    <x v="1"/>
    <x v="400"/>
    <x v="1"/>
    <x v="6"/>
    <x v="401"/>
    <n v="50.8"/>
    <s v="Medium"/>
    <n v="5"/>
    <n v="0"/>
    <x v="0"/>
    <x v="0"/>
    <n v="13.208"/>
    <n v="0.26"/>
    <n v="0"/>
  </r>
  <r>
    <n v="3349"/>
    <s v="CA-2017-154732"/>
    <d v="2017-11-05T00:00:00"/>
    <x v="3"/>
    <s v="Q4"/>
    <x v="23"/>
    <d v="2017-11-07T00:00:00"/>
    <s v="First Class"/>
    <x v="124"/>
    <x v="124"/>
    <s v="Corporate"/>
    <s v="United States"/>
    <s v="Chicago"/>
    <x v="10"/>
    <n v="60623"/>
    <x v="2"/>
    <x v="27"/>
    <x v="1"/>
    <x v="8"/>
    <x v="27"/>
    <n v="16.03"/>
    <s v="Low"/>
    <n v="5"/>
    <n v="0.8"/>
    <x v="1"/>
    <x v="3"/>
    <n v="-25.648"/>
    <n v="-1.5999999999999999"/>
    <n v="1"/>
  </r>
  <r>
    <n v="3350"/>
    <s v="US-2016-157308"/>
    <d v="2016-08-17T00:00:00"/>
    <x v="0"/>
    <s v="Q3"/>
    <x v="28"/>
    <d v="2016-08-21T00:00:00"/>
    <s v="Standard Class"/>
    <x v="392"/>
    <x v="392"/>
    <s v="Consumer"/>
    <s v="United States"/>
    <s v="Seattle"/>
    <x v="4"/>
    <n v="98105"/>
    <x v="1"/>
    <x v="696"/>
    <x v="1"/>
    <x v="8"/>
    <x v="696"/>
    <n v="15.712"/>
    <s v="Low"/>
    <n v="4"/>
    <n v="0.2"/>
    <x v="2"/>
    <x v="2"/>
    <n v="5.6955999999999998"/>
    <n v="0.36249999999999999"/>
    <n v="0"/>
  </r>
  <r>
    <n v="3351"/>
    <s v="CA-2016-147536"/>
    <d v="2016-12-26T00:00:00"/>
    <x v="0"/>
    <s v="Q4"/>
    <x v="5"/>
    <d v="2016-12-31T00:00:00"/>
    <s v="Standard Class"/>
    <x v="239"/>
    <x v="239"/>
    <s v="Consumer"/>
    <s v="United States"/>
    <s v="New York City"/>
    <x v="15"/>
    <n v="10024"/>
    <x v="3"/>
    <x v="1048"/>
    <x v="2"/>
    <x v="11"/>
    <x v="1037"/>
    <n v="89.97"/>
    <s v="Medium"/>
    <n v="3"/>
    <n v="0"/>
    <x v="0"/>
    <x v="0"/>
    <n v="18.893699999999999"/>
    <n v="0.21"/>
    <n v="0"/>
  </r>
  <r>
    <n v="3352"/>
    <s v="US-2014-134733"/>
    <d v="2014-09-23T00:00:00"/>
    <x v="2"/>
    <s v="Q3"/>
    <x v="30"/>
    <d v="2014-09-28T00:00:00"/>
    <s v="Standard Class"/>
    <x v="312"/>
    <x v="312"/>
    <s v="Corporate"/>
    <s v="United States"/>
    <s v="San Diego"/>
    <x v="1"/>
    <n v="92037"/>
    <x v="1"/>
    <x v="1528"/>
    <x v="0"/>
    <x v="0"/>
    <x v="1515"/>
    <n v="435.99900000000002"/>
    <s v="High"/>
    <n v="3"/>
    <n v="0.15"/>
    <x v="2"/>
    <x v="2"/>
    <n v="20.517600000000002"/>
    <n v="4.7058823529411764E-2"/>
    <n v="0"/>
  </r>
  <r>
    <n v="3353"/>
    <s v="US-2014-134733"/>
    <d v="2014-09-23T00:00:00"/>
    <x v="2"/>
    <s v="Q3"/>
    <x v="30"/>
    <d v="2014-09-28T00:00:00"/>
    <s v="Standard Class"/>
    <x v="312"/>
    <x v="312"/>
    <s v="Corporate"/>
    <s v="United States"/>
    <s v="San Diego"/>
    <x v="1"/>
    <n v="92037"/>
    <x v="1"/>
    <x v="66"/>
    <x v="2"/>
    <x v="7"/>
    <x v="66"/>
    <n v="83.983999999999995"/>
    <s v="Medium"/>
    <n v="2"/>
    <n v="0.2"/>
    <x v="2"/>
    <x v="2"/>
    <n v="31.494"/>
    <n v="0.375"/>
    <n v="0"/>
  </r>
  <r>
    <n v="3354"/>
    <s v="US-2014-150434"/>
    <d v="2014-07-19T00:00:00"/>
    <x v="2"/>
    <s v="Q3"/>
    <x v="39"/>
    <d v="2014-07-24T00:00:00"/>
    <s v="Standard Class"/>
    <x v="119"/>
    <x v="119"/>
    <s v="Corporate"/>
    <s v="United States"/>
    <s v="Bristol"/>
    <x v="29"/>
    <n v="6010"/>
    <x v="3"/>
    <x v="1149"/>
    <x v="2"/>
    <x v="7"/>
    <x v="1137"/>
    <n v="359.98"/>
    <s v="High"/>
    <n v="2"/>
    <n v="0"/>
    <x v="0"/>
    <x v="0"/>
    <n v="93.594800000000006"/>
    <n v="0.26"/>
    <n v="0"/>
  </r>
  <r>
    <n v="3355"/>
    <s v="US-2014-150434"/>
    <d v="2014-07-19T00:00:00"/>
    <x v="2"/>
    <s v="Q3"/>
    <x v="39"/>
    <d v="2014-07-24T00:00:00"/>
    <s v="Standard Class"/>
    <x v="119"/>
    <x v="119"/>
    <s v="Corporate"/>
    <s v="United States"/>
    <s v="Bristol"/>
    <x v="29"/>
    <n v="6010"/>
    <x v="3"/>
    <x v="1529"/>
    <x v="0"/>
    <x v="3"/>
    <x v="1516"/>
    <n v="70.56"/>
    <s v="Medium"/>
    <n v="1"/>
    <n v="0.3"/>
    <x v="1"/>
    <x v="4"/>
    <n v="-4.032"/>
    <n v="-5.7142857142857141E-2"/>
    <n v="1"/>
  </r>
  <r>
    <n v="3356"/>
    <s v="US-2014-150434"/>
    <d v="2014-07-19T00:00:00"/>
    <x v="2"/>
    <s v="Q3"/>
    <x v="39"/>
    <d v="2014-07-24T00:00:00"/>
    <s v="Standard Class"/>
    <x v="119"/>
    <x v="119"/>
    <s v="Corporate"/>
    <s v="United States"/>
    <s v="Bristol"/>
    <x v="29"/>
    <n v="6010"/>
    <x v="3"/>
    <x v="864"/>
    <x v="1"/>
    <x v="8"/>
    <x v="858"/>
    <n v="20.88"/>
    <s v="Low"/>
    <n v="2"/>
    <n v="0"/>
    <x v="0"/>
    <x v="0"/>
    <n v="9.6047999999999991"/>
    <n v="0.45999999999999996"/>
    <n v="0"/>
  </r>
  <r>
    <n v="3357"/>
    <s v="US-2014-150434"/>
    <d v="2014-07-19T00:00:00"/>
    <x v="2"/>
    <s v="Q3"/>
    <x v="39"/>
    <d v="2014-07-24T00:00:00"/>
    <s v="Standard Class"/>
    <x v="119"/>
    <x v="119"/>
    <s v="Corporate"/>
    <s v="United States"/>
    <s v="Bristol"/>
    <x v="29"/>
    <n v="6010"/>
    <x v="3"/>
    <x v="315"/>
    <x v="1"/>
    <x v="8"/>
    <x v="315"/>
    <n v="3.81"/>
    <s v="Low"/>
    <n v="1"/>
    <n v="0"/>
    <x v="0"/>
    <x v="0"/>
    <n v="1.8288"/>
    <n v="0.48"/>
    <n v="0"/>
  </r>
  <r>
    <n v="3358"/>
    <s v="CA-2017-100335"/>
    <d v="2017-09-07T00:00:00"/>
    <x v="3"/>
    <s v="Q3"/>
    <x v="15"/>
    <d v="2017-09-13T00:00:00"/>
    <s v="Standard Class"/>
    <x v="376"/>
    <x v="376"/>
    <s v="Home Office"/>
    <s v="United States"/>
    <s v="Chicago"/>
    <x v="10"/>
    <n v="60610"/>
    <x v="2"/>
    <x v="885"/>
    <x v="1"/>
    <x v="10"/>
    <x v="33"/>
    <n v="73.007999999999996"/>
    <s v="Medium"/>
    <n v="9"/>
    <n v="0.2"/>
    <x v="2"/>
    <x v="2"/>
    <n v="26.465399999999999"/>
    <n v="0.36249999999999999"/>
    <n v="0"/>
  </r>
  <r>
    <n v="3359"/>
    <s v="CA-2016-139234"/>
    <d v="2016-05-06T00:00:00"/>
    <x v="0"/>
    <s v="Q2"/>
    <x v="35"/>
    <d v="2016-05-10T00:00:00"/>
    <s v="Standard Class"/>
    <x v="578"/>
    <x v="578"/>
    <s v="Consumer"/>
    <s v="United States"/>
    <s v="Chicago"/>
    <x v="10"/>
    <n v="60610"/>
    <x v="2"/>
    <x v="385"/>
    <x v="1"/>
    <x v="8"/>
    <x v="386"/>
    <n v="3.2080000000000002"/>
    <s v="Low"/>
    <n v="2"/>
    <n v="0.8"/>
    <x v="1"/>
    <x v="3"/>
    <n v="-5.2931999999999997"/>
    <n v="-1.65"/>
    <n v="1"/>
  </r>
  <r>
    <n v="3360"/>
    <s v="CA-2016-139234"/>
    <d v="2016-05-06T00:00:00"/>
    <x v="0"/>
    <s v="Q2"/>
    <x v="35"/>
    <d v="2016-05-10T00:00:00"/>
    <s v="Standard Class"/>
    <x v="578"/>
    <x v="578"/>
    <s v="Consumer"/>
    <s v="United States"/>
    <s v="Chicago"/>
    <x v="10"/>
    <n v="60610"/>
    <x v="2"/>
    <x v="960"/>
    <x v="2"/>
    <x v="11"/>
    <x v="953"/>
    <n v="26.175999999999998"/>
    <s v="Medium"/>
    <n v="2"/>
    <n v="0.2"/>
    <x v="2"/>
    <x v="2"/>
    <n v="-3.2719999999999998"/>
    <n v="-0.125"/>
    <n v="1"/>
  </r>
  <r>
    <n v="3361"/>
    <s v="US-2015-142020"/>
    <d v="2015-06-04T00:00:00"/>
    <x v="1"/>
    <s v="Q2"/>
    <x v="40"/>
    <d v="2015-06-08T00:00:00"/>
    <s v="Second Class"/>
    <x v="426"/>
    <x v="426"/>
    <s v="Home Office"/>
    <s v="United States"/>
    <s v="New York City"/>
    <x v="15"/>
    <n v="10024"/>
    <x v="3"/>
    <x v="229"/>
    <x v="1"/>
    <x v="10"/>
    <x v="230"/>
    <n v="30.44"/>
    <s v="Medium"/>
    <n v="4"/>
    <n v="0"/>
    <x v="0"/>
    <x v="0"/>
    <n v="14.306800000000001"/>
    <n v="0.47000000000000003"/>
    <n v="0"/>
  </r>
  <r>
    <n v="3362"/>
    <s v="US-2015-142020"/>
    <d v="2015-06-04T00:00:00"/>
    <x v="1"/>
    <s v="Q2"/>
    <x v="40"/>
    <d v="2015-06-08T00:00:00"/>
    <s v="Second Class"/>
    <x v="426"/>
    <x v="426"/>
    <s v="Home Office"/>
    <s v="United States"/>
    <s v="New York City"/>
    <x v="15"/>
    <n v="10024"/>
    <x v="3"/>
    <x v="1530"/>
    <x v="0"/>
    <x v="5"/>
    <x v="1517"/>
    <n v="35.28"/>
    <s v="Medium"/>
    <n v="3"/>
    <n v="0"/>
    <x v="0"/>
    <x v="0"/>
    <n v="11.995200000000001"/>
    <n v="0.34"/>
    <n v="0"/>
  </r>
  <r>
    <n v="3363"/>
    <s v="CA-2015-139962"/>
    <d v="2015-12-13T00:00:00"/>
    <x v="1"/>
    <s v="Q4"/>
    <x v="14"/>
    <d v="2015-12-20T00:00:00"/>
    <s v="Standard Class"/>
    <x v="656"/>
    <x v="656"/>
    <s v="Home Office"/>
    <s v="United States"/>
    <s v="Revere"/>
    <x v="31"/>
    <n v="2151"/>
    <x v="3"/>
    <x v="498"/>
    <x v="1"/>
    <x v="10"/>
    <x v="498"/>
    <n v="19.440000000000001"/>
    <s v="Low"/>
    <n v="3"/>
    <n v="0"/>
    <x v="0"/>
    <x v="0"/>
    <n v="9.3312000000000008"/>
    <n v="0.48000000000000004"/>
    <n v="0"/>
  </r>
  <r>
    <n v="3364"/>
    <s v="CA-2015-139962"/>
    <d v="2015-12-13T00:00:00"/>
    <x v="1"/>
    <s v="Q4"/>
    <x v="14"/>
    <d v="2015-12-20T00:00:00"/>
    <s v="Standard Class"/>
    <x v="656"/>
    <x v="656"/>
    <s v="Home Office"/>
    <s v="United States"/>
    <s v="Revere"/>
    <x v="31"/>
    <n v="2151"/>
    <x v="3"/>
    <x v="92"/>
    <x v="1"/>
    <x v="8"/>
    <x v="92"/>
    <n v="37.880000000000003"/>
    <s v="Medium"/>
    <n v="2"/>
    <n v="0"/>
    <x v="0"/>
    <x v="0"/>
    <n v="18.940000000000001"/>
    <n v="0.5"/>
    <n v="0"/>
  </r>
  <r>
    <n v="3365"/>
    <s v="CA-2016-130050"/>
    <d v="2016-07-16T00:00:00"/>
    <x v="0"/>
    <s v="Q3"/>
    <x v="16"/>
    <d v="2016-07-18T00:00:00"/>
    <s v="Second Class"/>
    <x v="466"/>
    <x v="466"/>
    <s v="Corporate"/>
    <s v="United States"/>
    <s v="Houston"/>
    <x v="5"/>
    <n v="77036"/>
    <x v="2"/>
    <x v="740"/>
    <x v="0"/>
    <x v="5"/>
    <x v="222"/>
    <n v="9.5519999999999996"/>
    <s v="Low"/>
    <n v="3"/>
    <n v="0.6"/>
    <x v="1"/>
    <x v="6"/>
    <n v="-3.8208000000000002"/>
    <n v="-0.4"/>
    <n v="1"/>
  </r>
  <r>
    <n v="3366"/>
    <s v="CA-2014-115161"/>
    <d v="2014-01-31T00:00:00"/>
    <x v="2"/>
    <s v="Q1"/>
    <x v="46"/>
    <d v="2014-02-02T00:00:00"/>
    <s v="First Class"/>
    <x v="702"/>
    <x v="702"/>
    <s v="Consumer"/>
    <s v="United States"/>
    <s v="Mission Viejo"/>
    <x v="1"/>
    <n v="92691"/>
    <x v="1"/>
    <x v="1106"/>
    <x v="0"/>
    <x v="0"/>
    <x v="1095"/>
    <n v="290.666"/>
    <s v="High"/>
    <n v="2"/>
    <n v="0.15"/>
    <x v="2"/>
    <x v="2"/>
    <n v="3.4196"/>
    <n v="1.1764705882352941E-2"/>
    <n v="0"/>
  </r>
  <r>
    <n v="3367"/>
    <s v="CA-2014-165379"/>
    <d v="2014-07-09T00:00:00"/>
    <x v="2"/>
    <s v="Q3"/>
    <x v="39"/>
    <d v="2014-07-15T00:00:00"/>
    <s v="Standard Class"/>
    <x v="312"/>
    <x v="312"/>
    <s v="Corporate"/>
    <s v="United States"/>
    <s v="Dallas"/>
    <x v="5"/>
    <n v="75217"/>
    <x v="2"/>
    <x v="934"/>
    <x v="1"/>
    <x v="10"/>
    <x v="927"/>
    <n v="10.368"/>
    <s v="Low"/>
    <n v="2"/>
    <n v="0.2"/>
    <x v="2"/>
    <x v="2"/>
    <n v="3.6288"/>
    <n v="0.35"/>
    <n v="0"/>
  </r>
  <r>
    <n v="3368"/>
    <s v="CA-2014-165379"/>
    <d v="2014-07-09T00:00:00"/>
    <x v="2"/>
    <s v="Q3"/>
    <x v="39"/>
    <d v="2014-07-15T00:00:00"/>
    <s v="Standard Class"/>
    <x v="312"/>
    <x v="312"/>
    <s v="Corporate"/>
    <s v="United States"/>
    <s v="Dallas"/>
    <x v="5"/>
    <n v="75217"/>
    <x v="2"/>
    <x v="1357"/>
    <x v="1"/>
    <x v="10"/>
    <x v="1343"/>
    <n v="14.352"/>
    <s v="Low"/>
    <n v="3"/>
    <n v="0.2"/>
    <x v="2"/>
    <x v="2"/>
    <n v="4.4850000000000003"/>
    <n v="0.3125"/>
    <n v="0"/>
  </r>
  <r>
    <n v="3369"/>
    <s v="CA-2015-115511"/>
    <d v="2015-11-21T00:00:00"/>
    <x v="1"/>
    <s v="Q4"/>
    <x v="6"/>
    <d v="2015-11-25T00:00:00"/>
    <s v="Standard Class"/>
    <x v="508"/>
    <x v="508"/>
    <s v="Consumer"/>
    <s v="United States"/>
    <s v="Las Vegas"/>
    <x v="33"/>
    <n v="89115"/>
    <x v="1"/>
    <x v="1531"/>
    <x v="0"/>
    <x v="0"/>
    <x v="1518"/>
    <n v="141.96"/>
    <s v="High"/>
    <n v="2"/>
    <n v="0"/>
    <x v="0"/>
    <x v="0"/>
    <n v="41.168399999999998"/>
    <n v="0.28999999999999998"/>
    <n v="0"/>
  </r>
  <r>
    <n v="3370"/>
    <s v="CA-2015-115511"/>
    <d v="2015-11-21T00:00:00"/>
    <x v="1"/>
    <s v="Q4"/>
    <x v="6"/>
    <d v="2015-11-25T00:00:00"/>
    <s v="Standard Class"/>
    <x v="508"/>
    <x v="508"/>
    <s v="Consumer"/>
    <s v="United States"/>
    <s v="Las Vegas"/>
    <x v="33"/>
    <n v="89115"/>
    <x v="1"/>
    <x v="340"/>
    <x v="1"/>
    <x v="8"/>
    <x v="340"/>
    <n v="66.048000000000002"/>
    <s v="Medium"/>
    <n v="4"/>
    <n v="0.2"/>
    <x v="2"/>
    <x v="2"/>
    <n v="23.116800000000001"/>
    <n v="0.35000000000000003"/>
    <n v="0"/>
  </r>
  <r>
    <n v="3371"/>
    <s v="CA-2016-134887"/>
    <d v="2016-03-25T00:00:00"/>
    <x v="0"/>
    <s v="Q1"/>
    <x v="17"/>
    <d v="2016-03-25T00:00:00"/>
    <s v="Same Day"/>
    <x v="509"/>
    <x v="509"/>
    <s v="Consumer"/>
    <s v="United States"/>
    <s v="Norman"/>
    <x v="26"/>
    <n v="73071"/>
    <x v="2"/>
    <x v="217"/>
    <x v="2"/>
    <x v="11"/>
    <x v="218"/>
    <n v="1287.45"/>
    <s v="High"/>
    <n v="5"/>
    <n v="0"/>
    <x v="0"/>
    <x v="0"/>
    <n v="244.6155"/>
    <n v="0.19"/>
    <n v="0"/>
  </r>
  <r>
    <n v="3372"/>
    <s v="CA-2017-123778"/>
    <d v="2017-09-23T00:00:00"/>
    <x v="3"/>
    <s v="Q3"/>
    <x v="15"/>
    <d v="2017-09-30T00:00:00"/>
    <s v="Standard Class"/>
    <x v="94"/>
    <x v="94"/>
    <s v="Consumer"/>
    <s v="United States"/>
    <s v="San Francisco"/>
    <x v="1"/>
    <n v="94122"/>
    <x v="1"/>
    <x v="973"/>
    <x v="1"/>
    <x v="8"/>
    <x v="967"/>
    <n v="25.824000000000002"/>
    <s v="Medium"/>
    <n v="6"/>
    <n v="0.2"/>
    <x v="2"/>
    <x v="2"/>
    <n v="9.0383999999999993"/>
    <n v="0.35"/>
    <n v="0"/>
  </r>
  <r>
    <n v="3373"/>
    <s v="CA-2017-123778"/>
    <d v="2017-09-23T00:00:00"/>
    <x v="3"/>
    <s v="Q3"/>
    <x v="15"/>
    <d v="2017-09-30T00:00:00"/>
    <s v="Standard Class"/>
    <x v="94"/>
    <x v="94"/>
    <s v="Consumer"/>
    <s v="United States"/>
    <s v="San Francisco"/>
    <x v="1"/>
    <n v="94122"/>
    <x v="1"/>
    <x v="1429"/>
    <x v="1"/>
    <x v="9"/>
    <x v="1417"/>
    <n v="160.96"/>
    <s v="High"/>
    <n v="2"/>
    <n v="0"/>
    <x v="0"/>
    <x v="0"/>
    <n v="48.287999999999997"/>
    <n v="0.3"/>
    <n v="0"/>
  </r>
  <r>
    <n v="3374"/>
    <s v="CA-2015-161718"/>
    <d v="2015-12-04T00:00:00"/>
    <x v="1"/>
    <s v="Q4"/>
    <x v="14"/>
    <d v="2015-12-10T00:00:00"/>
    <s v="Standard Class"/>
    <x v="2"/>
    <x v="2"/>
    <s v="Consumer"/>
    <s v="United States"/>
    <s v="Hempstead"/>
    <x v="15"/>
    <n v="11550"/>
    <x v="3"/>
    <x v="1462"/>
    <x v="0"/>
    <x v="5"/>
    <x v="1448"/>
    <n v="28.44"/>
    <s v="Medium"/>
    <n v="3"/>
    <n v="0"/>
    <x v="0"/>
    <x v="0"/>
    <n v="11.375999999999999"/>
    <n v="0.39999999999999997"/>
    <n v="0"/>
  </r>
  <r>
    <n v="3375"/>
    <s v="CA-2015-161718"/>
    <d v="2015-12-04T00:00:00"/>
    <x v="1"/>
    <s v="Q4"/>
    <x v="14"/>
    <d v="2015-12-10T00:00:00"/>
    <s v="Standard Class"/>
    <x v="2"/>
    <x v="2"/>
    <s v="Consumer"/>
    <s v="United States"/>
    <s v="Hempstead"/>
    <x v="15"/>
    <n v="11550"/>
    <x v="3"/>
    <x v="394"/>
    <x v="0"/>
    <x v="1"/>
    <x v="395"/>
    <n v="364.41"/>
    <s v="High"/>
    <n v="5"/>
    <n v="0.1"/>
    <x v="3"/>
    <x v="8"/>
    <n v="8.0980000000000008"/>
    <n v="2.2222222222222223E-2"/>
    <n v="0"/>
  </r>
  <r>
    <n v="3376"/>
    <s v="CA-2015-161718"/>
    <d v="2015-12-04T00:00:00"/>
    <x v="1"/>
    <s v="Q4"/>
    <x v="14"/>
    <d v="2015-12-10T00:00:00"/>
    <s v="Standard Class"/>
    <x v="2"/>
    <x v="2"/>
    <s v="Consumer"/>
    <s v="United States"/>
    <s v="Hempstead"/>
    <x v="15"/>
    <n v="11550"/>
    <x v="3"/>
    <x v="433"/>
    <x v="2"/>
    <x v="7"/>
    <x v="433"/>
    <n v="39.96"/>
    <s v="Medium"/>
    <n v="4"/>
    <n v="0"/>
    <x v="0"/>
    <x v="0"/>
    <n v="10.3896"/>
    <n v="0.26"/>
    <n v="0"/>
  </r>
  <r>
    <n v="3377"/>
    <s v="CA-2015-161718"/>
    <d v="2015-12-04T00:00:00"/>
    <x v="1"/>
    <s v="Q4"/>
    <x v="14"/>
    <d v="2015-12-10T00:00:00"/>
    <s v="Standard Class"/>
    <x v="2"/>
    <x v="2"/>
    <s v="Consumer"/>
    <s v="United States"/>
    <s v="Hempstead"/>
    <x v="15"/>
    <n v="11550"/>
    <x v="3"/>
    <x v="228"/>
    <x v="0"/>
    <x v="1"/>
    <x v="229"/>
    <n v="361.76400000000001"/>
    <s v="High"/>
    <n v="2"/>
    <n v="0.1"/>
    <x v="3"/>
    <x v="8"/>
    <n v="68.333200000000005"/>
    <n v="0.18888888888888888"/>
    <n v="0"/>
  </r>
  <r>
    <n v="3378"/>
    <s v="CA-2016-100671"/>
    <d v="2016-11-01T00:00:00"/>
    <x v="0"/>
    <s v="Q4"/>
    <x v="0"/>
    <d v="2016-11-04T00:00:00"/>
    <s v="First Class"/>
    <x v="703"/>
    <x v="703"/>
    <s v="Corporate"/>
    <s v="United States"/>
    <s v="Conroe"/>
    <x v="5"/>
    <n v="77301"/>
    <x v="2"/>
    <x v="1018"/>
    <x v="1"/>
    <x v="4"/>
    <x v="1519"/>
    <n v="111.672"/>
    <s v="Medium"/>
    <n v="9"/>
    <n v="0.2"/>
    <x v="2"/>
    <x v="2"/>
    <n v="6.9794999999999998"/>
    <n v="6.25E-2"/>
    <n v="0"/>
  </r>
  <r>
    <n v="3379"/>
    <s v="CA-2017-142867"/>
    <d v="2017-03-17T00:00:00"/>
    <x v="3"/>
    <s v="Q1"/>
    <x v="42"/>
    <d v="2017-03-21T00:00:00"/>
    <s v="Standard Class"/>
    <x v="178"/>
    <x v="178"/>
    <s v="Home Office"/>
    <s v="United States"/>
    <s v="Houston"/>
    <x v="5"/>
    <n v="77095"/>
    <x v="2"/>
    <x v="1426"/>
    <x v="1"/>
    <x v="8"/>
    <x v="1414"/>
    <n v="13.776"/>
    <s v="Low"/>
    <n v="6"/>
    <n v="0.8"/>
    <x v="1"/>
    <x v="3"/>
    <n v="-22.041599999999999"/>
    <n v="-1.5999999999999999"/>
    <n v="1"/>
  </r>
  <r>
    <n v="3380"/>
    <s v="CA-2017-142867"/>
    <d v="2017-03-17T00:00:00"/>
    <x v="3"/>
    <s v="Q1"/>
    <x v="42"/>
    <d v="2017-03-21T00:00:00"/>
    <s v="Standard Class"/>
    <x v="178"/>
    <x v="178"/>
    <s v="Home Office"/>
    <s v="United States"/>
    <s v="Houston"/>
    <x v="5"/>
    <n v="77095"/>
    <x v="2"/>
    <x v="1532"/>
    <x v="1"/>
    <x v="10"/>
    <x v="1520"/>
    <n v="10.272"/>
    <s v="Low"/>
    <n v="3"/>
    <n v="0.2"/>
    <x v="2"/>
    <x v="2"/>
    <n v="3.21"/>
    <n v="0.3125"/>
    <n v="0"/>
  </r>
  <r>
    <n v="3381"/>
    <s v="CA-2017-103156"/>
    <d v="2017-11-23T00:00:00"/>
    <x v="3"/>
    <s v="Q4"/>
    <x v="23"/>
    <d v="2017-11-24T00:00:00"/>
    <s v="First Class"/>
    <x v="143"/>
    <x v="143"/>
    <s v="Consumer"/>
    <s v="United States"/>
    <s v="Philadelphia"/>
    <x v="9"/>
    <n v="19120"/>
    <x v="3"/>
    <x v="1533"/>
    <x v="0"/>
    <x v="5"/>
    <x v="1521"/>
    <n v="24.047999999999998"/>
    <s v="Low"/>
    <n v="9"/>
    <n v="0.2"/>
    <x v="2"/>
    <x v="2"/>
    <n v="7.2144000000000004"/>
    <n v="0.30000000000000004"/>
    <n v="0"/>
  </r>
  <r>
    <n v="3382"/>
    <s v="US-2017-162208"/>
    <d v="2017-08-27T00:00:00"/>
    <x v="3"/>
    <s v="Q3"/>
    <x v="43"/>
    <d v="2017-08-30T00:00:00"/>
    <s v="First Class"/>
    <x v="407"/>
    <x v="407"/>
    <s v="Corporate"/>
    <s v="United States"/>
    <s v="Tampa"/>
    <x v="2"/>
    <n v="33614"/>
    <x v="0"/>
    <x v="135"/>
    <x v="1"/>
    <x v="12"/>
    <x v="136"/>
    <n v="2.8959999999999999"/>
    <s v="Low"/>
    <n v="1"/>
    <n v="0.2"/>
    <x v="2"/>
    <x v="2"/>
    <n v="0.97740000000000005"/>
    <n v="0.33750000000000002"/>
    <n v="0"/>
  </r>
  <r>
    <n v="3383"/>
    <s v="CA-2015-130659"/>
    <d v="2015-12-04T00:00:00"/>
    <x v="1"/>
    <s v="Q4"/>
    <x v="14"/>
    <d v="2015-12-09T00:00:00"/>
    <s v="Second Class"/>
    <x v="333"/>
    <x v="333"/>
    <s v="Consumer"/>
    <s v="United States"/>
    <s v="New York City"/>
    <x v="15"/>
    <n v="10035"/>
    <x v="3"/>
    <x v="1303"/>
    <x v="1"/>
    <x v="12"/>
    <x v="1288"/>
    <n v="17.940000000000001"/>
    <s v="Low"/>
    <n v="3"/>
    <n v="0"/>
    <x v="0"/>
    <x v="0"/>
    <n v="8.7905999999999995"/>
    <n v="0.48999999999999994"/>
    <n v="0"/>
  </r>
  <r>
    <n v="3384"/>
    <s v="CA-2015-130659"/>
    <d v="2015-12-04T00:00:00"/>
    <x v="1"/>
    <s v="Q4"/>
    <x v="14"/>
    <d v="2015-12-09T00:00:00"/>
    <s v="Second Class"/>
    <x v="333"/>
    <x v="333"/>
    <s v="Consumer"/>
    <s v="United States"/>
    <s v="New York City"/>
    <x v="15"/>
    <n v="10035"/>
    <x v="3"/>
    <x v="1534"/>
    <x v="0"/>
    <x v="1"/>
    <x v="1522"/>
    <n v="384.17399999999998"/>
    <s v="High"/>
    <n v="7"/>
    <n v="0.1"/>
    <x v="3"/>
    <x v="8"/>
    <n v="29.880199999999999"/>
    <n v="7.7777777777777779E-2"/>
    <n v="0"/>
  </r>
  <r>
    <n v="3385"/>
    <s v="CA-2015-130659"/>
    <d v="2015-12-04T00:00:00"/>
    <x v="1"/>
    <s v="Q4"/>
    <x v="14"/>
    <d v="2015-12-09T00:00:00"/>
    <s v="Second Class"/>
    <x v="333"/>
    <x v="333"/>
    <s v="Consumer"/>
    <s v="United States"/>
    <s v="New York City"/>
    <x v="15"/>
    <n v="10035"/>
    <x v="3"/>
    <x v="907"/>
    <x v="2"/>
    <x v="7"/>
    <x v="899"/>
    <n v="1799.75"/>
    <s v="High"/>
    <n v="5"/>
    <n v="0"/>
    <x v="0"/>
    <x v="0"/>
    <n v="539.92499999999995"/>
    <n v="0.3"/>
    <n v="0"/>
  </r>
  <r>
    <n v="3386"/>
    <s v="CA-2017-148404"/>
    <d v="2017-10-07T00:00:00"/>
    <x v="3"/>
    <s v="Q4"/>
    <x v="13"/>
    <d v="2017-10-11T00:00:00"/>
    <s v="Standard Class"/>
    <x v="656"/>
    <x v="656"/>
    <s v="Home Office"/>
    <s v="United States"/>
    <s v="Charlotte"/>
    <x v="3"/>
    <n v="28205"/>
    <x v="0"/>
    <x v="245"/>
    <x v="1"/>
    <x v="4"/>
    <x v="246"/>
    <n v="580.67200000000003"/>
    <s v="High"/>
    <n v="4"/>
    <n v="0.2"/>
    <x v="2"/>
    <x v="2"/>
    <n v="65.325599999999994"/>
    <n v="0.11249999999999999"/>
    <n v="0"/>
  </r>
  <r>
    <n v="3387"/>
    <s v="CA-2017-148404"/>
    <d v="2017-10-07T00:00:00"/>
    <x v="3"/>
    <s v="Q4"/>
    <x v="13"/>
    <d v="2017-10-11T00:00:00"/>
    <s v="Standard Class"/>
    <x v="656"/>
    <x v="656"/>
    <s v="Home Office"/>
    <s v="United States"/>
    <s v="Charlotte"/>
    <x v="3"/>
    <n v="28205"/>
    <x v="0"/>
    <x v="550"/>
    <x v="1"/>
    <x v="13"/>
    <x v="128"/>
    <n v="18.936"/>
    <s v="Low"/>
    <n v="3"/>
    <n v="0.2"/>
    <x v="2"/>
    <x v="2"/>
    <n v="5.9175000000000004"/>
    <n v="0.3125"/>
    <n v="0"/>
  </r>
  <r>
    <n v="3388"/>
    <s v="CA-2017-148404"/>
    <d v="2017-10-07T00:00:00"/>
    <x v="3"/>
    <s v="Q4"/>
    <x v="13"/>
    <d v="2017-10-11T00:00:00"/>
    <s v="Standard Class"/>
    <x v="656"/>
    <x v="656"/>
    <s v="Home Office"/>
    <s v="United States"/>
    <s v="Charlotte"/>
    <x v="3"/>
    <n v="28205"/>
    <x v="0"/>
    <x v="872"/>
    <x v="2"/>
    <x v="7"/>
    <x v="866"/>
    <n v="222.38399999999999"/>
    <s v="High"/>
    <n v="2"/>
    <n v="0.2"/>
    <x v="2"/>
    <x v="2"/>
    <n v="16.678799999999999"/>
    <n v="7.4999999999999997E-2"/>
    <n v="0"/>
  </r>
  <r>
    <n v="3389"/>
    <s v="CA-2017-148404"/>
    <d v="2017-10-07T00:00:00"/>
    <x v="3"/>
    <s v="Q4"/>
    <x v="13"/>
    <d v="2017-10-11T00:00:00"/>
    <s v="Standard Class"/>
    <x v="656"/>
    <x v="656"/>
    <s v="Home Office"/>
    <s v="United States"/>
    <s v="Charlotte"/>
    <x v="3"/>
    <n v="28205"/>
    <x v="0"/>
    <x v="912"/>
    <x v="1"/>
    <x v="8"/>
    <x v="904"/>
    <n v="50.454000000000001"/>
    <s v="Medium"/>
    <n v="6"/>
    <n v="0.7"/>
    <x v="1"/>
    <x v="5"/>
    <n v="-33.636000000000003"/>
    <n v="-0.66666666666666674"/>
    <n v="1"/>
  </r>
  <r>
    <n v="3390"/>
    <s v="CA-2017-148404"/>
    <d v="2017-10-07T00:00:00"/>
    <x v="3"/>
    <s v="Q4"/>
    <x v="13"/>
    <d v="2017-10-11T00:00:00"/>
    <s v="Standard Class"/>
    <x v="656"/>
    <x v="656"/>
    <s v="Home Office"/>
    <s v="United States"/>
    <s v="Charlotte"/>
    <x v="3"/>
    <n v="28205"/>
    <x v="0"/>
    <x v="977"/>
    <x v="0"/>
    <x v="3"/>
    <x v="832"/>
    <n v="154.76400000000001"/>
    <s v="High"/>
    <n v="3"/>
    <n v="0.4"/>
    <x v="1"/>
    <x v="7"/>
    <n v="-36.111600000000003"/>
    <n v="-0.23333333333333334"/>
    <n v="1"/>
  </r>
  <r>
    <n v="3391"/>
    <s v="CA-2017-101077"/>
    <d v="2017-03-25T00:00:00"/>
    <x v="3"/>
    <s v="Q1"/>
    <x v="42"/>
    <d v="2017-03-30T00:00:00"/>
    <s v="Second Class"/>
    <x v="551"/>
    <x v="551"/>
    <s v="Consumer"/>
    <s v="United States"/>
    <s v="Dallas"/>
    <x v="5"/>
    <n v="75081"/>
    <x v="2"/>
    <x v="1433"/>
    <x v="1"/>
    <x v="10"/>
    <x v="1421"/>
    <n v="6.8479999999999999"/>
    <s v="Low"/>
    <n v="2"/>
    <n v="0.2"/>
    <x v="2"/>
    <x v="2"/>
    <n v="2.14"/>
    <n v="0.3125"/>
    <n v="0"/>
  </r>
  <r>
    <n v="3392"/>
    <s v="CA-2014-166471"/>
    <d v="2014-08-09T00:00:00"/>
    <x v="2"/>
    <s v="Q3"/>
    <x v="9"/>
    <d v="2014-08-13T00:00:00"/>
    <s v="Standard Class"/>
    <x v="377"/>
    <x v="377"/>
    <s v="Home Office"/>
    <s v="United States"/>
    <s v="Seattle"/>
    <x v="4"/>
    <n v="98103"/>
    <x v="1"/>
    <x v="638"/>
    <x v="2"/>
    <x v="7"/>
    <x v="638"/>
    <n v="1091.1679999999999"/>
    <s v="High"/>
    <n v="4"/>
    <n v="0.2"/>
    <x v="2"/>
    <x v="2"/>
    <n v="68.197999999999993"/>
    <n v="6.25E-2"/>
    <n v="0"/>
  </r>
  <r>
    <n v="3393"/>
    <s v="CA-2014-166471"/>
    <d v="2014-08-09T00:00:00"/>
    <x v="2"/>
    <s v="Q3"/>
    <x v="9"/>
    <d v="2014-08-13T00:00:00"/>
    <s v="Standard Class"/>
    <x v="377"/>
    <x v="377"/>
    <s v="Home Office"/>
    <s v="United States"/>
    <s v="Seattle"/>
    <x v="4"/>
    <n v="98103"/>
    <x v="1"/>
    <x v="1075"/>
    <x v="2"/>
    <x v="7"/>
    <x v="1065"/>
    <n v="219.16800000000001"/>
    <s v="High"/>
    <n v="2"/>
    <n v="0.2"/>
    <x v="2"/>
    <x v="2"/>
    <n v="-43.833599999999997"/>
    <n v="-0.19999999999999998"/>
    <n v="1"/>
  </r>
  <r>
    <n v="3394"/>
    <s v="CA-2014-105340"/>
    <d v="2014-11-22T00:00:00"/>
    <x v="2"/>
    <s v="Q4"/>
    <x v="7"/>
    <d v="2014-11-25T00:00:00"/>
    <s v="First Class"/>
    <x v="699"/>
    <x v="699"/>
    <s v="Consumer"/>
    <s v="United States"/>
    <s v="Pasadena"/>
    <x v="5"/>
    <n v="77506"/>
    <x v="2"/>
    <x v="1002"/>
    <x v="1"/>
    <x v="8"/>
    <x v="994"/>
    <n v="6.9279999999999999"/>
    <s v="Low"/>
    <n v="1"/>
    <n v="0.8"/>
    <x v="1"/>
    <x v="3"/>
    <n v="-11.0848"/>
    <n v="-1.5999999999999999"/>
    <n v="1"/>
  </r>
  <r>
    <n v="3395"/>
    <s v="US-2017-131583"/>
    <d v="2017-06-10T00:00:00"/>
    <x v="3"/>
    <s v="Q2"/>
    <x v="27"/>
    <d v="2017-06-10T00:00:00"/>
    <s v="Same Day"/>
    <x v="488"/>
    <x v="488"/>
    <s v="Consumer"/>
    <s v="United States"/>
    <s v="Philadelphia"/>
    <x v="9"/>
    <n v="19143"/>
    <x v="3"/>
    <x v="1305"/>
    <x v="1"/>
    <x v="10"/>
    <x v="1290"/>
    <n v="40.031999999999996"/>
    <s v="Medium"/>
    <n v="6"/>
    <n v="0.2"/>
    <x v="2"/>
    <x v="2"/>
    <n v="15.012"/>
    <n v="0.37500000000000006"/>
    <n v="0"/>
  </r>
  <r>
    <n v="3396"/>
    <s v="US-2017-148362"/>
    <d v="2017-07-01T00:00:00"/>
    <x v="3"/>
    <s v="Q3"/>
    <x v="10"/>
    <d v="2017-07-08T00:00:00"/>
    <s v="Standard Class"/>
    <x v="580"/>
    <x v="580"/>
    <s v="Home Office"/>
    <s v="United States"/>
    <s v="Indianapolis"/>
    <x v="14"/>
    <n v="46203"/>
    <x v="2"/>
    <x v="1439"/>
    <x v="1"/>
    <x v="4"/>
    <x v="1427"/>
    <n v="443.92"/>
    <s v="High"/>
    <n v="4"/>
    <n v="0"/>
    <x v="0"/>
    <x v="0"/>
    <n v="13.317600000000001"/>
    <n v="0.03"/>
    <n v="0"/>
  </r>
  <r>
    <n v="3397"/>
    <s v="US-2017-148362"/>
    <d v="2017-07-01T00:00:00"/>
    <x v="3"/>
    <s v="Q3"/>
    <x v="10"/>
    <d v="2017-07-08T00:00:00"/>
    <s v="Standard Class"/>
    <x v="580"/>
    <x v="580"/>
    <s v="Home Office"/>
    <s v="United States"/>
    <s v="Indianapolis"/>
    <x v="14"/>
    <n v="46203"/>
    <x v="2"/>
    <x v="13"/>
    <x v="1"/>
    <x v="8"/>
    <x v="13"/>
    <n v="169.99"/>
    <s v="High"/>
    <n v="1"/>
    <n v="0"/>
    <x v="0"/>
    <x v="0"/>
    <n v="78.195400000000006"/>
    <n v="0.46"/>
    <n v="0"/>
  </r>
  <r>
    <n v="3398"/>
    <s v="US-2017-148362"/>
    <d v="2017-07-01T00:00:00"/>
    <x v="3"/>
    <s v="Q3"/>
    <x v="10"/>
    <d v="2017-07-08T00:00:00"/>
    <s v="Standard Class"/>
    <x v="580"/>
    <x v="580"/>
    <s v="Home Office"/>
    <s v="United States"/>
    <s v="Indianapolis"/>
    <x v="14"/>
    <n v="46203"/>
    <x v="2"/>
    <x v="490"/>
    <x v="1"/>
    <x v="10"/>
    <x v="490"/>
    <n v="25.92"/>
    <s v="Medium"/>
    <n v="4"/>
    <n v="0"/>
    <x v="0"/>
    <x v="0"/>
    <n v="12.441599999999999"/>
    <n v="0.47999999999999993"/>
    <n v="0"/>
  </r>
  <r>
    <n v="3399"/>
    <s v="CA-2014-102274"/>
    <d v="2014-11-21T00:00:00"/>
    <x v="2"/>
    <s v="Q4"/>
    <x v="7"/>
    <d v="2014-11-26T00:00:00"/>
    <s v="Standard Class"/>
    <x v="704"/>
    <x v="704"/>
    <s v="Corporate"/>
    <s v="United States"/>
    <s v="Richmond"/>
    <x v="0"/>
    <n v="40475"/>
    <x v="0"/>
    <x v="687"/>
    <x v="2"/>
    <x v="7"/>
    <x v="687"/>
    <n v="36.99"/>
    <s v="Medium"/>
    <n v="1"/>
    <n v="0"/>
    <x v="0"/>
    <x v="0"/>
    <n v="9.9872999999999994"/>
    <n v="0.26999999999999996"/>
    <n v="0"/>
  </r>
  <r>
    <n v="3400"/>
    <s v="CA-2014-102274"/>
    <d v="2014-11-21T00:00:00"/>
    <x v="2"/>
    <s v="Q4"/>
    <x v="7"/>
    <d v="2014-11-26T00:00:00"/>
    <s v="Standard Class"/>
    <x v="704"/>
    <x v="704"/>
    <s v="Corporate"/>
    <s v="United States"/>
    <s v="Richmond"/>
    <x v="0"/>
    <n v="40475"/>
    <x v="0"/>
    <x v="1078"/>
    <x v="1"/>
    <x v="10"/>
    <x v="1068"/>
    <n v="629.1"/>
    <s v="High"/>
    <n v="6"/>
    <n v="0"/>
    <x v="0"/>
    <x v="0"/>
    <n v="301.96800000000002"/>
    <n v="0.48000000000000004"/>
    <n v="0"/>
  </r>
  <r>
    <n v="3401"/>
    <s v="CA-2014-102274"/>
    <d v="2014-11-21T00:00:00"/>
    <x v="2"/>
    <s v="Q4"/>
    <x v="7"/>
    <d v="2014-11-26T00:00:00"/>
    <s v="Standard Class"/>
    <x v="704"/>
    <x v="704"/>
    <s v="Corporate"/>
    <s v="United States"/>
    <s v="Richmond"/>
    <x v="0"/>
    <n v="40475"/>
    <x v="0"/>
    <x v="557"/>
    <x v="1"/>
    <x v="4"/>
    <x v="556"/>
    <n v="193.95"/>
    <s v="High"/>
    <n v="3"/>
    <n v="0"/>
    <x v="0"/>
    <x v="0"/>
    <n v="9.6974999999999998"/>
    <n v="0.05"/>
    <n v="0"/>
  </r>
  <r>
    <n v="3402"/>
    <s v="CA-2014-102274"/>
    <d v="2014-11-21T00:00:00"/>
    <x v="2"/>
    <s v="Q4"/>
    <x v="7"/>
    <d v="2014-11-26T00:00:00"/>
    <s v="Standard Class"/>
    <x v="704"/>
    <x v="704"/>
    <s v="Corporate"/>
    <s v="United States"/>
    <s v="Richmond"/>
    <x v="0"/>
    <n v="40475"/>
    <x v="0"/>
    <x v="6"/>
    <x v="1"/>
    <x v="6"/>
    <x v="6"/>
    <n v="5.46"/>
    <s v="Low"/>
    <n v="3"/>
    <n v="0"/>
    <x v="0"/>
    <x v="0"/>
    <n v="1.4742"/>
    <n v="0.27"/>
    <n v="0"/>
  </r>
  <r>
    <n v="3403"/>
    <s v="CA-2015-129700"/>
    <d v="2015-05-04T00:00:00"/>
    <x v="1"/>
    <s v="Q2"/>
    <x v="33"/>
    <d v="2015-05-05T00:00:00"/>
    <s v="First Class"/>
    <x v="156"/>
    <x v="156"/>
    <s v="Corporate"/>
    <s v="United States"/>
    <s v="Tinley Park"/>
    <x v="10"/>
    <n v="60477"/>
    <x v="2"/>
    <x v="740"/>
    <x v="0"/>
    <x v="5"/>
    <x v="222"/>
    <n v="22.288"/>
    <s v="Low"/>
    <n v="7"/>
    <n v="0.6"/>
    <x v="1"/>
    <x v="6"/>
    <n v="-8.9152000000000005"/>
    <n v="-0.4"/>
    <n v="1"/>
  </r>
  <r>
    <n v="3404"/>
    <s v="CA-2017-168739"/>
    <d v="2017-05-29T00:00:00"/>
    <x v="3"/>
    <s v="Q2"/>
    <x v="24"/>
    <d v="2017-06-05T00:00:00"/>
    <s v="Standard Class"/>
    <x v="521"/>
    <x v="521"/>
    <s v="Consumer"/>
    <s v="United States"/>
    <s v="Houston"/>
    <x v="5"/>
    <n v="77095"/>
    <x v="2"/>
    <x v="1535"/>
    <x v="0"/>
    <x v="5"/>
    <x v="1523"/>
    <n v="65.424000000000007"/>
    <s v="Medium"/>
    <n v="4"/>
    <n v="0.6"/>
    <x v="1"/>
    <x v="6"/>
    <n v="-52.339199999999998"/>
    <n v="-0.79999999999999993"/>
    <n v="1"/>
  </r>
  <r>
    <n v="3405"/>
    <s v="CA-2015-152527"/>
    <d v="2015-10-17T00:00:00"/>
    <x v="1"/>
    <s v="Q4"/>
    <x v="2"/>
    <d v="2015-10-17T00:00:00"/>
    <s v="Same Day"/>
    <x v="496"/>
    <x v="496"/>
    <s v="Consumer"/>
    <s v="United States"/>
    <s v="Los Angeles"/>
    <x v="1"/>
    <n v="90004"/>
    <x v="1"/>
    <x v="41"/>
    <x v="1"/>
    <x v="4"/>
    <x v="41"/>
    <n v="77.88"/>
    <s v="Medium"/>
    <n v="2"/>
    <n v="0"/>
    <x v="0"/>
    <x v="0"/>
    <n v="3.8940000000000001"/>
    <n v="0.05"/>
    <n v="0"/>
  </r>
  <r>
    <n v="3406"/>
    <s v="US-2014-150119"/>
    <d v="2014-04-23T00:00:00"/>
    <x v="2"/>
    <s v="Q2"/>
    <x v="41"/>
    <d v="2014-04-27T00:00:00"/>
    <s v="Standard Class"/>
    <x v="697"/>
    <x v="697"/>
    <s v="Home Office"/>
    <s v="United States"/>
    <s v="Columbus"/>
    <x v="24"/>
    <n v="43229"/>
    <x v="3"/>
    <x v="228"/>
    <x v="0"/>
    <x v="1"/>
    <x v="229"/>
    <n v="281.37200000000001"/>
    <s v="High"/>
    <n v="2"/>
    <n v="0.3"/>
    <x v="1"/>
    <x v="4"/>
    <n v="-12.0588"/>
    <n v="-4.2857142857142858E-2"/>
    <n v="1"/>
  </r>
  <r>
    <n v="3407"/>
    <s v="US-2014-150119"/>
    <d v="2014-04-23T00:00:00"/>
    <x v="2"/>
    <s v="Q2"/>
    <x v="41"/>
    <d v="2014-04-27T00:00:00"/>
    <s v="Standard Class"/>
    <x v="697"/>
    <x v="697"/>
    <s v="Home Office"/>
    <s v="United States"/>
    <s v="Columbus"/>
    <x v="24"/>
    <n v="43229"/>
    <x v="3"/>
    <x v="228"/>
    <x v="0"/>
    <x v="1"/>
    <x v="229"/>
    <n v="281.37200000000001"/>
    <s v="High"/>
    <n v="2"/>
    <n v="0.3"/>
    <x v="1"/>
    <x v="4"/>
    <n v="-12.0588"/>
    <n v="-4.2857142857142858E-2"/>
    <n v="1"/>
  </r>
  <r>
    <n v="3408"/>
    <s v="US-2014-150119"/>
    <d v="2014-04-23T00:00:00"/>
    <x v="2"/>
    <s v="Q2"/>
    <x v="41"/>
    <d v="2014-04-27T00:00:00"/>
    <s v="Standard Class"/>
    <x v="697"/>
    <x v="697"/>
    <s v="Home Office"/>
    <s v="United States"/>
    <s v="Columbus"/>
    <x v="24"/>
    <n v="43229"/>
    <x v="3"/>
    <x v="744"/>
    <x v="1"/>
    <x v="8"/>
    <x v="742"/>
    <n v="7.4880000000000004"/>
    <s v="Low"/>
    <n v="8"/>
    <n v="0.7"/>
    <x v="1"/>
    <x v="5"/>
    <n v="-5.2416"/>
    <n v="-0.7"/>
    <n v="1"/>
  </r>
  <r>
    <n v="3409"/>
    <s v="US-2014-150119"/>
    <d v="2014-04-23T00:00:00"/>
    <x v="2"/>
    <s v="Q2"/>
    <x v="41"/>
    <d v="2014-04-27T00:00:00"/>
    <s v="Standard Class"/>
    <x v="697"/>
    <x v="697"/>
    <s v="Home Office"/>
    <s v="United States"/>
    <s v="Columbus"/>
    <x v="24"/>
    <n v="43229"/>
    <x v="3"/>
    <x v="770"/>
    <x v="0"/>
    <x v="5"/>
    <x v="769"/>
    <n v="22.335999999999999"/>
    <s v="Low"/>
    <n v="4"/>
    <n v="0.2"/>
    <x v="2"/>
    <x v="2"/>
    <n v="7.8175999999999997"/>
    <n v="0.35000000000000003"/>
    <n v="0"/>
  </r>
  <r>
    <n v="3410"/>
    <s v="US-2017-150847"/>
    <d v="2017-04-30T00:00:00"/>
    <x v="3"/>
    <s v="Q2"/>
    <x v="4"/>
    <d v="2017-05-06T00:00:00"/>
    <s v="Standard Class"/>
    <x v="223"/>
    <x v="223"/>
    <s v="Consumer"/>
    <s v="United States"/>
    <s v="Columbus"/>
    <x v="24"/>
    <n v="43229"/>
    <x v="3"/>
    <x v="498"/>
    <x v="1"/>
    <x v="10"/>
    <x v="498"/>
    <n v="10.368"/>
    <s v="Low"/>
    <n v="2"/>
    <n v="0.2"/>
    <x v="2"/>
    <x v="2"/>
    <n v="3.6288"/>
    <n v="0.35"/>
    <n v="0"/>
  </r>
  <r>
    <n v="3411"/>
    <s v="CA-2016-100244"/>
    <d v="2016-09-20T00:00:00"/>
    <x v="0"/>
    <s v="Q3"/>
    <x v="21"/>
    <d v="2016-09-24T00:00:00"/>
    <s v="Standard Class"/>
    <x v="620"/>
    <x v="620"/>
    <s v="Corporate"/>
    <s v="United States"/>
    <s v="San Francisco"/>
    <x v="1"/>
    <n v="94122"/>
    <x v="1"/>
    <x v="1490"/>
    <x v="1"/>
    <x v="10"/>
    <x v="1477"/>
    <n v="65.790000000000006"/>
    <s v="Medium"/>
    <n v="9"/>
    <n v="0"/>
    <x v="0"/>
    <x v="0"/>
    <n v="30.263400000000001"/>
    <n v="0.45999999999999996"/>
    <n v="0"/>
  </r>
  <r>
    <n v="3412"/>
    <s v="CA-2016-100244"/>
    <d v="2016-09-20T00:00:00"/>
    <x v="0"/>
    <s v="Q3"/>
    <x v="21"/>
    <d v="2016-09-24T00:00:00"/>
    <s v="Standard Class"/>
    <x v="620"/>
    <x v="620"/>
    <s v="Corporate"/>
    <s v="United States"/>
    <s v="San Francisco"/>
    <x v="1"/>
    <n v="94122"/>
    <x v="1"/>
    <x v="13"/>
    <x v="1"/>
    <x v="8"/>
    <x v="13"/>
    <n v="271.98399999999998"/>
    <s v="High"/>
    <n v="2"/>
    <n v="0.2"/>
    <x v="2"/>
    <x v="2"/>
    <n v="88.394800000000004"/>
    <n v="0.32500000000000001"/>
    <n v="0"/>
  </r>
  <r>
    <n v="3413"/>
    <s v="CA-2016-100244"/>
    <d v="2016-09-20T00:00:00"/>
    <x v="0"/>
    <s v="Q3"/>
    <x v="21"/>
    <d v="2016-09-24T00:00:00"/>
    <s v="Standard Class"/>
    <x v="620"/>
    <x v="620"/>
    <s v="Corporate"/>
    <s v="United States"/>
    <s v="San Francisco"/>
    <x v="1"/>
    <n v="94122"/>
    <x v="1"/>
    <x v="134"/>
    <x v="1"/>
    <x v="6"/>
    <x v="135"/>
    <n v="11.76"/>
    <s v="Low"/>
    <n v="4"/>
    <n v="0"/>
    <x v="0"/>
    <x v="0"/>
    <n v="3.1751999999999998"/>
    <n v="0.26999999999999996"/>
    <n v="0"/>
  </r>
  <r>
    <n v="3414"/>
    <s v="CA-2016-100244"/>
    <d v="2016-09-20T00:00:00"/>
    <x v="0"/>
    <s v="Q3"/>
    <x v="21"/>
    <d v="2016-09-24T00:00:00"/>
    <s v="Standard Class"/>
    <x v="620"/>
    <x v="620"/>
    <s v="Corporate"/>
    <s v="United States"/>
    <s v="San Francisco"/>
    <x v="1"/>
    <n v="94122"/>
    <x v="1"/>
    <x v="1413"/>
    <x v="1"/>
    <x v="10"/>
    <x v="1400"/>
    <n v="77.52"/>
    <s v="Medium"/>
    <n v="2"/>
    <n v="0"/>
    <x v="0"/>
    <x v="0"/>
    <n v="37.9848"/>
    <n v="0.49000000000000005"/>
    <n v="0"/>
  </r>
  <r>
    <n v="3415"/>
    <s v="CA-2016-100244"/>
    <d v="2016-09-20T00:00:00"/>
    <x v="0"/>
    <s v="Q3"/>
    <x v="21"/>
    <d v="2016-09-24T00:00:00"/>
    <s v="Standard Class"/>
    <x v="620"/>
    <x v="620"/>
    <s v="Corporate"/>
    <s v="United States"/>
    <s v="San Francisco"/>
    <x v="1"/>
    <n v="94122"/>
    <x v="1"/>
    <x v="999"/>
    <x v="1"/>
    <x v="8"/>
    <x v="991"/>
    <n v="48.64"/>
    <s v="Medium"/>
    <n v="2"/>
    <n v="0.2"/>
    <x v="2"/>
    <x v="2"/>
    <n v="15.808"/>
    <n v="0.32500000000000001"/>
    <n v="0"/>
  </r>
  <r>
    <n v="3416"/>
    <s v="CA-2016-116540"/>
    <d v="2016-09-02T00:00:00"/>
    <x v="0"/>
    <s v="Q3"/>
    <x v="21"/>
    <d v="2016-09-02T00:00:00"/>
    <s v="Same Day"/>
    <x v="196"/>
    <x v="196"/>
    <s v="Consumer"/>
    <s v="United States"/>
    <s v="Madison"/>
    <x v="6"/>
    <n v="53711"/>
    <x v="2"/>
    <x v="1088"/>
    <x v="1"/>
    <x v="13"/>
    <x v="1078"/>
    <n v="1.81"/>
    <s v="Low"/>
    <n v="1"/>
    <n v="0"/>
    <x v="0"/>
    <x v="0"/>
    <n v="0.65159999999999996"/>
    <n v="0.36"/>
    <n v="0"/>
  </r>
  <r>
    <n v="3417"/>
    <s v="CA-2016-116540"/>
    <d v="2016-09-02T00:00:00"/>
    <x v="0"/>
    <s v="Q3"/>
    <x v="21"/>
    <d v="2016-09-02T00:00:00"/>
    <s v="Same Day"/>
    <x v="196"/>
    <x v="196"/>
    <s v="Consumer"/>
    <s v="United States"/>
    <s v="Madison"/>
    <x v="6"/>
    <n v="53711"/>
    <x v="2"/>
    <x v="925"/>
    <x v="1"/>
    <x v="8"/>
    <x v="917"/>
    <n v="8.26"/>
    <s v="Low"/>
    <n v="2"/>
    <n v="0"/>
    <x v="0"/>
    <x v="0"/>
    <n v="3.8822000000000001"/>
    <n v="0.47000000000000003"/>
    <n v="0"/>
  </r>
  <r>
    <n v="3418"/>
    <s v="CA-2015-151841"/>
    <d v="2015-04-27T00:00:00"/>
    <x v="1"/>
    <s v="Q2"/>
    <x v="19"/>
    <d v="2015-05-02T00:00:00"/>
    <s v="Standard Class"/>
    <x v="679"/>
    <x v="679"/>
    <s v="Home Office"/>
    <s v="United States"/>
    <s v="Aurora"/>
    <x v="22"/>
    <n v="80013"/>
    <x v="1"/>
    <x v="930"/>
    <x v="1"/>
    <x v="9"/>
    <x v="923"/>
    <n v="43.56"/>
    <s v="Medium"/>
    <n v="5"/>
    <n v="0.2"/>
    <x v="2"/>
    <x v="2"/>
    <n v="3.2669999999999999"/>
    <n v="7.4999999999999997E-2"/>
    <n v="0"/>
  </r>
  <r>
    <n v="3419"/>
    <s v="CA-2015-151841"/>
    <d v="2015-04-27T00:00:00"/>
    <x v="1"/>
    <s v="Q2"/>
    <x v="19"/>
    <d v="2015-05-02T00:00:00"/>
    <s v="Standard Class"/>
    <x v="679"/>
    <x v="679"/>
    <s v="Home Office"/>
    <s v="United States"/>
    <s v="Aurora"/>
    <x v="22"/>
    <n v="80013"/>
    <x v="1"/>
    <x v="503"/>
    <x v="1"/>
    <x v="14"/>
    <x v="503"/>
    <n v="5.84"/>
    <s v="Low"/>
    <n v="2"/>
    <n v="0.2"/>
    <x v="2"/>
    <x v="2"/>
    <n v="0.73"/>
    <n v="0.125"/>
    <n v="0"/>
  </r>
  <r>
    <n v="3420"/>
    <s v="CA-2015-150791"/>
    <d v="2015-09-06T00:00:00"/>
    <x v="1"/>
    <s v="Q3"/>
    <x v="11"/>
    <d v="2015-09-13T00:00:00"/>
    <s v="Standard Class"/>
    <x v="254"/>
    <x v="254"/>
    <s v="Home Office"/>
    <s v="United States"/>
    <s v="New York City"/>
    <x v="15"/>
    <n v="10024"/>
    <x v="3"/>
    <x v="662"/>
    <x v="0"/>
    <x v="1"/>
    <x v="662"/>
    <n v="271.76400000000001"/>
    <s v="High"/>
    <n v="2"/>
    <n v="0.1"/>
    <x v="3"/>
    <x v="8"/>
    <n v="60.392000000000003"/>
    <n v="0.22222222222222224"/>
    <n v="0"/>
  </r>
  <r>
    <n v="3421"/>
    <s v="CA-2016-134803"/>
    <d v="2016-05-28T00:00:00"/>
    <x v="0"/>
    <s v="Q2"/>
    <x v="35"/>
    <d v="2016-06-03T00:00:00"/>
    <s v="Standard Class"/>
    <x v="52"/>
    <x v="52"/>
    <s v="Consumer"/>
    <s v="United States"/>
    <s v="Los Angeles"/>
    <x v="1"/>
    <n v="90004"/>
    <x v="1"/>
    <x v="164"/>
    <x v="1"/>
    <x v="9"/>
    <x v="165"/>
    <n v="262.24"/>
    <s v="High"/>
    <n v="2"/>
    <n v="0"/>
    <x v="0"/>
    <x v="0"/>
    <n v="78.671999999999997"/>
    <n v="0.3"/>
    <n v="0"/>
  </r>
  <r>
    <n v="3422"/>
    <s v="CA-2016-134803"/>
    <d v="2016-05-28T00:00:00"/>
    <x v="0"/>
    <s v="Q2"/>
    <x v="35"/>
    <d v="2016-06-03T00:00:00"/>
    <s v="Standard Class"/>
    <x v="52"/>
    <x v="52"/>
    <s v="Consumer"/>
    <s v="United States"/>
    <s v="Los Angeles"/>
    <x v="1"/>
    <n v="90004"/>
    <x v="1"/>
    <x v="1274"/>
    <x v="1"/>
    <x v="10"/>
    <x v="1259"/>
    <n v="182.72"/>
    <s v="High"/>
    <n v="8"/>
    <n v="0"/>
    <x v="0"/>
    <x v="0"/>
    <n v="84.051199999999994"/>
    <n v="0.45999999999999996"/>
    <n v="0"/>
  </r>
  <r>
    <n v="3423"/>
    <s v="CA-2016-134803"/>
    <d v="2016-05-28T00:00:00"/>
    <x v="0"/>
    <s v="Q2"/>
    <x v="35"/>
    <d v="2016-06-03T00:00:00"/>
    <s v="Standard Class"/>
    <x v="52"/>
    <x v="52"/>
    <s v="Consumer"/>
    <s v="United States"/>
    <s v="Los Angeles"/>
    <x v="1"/>
    <n v="90004"/>
    <x v="1"/>
    <x v="1202"/>
    <x v="2"/>
    <x v="11"/>
    <x v="1187"/>
    <n v="131.6"/>
    <s v="High"/>
    <n v="7"/>
    <n v="0"/>
    <x v="0"/>
    <x v="0"/>
    <n v="7.8959999999999999"/>
    <n v="6.0000000000000005E-2"/>
    <n v="0"/>
  </r>
  <r>
    <n v="3424"/>
    <s v="CA-2016-134803"/>
    <d v="2016-05-28T00:00:00"/>
    <x v="0"/>
    <s v="Q2"/>
    <x v="35"/>
    <d v="2016-06-03T00:00:00"/>
    <s v="Standard Class"/>
    <x v="52"/>
    <x v="52"/>
    <s v="Consumer"/>
    <s v="United States"/>
    <s v="Los Angeles"/>
    <x v="1"/>
    <n v="90004"/>
    <x v="1"/>
    <x v="20"/>
    <x v="1"/>
    <x v="8"/>
    <x v="20"/>
    <n v="22.72"/>
    <s v="Low"/>
    <n v="4"/>
    <n v="0.2"/>
    <x v="2"/>
    <x v="2"/>
    <n v="7.3840000000000003"/>
    <n v="0.32500000000000001"/>
    <n v="0"/>
  </r>
  <r>
    <n v="3425"/>
    <s v="CA-2016-134803"/>
    <d v="2016-05-28T00:00:00"/>
    <x v="0"/>
    <s v="Q2"/>
    <x v="35"/>
    <d v="2016-06-03T00:00:00"/>
    <s v="Standard Class"/>
    <x v="52"/>
    <x v="52"/>
    <s v="Consumer"/>
    <s v="United States"/>
    <s v="Los Angeles"/>
    <x v="1"/>
    <n v="90004"/>
    <x v="1"/>
    <x v="1491"/>
    <x v="2"/>
    <x v="15"/>
    <x v="1478"/>
    <n v="558.4"/>
    <s v="High"/>
    <n v="2"/>
    <n v="0.2"/>
    <x v="2"/>
    <x v="2"/>
    <n v="41.88"/>
    <n v="7.5000000000000011E-2"/>
    <n v="0"/>
  </r>
  <r>
    <n v="3426"/>
    <s v="CA-2015-153381"/>
    <d v="2015-09-24T00:00:00"/>
    <x v="1"/>
    <s v="Q3"/>
    <x v="11"/>
    <d v="2015-09-28T00:00:00"/>
    <s v="Standard Class"/>
    <x v="368"/>
    <x v="368"/>
    <s v="Home Office"/>
    <s v="United States"/>
    <s v="Dubuque"/>
    <x v="23"/>
    <n v="52001"/>
    <x v="2"/>
    <x v="31"/>
    <x v="1"/>
    <x v="8"/>
    <x v="31"/>
    <n v="15.24"/>
    <s v="Low"/>
    <n v="4"/>
    <n v="0"/>
    <x v="0"/>
    <x v="0"/>
    <n v="6.8579999999999997"/>
    <n v="0.44999999999999996"/>
    <n v="0"/>
  </r>
  <r>
    <n v="3427"/>
    <s v="CA-2015-153381"/>
    <d v="2015-09-24T00:00:00"/>
    <x v="1"/>
    <s v="Q3"/>
    <x v="11"/>
    <d v="2015-09-28T00:00:00"/>
    <s v="Standard Class"/>
    <x v="368"/>
    <x v="368"/>
    <s v="Home Office"/>
    <s v="United States"/>
    <s v="Dubuque"/>
    <x v="23"/>
    <n v="52001"/>
    <x v="2"/>
    <x v="1153"/>
    <x v="0"/>
    <x v="1"/>
    <x v="1141"/>
    <n v="1408.1"/>
    <s v="High"/>
    <n v="10"/>
    <n v="0"/>
    <x v="0"/>
    <x v="0"/>
    <n v="394.26799999999997"/>
    <n v="0.27999999999999997"/>
    <n v="0"/>
  </r>
  <r>
    <n v="3428"/>
    <s v="US-2017-111024"/>
    <d v="2017-07-03T00:00:00"/>
    <x v="3"/>
    <s v="Q3"/>
    <x v="10"/>
    <d v="2017-07-06T00:00:00"/>
    <s v="Second Class"/>
    <x v="449"/>
    <x v="449"/>
    <s v="Home Office"/>
    <s v="United States"/>
    <s v="Lancaster"/>
    <x v="24"/>
    <n v="43130"/>
    <x v="3"/>
    <x v="1536"/>
    <x v="1"/>
    <x v="10"/>
    <x v="1524"/>
    <n v="32.896000000000001"/>
    <s v="Medium"/>
    <n v="4"/>
    <n v="0.2"/>
    <x v="2"/>
    <x v="2"/>
    <n v="11.102399999999999"/>
    <n v="0.33749999999999997"/>
    <n v="0"/>
  </r>
  <r>
    <n v="3429"/>
    <s v="US-2017-111024"/>
    <d v="2017-07-03T00:00:00"/>
    <x v="3"/>
    <s v="Q3"/>
    <x v="10"/>
    <d v="2017-07-06T00:00:00"/>
    <s v="Second Class"/>
    <x v="449"/>
    <x v="449"/>
    <s v="Home Office"/>
    <s v="United States"/>
    <s v="Lancaster"/>
    <x v="24"/>
    <n v="43130"/>
    <x v="3"/>
    <x v="363"/>
    <x v="0"/>
    <x v="3"/>
    <x v="363"/>
    <n v="215.148"/>
    <s v="High"/>
    <n v="2"/>
    <n v="0.4"/>
    <x v="1"/>
    <x v="7"/>
    <n v="-103.98820000000001"/>
    <n v="-0.48333333333333339"/>
    <n v="1"/>
  </r>
  <r>
    <n v="3430"/>
    <s v="US-2017-111024"/>
    <d v="2017-07-03T00:00:00"/>
    <x v="3"/>
    <s v="Q3"/>
    <x v="10"/>
    <d v="2017-07-06T00:00:00"/>
    <s v="Second Class"/>
    <x v="449"/>
    <x v="449"/>
    <s v="Home Office"/>
    <s v="United States"/>
    <s v="Lancaster"/>
    <x v="24"/>
    <n v="43130"/>
    <x v="3"/>
    <x v="1408"/>
    <x v="1"/>
    <x v="10"/>
    <x v="1395"/>
    <n v="30.96"/>
    <s v="Medium"/>
    <n v="6"/>
    <n v="0.2"/>
    <x v="2"/>
    <x v="2"/>
    <n v="11.223000000000001"/>
    <n v="0.36249999999999999"/>
    <n v="0"/>
  </r>
  <r>
    <n v="3431"/>
    <s v="CA-2017-148264"/>
    <d v="2017-12-08T00:00:00"/>
    <x v="3"/>
    <s v="Q4"/>
    <x v="22"/>
    <d v="2017-12-09T00:00:00"/>
    <s v="First Class"/>
    <x v="166"/>
    <x v="166"/>
    <s v="Consumer"/>
    <s v="United States"/>
    <s v="Inglewood"/>
    <x v="1"/>
    <n v="90301"/>
    <x v="1"/>
    <x v="337"/>
    <x v="1"/>
    <x v="4"/>
    <x v="337"/>
    <n v="29.79"/>
    <s v="Medium"/>
    <n v="3"/>
    <n v="0"/>
    <x v="0"/>
    <x v="0"/>
    <n v="8.6390999999999991"/>
    <n v="0.28999999999999998"/>
    <n v="0"/>
  </r>
  <r>
    <n v="3432"/>
    <s v="CA-2017-148264"/>
    <d v="2017-12-08T00:00:00"/>
    <x v="3"/>
    <s v="Q4"/>
    <x v="22"/>
    <d v="2017-12-09T00:00:00"/>
    <s v="First Class"/>
    <x v="166"/>
    <x v="166"/>
    <s v="Consumer"/>
    <s v="United States"/>
    <s v="Inglewood"/>
    <x v="1"/>
    <n v="90301"/>
    <x v="1"/>
    <x v="1537"/>
    <x v="0"/>
    <x v="5"/>
    <x v="1525"/>
    <n v="128.9"/>
    <s v="High"/>
    <n v="2"/>
    <n v="0"/>
    <x v="0"/>
    <x v="0"/>
    <n v="15.468"/>
    <n v="0.12"/>
    <n v="0"/>
  </r>
  <r>
    <n v="3433"/>
    <s v="CA-2017-148264"/>
    <d v="2017-12-08T00:00:00"/>
    <x v="3"/>
    <s v="Q4"/>
    <x v="22"/>
    <d v="2017-12-09T00:00:00"/>
    <s v="First Class"/>
    <x v="166"/>
    <x v="166"/>
    <s v="Consumer"/>
    <s v="United States"/>
    <s v="Inglewood"/>
    <x v="1"/>
    <n v="90301"/>
    <x v="1"/>
    <x v="652"/>
    <x v="1"/>
    <x v="10"/>
    <x v="652"/>
    <n v="60.12"/>
    <s v="Medium"/>
    <n v="9"/>
    <n v="0"/>
    <x v="0"/>
    <x v="0"/>
    <n v="28.857600000000001"/>
    <n v="0.48000000000000004"/>
    <n v="0"/>
  </r>
  <r>
    <n v="3434"/>
    <s v="CA-2017-131212"/>
    <d v="2017-12-05T00:00:00"/>
    <x v="3"/>
    <s v="Q4"/>
    <x v="22"/>
    <d v="2017-12-09T00:00:00"/>
    <s v="Standard Class"/>
    <x v="269"/>
    <x v="269"/>
    <s v="Consumer"/>
    <s v="United States"/>
    <s v="Bellevue"/>
    <x v="4"/>
    <n v="98006"/>
    <x v="1"/>
    <x v="1339"/>
    <x v="1"/>
    <x v="8"/>
    <x v="1324"/>
    <n v="24.815999999999999"/>
    <s v="Low"/>
    <n v="3"/>
    <n v="0.2"/>
    <x v="2"/>
    <x v="2"/>
    <n v="8.3754000000000008"/>
    <n v="0.33750000000000002"/>
    <n v="0"/>
  </r>
  <r>
    <n v="3435"/>
    <s v="CA-2017-131212"/>
    <d v="2017-12-05T00:00:00"/>
    <x v="3"/>
    <s v="Q4"/>
    <x v="22"/>
    <d v="2017-12-09T00:00:00"/>
    <s v="Standard Class"/>
    <x v="269"/>
    <x v="269"/>
    <s v="Consumer"/>
    <s v="United States"/>
    <s v="Bellevue"/>
    <x v="4"/>
    <n v="98006"/>
    <x v="1"/>
    <x v="744"/>
    <x v="1"/>
    <x v="8"/>
    <x v="742"/>
    <n v="14.976000000000001"/>
    <s v="Low"/>
    <n v="6"/>
    <n v="0.2"/>
    <x v="2"/>
    <x v="2"/>
    <n v="5.4287999999999998"/>
    <n v="0.36249999999999999"/>
    <n v="0"/>
  </r>
  <r>
    <n v="3436"/>
    <s v="US-2015-100531"/>
    <d v="2015-09-27T00:00:00"/>
    <x v="1"/>
    <s v="Q3"/>
    <x v="11"/>
    <d v="2015-09-29T00:00:00"/>
    <s v="First Class"/>
    <x v="392"/>
    <x v="392"/>
    <s v="Consumer"/>
    <s v="United States"/>
    <s v="Chicago"/>
    <x v="10"/>
    <n v="60610"/>
    <x v="2"/>
    <x v="443"/>
    <x v="1"/>
    <x v="8"/>
    <x v="443"/>
    <n v="15.08"/>
    <s v="Low"/>
    <n v="2"/>
    <n v="0.8"/>
    <x v="1"/>
    <x v="3"/>
    <n v="-22.62"/>
    <n v="-1.5"/>
    <n v="1"/>
  </r>
  <r>
    <n v="3437"/>
    <s v="US-2015-100531"/>
    <d v="2015-09-27T00:00:00"/>
    <x v="1"/>
    <s v="Q3"/>
    <x v="11"/>
    <d v="2015-09-29T00:00:00"/>
    <s v="First Class"/>
    <x v="392"/>
    <x v="392"/>
    <s v="Consumer"/>
    <s v="United States"/>
    <s v="Chicago"/>
    <x v="10"/>
    <n v="60610"/>
    <x v="2"/>
    <x v="526"/>
    <x v="0"/>
    <x v="5"/>
    <x v="526"/>
    <n v="24.288"/>
    <s v="Low"/>
    <n v="3"/>
    <n v="0.6"/>
    <x v="1"/>
    <x v="6"/>
    <n v="-12.751200000000001"/>
    <n v="-0.52500000000000002"/>
    <n v="1"/>
  </r>
  <r>
    <n v="3438"/>
    <s v="CA-2017-152583"/>
    <d v="2017-10-30T00:00:00"/>
    <x v="3"/>
    <s v="Q4"/>
    <x v="13"/>
    <d v="2017-10-30T00:00:00"/>
    <s v="Same Day"/>
    <x v="362"/>
    <x v="362"/>
    <s v="Consumer"/>
    <s v="United States"/>
    <s v="Dallas"/>
    <x v="5"/>
    <n v="75217"/>
    <x v="2"/>
    <x v="526"/>
    <x v="0"/>
    <x v="5"/>
    <x v="526"/>
    <n v="16.192"/>
    <s v="Low"/>
    <n v="2"/>
    <n v="0.6"/>
    <x v="1"/>
    <x v="6"/>
    <n v="-8.5007999999999999"/>
    <n v="-0.52500000000000002"/>
    <n v="1"/>
  </r>
  <r>
    <n v="3439"/>
    <s v="CA-2017-152583"/>
    <d v="2017-10-30T00:00:00"/>
    <x v="3"/>
    <s v="Q4"/>
    <x v="13"/>
    <d v="2017-10-30T00:00:00"/>
    <s v="Same Day"/>
    <x v="362"/>
    <x v="362"/>
    <s v="Consumer"/>
    <s v="United States"/>
    <s v="Dallas"/>
    <x v="5"/>
    <n v="75217"/>
    <x v="2"/>
    <x v="363"/>
    <x v="0"/>
    <x v="3"/>
    <x v="363"/>
    <n v="251.006"/>
    <s v="High"/>
    <n v="2"/>
    <n v="0.3"/>
    <x v="1"/>
    <x v="4"/>
    <n v="-68.130200000000002"/>
    <n v="-0.27142857142857146"/>
    <n v="1"/>
  </r>
  <r>
    <n v="3440"/>
    <s v="CA-2017-152583"/>
    <d v="2017-10-30T00:00:00"/>
    <x v="3"/>
    <s v="Q4"/>
    <x v="13"/>
    <d v="2017-10-30T00:00:00"/>
    <s v="Same Day"/>
    <x v="362"/>
    <x v="362"/>
    <s v="Consumer"/>
    <s v="United States"/>
    <s v="Dallas"/>
    <x v="5"/>
    <n v="75217"/>
    <x v="2"/>
    <x v="1011"/>
    <x v="1"/>
    <x v="4"/>
    <x v="1003"/>
    <n v="54.192"/>
    <s v="Medium"/>
    <n v="6"/>
    <n v="0.2"/>
    <x v="2"/>
    <x v="2"/>
    <n v="4.0644"/>
    <n v="7.4999999999999997E-2"/>
    <n v="0"/>
  </r>
  <r>
    <n v="3441"/>
    <s v="CA-2015-144099"/>
    <d v="2015-11-29T00:00:00"/>
    <x v="1"/>
    <s v="Q4"/>
    <x v="6"/>
    <d v="2015-11-30T00:00:00"/>
    <s v="Same Day"/>
    <x v="285"/>
    <x v="285"/>
    <s v="Home Office"/>
    <s v="United States"/>
    <s v="San Francisco"/>
    <x v="1"/>
    <n v="94122"/>
    <x v="1"/>
    <x v="61"/>
    <x v="1"/>
    <x v="8"/>
    <x v="61"/>
    <n v="4.3040000000000003"/>
    <s v="Low"/>
    <n v="1"/>
    <n v="0.2"/>
    <x v="2"/>
    <x v="2"/>
    <n v="1.5602"/>
    <n v="0.36249999999999999"/>
    <n v="0"/>
  </r>
  <r>
    <n v="3442"/>
    <s v="CA-2014-158337"/>
    <d v="2014-03-11T00:00:00"/>
    <x v="2"/>
    <s v="Q1"/>
    <x v="34"/>
    <d v="2014-03-14T00:00:00"/>
    <s v="Second Class"/>
    <x v="567"/>
    <x v="567"/>
    <s v="Consumer"/>
    <s v="United States"/>
    <s v="New York City"/>
    <x v="15"/>
    <n v="10024"/>
    <x v="3"/>
    <x v="565"/>
    <x v="1"/>
    <x v="10"/>
    <x v="565"/>
    <n v="108.92"/>
    <s v="Medium"/>
    <n v="14"/>
    <n v="0"/>
    <x v="0"/>
    <x v="0"/>
    <n v="49.014000000000003"/>
    <n v="0.45"/>
    <n v="0"/>
  </r>
  <r>
    <n v="3443"/>
    <s v="CA-2017-168858"/>
    <d v="2017-11-19T00:00:00"/>
    <x v="3"/>
    <s v="Q4"/>
    <x v="23"/>
    <d v="2017-11-23T00:00:00"/>
    <s v="Standard Class"/>
    <x v="251"/>
    <x v="251"/>
    <s v="Corporate"/>
    <s v="United States"/>
    <s v="New York City"/>
    <x v="15"/>
    <n v="10011"/>
    <x v="3"/>
    <x v="407"/>
    <x v="1"/>
    <x v="12"/>
    <x v="153"/>
    <n v="16.739999999999998"/>
    <s v="Low"/>
    <n v="3"/>
    <n v="0"/>
    <x v="0"/>
    <x v="0"/>
    <n v="8.3699999999999992"/>
    <n v="0.5"/>
    <n v="0"/>
  </r>
  <r>
    <n v="3444"/>
    <s v="CA-2017-168858"/>
    <d v="2017-11-19T00:00:00"/>
    <x v="3"/>
    <s v="Q4"/>
    <x v="23"/>
    <d v="2017-11-23T00:00:00"/>
    <s v="Standard Class"/>
    <x v="251"/>
    <x v="251"/>
    <s v="Corporate"/>
    <s v="United States"/>
    <s v="New York City"/>
    <x v="15"/>
    <n v="10011"/>
    <x v="3"/>
    <x v="847"/>
    <x v="1"/>
    <x v="9"/>
    <x v="841"/>
    <n v="2504.7399999999998"/>
    <s v="High"/>
    <n v="7"/>
    <n v="0"/>
    <x v="0"/>
    <x v="0"/>
    <n v="626.18499999999995"/>
    <n v="0.25"/>
    <n v="0"/>
  </r>
  <r>
    <n v="3445"/>
    <s v="CA-2016-116344"/>
    <d v="2016-07-29T00:00:00"/>
    <x v="0"/>
    <s v="Q3"/>
    <x v="16"/>
    <d v="2016-08-02T00:00:00"/>
    <s v="Standard Class"/>
    <x v="705"/>
    <x v="705"/>
    <s v="Corporate"/>
    <s v="United States"/>
    <s v="Philadelphia"/>
    <x v="9"/>
    <n v="19140"/>
    <x v="3"/>
    <x v="45"/>
    <x v="1"/>
    <x v="4"/>
    <x v="45"/>
    <n v="84.784000000000006"/>
    <s v="Medium"/>
    <n v="2"/>
    <n v="0.2"/>
    <x v="2"/>
    <x v="2"/>
    <n v="-16.956800000000001"/>
    <n v="-0.2"/>
    <n v="1"/>
  </r>
  <r>
    <n v="3446"/>
    <s v="CA-2015-131779"/>
    <d v="2015-06-12T00:00:00"/>
    <x v="1"/>
    <s v="Q2"/>
    <x v="40"/>
    <d v="2015-06-17T00:00:00"/>
    <s v="Standard Class"/>
    <x v="97"/>
    <x v="97"/>
    <s v="Consumer"/>
    <s v="United States"/>
    <s v="Newark"/>
    <x v="13"/>
    <n v="19711"/>
    <x v="3"/>
    <x v="1198"/>
    <x v="1"/>
    <x v="4"/>
    <x v="1183"/>
    <n v="29.9"/>
    <s v="Medium"/>
    <n v="5"/>
    <n v="0"/>
    <x v="0"/>
    <x v="0"/>
    <n v="5.0830000000000002"/>
    <n v="0.17"/>
    <n v="0"/>
  </r>
  <r>
    <n v="3447"/>
    <s v="CA-2016-158869"/>
    <d v="2016-08-06T00:00:00"/>
    <x v="0"/>
    <s v="Q3"/>
    <x v="28"/>
    <d v="2016-08-07T00:00:00"/>
    <s v="First Class"/>
    <x v="706"/>
    <x v="706"/>
    <s v="Corporate"/>
    <s v="United States"/>
    <s v="New York City"/>
    <x v="15"/>
    <n v="10024"/>
    <x v="3"/>
    <x v="258"/>
    <x v="1"/>
    <x v="10"/>
    <x v="33"/>
    <n v="70.88"/>
    <s v="Medium"/>
    <n v="2"/>
    <n v="0"/>
    <x v="0"/>
    <x v="0"/>
    <n v="33.313600000000001"/>
    <n v="0.47000000000000003"/>
    <n v="0"/>
  </r>
  <r>
    <n v="3448"/>
    <s v="CA-2017-102554"/>
    <d v="2017-06-11T00:00:00"/>
    <x v="3"/>
    <s v="Q2"/>
    <x v="27"/>
    <d v="2017-06-15T00:00:00"/>
    <s v="Standard Class"/>
    <x v="607"/>
    <x v="607"/>
    <s v="Home Office"/>
    <s v="United States"/>
    <s v="Auburn"/>
    <x v="19"/>
    <n v="36830"/>
    <x v="0"/>
    <x v="868"/>
    <x v="1"/>
    <x v="6"/>
    <x v="862"/>
    <n v="3.76"/>
    <s v="Low"/>
    <n v="2"/>
    <n v="0"/>
    <x v="0"/>
    <x v="0"/>
    <n v="1.0904"/>
    <n v="0.29000000000000004"/>
    <n v="0"/>
  </r>
  <r>
    <n v="3449"/>
    <s v="CA-2016-162614"/>
    <d v="2016-10-07T00:00:00"/>
    <x v="0"/>
    <s v="Q4"/>
    <x v="32"/>
    <d v="2016-10-13T00:00:00"/>
    <s v="Standard Class"/>
    <x v="621"/>
    <x v="621"/>
    <s v="Consumer"/>
    <s v="United States"/>
    <s v="Los Angeles"/>
    <x v="1"/>
    <n v="90049"/>
    <x v="1"/>
    <x v="822"/>
    <x v="1"/>
    <x v="8"/>
    <x v="818"/>
    <n v="27.263999999999999"/>
    <s v="Medium"/>
    <n v="2"/>
    <n v="0.2"/>
    <x v="2"/>
    <x v="2"/>
    <n v="8.8607999999999993"/>
    <n v="0.32500000000000001"/>
    <n v="0"/>
  </r>
  <r>
    <n v="3450"/>
    <s v="CA-2014-168592"/>
    <d v="2014-09-08T00:00:00"/>
    <x v="2"/>
    <s v="Q3"/>
    <x v="30"/>
    <d v="2014-09-14T00:00:00"/>
    <s v="Standard Class"/>
    <x v="503"/>
    <x v="503"/>
    <s v="Home Office"/>
    <s v="United States"/>
    <s v="San Francisco"/>
    <x v="1"/>
    <n v="94110"/>
    <x v="1"/>
    <x v="1201"/>
    <x v="1"/>
    <x v="9"/>
    <x v="1186"/>
    <n v="56.65"/>
    <s v="Medium"/>
    <n v="5"/>
    <n v="0"/>
    <x v="0"/>
    <x v="0"/>
    <n v="24.359500000000001"/>
    <n v="0.43000000000000005"/>
    <n v="0"/>
  </r>
  <r>
    <n v="3451"/>
    <s v="CA-2014-168592"/>
    <d v="2014-09-08T00:00:00"/>
    <x v="2"/>
    <s v="Q3"/>
    <x v="30"/>
    <d v="2014-09-14T00:00:00"/>
    <s v="Standard Class"/>
    <x v="503"/>
    <x v="503"/>
    <s v="Home Office"/>
    <s v="United States"/>
    <s v="San Francisco"/>
    <x v="1"/>
    <n v="94110"/>
    <x v="1"/>
    <x v="328"/>
    <x v="1"/>
    <x v="4"/>
    <x v="328"/>
    <n v="14.97"/>
    <s v="Low"/>
    <n v="1"/>
    <n v="0"/>
    <x v="0"/>
    <x v="0"/>
    <n v="4.1916000000000002"/>
    <n v="0.28000000000000003"/>
    <n v="0"/>
  </r>
  <r>
    <n v="3452"/>
    <s v="CA-2014-168592"/>
    <d v="2014-09-08T00:00:00"/>
    <x v="2"/>
    <s v="Q3"/>
    <x v="30"/>
    <d v="2014-09-14T00:00:00"/>
    <s v="Standard Class"/>
    <x v="503"/>
    <x v="503"/>
    <s v="Home Office"/>
    <s v="United States"/>
    <s v="San Francisco"/>
    <x v="1"/>
    <n v="94110"/>
    <x v="1"/>
    <x v="131"/>
    <x v="1"/>
    <x v="13"/>
    <x v="132"/>
    <n v="4.0199999999999996"/>
    <s v="Low"/>
    <n v="2"/>
    <n v="0"/>
    <x v="0"/>
    <x v="0"/>
    <n v="1.9698"/>
    <n v="0.49000000000000005"/>
    <n v="0"/>
  </r>
  <r>
    <n v="3453"/>
    <s v="CA-2014-157609"/>
    <d v="2014-03-16T00:00:00"/>
    <x v="2"/>
    <s v="Q1"/>
    <x v="34"/>
    <d v="2014-03-21T00:00:00"/>
    <s v="Second Class"/>
    <x v="607"/>
    <x v="607"/>
    <s v="Home Office"/>
    <s v="United States"/>
    <s v="Raleigh"/>
    <x v="3"/>
    <n v="27604"/>
    <x v="0"/>
    <x v="1538"/>
    <x v="2"/>
    <x v="7"/>
    <x v="1526"/>
    <n v="471.92"/>
    <s v="High"/>
    <n v="2"/>
    <n v="0.2"/>
    <x v="2"/>
    <x v="2"/>
    <n v="29.495000000000001"/>
    <n v="6.25E-2"/>
    <n v="0"/>
  </r>
  <r>
    <n v="3454"/>
    <s v="CA-2015-153325"/>
    <d v="2015-03-01T00:00:00"/>
    <x v="1"/>
    <s v="Q1"/>
    <x v="29"/>
    <d v="2015-03-02T00:00:00"/>
    <s v="Second Class"/>
    <x v="461"/>
    <x v="461"/>
    <s v="Consumer"/>
    <s v="United States"/>
    <s v="Macon"/>
    <x v="32"/>
    <n v="31204"/>
    <x v="0"/>
    <x v="908"/>
    <x v="1"/>
    <x v="8"/>
    <x v="900"/>
    <n v="58.72"/>
    <s v="Medium"/>
    <n v="4"/>
    <n v="0"/>
    <x v="0"/>
    <x v="0"/>
    <n v="27.011199999999999"/>
    <n v="0.45999999999999996"/>
    <n v="0"/>
  </r>
  <r>
    <n v="3455"/>
    <s v="CA-2015-153626"/>
    <d v="2015-07-09T00:00:00"/>
    <x v="1"/>
    <s v="Q3"/>
    <x v="38"/>
    <d v="2015-07-14T00:00:00"/>
    <s v="Standard Class"/>
    <x v="12"/>
    <x v="12"/>
    <s v="Consumer"/>
    <s v="United States"/>
    <s v="Nashville"/>
    <x v="18"/>
    <n v="37211"/>
    <x v="0"/>
    <x v="1539"/>
    <x v="1"/>
    <x v="6"/>
    <x v="1527"/>
    <n v="5.16"/>
    <s v="Low"/>
    <n v="3"/>
    <n v="0.2"/>
    <x v="2"/>
    <x v="2"/>
    <n v="0.83850000000000002"/>
    <n v="0.16250000000000001"/>
    <n v="0"/>
  </r>
  <r>
    <n v="3456"/>
    <s v="CA-2016-166485"/>
    <d v="2016-02-20T00:00:00"/>
    <x v="0"/>
    <s v="Q1"/>
    <x v="47"/>
    <d v="2016-02-27T00:00:00"/>
    <s v="Standard Class"/>
    <x v="117"/>
    <x v="117"/>
    <s v="Consumer"/>
    <s v="United States"/>
    <s v="Nashville"/>
    <x v="18"/>
    <n v="37211"/>
    <x v="0"/>
    <x v="1540"/>
    <x v="1"/>
    <x v="10"/>
    <x v="1528"/>
    <n v="16.495999999999999"/>
    <s v="Low"/>
    <n v="2"/>
    <n v="0.2"/>
    <x v="2"/>
    <x v="2"/>
    <n v="5.5674000000000001"/>
    <n v="0.33750000000000002"/>
    <n v="0"/>
  </r>
  <r>
    <n v="3457"/>
    <s v="CA-2017-136448"/>
    <d v="2017-09-16T00:00:00"/>
    <x v="3"/>
    <s v="Q3"/>
    <x v="15"/>
    <d v="2017-09-18T00:00:00"/>
    <s v="First Class"/>
    <x v="548"/>
    <x v="548"/>
    <s v="Consumer"/>
    <s v="United States"/>
    <s v="Philadelphia"/>
    <x v="9"/>
    <n v="19143"/>
    <x v="3"/>
    <x v="1016"/>
    <x v="2"/>
    <x v="11"/>
    <x v="1007"/>
    <n v="71.975999999999999"/>
    <s v="Medium"/>
    <n v="3"/>
    <n v="0.2"/>
    <x v="2"/>
    <x v="2"/>
    <n v="19.793399999999998"/>
    <n v="0.27499999999999997"/>
    <n v="0"/>
  </r>
  <r>
    <n v="3458"/>
    <s v="CA-2017-136448"/>
    <d v="2017-09-16T00:00:00"/>
    <x v="3"/>
    <s v="Q3"/>
    <x v="15"/>
    <d v="2017-09-18T00:00:00"/>
    <s v="First Class"/>
    <x v="548"/>
    <x v="548"/>
    <s v="Consumer"/>
    <s v="United States"/>
    <s v="Philadelphia"/>
    <x v="9"/>
    <n v="19143"/>
    <x v="3"/>
    <x v="1441"/>
    <x v="0"/>
    <x v="5"/>
    <x v="1429"/>
    <n v="22.512"/>
    <s v="Low"/>
    <n v="3"/>
    <n v="0.2"/>
    <x v="2"/>
    <x v="2"/>
    <n v="2.2511999999999999"/>
    <n v="9.9999999999999992E-2"/>
    <n v="0"/>
  </r>
  <r>
    <n v="3459"/>
    <s v="CA-2017-136448"/>
    <d v="2017-09-16T00:00:00"/>
    <x v="3"/>
    <s v="Q3"/>
    <x v="15"/>
    <d v="2017-09-18T00:00:00"/>
    <s v="First Class"/>
    <x v="548"/>
    <x v="548"/>
    <s v="Consumer"/>
    <s v="United States"/>
    <s v="Philadelphia"/>
    <x v="9"/>
    <n v="19143"/>
    <x v="3"/>
    <x v="1212"/>
    <x v="1"/>
    <x v="8"/>
    <x v="1197"/>
    <n v="3.444"/>
    <s v="Low"/>
    <n v="2"/>
    <n v="0.7"/>
    <x v="1"/>
    <x v="5"/>
    <n v="-2.7551999999999999"/>
    <n v="-0.79999999999999993"/>
    <n v="1"/>
  </r>
  <r>
    <n v="3460"/>
    <s v="CA-2017-136448"/>
    <d v="2017-09-16T00:00:00"/>
    <x v="3"/>
    <s v="Q3"/>
    <x v="15"/>
    <d v="2017-09-18T00:00:00"/>
    <s v="First Class"/>
    <x v="548"/>
    <x v="548"/>
    <s v="Consumer"/>
    <s v="United States"/>
    <s v="Philadelphia"/>
    <x v="9"/>
    <n v="19143"/>
    <x v="3"/>
    <x v="1176"/>
    <x v="1"/>
    <x v="8"/>
    <x v="1162"/>
    <n v="538.19399999999996"/>
    <s v="High"/>
    <n v="2"/>
    <n v="0.7"/>
    <x v="1"/>
    <x v="5"/>
    <n v="-412.61540000000002"/>
    <n v="-0.76666666666666672"/>
    <n v="1"/>
  </r>
  <r>
    <n v="3461"/>
    <s v="CA-2017-136448"/>
    <d v="2017-09-16T00:00:00"/>
    <x v="3"/>
    <s v="Q3"/>
    <x v="15"/>
    <d v="2017-09-18T00:00:00"/>
    <s v="First Class"/>
    <x v="548"/>
    <x v="548"/>
    <s v="Consumer"/>
    <s v="United States"/>
    <s v="Philadelphia"/>
    <x v="9"/>
    <n v="19143"/>
    <x v="3"/>
    <x v="246"/>
    <x v="2"/>
    <x v="11"/>
    <x v="247"/>
    <n v="47.984000000000002"/>
    <s v="Medium"/>
    <n v="2"/>
    <n v="0.2"/>
    <x v="2"/>
    <x v="2"/>
    <n v="14.395200000000001"/>
    <n v="0.3"/>
    <n v="0"/>
  </r>
  <r>
    <n v="3462"/>
    <s v="CA-2017-114258"/>
    <d v="2017-11-05T00:00:00"/>
    <x v="3"/>
    <s v="Q4"/>
    <x v="23"/>
    <d v="2017-11-10T00:00:00"/>
    <s v="Second Class"/>
    <x v="605"/>
    <x v="605"/>
    <s v="Corporate"/>
    <s v="United States"/>
    <s v="Dallas"/>
    <x v="5"/>
    <n v="75081"/>
    <x v="2"/>
    <x v="348"/>
    <x v="2"/>
    <x v="7"/>
    <x v="348"/>
    <n v="492.76799999999997"/>
    <s v="High"/>
    <n v="4"/>
    <n v="0.2"/>
    <x v="2"/>
    <x v="2"/>
    <n v="55.436399999999999"/>
    <n v="0.1125"/>
    <n v="0"/>
  </r>
  <r>
    <n v="3463"/>
    <s v="CA-2015-152611"/>
    <d v="2015-02-20T00:00:00"/>
    <x v="1"/>
    <s v="Q1"/>
    <x v="36"/>
    <d v="2015-02-23T00:00:00"/>
    <s v="Second Class"/>
    <x v="567"/>
    <x v="567"/>
    <s v="Consumer"/>
    <s v="United States"/>
    <s v="Perth Amboy"/>
    <x v="30"/>
    <n v="8861"/>
    <x v="3"/>
    <x v="894"/>
    <x v="1"/>
    <x v="6"/>
    <x v="887"/>
    <n v="286.79000000000002"/>
    <s v="High"/>
    <n v="7"/>
    <n v="0"/>
    <x v="0"/>
    <x v="0"/>
    <n v="74.565399999999997"/>
    <n v="0.25999999999999995"/>
    <n v="0"/>
  </r>
  <r>
    <n v="3464"/>
    <s v="CA-2016-165470"/>
    <d v="2016-11-25T00:00:00"/>
    <x v="0"/>
    <s v="Q4"/>
    <x v="0"/>
    <d v="2016-11-30T00:00:00"/>
    <s v="Standard Class"/>
    <x v="707"/>
    <x v="707"/>
    <s v="Home Office"/>
    <s v="United States"/>
    <s v="Jacksonville"/>
    <x v="2"/>
    <n v="32216"/>
    <x v="0"/>
    <x v="69"/>
    <x v="1"/>
    <x v="10"/>
    <x v="69"/>
    <n v="5.08"/>
    <s v="Low"/>
    <n v="1"/>
    <n v="0.2"/>
    <x v="2"/>
    <x v="2"/>
    <n v="1.651"/>
    <n v="0.32500000000000001"/>
    <n v="0"/>
  </r>
  <r>
    <n v="3465"/>
    <s v="CA-2017-128699"/>
    <d v="2017-12-03T00:00:00"/>
    <x v="3"/>
    <s v="Q4"/>
    <x v="22"/>
    <d v="2017-12-05T00:00:00"/>
    <s v="Second Class"/>
    <x v="444"/>
    <x v="444"/>
    <s v="Consumer"/>
    <s v="United States"/>
    <s v="Jacksonville"/>
    <x v="2"/>
    <n v="32216"/>
    <x v="0"/>
    <x v="876"/>
    <x v="2"/>
    <x v="11"/>
    <x v="870"/>
    <n v="47.991999999999997"/>
    <s v="Medium"/>
    <n v="1"/>
    <n v="0.2"/>
    <x v="2"/>
    <x v="2"/>
    <n v="7.1988000000000003"/>
    <n v="0.15000000000000002"/>
    <n v="0"/>
  </r>
  <r>
    <n v="3466"/>
    <s v="US-2015-147242"/>
    <d v="2015-09-10T00:00:00"/>
    <x v="1"/>
    <s v="Q3"/>
    <x v="11"/>
    <d v="2015-09-14T00:00:00"/>
    <s v="Standard Class"/>
    <x v="553"/>
    <x v="553"/>
    <s v="Corporate"/>
    <s v="United States"/>
    <s v="Revere"/>
    <x v="31"/>
    <n v="2151"/>
    <x v="3"/>
    <x v="1271"/>
    <x v="1"/>
    <x v="9"/>
    <x v="1256"/>
    <n v="61.96"/>
    <s v="Medium"/>
    <n v="2"/>
    <n v="0"/>
    <x v="0"/>
    <x v="0"/>
    <n v="16.1096"/>
    <n v="0.26"/>
    <n v="0"/>
  </r>
  <r>
    <n v="3467"/>
    <s v="US-2015-147242"/>
    <d v="2015-09-10T00:00:00"/>
    <x v="1"/>
    <s v="Q3"/>
    <x v="11"/>
    <d v="2015-09-14T00:00:00"/>
    <s v="Standard Class"/>
    <x v="553"/>
    <x v="553"/>
    <s v="Corporate"/>
    <s v="United States"/>
    <s v="Revere"/>
    <x v="31"/>
    <n v="2151"/>
    <x v="3"/>
    <x v="199"/>
    <x v="0"/>
    <x v="0"/>
    <x v="200"/>
    <n v="361.96"/>
    <s v="High"/>
    <n v="2"/>
    <n v="0"/>
    <x v="0"/>
    <x v="0"/>
    <n v="83.250799999999998"/>
    <n v="0.23"/>
    <n v="0"/>
  </r>
  <r>
    <n v="3468"/>
    <s v="US-2015-147242"/>
    <d v="2015-09-10T00:00:00"/>
    <x v="1"/>
    <s v="Q3"/>
    <x v="11"/>
    <d v="2015-09-14T00:00:00"/>
    <s v="Standard Class"/>
    <x v="553"/>
    <x v="553"/>
    <s v="Corporate"/>
    <s v="United States"/>
    <s v="Revere"/>
    <x v="31"/>
    <n v="2151"/>
    <x v="3"/>
    <x v="334"/>
    <x v="1"/>
    <x v="10"/>
    <x v="334"/>
    <n v="278.82"/>
    <s v="High"/>
    <n v="9"/>
    <n v="0"/>
    <x v="0"/>
    <x v="0"/>
    <n v="125.46899999999999"/>
    <n v="0.45"/>
    <n v="0"/>
  </r>
  <r>
    <n v="3469"/>
    <s v="CA-2016-146143"/>
    <d v="2016-12-14T00:00:00"/>
    <x v="0"/>
    <s v="Q4"/>
    <x v="5"/>
    <d v="2016-12-19T00:00:00"/>
    <s v="Standard Class"/>
    <x v="266"/>
    <x v="266"/>
    <s v="Consumer"/>
    <s v="United States"/>
    <s v="Jackson"/>
    <x v="35"/>
    <n v="39212"/>
    <x v="0"/>
    <x v="1380"/>
    <x v="0"/>
    <x v="5"/>
    <x v="1365"/>
    <n v="133.38"/>
    <s v="High"/>
    <n v="6"/>
    <n v="0"/>
    <x v="0"/>
    <x v="0"/>
    <n v="58.687199999999997"/>
    <n v="0.44"/>
    <n v="0"/>
  </r>
  <r>
    <n v="3470"/>
    <s v="CA-2015-100888"/>
    <d v="2015-04-06T00:00:00"/>
    <x v="1"/>
    <s v="Q2"/>
    <x v="19"/>
    <d v="2015-04-10T00:00:00"/>
    <s v="Standard Class"/>
    <x v="708"/>
    <x v="708"/>
    <s v="Consumer"/>
    <s v="United States"/>
    <s v="Jacksonville"/>
    <x v="3"/>
    <n v="28540"/>
    <x v="0"/>
    <x v="681"/>
    <x v="1"/>
    <x v="10"/>
    <x v="681"/>
    <n v="47.951999999999998"/>
    <s v="Medium"/>
    <n v="3"/>
    <n v="0.2"/>
    <x v="2"/>
    <x v="2"/>
    <n v="16.183800000000002"/>
    <n v="0.33750000000000002"/>
    <n v="0"/>
  </r>
  <r>
    <n v="3471"/>
    <s v="US-2016-150035"/>
    <d v="2016-12-01T00:00:00"/>
    <x v="0"/>
    <s v="Q4"/>
    <x v="5"/>
    <d v="2016-12-05T00:00:00"/>
    <s v="Standard Class"/>
    <x v="488"/>
    <x v="488"/>
    <s v="Consumer"/>
    <s v="United States"/>
    <s v="San Francisco"/>
    <x v="1"/>
    <n v="94122"/>
    <x v="1"/>
    <x v="904"/>
    <x v="0"/>
    <x v="5"/>
    <x v="896"/>
    <n v="16.739999999999998"/>
    <s v="Low"/>
    <n v="2"/>
    <n v="0"/>
    <x v="0"/>
    <x v="0"/>
    <n v="4.3524000000000003"/>
    <n v="0.26000000000000006"/>
    <n v="0"/>
  </r>
  <r>
    <n v="3472"/>
    <s v="CA-2017-122644"/>
    <d v="2017-11-12T00:00:00"/>
    <x v="3"/>
    <s v="Q4"/>
    <x v="23"/>
    <d v="2017-11-17T00:00:00"/>
    <s v="Standard Class"/>
    <x v="245"/>
    <x v="245"/>
    <s v="Corporate"/>
    <s v="United States"/>
    <s v="Columbus"/>
    <x v="24"/>
    <n v="43229"/>
    <x v="3"/>
    <x v="987"/>
    <x v="1"/>
    <x v="10"/>
    <x v="980"/>
    <n v="10.848000000000001"/>
    <s v="Low"/>
    <n v="2"/>
    <n v="0.2"/>
    <x v="2"/>
    <x v="2"/>
    <n v="3.5255999999999998"/>
    <n v="0.32499999999999996"/>
    <n v="0"/>
  </r>
  <r>
    <n v="3473"/>
    <s v="CA-2017-122644"/>
    <d v="2017-11-12T00:00:00"/>
    <x v="3"/>
    <s v="Q4"/>
    <x v="23"/>
    <d v="2017-11-17T00:00:00"/>
    <s v="Standard Class"/>
    <x v="245"/>
    <x v="245"/>
    <s v="Corporate"/>
    <s v="United States"/>
    <s v="Columbus"/>
    <x v="24"/>
    <n v="43229"/>
    <x v="3"/>
    <x v="567"/>
    <x v="2"/>
    <x v="11"/>
    <x v="567"/>
    <n v="18.544"/>
    <s v="Low"/>
    <n v="2"/>
    <n v="0.2"/>
    <x v="2"/>
    <x v="2"/>
    <n v="3.0133999999999999"/>
    <n v="0.16249999999999998"/>
    <n v="0"/>
  </r>
  <r>
    <n v="3474"/>
    <s v="CA-2017-111815"/>
    <d v="2017-03-03T00:00:00"/>
    <x v="3"/>
    <s v="Q1"/>
    <x v="42"/>
    <d v="2017-03-10T00:00:00"/>
    <s v="Standard Class"/>
    <x v="212"/>
    <x v="212"/>
    <s v="Consumer"/>
    <s v="United States"/>
    <s v="Dearborn Heights"/>
    <x v="12"/>
    <n v="48127"/>
    <x v="2"/>
    <x v="323"/>
    <x v="0"/>
    <x v="1"/>
    <x v="323"/>
    <n v="180.98"/>
    <s v="High"/>
    <n v="1"/>
    <n v="0"/>
    <x v="0"/>
    <x v="0"/>
    <n v="47.0548"/>
    <n v="0.26"/>
    <n v="0"/>
  </r>
  <r>
    <n v="3475"/>
    <s v="CA-2017-111815"/>
    <d v="2017-03-03T00:00:00"/>
    <x v="3"/>
    <s v="Q1"/>
    <x v="42"/>
    <d v="2017-03-10T00:00:00"/>
    <s v="Standard Class"/>
    <x v="212"/>
    <x v="212"/>
    <s v="Consumer"/>
    <s v="United States"/>
    <s v="Dearborn Heights"/>
    <x v="12"/>
    <n v="48127"/>
    <x v="2"/>
    <x v="1135"/>
    <x v="2"/>
    <x v="11"/>
    <x v="1123"/>
    <n v="99.98"/>
    <s v="Medium"/>
    <n v="2"/>
    <n v="0"/>
    <x v="0"/>
    <x v="0"/>
    <n v="42.991399999999999"/>
    <n v="0.43"/>
    <n v="0"/>
  </r>
  <r>
    <n v="3476"/>
    <s v="CA-2016-144911"/>
    <d v="2016-11-27T00:00:00"/>
    <x v="0"/>
    <s v="Q4"/>
    <x v="0"/>
    <d v="2016-11-30T00:00:00"/>
    <s v="First Class"/>
    <x v="338"/>
    <x v="338"/>
    <s v="Corporate"/>
    <s v="United States"/>
    <s v="Overland Park"/>
    <x v="41"/>
    <n v="66212"/>
    <x v="2"/>
    <x v="60"/>
    <x v="2"/>
    <x v="11"/>
    <x v="60"/>
    <n v="34.950000000000003"/>
    <s v="Medium"/>
    <n v="5"/>
    <n v="0"/>
    <x v="0"/>
    <x v="0"/>
    <n v="15.378"/>
    <n v="0.43999999999999995"/>
    <n v="0"/>
  </r>
  <r>
    <n v="3477"/>
    <s v="CA-2016-144911"/>
    <d v="2016-11-27T00:00:00"/>
    <x v="0"/>
    <s v="Q4"/>
    <x v="0"/>
    <d v="2016-11-30T00:00:00"/>
    <s v="First Class"/>
    <x v="338"/>
    <x v="338"/>
    <s v="Corporate"/>
    <s v="United States"/>
    <s v="Overland Park"/>
    <x v="41"/>
    <n v="66212"/>
    <x v="2"/>
    <x v="999"/>
    <x v="1"/>
    <x v="8"/>
    <x v="991"/>
    <n v="152"/>
    <s v="High"/>
    <n v="5"/>
    <n v="0"/>
    <x v="0"/>
    <x v="0"/>
    <n v="69.92"/>
    <n v="0.46"/>
    <n v="0"/>
  </r>
  <r>
    <n v="3478"/>
    <s v="CA-2014-143385"/>
    <d v="2014-08-31T00:00:00"/>
    <x v="2"/>
    <s v="Q3"/>
    <x v="9"/>
    <d v="2014-09-05T00:00:00"/>
    <s v="Standard Class"/>
    <x v="81"/>
    <x v="81"/>
    <s v="Consumer"/>
    <s v="United States"/>
    <s v="Santa Fe"/>
    <x v="27"/>
    <n v="87505"/>
    <x v="1"/>
    <x v="1386"/>
    <x v="2"/>
    <x v="11"/>
    <x v="1372"/>
    <n v="92.52"/>
    <s v="Medium"/>
    <n v="9"/>
    <n v="0"/>
    <x v="0"/>
    <x v="0"/>
    <n v="18.504000000000001"/>
    <n v="0.2"/>
    <n v="0"/>
  </r>
  <r>
    <n v="3479"/>
    <s v="CA-2016-131289"/>
    <d v="2016-12-08T00:00:00"/>
    <x v="0"/>
    <s v="Q4"/>
    <x v="5"/>
    <d v="2016-12-14T00:00:00"/>
    <s v="Standard Class"/>
    <x v="407"/>
    <x v="407"/>
    <s v="Corporate"/>
    <s v="United States"/>
    <s v="San Francisco"/>
    <x v="1"/>
    <n v="94110"/>
    <x v="1"/>
    <x v="18"/>
    <x v="1"/>
    <x v="6"/>
    <x v="18"/>
    <n v="8.56"/>
    <s v="Low"/>
    <n v="2"/>
    <n v="0"/>
    <x v="0"/>
    <x v="0"/>
    <n v="2.4824000000000002"/>
    <n v="0.28999999999999998"/>
    <n v="0"/>
  </r>
  <r>
    <n v="3480"/>
    <s v="CA-2016-131289"/>
    <d v="2016-12-08T00:00:00"/>
    <x v="0"/>
    <s v="Q4"/>
    <x v="5"/>
    <d v="2016-12-14T00:00:00"/>
    <s v="Standard Class"/>
    <x v="407"/>
    <x v="407"/>
    <s v="Corporate"/>
    <s v="United States"/>
    <s v="San Francisco"/>
    <x v="1"/>
    <n v="94110"/>
    <x v="1"/>
    <x v="1541"/>
    <x v="1"/>
    <x v="10"/>
    <x v="1529"/>
    <n v="45.36"/>
    <s v="Medium"/>
    <n v="7"/>
    <n v="0"/>
    <x v="0"/>
    <x v="0"/>
    <n v="21.7728"/>
    <n v="0.48"/>
    <n v="0"/>
  </r>
  <r>
    <n v="3481"/>
    <s v="CA-2016-131289"/>
    <d v="2016-12-08T00:00:00"/>
    <x v="0"/>
    <s v="Q4"/>
    <x v="5"/>
    <d v="2016-12-14T00:00:00"/>
    <s v="Standard Class"/>
    <x v="407"/>
    <x v="407"/>
    <s v="Corporate"/>
    <s v="United States"/>
    <s v="San Francisco"/>
    <x v="1"/>
    <n v="94110"/>
    <x v="1"/>
    <x v="1234"/>
    <x v="0"/>
    <x v="3"/>
    <x v="1217"/>
    <n v="1421.664"/>
    <s v="High"/>
    <n v="6"/>
    <n v="0.2"/>
    <x v="2"/>
    <x v="2"/>
    <n v="-195.47880000000001"/>
    <n v="-0.13750000000000001"/>
    <n v="1"/>
  </r>
  <r>
    <n v="3482"/>
    <s v="CA-2014-124023"/>
    <d v="2014-04-07T00:00:00"/>
    <x v="2"/>
    <s v="Q2"/>
    <x v="41"/>
    <d v="2014-04-10T00:00:00"/>
    <s v="First Class"/>
    <x v="307"/>
    <x v="307"/>
    <s v="Consumer"/>
    <s v="United States"/>
    <s v="Mobile"/>
    <x v="19"/>
    <n v="36608"/>
    <x v="0"/>
    <x v="1073"/>
    <x v="0"/>
    <x v="5"/>
    <x v="1063"/>
    <n v="8.9600000000000009"/>
    <s v="Low"/>
    <n v="2"/>
    <n v="0"/>
    <x v="0"/>
    <x v="0"/>
    <n v="2.7776000000000001"/>
    <n v="0.31"/>
    <n v="0"/>
  </r>
  <r>
    <n v="3483"/>
    <s v="CA-2014-124688"/>
    <d v="2014-08-27T00:00:00"/>
    <x v="2"/>
    <s v="Q3"/>
    <x v="9"/>
    <d v="2014-08-29T00:00:00"/>
    <s v="First Class"/>
    <x v="566"/>
    <x v="566"/>
    <s v="Corporate"/>
    <s v="United States"/>
    <s v="Springfield"/>
    <x v="17"/>
    <n v="22153"/>
    <x v="0"/>
    <x v="1133"/>
    <x v="2"/>
    <x v="7"/>
    <x v="1121"/>
    <n v="579.95000000000005"/>
    <s v="High"/>
    <n v="5"/>
    <n v="0"/>
    <x v="0"/>
    <x v="0"/>
    <n v="168.18549999999999"/>
    <n v="0.28999999999999998"/>
    <n v="0"/>
  </r>
  <r>
    <n v="3484"/>
    <s v="CA-2014-124688"/>
    <d v="2014-08-27T00:00:00"/>
    <x v="2"/>
    <s v="Q3"/>
    <x v="9"/>
    <d v="2014-08-29T00:00:00"/>
    <s v="First Class"/>
    <x v="566"/>
    <x v="566"/>
    <s v="Corporate"/>
    <s v="United States"/>
    <s v="Springfield"/>
    <x v="17"/>
    <n v="22153"/>
    <x v="0"/>
    <x v="1027"/>
    <x v="0"/>
    <x v="5"/>
    <x v="1018"/>
    <n v="29.12"/>
    <s v="Medium"/>
    <n v="4"/>
    <n v="0"/>
    <x v="0"/>
    <x v="0"/>
    <n v="12.521599999999999"/>
    <n v="0.42999999999999994"/>
    <n v="0"/>
  </r>
  <r>
    <n v="3485"/>
    <s v="CA-2014-124688"/>
    <d v="2014-08-27T00:00:00"/>
    <x v="2"/>
    <s v="Q3"/>
    <x v="9"/>
    <d v="2014-08-29T00:00:00"/>
    <s v="First Class"/>
    <x v="566"/>
    <x v="566"/>
    <s v="Corporate"/>
    <s v="United States"/>
    <s v="Springfield"/>
    <x v="17"/>
    <n v="22153"/>
    <x v="0"/>
    <x v="1382"/>
    <x v="0"/>
    <x v="3"/>
    <x v="1367"/>
    <n v="1202.94"/>
    <s v="High"/>
    <n v="3"/>
    <n v="0"/>
    <x v="0"/>
    <x v="0"/>
    <n v="300.73500000000001"/>
    <n v="0.25"/>
    <n v="0"/>
  </r>
  <r>
    <n v="3486"/>
    <s v="CA-2016-151169"/>
    <d v="2016-10-21T00:00:00"/>
    <x v="0"/>
    <s v="Q4"/>
    <x v="32"/>
    <d v="2016-10-26T00:00:00"/>
    <s v="Standard Class"/>
    <x v="501"/>
    <x v="501"/>
    <s v="Corporate"/>
    <s v="United States"/>
    <s v="Newark"/>
    <x v="13"/>
    <n v="19711"/>
    <x v="3"/>
    <x v="922"/>
    <x v="1"/>
    <x v="8"/>
    <x v="914"/>
    <n v="7.92"/>
    <s v="Low"/>
    <n v="4"/>
    <n v="0"/>
    <x v="0"/>
    <x v="0"/>
    <n v="3.5640000000000001"/>
    <n v="0.45"/>
    <n v="0"/>
  </r>
  <r>
    <n v="3487"/>
    <s v="US-2016-134761"/>
    <d v="2016-11-30T00:00:00"/>
    <x v="0"/>
    <s v="Q4"/>
    <x v="0"/>
    <d v="2016-11-30T00:00:00"/>
    <s v="Same Day"/>
    <x v="203"/>
    <x v="203"/>
    <s v="Consumer"/>
    <s v="United States"/>
    <s v="Hickory"/>
    <x v="3"/>
    <n v="28601"/>
    <x v="0"/>
    <x v="1409"/>
    <x v="2"/>
    <x v="7"/>
    <x v="1396"/>
    <n v="36.192"/>
    <s v="Medium"/>
    <n v="1"/>
    <n v="0.2"/>
    <x v="2"/>
    <x v="2"/>
    <n v="2.7143999999999999"/>
    <n v="7.4999999999999997E-2"/>
    <n v="0"/>
  </r>
  <r>
    <n v="3488"/>
    <s v="CA-2017-120705"/>
    <d v="2017-09-05T00:00:00"/>
    <x v="3"/>
    <s v="Q3"/>
    <x v="15"/>
    <d v="2017-09-11T00:00:00"/>
    <s v="Standard Class"/>
    <x v="675"/>
    <x v="675"/>
    <s v="Home Office"/>
    <s v="United States"/>
    <s v="Fort Lauderdale"/>
    <x v="2"/>
    <n v="33311"/>
    <x v="0"/>
    <x v="196"/>
    <x v="1"/>
    <x v="4"/>
    <x v="197"/>
    <n v="147.184"/>
    <s v="High"/>
    <n v="2"/>
    <n v="0.2"/>
    <x v="2"/>
    <x v="2"/>
    <n v="-29.436800000000002"/>
    <n v="-0.2"/>
    <n v="1"/>
  </r>
  <r>
    <n v="3489"/>
    <s v="CA-2015-157322"/>
    <d v="2015-07-02T00:00:00"/>
    <x v="1"/>
    <s v="Q3"/>
    <x v="38"/>
    <d v="2015-07-06T00:00:00"/>
    <s v="Standard Class"/>
    <x v="584"/>
    <x v="584"/>
    <s v="Consumer"/>
    <s v="United States"/>
    <s v="Carol Stream"/>
    <x v="10"/>
    <n v="60188"/>
    <x v="2"/>
    <x v="284"/>
    <x v="0"/>
    <x v="1"/>
    <x v="284"/>
    <n v="408.42200000000003"/>
    <s v="High"/>
    <n v="2"/>
    <n v="0.3"/>
    <x v="1"/>
    <x v="4"/>
    <n v="-5.8346"/>
    <n v="-1.4285714285714285E-2"/>
    <n v="1"/>
  </r>
  <r>
    <n v="3490"/>
    <s v="CA-2015-157322"/>
    <d v="2015-07-02T00:00:00"/>
    <x v="1"/>
    <s v="Q3"/>
    <x v="38"/>
    <d v="2015-07-06T00:00:00"/>
    <s v="Standard Class"/>
    <x v="584"/>
    <x v="584"/>
    <s v="Consumer"/>
    <s v="United States"/>
    <s v="Carol Stream"/>
    <x v="10"/>
    <n v="60188"/>
    <x v="2"/>
    <x v="1209"/>
    <x v="0"/>
    <x v="1"/>
    <x v="1194"/>
    <n v="382.11599999999999"/>
    <s v="High"/>
    <n v="6"/>
    <n v="0.3"/>
    <x v="1"/>
    <x v="4"/>
    <n v="-92.799599999999998"/>
    <n v="-0.24285714285714285"/>
    <n v="1"/>
  </r>
  <r>
    <n v="3491"/>
    <s v="CA-2015-157322"/>
    <d v="2015-07-02T00:00:00"/>
    <x v="1"/>
    <s v="Q3"/>
    <x v="38"/>
    <d v="2015-07-06T00:00:00"/>
    <s v="Standard Class"/>
    <x v="584"/>
    <x v="584"/>
    <s v="Consumer"/>
    <s v="United States"/>
    <s v="Carol Stream"/>
    <x v="10"/>
    <n v="60188"/>
    <x v="2"/>
    <x v="456"/>
    <x v="1"/>
    <x v="4"/>
    <x v="457"/>
    <n v="68.599999999999994"/>
    <s v="Medium"/>
    <n v="5"/>
    <n v="0.2"/>
    <x v="2"/>
    <x v="2"/>
    <n v="6.0025000000000004"/>
    <n v="8.7500000000000008E-2"/>
    <n v="0"/>
  </r>
  <r>
    <n v="3492"/>
    <s v="CA-2015-157322"/>
    <d v="2015-07-02T00:00:00"/>
    <x v="1"/>
    <s v="Q3"/>
    <x v="38"/>
    <d v="2015-07-06T00:00:00"/>
    <s v="Standard Class"/>
    <x v="584"/>
    <x v="584"/>
    <s v="Consumer"/>
    <s v="United States"/>
    <s v="Carol Stream"/>
    <x v="10"/>
    <n v="60188"/>
    <x v="2"/>
    <x v="245"/>
    <x v="1"/>
    <x v="4"/>
    <x v="246"/>
    <n v="435.50400000000002"/>
    <s v="High"/>
    <n v="3"/>
    <n v="0.2"/>
    <x v="2"/>
    <x v="2"/>
    <n v="48.994199999999999"/>
    <n v="0.11249999999999999"/>
    <n v="0"/>
  </r>
  <r>
    <n v="3493"/>
    <s v="CA-2015-157322"/>
    <d v="2015-07-02T00:00:00"/>
    <x v="1"/>
    <s v="Q3"/>
    <x v="38"/>
    <d v="2015-07-06T00:00:00"/>
    <s v="Standard Class"/>
    <x v="584"/>
    <x v="584"/>
    <s v="Consumer"/>
    <s v="United States"/>
    <s v="Carol Stream"/>
    <x v="10"/>
    <n v="60188"/>
    <x v="2"/>
    <x v="161"/>
    <x v="1"/>
    <x v="10"/>
    <x v="162"/>
    <n v="11.167999999999999"/>
    <s v="Low"/>
    <n v="2"/>
    <n v="0.2"/>
    <x v="2"/>
    <x v="2"/>
    <n v="3.7692000000000001"/>
    <n v="0.33750000000000002"/>
    <n v="0"/>
  </r>
  <r>
    <n v="3494"/>
    <s v="CA-2017-142034"/>
    <d v="2017-09-24T00:00:00"/>
    <x v="3"/>
    <s v="Q3"/>
    <x v="15"/>
    <d v="2017-09-28T00:00:00"/>
    <s v="Standard Class"/>
    <x v="208"/>
    <x v="208"/>
    <s v="Corporate"/>
    <s v="United States"/>
    <s v="Saint Cloud"/>
    <x v="11"/>
    <n v="56301"/>
    <x v="2"/>
    <x v="1542"/>
    <x v="2"/>
    <x v="11"/>
    <x v="1530"/>
    <n v="72"/>
    <s v="Medium"/>
    <n v="4"/>
    <n v="0"/>
    <x v="0"/>
    <x v="0"/>
    <n v="12.96"/>
    <n v="0.18000000000000002"/>
    <n v="0"/>
  </r>
  <r>
    <n v="3495"/>
    <s v="CA-2017-142034"/>
    <d v="2017-09-24T00:00:00"/>
    <x v="3"/>
    <s v="Q3"/>
    <x v="15"/>
    <d v="2017-09-28T00:00:00"/>
    <s v="Standard Class"/>
    <x v="208"/>
    <x v="208"/>
    <s v="Corporate"/>
    <s v="United States"/>
    <s v="Saint Cloud"/>
    <x v="11"/>
    <n v="56301"/>
    <x v="2"/>
    <x v="1543"/>
    <x v="2"/>
    <x v="11"/>
    <x v="1531"/>
    <n v="655.9"/>
    <s v="High"/>
    <n v="5"/>
    <n v="0"/>
    <x v="0"/>
    <x v="0"/>
    <n v="275.47800000000001"/>
    <n v="0.42000000000000004"/>
    <n v="0"/>
  </r>
  <r>
    <n v="3496"/>
    <s v="CA-2017-142034"/>
    <d v="2017-09-24T00:00:00"/>
    <x v="3"/>
    <s v="Q3"/>
    <x v="15"/>
    <d v="2017-09-28T00:00:00"/>
    <s v="Standard Class"/>
    <x v="208"/>
    <x v="208"/>
    <s v="Corporate"/>
    <s v="United States"/>
    <s v="Saint Cloud"/>
    <x v="11"/>
    <n v="56301"/>
    <x v="2"/>
    <x v="662"/>
    <x v="0"/>
    <x v="1"/>
    <x v="662"/>
    <n v="603.91999999999996"/>
    <s v="High"/>
    <n v="4"/>
    <n v="0"/>
    <x v="0"/>
    <x v="0"/>
    <n v="181.17599999999999"/>
    <n v="0.3"/>
    <n v="0"/>
  </r>
  <r>
    <n v="3497"/>
    <s v="CA-2016-107328"/>
    <d v="2016-08-08T00:00:00"/>
    <x v="0"/>
    <s v="Q3"/>
    <x v="28"/>
    <d v="2016-08-15T00:00:00"/>
    <s v="Standard Class"/>
    <x v="402"/>
    <x v="402"/>
    <s v="Home Office"/>
    <s v="United States"/>
    <s v="Los Angeles"/>
    <x v="1"/>
    <n v="90036"/>
    <x v="1"/>
    <x v="855"/>
    <x v="0"/>
    <x v="3"/>
    <x v="848"/>
    <n v="513.024"/>
    <s v="High"/>
    <n v="2"/>
    <n v="0.2"/>
    <x v="2"/>
    <x v="2"/>
    <n v="12.8256"/>
    <n v="2.4999999999999998E-2"/>
    <n v="0"/>
  </r>
  <r>
    <n v="3498"/>
    <s v="CA-2016-107328"/>
    <d v="2016-08-08T00:00:00"/>
    <x v="0"/>
    <s v="Q3"/>
    <x v="28"/>
    <d v="2016-08-15T00:00:00"/>
    <s v="Standard Class"/>
    <x v="402"/>
    <x v="402"/>
    <s v="Home Office"/>
    <s v="United States"/>
    <s v="Los Angeles"/>
    <x v="1"/>
    <n v="90036"/>
    <x v="1"/>
    <x v="723"/>
    <x v="1"/>
    <x v="9"/>
    <x v="722"/>
    <n v="487.92"/>
    <s v="High"/>
    <n v="6"/>
    <n v="0"/>
    <x v="0"/>
    <x v="0"/>
    <n v="136.61760000000001"/>
    <n v="0.28000000000000003"/>
    <n v="0"/>
  </r>
  <r>
    <n v="3499"/>
    <s v="CA-2016-107328"/>
    <d v="2016-08-08T00:00:00"/>
    <x v="0"/>
    <s v="Q3"/>
    <x v="28"/>
    <d v="2016-08-15T00:00:00"/>
    <s v="Standard Class"/>
    <x v="402"/>
    <x v="402"/>
    <s v="Home Office"/>
    <s v="United States"/>
    <s v="Los Angeles"/>
    <x v="1"/>
    <n v="90036"/>
    <x v="1"/>
    <x v="315"/>
    <x v="1"/>
    <x v="8"/>
    <x v="315"/>
    <n v="15.24"/>
    <s v="Low"/>
    <n v="5"/>
    <n v="0.2"/>
    <x v="2"/>
    <x v="2"/>
    <n v="5.3339999999999996"/>
    <n v="0.35"/>
    <n v="0"/>
  </r>
  <r>
    <n v="3500"/>
    <s v="CA-2016-108616"/>
    <d v="2016-09-29T00:00:00"/>
    <x v="0"/>
    <s v="Q3"/>
    <x v="21"/>
    <d v="2016-10-03T00:00:00"/>
    <s v="Standard Class"/>
    <x v="300"/>
    <x v="300"/>
    <s v="Consumer"/>
    <s v="United States"/>
    <s v="Mobile"/>
    <x v="19"/>
    <n v="36608"/>
    <x v="0"/>
    <x v="1509"/>
    <x v="2"/>
    <x v="11"/>
    <x v="1496"/>
    <n v="209.97"/>
    <s v="High"/>
    <n v="3"/>
    <n v="0"/>
    <x v="0"/>
    <x v="0"/>
    <n v="71.389799999999994"/>
    <n v="0.33999999999999997"/>
    <n v="0"/>
  </r>
  <r>
    <n v="3501"/>
    <s v="CA-2016-108616"/>
    <d v="2016-09-29T00:00:00"/>
    <x v="0"/>
    <s v="Q3"/>
    <x v="21"/>
    <d v="2016-10-03T00:00:00"/>
    <s v="Standard Class"/>
    <x v="300"/>
    <x v="300"/>
    <s v="Consumer"/>
    <s v="United States"/>
    <s v="Mobile"/>
    <x v="19"/>
    <n v="36608"/>
    <x v="0"/>
    <x v="542"/>
    <x v="1"/>
    <x v="8"/>
    <x v="542"/>
    <n v="62.94"/>
    <s v="Medium"/>
    <n v="3"/>
    <n v="0"/>
    <x v="0"/>
    <x v="0"/>
    <n v="30.211200000000002"/>
    <n v="0.48000000000000004"/>
    <n v="0"/>
  </r>
  <r>
    <n v="3502"/>
    <s v="CA-2016-108616"/>
    <d v="2016-09-29T00:00:00"/>
    <x v="0"/>
    <s v="Q3"/>
    <x v="21"/>
    <d v="2016-10-03T00:00:00"/>
    <s v="Standard Class"/>
    <x v="300"/>
    <x v="300"/>
    <s v="Consumer"/>
    <s v="United States"/>
    <s v="Mobile"/>
    <x v="19"/>
    <n v="36608"/>
    <x v="0"/>
    <x v="130"/>
    <x v="1"/>
    <x v="6"/>
    <x v="131"/>
    <n v="25.92"/>
    <s v="Medium"/>
    <n v="9"/>
    <n v="0"/>
    <x v="0"/>
    <x v="0"/>
    <n v="7.7759999999999998"/>
    <n v="0.3"/>
    <n v="0"/>
  </r>
  <r>
    <n v="3503"/>
    <s v="CA-2017-125115"/>
    <d v="2017-04-10T00:00:00"/>
    <x v="3"/>
    <s v="Q2"/>
    <x v="4"/>
    <d v="2017-04-10T00:00:00"/>
    <s v="Same Day"/>
    <x v="709"/>
    <x v="709"/>
    <s v="Consumer"/>
    <s v="United States"/>
    <s v="Austin"/>
    <x v="5"/>
    <n v="78745"/>
    <x v="2"/>
    <x v="511"/>
    <x v="1"/>
    <x v="10"/>
    <x v="511"/>
    <n v="10.368"/>
    <s v="Low"/>
    <n v="2"/>
    <n v="0.2"/>
    <x v="2"/>
    <x v="2"/>
    <n v="3.6288"/>
    <n v="0.35"/>
    <n v="0"/>
  </r>
  <r>
    <n v="3504"/>
    <s v="CA-2017-125115"/>
    <d v="2017-04-10T00:00:00"/>
    <x v="3"/>
    <s v="Q2"/>
    <x v="4"/>
    <d v="2017-04-10T00:00:00"/>
    <s v="Same Day"/>
    <x v="709"/>
    <x v="709"/>
    <s v="Consumer"/>
    <s v="United States"/>
    <s v="Austin"/>
    <x v="5"/>
    <n v="78745"/>
    <x v="2"/>
    <x v="685"/>
    <x v="2"/>
    <x v="11"/>
    <x v="685"/>
    <n v="95.736000000000004"/>
    <s v="Medium"/>
    <n v="3"/>
    <n v="0.2"/>
    <x v="2"/>
    <x v="2"/>
    <n v="20.343900000000001"/>
    <n v="0.21249999999999999"/>
    <n v="0"/>
  </r>
  <r>
    <n v="3505"/>
    <s v="CA-2016-150945"/>
    <d v="2016-12-18T00:00:00"/>
    <x v="0"/>
    <s v="Q4"/>
    <x v="5"/>
    <d v="2016-12-20T00:00:00"/>
    <s v="Second Class"/>
    <x v="451"/>
    <x v="451"/>
    <s v="Home Office"/>
    <s v="United States"/>
    <s v="New York City"/>
    <x v="15"/>
    <n v="10009"/>
    <x v="3"/>
    <x v="906"/>
    <x v="1"/>
    <x v="4"/>
    <x v="898"/>
    <n v="900.08"/>
    <s v="High"/>
    <n v="4"/>
    <n v="0"/>
    <x v="0"/>
    <x v="0"/>
    <n v="117.0104"/>
    <n v="0.13"/>
    <n v="0"/>
  </r>
  <r>
    <n v="3506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1370"/>
    <x v="2"/>
    <x v="7"/>
    <x v="1355"/>
    <n v="201.584"/>
    <s v="High"/>
    <n v="2"/>
    <n v="0.2"/>
    <x v="2"/>
    <x v="2"/>
    <n v="20.1584"/>
    <n v="0.1"/>
    <n v="0"/>
  </r>
  <r>
    <n v="3507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15"/>
    <x v="1"/>
    <x v="8"/>
    <x v="15"/>
    <n v="3.3919999999999999"/>
    <s v="Low"/>
    <n v="4"/>
    <n v="0.8"/>
    <x v="1"/>
    <x v="3"/>
    <n v="-5.0880000000000001"/>
    <n v="-1.5"/>
    <n v="1"/>
  </r>
  <r>
    <n v="3508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1544"/>
    <x v="0"/>
    <x v="0"/>
    <x v="1532"/>
    <n v="193.06559999999999"/>
    <s v="High"/>
    <n v="4"/>
    <n v="0.32"/>
    <x v="1"/>
    <x v="7"/>
    <n v="-19.874400000000001"/>
    <n v="-0.10294117647058824"/>
    <n v="1"/>
  </r>
  <r>
    <n v="3509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778"/>
    <x v="1"/>
    <x v="10"/>
    <x v="777"/>
    <n v="15.552"/>
    <s v="Low"/>
    <n v="3"/>
    <n v="0.2"/>
    <x v="2"/>
    <x v="2"/>
    <n v="5.4432"/>
    <n v="0.35000000000000003"/>
    <n v="0"/>
  </r>
  <r>
    <n v="3510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57"/>
    <x v="1"/>
    <x v="10"/>
    <x v="57"/>
    <n v="11.648"/>
    <s v="Low"/>
    <n v="2"/>
    <n v="0.2"/>
    <x v="2"/>
    <x v="2"/>
    <n v="4.0768000000000004"/>
    <n v="0.35000000000000003"/>
    <n v="0"/>
  </r>
  <r>
    <n v="3511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1491"/>
    <x v="2"/>
    <x v="15"/>
    <x v="1478"/>
    <n v="418.8"/>
    <s v="High"/>
    <n v="2"/>
    <n v="0.4"/>
    <x v="1"/>
    <x v="7"/>
    <n v="-97.72"/>
    <n v="-0.23333333333333334"/>
    <n v="1"/>
  </r>
  <r>
    <n v="3512"/>
    <s v="CA-2014-166863"/>
    <d v="2014-06-20T00:00:00"/>
    <x v="2"/>
    <s v="Q2"/>
    <x v="3"/>
    <d v="2014-06-24T00:00:00"/>
    <s v="Standard Class"/>
    <x v="710"/>
    <x v="710"/>
    <s v="Consumer"/>
    <s v="United States"/>
    <s v="Plano"/>
    <x v="5"/>
    <n v="75023"/>
    <x v="2"/>
    <x v="72"/>
    <x v="1"/>
    <x v="4"/>
    <x v="72"/>
    <n v="509.488"/>
    <s v="High"/>
    <n v="7"/>
    <n v="0.2"/>
    <x v="2"/>
    <x v="2"/>
    <n v="-127.372"/>
    <n v="-0.25"/>
    <n v="1"/>
  </r>
  <r>
    <n v="3513"/>
    <s v="CA-2017-140326"/>
    <d v="2017-09-04T00:00:00"/>
    <x v="3"/>
    <s v="Q3"/>
    <x v="15"/>
    <d v="2017-09-06T00:00:00"/>
    <s v="First Class"/>
    <x v="304"/>
    <x v="304"/>
    <s v="Corporate"/>
    <s v="United States"/>
    <s v="Chicago"/>
    <x v="10"/>
    <n v="60653"/>
    <x v="2"/>
    <x v="1545"/>
    <x v="0"/>
    <x v="0"/>
    <x v="1533"/>
    <n v="825.17399999999998"/>
    <s v="High"/>
    <n v="9"/>
    <n v="0.3"/>
    <x v="1"/>
    <x v="4"/>
    <n v="-117.88200000000001"/>
    <n v="-0.14285714285714288"/>
    <n v="1"/>
  </r>
  <r>
    <n v="3514"/>
    <s v="CA-2017-140326"/>
    <d v="2017-09-04T00:00:00"/>
    <x v="3"/>
    <s v="Q3"/>
    <x v="15"/>
    <d v="2017-09-06T00:00:00"/>
    <s v="First Class"/>
    <x v="304"/>
    <x v="304"/>
    <s v="Corporate"/>
    <s v="United States"/>
    <s v="Chicago"/>
    <x v="10"/>
    <n v="60653"/>
    <x v="2"/>
    <x v="956"/>
    <x v="1"/>
    <x v="10"/>
    <x v="949"/>
    <n v="17.760000000000002"/>
    <s v="Low"/>
    <n v="3"/>
    <n v="0.2"/>
    <x v="2"/>
    <x v="2"/>
    <n v="5.55"/>
    <n v="0.31249999999999994"/>
    <n v="0"/>
  </r>
  <r>
    <n v="3515"/>
    <s v="CA-2017-140326"/>
    <d v="2017-09-04T00:00:00"/>
    <x v="3"/>
    <s v="Q3"/>
    <x v="15"/>
    <d v="2017-09-06T00:00:00"/>
    <s v="First Class"/>
    <x v="304"/>
    <x v="304"/>
    <s v="Corporate"/>
    <s v="United States"/>
    <s v="Chicago"/>
    <x v="10"/>
    <n v="60653"/>
    <x v="2"/>
    <x v="130"/>
    <x v="1"/>
    <x v="6"/>
    <x v="131"/>
    <n v="6.9119999999999999"/>
    <s v="Low"/>
    <n v="3"/>
    <n v="0.2"/>
    <x v="2"/>
    <x v="2"/>
    <n v="0.86399999999999999"/>
    <n v="0.125"/>
    <n v="0"/>
  </r>
  <r>
    <n v="3516"/>
    <s v="CA-2016-168536"/>
    <d v="2016-12-20T00:00:00"/>
    <x v="0"/>
    <s v="Q4"/>
    <x v="5"/>
    <d v="2016-12-24T00:00:00"/>
    <s v="Standard Class"/>
    <x v="561"/>
    <x v="561"/>
    <s v="Consumer"/>
    <s v="United States"/>
    <s v="Jackson"/>
    <x v="35"/>
    <n v="39212"/>
    <x v="0"/>
    <x v="176"/>
    <x v="2"/>
    <x v="11"/>
    <x v="177"/>
    <n v="66.3"/>
    <s v="Medium"/>
    <n v="3"/>
    <n v="0"/>
    <x v="0"/>
    <x v="0"/>
    <n v="8.6189999999999998"/>
    <n v="0.13"/>
    <n v="0"/>
  </r>
  <r>
    <n v="3517"/>
    <s v="US-2016-113649"/>
    <d v="2016-08-09T00:00:00"/>
    <x v="0"/>
    <s v="Q3"/>
    <x v="28"/>
    <d v="2016-08-12T00:00:00"/>
    <s v="First Class"/>
    <x v="66"/>
    <x v="66"/>
    <s v="Consumer"/>
    <s v="United States"/>
    <s v="Fayetteville"/>
    <x v="3"/>
    <n v="28314"/>
    <x v="0"/>
    <x v="1012"/>
    <x v="1"/>
    <x v="10"/>
    <x v="1004"/>
    <n v="30.815999999999999"/>
    <s v="Medium"/>
    <n v="9"/>
    <n v="0.2"/>
    <x v="2"/>
    <x v="2"/>
    <n v="9.6300000000000008"/>
    <n v="0.31250000000000006"/>
    <n v="0"/>
  </r>
  <r>
    <n v="3518"/>
    <s v="US-2016-113649"/>
    <d v="2016-08-09T00:00:00"/>
    <x v="0"/>
    <s v="Q3"/>
    <x v="28"/>
    <d v="2016-08-12T00:00:00"/>
    <s v="First Class"/>
    <x v="66"/>
    <x v="66"/>
    <s v="Consumer"/>
    <s v="United States"/>
    <s v="Fayetteville"/>
    <x v="3"/>
    <n v="28314"/>
    <x v="0"/>
    <x v="1480"/>
    <x v="2"/>
    <x v="7"/>
    <x v="1467"/>
    <n v="44.783999999999999"/>
    <s v="Medium"/>
    <n v="2"/>
    <n v="0.2"/>
    <x v="2"/>
    <x v="2"/>
    <n v="4.4783999999999997"/>
    <n v="9.9999999999999992E-2"/>
    <n v="0"/>
  </r>
  <r>
    <n v="3519"/>
    <s v="US-2016-113649"/>
    <d v="2016-08-09T00:00:00"/>
    <x v="0"/>
    <s v="Q3"/>
    <x v="28"/>
    <d v="2016-08-12T00:00:00"/>
    <s v="First Class"/>
    <x v="66"/>
    <x v="66"/>
    <s v="Consumer"/>
    <s v="United States"/>
    <s v="Fayetteville"/>
    <x v="3"/>
    <n v="28314"/>
    <x v="0"/>
    <x v="159"/>
    <x v="1"/>
    <x v="9"/>
    <x v="160"/>
    <n v="569.53599999999994"/>
    <s v="High"/>
    <n v="4"/>
    <n v="0.2"/>
    <x v="2"/>
    <x v="2"/>
    <n v="64.072800000000001"/>
    <n v="0.11250000000000002"/>
    <n v="0"/>
  </r>
  <r>
    <n v="3520"/>
    <s v="CA-2015-124975"/>
    <d v="2015-06-22T00:00:00"/>
    <x v="1"/>
    <s v="Q2"/>
    <x v="40"/>
    <d v="2015-06-25T00:00:00"/>
    <s v="First Class"/>
    <x v="675"/>
    <x v="675"/>
    <s v="Home Office"/>
    <s v="United States"/>
    <s v="Aurora"/>
    <x v="10"/>
    <n v="60505"/>
    <x v="2"/>
    <x v="1337"/>
    <x v="0"/>
    <x v="3"/>
    <x v="1322"/>
    <n v="796.42499999999995"/>
    <s v="High"/>
    <n v="7"/>
    <n v="0.5"/>
    <x v="1"/>
    <x v="1"/>
    <n v="-525.64049999999997"/>
    <n v="-0.66"/>
    <n v="1"/>
  </r>
  <r>
    <n v="3521"/>
    <s v="CA-2015-168767"/>
    <d v="2015-04-10T00:00:00"/>
    <x v="1"/>
    <s v="Q2"/>
    <x v="19"/>
    <d v="2015-04-15T00:00:00"/>
    <s v="Standard Class"/>
    <x v="678"/>
    <x v="678"/>
    <s v="Corporate"/>
    <s v="United States"/>
    <s v="Sacramento"/>
    <x v="1"/>
    <n v="95823"/>
    <x v="1"/>
    <x v="385"/>
    <x v="1"/>
    <x v="8"/>
    <x v="386"/>
    <n v="12.832000000000001"/>
    <s v="Low"/>
    <n v="2"/>
    <n v="0.2"/>
    <x v="2"/>
    <x v="2"/>
    <n v="4.3308"/>
    <n v="0.33749999999999997"/>
    <n v="0"/>
  </r>
  <r>
    <n v="3522"/>
    <s v="CA-2016-114482"/>
    <d v="2016-11-21T00:00:00"/>
    <x v="0"/>
    <s v="Q4"/>
    <x v="0"/>
    <d v="2016-11-25T00:00:00"/>
    <s v="Second Class"/>
    <x v="664"/>
    <x v="664"/>
    <s v="Corporate"/>
    <s v="United States"/>
    <s v="Des Moines"/>
    <x v="23"/>
    <n v="50315"/>
    <x v="2"/>
    <x v="371"/>
    <x v="1"/>
    <x v="10"/>
    <x v="372"/>
    <n v="40.46"/>
    <s v="Medium"/>
    <n v="7"/>
    <n v="0"/>
    <x v="0"/>
    <x v="0"/>
    <n v="19.825399999999998"/>
    <n v="0.48999999999999994"/>
    <n v="0"/>
  </r>
  <r>
    <n v="3523"/>
    <s v="CA-2016-114482"/>
    <d v="2016-11-21T00:00:00"/>
    <x v="0"/>
    <s v="Q4"/>
    <x v="0"/>
    <d v="2016-11-25T00:00:00"/>
    <s v="Second Class"/>
    <x v="664"/>
    <x v="664"/>
    <s v="Corporate"/>
    <s v="United States"/>
    <s v="Des Moines"/>
    <x v="23"/>
    <n v="50315"/>
    <x v="2"/>
    <x v="233"/>
    <x v="2"/>
    <x v="7"/>
    <x v="234"/>
    <n v="404.94"/>
    <s v="High"/>
    <n v="3"/>
    <n v="0"/>
    <x v="0"/>
    <x v="0"/>
    <n v="109.3338"/>
    <n v="0.27"/>
    <n v="0"/>
  </r>
  <r>
    <n v="3524"/>
    <s v="CA-2016-137673"/>
    <d v="2016-09-05T00:00:00"/>
    <x v="0"/>
    <s v="Q3"/>
    <x v="21"/>
    <d v="2016-09-10T00:00:00"/>
    <s v="Standard Class"/>
    <x v="504"/>
    <x v="504"/>
    <s v="Corporate"/>
    <s v="United States"/>
    <s v="San Diego"/>
    <x v="1"/>
    <n v="92105"/>
    <x v="1"/>
    <x v="174"/>
    <x v="2"/>
    <x v="11"/>
    <x v="175"/>
    <n v="116"/>
    <s v="Medium"/>
    <n v="8"/>
    <n v="0"/>
    <x v="0"/>
    <x v="0"/>
    <n v="29"/>
    <n v="0.25"/>
    <n v="0"/>
  </r>
  <r>
    <n v="3525"/>
    <s v="CA-2016-132731"/>
    <d v="2016-11-24T00:00:00"/>
    <x v="0"/>
    <s v="Q4"/>
    <x v="0"/>
    <d v="2016-11-28T00:00:00"/>
    <s v="Standard Class"/>
    <x v="654"/>
    <x v="654"/>
    <s v="Consumer"/>
    <s v="United States"/>
    <s v="Dallas"/>
    <x v="5"/>
    <n v="75081"/>
    <x v="2"/>
    <x v="1546"/>
    <x v="2"/>
    <x v="7"/>
    <x v="1534"/>
    <n v="657.55200000000002"/>
    <s v="High"/>
    <n v="6"/>
    <n v="0.2"/>
    <x v="2"/>
    <x v="2"/>
    <n v="49.316400000000002"/>
    <n v="7.4999999999999997E-2"/>
    <n v="0"/>
  </r>
  <r>
    <n v="3526"/>
    <s v="CA-2017-148922"/>
    <d v="2017-12-10T00:00:00"/>
    <x v="3"/>
    <s v="Q4"/>
    <x v="22"/>
    <d v="2017-12-15T00:00:00"/>
    <s v="Second Class"/>
    <x v="711"/>
    <x v="711"/>
    <s v="Home Office"/>
    <s v="United States"/>
    <s v="Jackson"/>
    <x v="35"/>
    <n v="39212"/>
    <x v="0"/>
    <x v="651"/>
    <x v="2"/>
    <x v="11"/>
    <x v="651"/>
    <n v="599.97"/>
    <s v="High"/>
    <n v="3"/>
    <n v="0"/>
    <x v="0"/>
    <x v="0"/>
    <n v="257.9871"/>
    <n v="0.43"/>
    <n v="0"/>
  </r>
  <r>
    <n v="3527"/>
    <s v="CA-2017-148922"/>
    <d v="2017-12-10T00:00:00"/>
    <x v="3"/>
    <s v="Q4"/>
    <x v="22"/>
    <d v="2017-12-15T00:00:00"/>
    <s v="Second Class"/>
    <x v="711"/>
    <x v="711"/>
    <s v="Home Office"/>
    <s v="United States"/>
    <s v="Jackson"/>
    <x v="35"/>
    <n v="39212"/>
    <x v="0"/>
    <x v="780"/>
    <x v="2"/>
    <x v="7"/>
    <x v="779"/>
    <n v="38.97"/>
    <s v="Medium"/>
    <n v="3"/>
    <n v="0"/>
    <x v="0"/>
    <x v="0"/>
    <n v="0.77939999999999998"/>
    <n v="0.02"/>
    <n v="0"/>
  </r>
  <r>
    <n v="3528"/>
    <s v="CA-2017-148922"/>
    <d v="2017-12-10T00:00:00"/>
    <x v="3"/>
    <s v="Q4"/>
    <x v="22"/>
    <d v="2017-12-15T00:00:00"/>
    <s v="Second Class"/>
    <x v="711"/>
    <x v="711"/>
    <s v="Home Office"/>
    <s v="United States"/>
    <s v="Jackson"/>
    <x v="35"/>
    <n v="39212"/>
    <x v="0"/>
    <x v="1547"/>
    <x v="1"/>
    <x v="8"/>
    <x v="1535"/>
    <n v="45.84"/>
    <s v="Medium"/>
    <n v="8"/>
    <n v="0"/>
    <x v="0"/>
    <x v="0"/>
    <n v="22.0032"/>
    <n v="0.48"/>
    <n v="0"/>
  </r>
  <r>
    <n v="3529"/>
    <s v="CA-2016-130680"/>
    <d v="2016-06-24T00:00:00"/>
    <x v="0"/>
    <s v="Q2"/>
    <x v="1"/>
    <d v="2016-06-29T00:00:00"/>
    <s v="Standard Class"/>
    <x v="217"/>
    <x v="217"/>
    <s v="Consumer"/>
    <s v="United States"/>
    <s v="San Diego"/>
    <x v="1"/>
    <n v="92024"/>
    <x v="1"/>
    <x v="1378"/>
    <x v="2"/>
    <x v="7"/>
    <x v="1363"/>
    <n v="38.24"/>
    <s v="Medium"/>
    <n v="4"/>
    <n v="0.2"/>
    <x v="2"/>
    <x v="2"/>
    <n v="-9.56"/>
    <n v="-0.25"/>
    <n v="1"/>
  </r>
  <r>
    <n v="3530"/>
    <s v="CA-2015-141145"/>
    <d v="2015-09-17T00:00:00"/>
    <x v="1"/>
    <s v="Q3"/>
    <x v="11"/>
    <d v="2015-09-23T00:00:00"/>
    <s v="Standard Class"/>
    <x v="591"/>
    <x v="591"/>
    <s v="Consumer"/>
    <s v="United States"/>
    <s v="Orlando"/>
    <x v="2"/>
    <n v="32839"/>
    <x v="0"/>
    <x v="477"/>
    <x v="2"/>
    <x v="11"/>
    <x v="478"/>
    <n v="87.168000000000006"/>
    <s v="Medium"/>
    <n v="3"/>
    <n v="0.2"/>
    <x v="2"/>
    <x v="2"/>
    <n v="10.896000000000001"/>
    <n v="0.125"/>
    <n v="0"/>
  </r>
  <r>
    <n v="3531"/>
    <s v="US-2016-152835"/>
    <d v="2016-05-19T00:00:00"/>
    <x v="0"/>
    <s v="Q2"/>
    <x v="35"/>
    <d v="2016-05-23T00:00:00"/>
    <s v="Standard Class"/>
    <x v="532"/>
    <x v="532"/>
    <s v="Corporate"/>
    <s v="United States"/>
    <s v="Lafayette"/>
    <x v="14"/>
    <n v="47905"/>
    <x v="2"/>
    <x v="18"/>
    <x v="1"/>
    <x v="6"/>
    <x v="18"/>
    <n v="21.4"/>
    <s v="Low"/>
    <n v="5"/>
    <n v="0"/>
    <x v="0"/>
    <x v="0"/>
    <n v="6.2060000000000004"/>
    <n v="0.29000000000000004"/>
    <n v="0"/>
  </r>
  <r>
    <n v="3532"/>
    <s v="CA-2016-155565"/>
    <d v="2016-05-28T00:00:00"/>
    <x v="0"/>
    <s v="Q2"/>
    <x v="35"/>
    <d v="2016-05-28T00:00:00"/>
    <s v="Same Day"/>
    <x v="553"/>
    <x v="553"/>
    <s v="Corporate"/>
    <s v="United States"/>
    <s v="New York City"/>
    <x v="15"/>
    <n v="10035"/>
    <x v="3"/>
    <x v="133"/>
    <x v="1"/>
    <x v="14"/>
    <x v="134"/>
    <n v="54.9"/>
    <s v="Medium"/>
    <n v="5"/>
    <n v="0"/>
    <x v="0"/>
    <x v="0"/>
    <n v="15.372"/>
    <n v="0.28000000000000003"/>
    <n v="0"/>
  </r>
  <r>
    <n v="3533"/>
    <s v="CA-2014-110849"/>
    <d v="2014-04-18T00:00:00"/>
    <x v="2"/>
    <s v="Q2"/>
    <x v="41"/>
    <d v="2014-04-23T00:00:00"/>
    <s v="Standard Class"/>
    <x v="252"/>
    <x v="252"/>
    <s v="Consumer"/>
    <s v="United States"/>
    <s v="Los Angeles"/>
    <x v="1"/>
    <n v="90049"/>
    <x v="1"/>
    <x v="1548"/>
    <x v="2"/>
    <x v="15"/>
    <x v="1536"/>
    <n v="287.96800000000002"/>
    <s v="High"/>
    <n v="4"/>
    <n v="0.2"/>
    <x v="2"/>
    <x v="2"/>
    <n v="97.1892"/>
    <n v="0.33749999999999997"/>
    <n v="0"/>
  </r>
  <r>
    <n v="3534"/>
    <s v="CA-2014-110849"/>
    <d v="2014-04-18T00:00:00"/>
    <x v="2"/>
    <s v="Q2"/>
    <x v="41"/>
    <d v="2014-04-23T00:00:00"/>
    <s v="Standard Class"/>
    <x v="252"/>
    <x v="252"/>
    <s v="Consumer"/>
    <s v="United States"/>
    <s v="Los Angeles"/>
    <x v="1"/>
    <n v="90049"/>
    <x v="1"/>
    <x v="836"/>
    <x v="1"/>
    <x v="6"/>
    <x v="831"/>
    <n v="13.12"/>
    <s v="Low"/>
    <n v="4"/>
    <n v="0"/>
    <x v="0"/>
    <x v="0"/>
    <n v="3.8048000000000002"/>
    <n v="0.29000000000000004"/>
    <n v="0"/>
  </r>
  <r>
    <n v="3535"/>
    <s v="CA-2014-110849"/>
    <d v="2014-04-18T00:00:00"/>
    <x v="2"/>
    <s v="Q2"/>
    <x v="41"/>
    <d v="2014-04-23T00:00:00"/>
    <s v="Standard Class"/>
    <x v="252"/>
    <x v="252"/>
    <s v="Consumer"/>
    <s v="United States"/>
    <s v="Los Angeles"/>
    <x v="1"/>
    <n v="90049"/>
    <x v="1"/>
    <x v="1539"/>
    <x v="1"/>
    <x v="6"/>
    <x v="1527"/>
    <n v="10.75"/>
    <s v="Low"/>
    <n v="5"/>
    <n v="0"/>
    <x v="0"/>
    <x v="0"/>
    <n v="3.5474999999999999"/>
    <n v="0.33"/>
    <n v="0"/>
  </r>
  <r>
    <n v="3536"/>
    <s v="CA-2014-110849"/>
    <d v="2014-04-18T00:00:00"/>
    <x v="2"/>
    <s v="Q2"/>
    <x v="41"/>
    <d v="2014-04-23T00:00:00"/>
    <s v="Standard Class"/>
    <x v="252"/>
    <x v="252"/>
    <s v="Consumer"/>
    <s v="United States"/>
    <s v="Los Angeles"/>
    <x v="1"/>
    <n v="90049"/>
    <x v="1"/>
    <x v="195"/>
    <x v="1"/>
    <x v="13"/>
    <x v="196"/>
    <n v="11.62"/>
    <s v="Low"/>
    <n v="2"/>
    <n v="0"/>
    <x v="0"/>
    <x v="0"/>
    <n v="3.6021999999999998"/>
    <n v="0.31"/>
    <n v="0"/>
  </r>
  <r>
    <n v="3537"/>
    <s v="CA-2016-145842"/>
    <d v="2016-06-17T00:00:00"/>
    <x v="0"/>
    <s v="Q2"/>
    <x v="1"/>
    <d v="2016-06-20T00:00:00"/>
    <s v="Second Class"/>
    <x v="248"/>
    <x v="248"/>
    <s v="Consumer"/>
    <s v="United States"/>
    <s v="New York City"/>
    <x v="15"/>
    <n v="10024"/>
    <x v="3"/>
    <x v="1033"/>
    <x v="1"/>
    <x v="4"/>
    <x v="1024"/>
    <n v="40.74"/>
    <s v="Medium"/>
    <n v="3"/>
    <n v="0"/>
    <x v="0"/>
    <x v="0"/>
    <n v="0.40739999999999998"/>
    <n v="9.9999999999999985E-3"/>
    <n v="0"/>
  </r>
  <r>
    <n v="3538"/>
    <s v="CA-2014-158771"/>
    <d v="2014-05-09T00:00:00"/>
    <x v="2"/>
    <s v="Q2"/>
    <x v="8"/>
    <d v="2014-05-09T00:00:00"/>
    <s v="Same Day"/>
    <x v="115"/>
    <x v="115"/>
    <s v="Corporate"/>
    <s v="United States"/>
    <s v="Henderson"/>
    <x v="0"/>
    <n v="42420"/>
    <x v="0"/>
    <x v="17"/>
    <x v="1"/>
    <x v="4"/>
    <x v="17"/>
    <n v="83.25"/>
    <s v="Medium"/>
    <n v="3"/>
    <n v="0"/>
    <x v="0"/>
    <x v="0"/>
    <n v="14.984999999999999"/>
    <n v="0.18"/>
    <n v="0"/>
  </r>
  <r>
    <n v="3539"/>
    <s v="CA-2014-158771"/>
    <d v="2014-05-09T00:00:00"/>
    <x v="2"/>
    <s v="Q2"/>
    <x v="8"/>
    <d v="2014-05-09T00:00:00"/>
    <s v="Same Day"/>
    <x v="115"/>
    <x v="115"/>
    <s v="Corporate"/>
    <s v="United States"/>
    <s v="Henderson"/>
    <x v="0"/>
    <n v="42420"/>
    <x v="0"/>
    <x v="1042"/>
    <x v="1"/>
    <x v="2"/>
    <x v="1031"/>
    <n v="9.4499999999999993"/>
    <s v="Low"/>
    <n v="3"/>
    <n v="0"/>
    <x v="0"/>
    <x v="0"/>
    <n v="4.5359999999999996"/>
    <n v="0.48"/>
    <n v="0"/>
  </r>
  <r>
    <n v="3540"/>
    <s v="CA-2014-158771"/>
    <d v="2014-05-09T00:00:00"/>
    <x v="2"/>
    <s v="Q2"/>
    <x v="8"/>
    <d v="2014-05-09T00:00:00"/>
    <s v="Same Day"/>
    <x v="115"/>
    <x v="115"/>
    <s v="Corporate"/>
    <s v="United States"/>
    <s v="Henderson"/>
    <x v="0"/>
    <n v="42420"/>
    <x v="0"/>
    <x v="1008"/>
    <x v="1"/>
    <x v="2"/>
    <x v="1000"/>
    <n v="20.65"/>
    <s v="Low"/>
    <n v="5"/>
    <n v="0"/>
    <x v="0"/>
    <x v="0"/>
    <n v="9.4990000000000006"/>
    <n v="0.46000000000000008"/>
    <n v="0"/>
  </r>
  <r>
    <n v="3541"/>
    <s v="CA-2014-158771"/>
    <d v="2014-05-09T00:00:00"/>
    <x v="2"/>
    <s v="Q2"/>
    <x v="8"/>
    <d v="2014-05-09T00:00:00"/>
    <s v="Same Day"/>
    <x v="115"/>
    <x v="115"/>
    <s v="Corporate"/>
    <s v="United States"/>
    <s v="Henderson"/>
    <x v="0"/>
    <n v="42420"/>
    <x v="0"/>
    <x v="1076"/>
    <x v="1"/>
    <x v="10"/>
    <x v="1066"/>
    <n v="45.36"/>
    <s v="Medium"/>
    <n v="7"/>
    <n v="0"/>
    <x v="0"/>
    <x v="0"/>
    <n v="21.7728"/>
    <n v="0.48"/>
    <n v="0"/>
  </r>
  <r>
    <n v="3542"/>
    <s v="CA-2016-157511"/>
    <d v="2016-09-18T00:00:00"/>
    <x v="0"/>
    <s v="Q3"/>
    <x v="21"/>
    <d v="2016-09-20T00:00:00"/>
    <s v="First Class"/>
    <x v="277"/>
    <x v="277"/>
    <s v="Consumer"/>
    <s v="United States"/>
    <s v="Columbus"/>
    <x v="24"/>
    <n v="43229"/>
    <x v="3"/>
    <x v="1348"/>
    <x v="0"/>
    <x v="5"/>
    <x v="1333"/>
    <n v="5.3520000000000003"/>
    <s v="Low"/>
    <n v="3"/>
    <n v="0.2"/>
    <x v="2"/>
    <x v="2"/>
    <n v="1.6055999999999999"/>
    <n v="0.3"/>
    <n v="0"/>
  </r>
  <r>
    <n v="3543"/>
    <s v="CA-2016-157511"/>
    <d v="2016-09-18T00:00:00"/>
    <x v="0"/>
    <s v="Q3"/>
    <x v="21"/>
    <d v="2016-09-20T00:00:00"/>
    <s v="First Class"/>
    <x v="277"/>
    <x v="277"/>
    <s v="Consumer"/>
    <s v="United States"/>
    <s v="Columbus"/>
    <x v="24"/>
    <n v="43229"/>
    <x v="3"/>
    <x v="474"/>
    <x v="0"/>
    <x v="1"/>
    <x v="475"/>
    <n v="99.372"/>
    <s v="Medium"/>
    <n v="2"/>
    <n v="0.3"/>
    <x v="1"/>
    <x v="4"/>
    <n v="-7.0979999999999999"/>
    <n v="-7.1428571428571425E-2"/>
    <n v="1"/>
  </r>
  <r>
    <n v="3544"/>
    <s v="CA-2016-157511"/>
    <d v="2016-09-18T00:00:00"/>
    <x v="0"/>
    <s v="Q3"/>
    <x v="21"/>
    <d v="2016-09-20T00:00:00"/>
    <s v="First Class"/>
    <x v="277"/>
    <x v="277"/>
    <s v="Consumer"/>
    <s v="United States"/>
    <s v="Columbus"/>
    <x v="24"/>
    <n v="43229"/>
    <x v="3"/>
    <x v="1216"/>
    <x v="1"/>
    <x v="6"/>
    <x v="1200"/>
    <n v="2.6720000000000002"/>
    <s v="Low"/>
    <n v="1"/>
    <n v="0.2"/>
    <x v="2"/>
    <x v="2"/>
    <n v="0.3674"/>
    <n v="0.13749999999999998"/>
    <n v="0"/>
  </r>
  <r>
    <n v="3545"/>
    <s v="CA-2017-121216"/>
    <d v="2017-12-23T00:00:00"/>
    <x v="3"/>
    <s v="Q4"/>
    <x v="22"/>
    <d v="2017-12-25T00:00:00"/>
    <s v="Second Class"/>
    <x v="462"/>
    <x v="462"/>
    <s v="Consumer"/>
    <s v="United States"/>
    <s v="College Station"/>
    <x v="5"/>
    <n v="77840"/>
    <x v="2"/>
    <x v="1056"/>
    <x v="1"/>
    <x v="10"/>
    <x v="1045"/>
    <n v="28.672000000000001"/>
    <s v="Medium"/>
    <n v="8"/>
    <n v="0.2"/>
    <x v="2"/>
    <x v="2"/>
    <n v="10.393599999999999"/>
    <n v="0.36249999999999999"/>
    <n v="0"/>
  </r>
  <r>
    <n v="3546"/>
    <s v="CA-2017-121216"/>
    <d v="2017-12-23T00:00:00"/>
    <x v="3"/>
    <s v="Q4"/>
    <x v="22"/>
    <d v="2017-12-25T00:00:00"/>
    <s v="Second Class"/>
    <x v="462"/>
    <x v="462"/>
    <s v="Consumer"/>
    <s v="United States"/>
    <s v="College Station"/>
    <x v="5"/>
    <n v="77840"/>
    <x v="2"/>
    <x v="1549"/>
    <x v="1"/>
    <x v="9"/>
    <x v="1537"/>
    <n v="29.312000000000001"/>
    <s v="Medium"/>
    <n v="8"/>
    <n v="0.8"/>
    <x v="1"/>
    <x v="3"/>
    <n v="-74.745599999999996"/>
    <n v="-2.5499999999999998"/>
    <n v="1"/>
  </r>
  <r>
    <n v="3547"/>
    <s v="CA-2017-155292"/>
    <d v="2017-10-30T00:00:00"/>
    <x v="3"/>
    <s v="Q4"/>
    <x v="13"/>
    <d v="2017-11-01T00:00:00"/>
    <s v="First Class"/>
    <x v="279"/>
    <x v="279"/>
    <s v="Home Office"/>
    <s v="United States"/>
    <s v="Richmond"/>
    <x v="0"/>
    <n v="40475"/>
    <x v="0"/>
    <x v="464"/>
    <x v="1"/>
    <x v="4"/>
    <x v="465"/>
    <n v="105.98"/>
    <s v="Medium"/>
    <n v="7"/>
    <n v="0"/>
    <x v="0"/>
    <x v="0"/>
    <n v="4.2392000000000003"/>
    <n v="0.04"/>
    <n v="0"/>
  </r>
  <r>
    <n v="3548"/>
    <s v="CA-2017-155292"/>
    <d v="2017-10-30T00:00:00"/>
    <x v="3"/>
    <s v="Q4"/>
    <x v="13"/>
    <d v="2017-11-01T00:00:00"/>
    <s v="First Class"/>
    <x v="279"/>
    <x v="279"/>
    <s v="Home Office"/>
    <s v="United States"/>
    <s v="Richmond"/>
    <x v="0"/>
    <n v="40475"/>
    <x v="0"/>
    <x v="354"/>
    <x v="1"/>
    <x v="14"/>
    <x v="354"/>
    <n v="35.06"/>
    <s v="Medium"/>
    <n v="2"/>
    <n v="0"/>
    <x v="0"/>
    <x v="0"/>
    <n v="10.518000000000001"/>
    <n v="0.3"/>
    <n v="0"/>
  </r>
  <r>
    <n v="3549"/>
    <s v="CA-2017-155292"/>
    <d v="2017-10-30T00:00:00"/>
    <x v="3"/>
    <s v="Q4"/>
    <x v="13"/>
    <d v="2017-11-01T00:00:00"/>
    <s v="First Class"/>
    <x v="279"/>
    <x v="279"/>
    <s v="Home Office"/>
    <s v="United States"/>
    <s v="Richmond"/>
    <x v="0"/>
    <n v="40475"/>
    <x v="0"/>
    <x v="1272"/>
    <x v="0"/>
    <x v="1"/>
    <x v="1257"/>
    <n v="33.94"/>
    <s v="Medium"/>
    <n v="1"/>
    <n v="0"/>
    <x v="0"/>
    <x v="0"/>
    <n v="9.1638000000000002"/>
    <n v="0.27"/>
    <n v="0"/>
  </r>
  <r>
    <n v="3550"/>
    <s v="CA-2017-155292"/>
    <d v="2017-10-30T00:00:00"/>
    <x v="3"/>
    <s v="Q4"/>
    <x v="13"/>
    <d v="2017-11-01T00:00:00"/>
    <s v="First Class"/>
    <x v="279"/>
    <x v="279"/>
    <s v="Home Office"/>
    <s v="United States"/>
    <s v="Richmond"/>
    <x v="0"/>
    <n v="40475"/>
    <x v="0"/>
    <x v="1550"/>
    <x v="1"/>
    <x v="2"/>
    <x v="1538"/>
    <n v="30"/>
    <s v="Medium"/>
    <n v="8"/>
    <n v="0"/>
    <x v="0"/>
    <x v="0"/>
    <n v="14.4"/>
    <n v="0.48000000000000004"/>
    <n v="0"/>
  </r>
  <r>
    <n v="3551"/>
    <s v="CA-2016-152555"/>
    <d v="2016-03-29T00:00:00"/>
    <x v="0"/>
    <s v="Q1"/>
    <x v="17"/>
    <d v="2016-04-02T00:00:00"/>
    <s v="Second Class"/>
    <x v="467"/>
    <x v="467"/>
    <s v="Home Office"/>
    <s v="United States"/>
    <s v="Chicago"/>
    <x v="10"/>
    <n v="60653"/>
    <x v="2"/>
    <x v="1237"/>
    <x v="1"/>
    <x v="10"/>
    <x v="1220"/>
    <n v="45.527999999999999"/>
    <s v="Medium"/>
    <n v="3"/>
    <n v="0.2"/>
    <x v="2"/>
    <x v="2"/>
    <n v="15.934799999999999"/>
    <n v="0.35"/>
    <n v="0"/>
  </r>
  <r>
    <n v="3552"/>
    <s v="CA-2016-152555"/>
    <d v="2016-03-29T00:00:00"/>
    <x v="0"/>
    <s v="Q1"/>
    <x v="17"/>
    <d v="2016-04-02T00:00:00"/>
    <s v="Second Class"/>
    <x v="467"/>
    <x v="467"/>
    <s v="Home Office"/>
    <s v="United States"/>
    <s v="Chicago"/>
    <x v="10"/>
    <n v="60653"/>
    <x v="2"/>
    <x v="228"/>
    <x v="0"/>
    <x v="1"/>
    <x v="229"/>
    <n v="844.11599999999999"/>
    <s v="High"/>
    <n v="6"/>
    <n v="0.3"/>
    <x v="1"/>
    <x v="4"/>
    <n v="-36.176400000000001"/>
    <n v="-4.2857142857142858E-2"/>
    <n v="1"/>
  </r>
  <r>
    <n v="3553"/>
    <s v="CA-2016-152555"/>
    <d v="2016-03-29T00:00:00"/>
    <x v="0"/>
    <s v="Q1"/>
    <x v="17"/>
    <d v="2016-04-02T00:00:00"/>
    <s v="Second Class"/>
    <x v="467"/>
    <x v="467"/>
    <s v="Home Office"/>
    <s v="United States"/>
    <s v="Chicago"/>
    <x v="10"/>
    <n v="60653"/>
    <x v="2"/>
    <x v="143"/>
    <x v="2"/>
    <x v="7"/>
    <x v="144"/>
    <n v="812.73599999999999"/>
    <s v="High"/>
    <n v="8"/>
    <n v="0.2"/>
    <x v="2"/>
    <x v="2"/>
    <n v="60.955199999999998"/>
    <n v="7.4999999999999997E-2"/>
    <n v="0"/>
  </r>
  <r>
    <n v="3554"/>
    <s v="CA-2017-107832"/>
    <d v="2017-11-23T00:00:00"/>
    <x v="3"/>
    <s v="Q4"/>
    <x v="23"/>
    <d v="2017-11-26T00:00:00"/>
    <s v="Second Class"/>
    <x v="395"/>
    <x v="395"/>
    <s v="Corporate"/>
    <s v="United States"/>
    <s v="Philadelphia"/>
    <x v="9"/>
    <n v="19120"/>
    <x v="3"/>
    <x v="444"/>
    <x v="1"/>
    <x v="8"/>
    <x v="444"/>
    <n v="7.476"/>
    <s v="Low"/>
    <n v="1"/>
    <n v="0.7"/>
    <x v="1"/>
    <x v="5"/>
    <n v="-5.9808000000000003"/>
    <n v="-0.8"/>
    <n v="1"/>
  </r>
  <r>
    <n v="3555"/>
    <s v="CA-2014-120838"/>
    <d v="2014-03-23T00:00:00"/>
    <x v="2"/>
    <s v="Q1"/>
    <x v="34"/>
    <d v="2014-03-26T00:00:00"/>
    <s v="Second Class"/>
    <x v="22"/>
    <x v="22"/>
    <s v="Consumer"/>
    <s v="United States"/>
    <s v="Los Angeles"/>
    <x v="1"/>
    <n v="90036"/>
    <x v="1"/>
    <x v="546"/>
    <x v="1"/>
    <x v="4"/>
    <x v="546"/>
    <n v="330.4"/>
    <s v="High"/>
    <n v="2"/>
    <n v="0"/>
    <x v="0"/>
    <x v="0"/>
    <n v="85.903999999999996"/>
    <n v="0.26"/>
    <n v="0"/>
  </r>
  <r>
    <n v="3556"/>
    <s v="CA-2014-120838"/>
    <d v="2014-03-23T00:00:00"/>
    <x v="2"/>
    <s v="Q1"/>
    <x v="34"/>
    <d v="2014-03-26T00:00:00"/>
    <s v="Second Class"/>
    <x v="22"/>
    <x v="22"/>
    <s v="Consumer"/>
    <s v="United States"/>
    <s v="Los Angeles"/>
    <x v="1"/>
    <n v="90036"/>
    <x v="1"/>
    <x v="1551"/>
    <x v="2"/>
    <x v="7"/>
    <x v="1539"/>
    <n v="604.75199999999995"/>
    <s v="High"/>
    <n v="6"/>
    <n v="0.2"/>
    <x v="2"/>
    <x v="2"/>
    <n v="37.796999999999997"/>
    <n v="6.25E-2"/>
    <n v="0"/>
  </r>
  <r>
    <n v="3557"/>
    <s v="CA-2017-118542"/>
    <d v="2017-12-01T00:00:00"/>
    <x v="3"/>
    <s v="Q4"/>
    <x v="22"/>
    <d v="2017-12-05T00:00:00"/>
    <s v="Standard Class"/>
    <x v="142"/>
    <x v="142"/>
    <s v="Consumer"/>
    <s v="United States"/>
    <s v="Los Angeles"/>
    <x v="1"/>
    <n v="90008"/>
    <x v="1"/>
    <x v="832"/>
    <x v="1"/>
    <x v="10"/>
    <x v="827"/>
    <n v="45.36"/>
    <s v="Medium"/>
    <n v="7"/>
    <n v="0"/>
    <x v="0"/>
    <x v="0"/>
    <n v="21.7728"/>
    <n v="0.48"/>
    <n v="0"/>
  </r>
  <r>
    <n v="3558"/>
    <s v="CA-2017-118542"/>
    <d v="2017-12-01T00:00:00"/>
    <x v="3"/>
    <s v="Q4"/>
    <x v="22"/>
    <d v="2017-12-05T00:00:00"/>
    <s v="Standard Class"/>
    <x v="142"/>
    <x v="142"/>
    <s v="Consumer"/>
    <s v="United States"/>
    <s v="Los Angeles"/>
    <x v="1"/>
    <n v="90008"/>
    <x v="1"/>
    <x v="858"/>
    <x v="1"/>
    <x v="8"/>
    <x v="852"/>
    <n v="10.128"/>
    <s v="Low"/>
    <n v="2"/>
    <n v="0.2"/>
    <x v="2"/>
    <x v="2"/>
    <n v="3.6714000000000002"/>
    <n v="0.36250000000000004"/>
    <n v="0"/>
  </r>
  <r>
    <n v="3559"/>
    <s v="CA-2017-152737"/>
    <d v="2017-11-07T00:00:00"/>
    <x v="3"/>
    <s v="Q4"/>
    <x v="23"/>
    <d v="2017-11-12T00:00:00"/>
    <s v="Standard Class"/>
    <x v="700"/>
    <x v="700"/>
    <s v="Consumer"/>
    <s v="United States"/>
    <s v="San Francisco"/>
    <x v="1"/>
    <n v="94122"/>
    <x v="1"/>
    <x v="1282"/>
    <x v="1"/>
    <x v="8"/>
    <x v="1267"/>
    <n v="21.792000000000002"/>
    <s v="Low"/>
    <n v="4"/>
    <n v="0.2"/>
    <x v="2"/>
    <x v="2"/>
    <n v="7.6272000000000002"/>
    <n v="0.35"/>
    <n v="0"/>
  </r>
  <r>
    <n v="3560"/>
    <s v="CA-2017-152737"/>
    <d v="2017-11-07T00:00:00"/>
    <x v="3"/>
    <s v="Q4"/>
    <x v="23"/>
    <d v="2017-11-12T00:00:00"/>
    <s v="Standard Class"/>
    <x v="700"/>
    <x v="700"/>
    <s v="Consumer"/>
    <s v="United States"/>
    <s v="San Francisco"/>
    <x v="1"/>
    <n v="94122"/>
    <x v="1"/>
    <x v="989"/>
    <x v="2"/>
    <x v="11"/>
    <x v="982"/>
    <n v="439.8"/>
    <s v="High"/>
    <n v="4"/>
    <n v="0"/>
    <x v="0"/>
    <x v="0"/>
    <n v="145.13399999999999"/>
    <n v="0.32999999999999996"/>
    <n v="0"/>
  </r>
  <r>
    <n v="3561"/>
    <s v="CA-2017-109757"/>
    <d v="2017-09-04T00:00:00"/>
    <x v="3"/>
    <s v="Q3"/>
    <x v="15"/>
    <d v="2017-09-09T00:00:00"/>
    <s v="Second Class"/>
    <x v="198"/>
    <x v="198"/>
    <s v="Consumer"/>
    <s v="United States"/>
    <s v="Akron"/>
    <x v="24"/>
    <n v="44312"/>
    <x v="3"/>
    <x v="679"/>
    <x v="1"/>
    <x v="6"/>
    <x v="679"/>
    <n v="8.2560000000000002"/>
    <s v="Low"/>
    <n v="4"/>
    <n v="0.2"/>
    <x v="2"/>
    <x v="2"/>
    <n v="0.61919999999999997"/>
    <n v="7.4999999999999997E-2"/>
    <n v="0"/>
  </r>
  <r>
    <n v="3562"/>
    <s v="CA-2017-109757"/>
    <d v="2017-09-04T00:00:00"/>
    <x v="3"/>
    <s v="Q3"/>
    <x v="15"/>
    <d v="2017-09-09T00:00:00"/>
    <s v="Second Class"/>
    <x v="198"/>
    <x v="198"/>
    <s v="Consumer"/>
    <s v="United States"/>
    <s v="Akron"/>
    <x v="24"/>
    <n v="44312"/>
    <x v="3"/>
    <x v="822"/>
    <x v="1"/>
    <x v="8"/>
    <x v="818"/>
    <n v="25.56"/>
    <s v="Medium"/>
    <n v="5"/>
    <n v="0.7"/>
    <x v="1"/>
    <x v="5"/>
    <n v="-20.448"/>
    <n v="-0.8"/>
    <n v="1"/>
  </r>
  <r>
    <n v="3563"/>
    <s v="CA-2017-109757"/>
    <d v="2017-09-04T00:00:00"/>
    <x v="3"/>
    <s v="Q3"/>
    <x v="15"/>
    <d v="2017-09-09T00:00:00"/>
    <s v="Second Class"/>
    <x v="198"/>
    <x v="198"/>
    <s v="Consumer"/>
    <s v="United States"/>
    <s v="Akron"/>
    <x v="24"/>
    <n v="44312"/>
    <x v="3"/>
    <x v="24"/>
    <x v="1"/>
    <x v="8"/>
    <x v="24"/>
    <n v="4.3680000000000003"/>
    <s v="Low"/>
    <n v="2"/>
    <n v="0.7"/>
    <x v="1"/>
    <x v="5"/>
    <n v="-3.0575999999999999"/>
    <n v="-0.7"/>
    <n v="1"/>
  </r>
  <r>
    <n v="3564"/>
    <s v="CA-2017-109757"/>
    <d v="2017-09-04T00:00:00"/>
    <x v="3"/>
    <s v="Q3"/>
    <x v="15"/>
    <d v="2017-09-09T00:00:00"/>
    <s v="Second Class"/>
    <x v="198"/>
    <x v="198"/>
    <s v="Consumer"/>
    <s v="United States"/>
    <s v="Akron"/>
    <x v="24"/>
    <n v="44312"/>
    <x v="3"/>
    <x v="1552"/>
    <x v="1"/>
    <x v="10"/>
    <x v="1540"/>
    <n v="11.52"/>
    <s v="Low"/>
    <n v="4"/>
    <n v="0.2"/>
    <x v="2"/>
    <x v="2"/>
    <n v="3.7440000000000002"/>
    <n v="0.32500000000000001"/>
    <n v="0"/>
  </r>
  <r>
    <n v="3565"/>
    <s v="CA-2016-130029"/>
    <d v="2016-07-03T00:00:00"/>
    <x v="0"/>
    <s v="Q3"/>
    <x v="16"/>
    <d v="2016-07-06T00:00:00"/>
    <s v="First Class"/>
    <x v="150"/>
    <x v="150"/>
    <s v="Consumer"/>
    <s v="United States"/>
    <s v="Los Angeles"/>
    <x v="1"/>
    <n v="90049"/>
    <x v="1"/>
    <x v="1553"/>
    <x v="1"/>
    <x v="10"/>
    <x v="1541"/>
    <n v="12.96"/>
    <s v="Low"/>
    <n v="2"/>
    <n v="0"/>
    <x v="0"/>
    <x v="0"/>
    <n v="6.2207999999999997"/>
    <n v="0.47999999999999993"/>
    <n v="0"/>
  </r>
  <r>
    <n v="3566"/>
    <s v="CA-2016-130029"/>
    <d v="2016-07-03T00:00:00"/>
    <x v="0"/>
    <s v="Q3"/>
    <x v="16"/>
    <d v="2016-07-06T00:00:00"/>
    <s v="First Class"/>
    <x v="150"/>
    <x v="150"/>
    <s v="Consumer"/>
    <s v="United States"/>
    <s v="Los Angeles"/>
    <x v="1"/>
    <n v="90049"/>
    <x v="1"/>
    <x v="1079"/>
    <x v="1"/>
    <x v="13"/>
    <x v="1069"/>
    <n v="3.96"/>
    <s v="Low"/>
    <n v="2"/>
    <n v="0"/>
    <x v="0"/>
    <x v="0"/>
    <n v="7.9200000000000007E-2"/>
    <n v="0.02"/>
    <n v="0"/>
  </r>
  <r>
    <n v="3567"/>
    <s v="CA-2017-103877"/>
    <d v="2017-09-07T00:00:00"/>
    <x v="3"/>
    <s v="Q3"/>
    <x v="15"/>
    <d v="2017-09-14T00:00:00"/>
    <s v="Standard Class"/>
    <x v="372"/>
    <x v="372"/>
    <s v="Home Office"/>
    <s v="United States"/>
    <s v="Independence"/>
    <x v="25"/>
    <n v="64055"/>
    <x v="2"/>
    <x v="115"/>
    <x v="1"/>
    <x v="8"/>
    <x v="115"/>
    <n v="1577.94"/>
    <s v="High"/>
    <n v="3"/>
    <n v="0"/>
    <x v="0"/>
    <x v="0"/>
    <n v="757.41120000000001"/>
    <n v="0.48"/>
    <n v="0"/>
  </r>
  <r>
    <n v="3568"/>
    <s v="CA-2016-137176"/>
    <d v="2016-09-09T00:00:00"/>
    <x v="0"/>
    <s v="Q3"/>
    <x v="21"/>
    <d v="2016-09-14T00:00:00"/>
    <s v="Second Class"/>
    <x v="626"/>
    <x v="626"/>
    <s v="Home Office"/>
    <s v="United States"/>
    <s v="Dallas"/>
    <x v="5"/>
    <n v="75220"/>
    <x v="2"/>
    <x v="1441"/>
    <x v="0"/>
    <x v="5"/>
    <x v="1429"/>
    <n v="15.007999999999999"/>
    <s v="Low"/>
    <n v="4"/>
    <n v="0.6"/>
    <x v="1"/>
    <x v="6"/>
    <n v="-12.006399999999999"/>
    <n v="-0.8"/>
    <n v="1"/>
  </r>
  <r>
    <n v="3569"/>
    <s v="CA-2017-168109"/>
    <d v="2017-07-03T00:00:00"/>
    <x v="3"/>
    <s v="Q3"/>
    <x v="10"/>
    <d v="2017-07-03T00:00:00"/>
    <s v="Same Day"/>
    <x v="82"/>
    <x v="82"/>
    <s v="Home Office"/>
    <s v="United States"/>
    <s v="Seattle"/>
    <x v="4"/>
    <n v="98105"/>
    <x v="1"/>
    <x v="246"/>
    <x v="2"/>
    <x v="11"/>
    <x v="247"/>
    <n v="59.98"/>
    <s v="Medium"/>
    <n v="2"/>
    <n v="0"/>
    <x v="0"/>
    <x v="0"/>
    <n v="26.391200000000001"/>
    <n v="0.44000000000000006"/>
    <n v="0"/>
  </r>
  <r>
    <n v="3570"/>
    <s v="CA-2017-168109"/>
    <d v="2017-07-03T00:00:00"/>
    <x v="3"/>
    <s v="Q3"/>
    <x v="10"/>
    <d v="2017-07-03T00:00:00"/>
    <s v="Same Day"/>
    <x v="82"/>
    <x v="82"/>
    <s v="Home Office"/>
    <s v="United States"/>
    <s v="Seattle"/>
    <x v="4"/>
    <n v="98105"/>
    <x v="1"/>
    <x v="206"/>
    <x v="2"/>
    <x v="15"/>
    <x v="1542"/>
    <n v="2395.1999999999998"/>
    <s v="High"/>
    <n v="6"/>
    <n v="0.2"/>
    <x v="2"/>
    <x v="2"/>
    <n v="209.58"/>
    <n v="8.7500000000000008E-2"/>
    <n v="0"/>
  </r>
  <r>
    <n v="3571"/>
    <s v="CA-2017-168109"/>
    <d v="2017-07-03T00:00:00"/>
    <x v="3"/>
    <s v="Q3"/>
    <x v="10"/>
    <d v="2017-07-03T00:00:00"/>
    <s v="Same Day"/>
    <x v="82"/>
    <x v="82"/>
    <s v="Home Office"/>
    <s v="United States"/>
    <s v="Seattle"/>
    <x v="4"/>
    <n v="98105"/>
    <x v="1"/>
    <x v="695"/>
    <x v="2"/>
    <x v="11"/>
    <x v="1062"/>
    <n v="1687.8"/>
    <s v="High"/>
    <n v="4"/>
    <n v="0"/>
    <x v="0"/>
    <x v="0"/>
    <n v="742.63199999999995"/>
    <n v="0.44"/>
    <n v="0"/>
  </r>
  <r>
    <n v="3572"/>
    <s v="CA-2017-168109"/>
    <d v="2017-07-03T00:00:00"/>
    <x v="3"/>
    <s v="Q3"/>
    <x v="10"/>
    <d v="2017-07-03T00:00:00"/>
    <s v="Same Day"/>
    <x v="82"/>
    <x v="82"/>
    <s v="Home Office"/>
    <s v="United States"/>
    <s v="Seattle"/>
    <x v="4"/>
    <n v="98105"/>
    <x v="1"/>
    <x v="312"/>
    <x v="2"/>
    <x v="7"/>
    <x v="312"/>
    <n v="7.992"/>
    <s v="Low"/>
    <n v="1"/>
    <n v="0.2"/>
    <x v="2"/>
    <x v="2"/>
    <n v="2.6972999999999998"/>
    <n v="0.33749999999999997"/>
    <n v="0"/>
  </r>
  <r>
    <n v="3573"/>
    <s v="US-2017-126081"/>
    <d v="2017-06-29T00:00:00"/>
    <x v="3"/>
    <s v="Q2"/>
    <x v="27"/>
    <d v="2017-07-04T00:00:00"/>
    <s v="Standard Class"/>
    <x v="712"/>
    <x v="712"/>
    <s v="Corporate"/>
    <s v="United States"/>
    <s v="Mesquite"/>
    <x v="5"/>
    <n v="75150"/>
    <x v="2"/>
    <x v="644"/>
    <x v="1"/>
    <x v="10"/>
    <x v="644"/>
    <n v="5.1840000000000002"/>
    <s v="Low"/>
    <n v="1"/>
    <n v="0.2"/>
    <x v="2"/>
    <x v="2"/>
    <n v="1.8144"/>
    <n v="0.35"/>
    <n v="0"/>
  </r>
  <r>
    <n v="3574"/>
    <s v="CA-2017-117023"/>
    <d v="2017-08-07T00:00:00"/>
    <x v="3"/>
    <s v="Q3"/>
    <x v="43"/>
    <d v="2017-08-12T00:00:00"/>
    <s v="Standard Class"/>
    <x v="527"/>
    <x v="527"/>
    <s v="Consumer"/>
    <s v="United States"/>
    <s v="Long Beach"/>
    <x v="15"/>
    <n v="11561"/>
    <x v="3"/>
    <x v="241"/>
    <x v="1"/>
    <x v="6"/>
    <x v="242"/>
    <n v="11.68"/>
    <s v="Low"/>
    <n v="2"/>
    <n v="0"/>
    <x v="0"/>
    <x v="0"/>
    <n v="5.4896000000000003"/>
    <n v="0.47000000000000003"/>
    <n v="0"/>
  </r>
  <r>
    <n v="3575"/>
    <s v="CA-2017-117023"/>
    <d v="2017-08-07T00:00:00"/>
    <x v="3"/>
    <s v="Q3"/>
    <x v="43"/>
    <d v="2017-08-12T00:00:00"/>
    <s v="Standard Class"/>
    <x v="527"/>
    <x v="527"/>
    <s v="Consumer"/>
    <s v="United States"/>
    <s v="Long Beach"/>
    <x v="15"/>
    <n v="11561"/>
    <x v="3"/>
    <x v="1554"/>
    <x v="1"/>
    <x v="6"/>
    <x v="772"/>
    <n v="104.8"/>
    <s v="Medium"/>
    <n v="10"/>
    <n v="0"/>
    <x v="0"/>
    <x v="0"/>
    <n v="26.2"/>
    <n v="0.25"/>
    <n v="0"/>
  </r>
  <r>
    <n v="3576"/>
    <s v="CA-2015-143532"/>
    <d v="2015-03-19T00:00:00"/>
    <x v="1"/>
    <s v="Q1"/>
    <x v="29"/>
    <d v="2015-03-24T00:00:00"/>
    <s v="Standard Class"/>
    <x v="419"/>
    <x v="419"/>
    <s v="Consumer"/>
    <s v="United States"/>
    <s v="North Miami"/>
    <x v="2"/>
    <n v="33161"/>
    <x v="0"/>
    <x v="670"/>
    <x v="1"/>
    <x v="10"/>
    <x v="670"/>
    <n v="14.496"/>
    <s v="Low"/>
    <n v="3"/>
    <n v="0.2"/>
    <x v="2"/>
    <x v="2"/>
    <n v="4.8924000000000003"/>
    <n v="0.33750000000000002"/>
    <n v="0"/>
  </r>
  <r>
    <n v="3577"/>
    <s v="CA-2016-103163"/>
    <d v="2016-06-07T00:00:00"/>
    <x v="0"/>
    <s v="Q2"/>
    <x v="1"/>
    <d v="2016-06-11T00:00:00"/>
    <s v="Standard Class"/>
    <x v="86"/>
    <x v="86"/>
    <s v="Home Office"/>
    <s v="United States"/>
    <s v="Bakersfield"/>
    <x v="1"/>
    <n v="93309"/>
    <x v="1"/>
    <x v="570"/>
    <x v="1"/>
    <x v="8"/>
    <x v="570"/>
    <n v="4.7839999999999998"/>
    <s v="Low"/>
    <n v="1"/>
    <n v="0.2"/>
    <x v="2"/>
    <x v="2"/>
    <n v="1.5548"/>
    <n v="0.32500000000000001"/>
    <n v="0"/>
  </r>
  <r>
    <n v="3578"/>
    <s v="CA-2016-103163"/>
    <d v="2016-06-07T00:00:00"/>
    <x v="0"/>
    <s v="Q2"/>
    <x v="1"/>
    <d v="2016-06-11T00:00:00"/>
    <s v="Standard Class"/>
    <x v="86"/>
    <x v="86"/>
    <s v="Home Office"/>
    <s v="United States"/>
    <s v="Bakersfield"/>
    <x v="1"/>
    <n v="93309"/>
    <x v="1"/>
    <x v="204"/>
    <x v="1"/>
    <x v="10"/>
    <x v="205"/>
    <n v="4.7300000000000004"/>
    <s v="Low"/>
    <n v="1"/>
    <n v="0"/>
    <x v="0"/>
    <x v="0"/>
    <n v="2.3176999999999999"/>
    <n v="0.48999999999999994"/>
    <n v="0"/>
  </r>
  <r>
    <n v="3579"/>
    <s v="CA-2016-104157"/>
    <d v="2016-07-25T00:00:00"/>
    <x v="0"/>
    <s v="Q3"/>
    <x v="16"/>
    <d v="2016-07-29T00:00:00"/>
    <s v="Standard Class"/>
    <x v="363"/>
    <x v="363"/>
    <s v="Consumer"/>
    <s v="United States"/>
    <s v="Jackson"/>
    <x v="35"/>
    <n v="39212"/>
    <x v="0"/>
    <x v="1555"/>
    <x v="1"/>
    <x v="4"/>
    <x v="1543"/>
    <n v="7.89"/>
    <s v="Low"/>
    <n v="1"/>
    <n v="0"/>
    <x v="0"/>
    <x v="0"/>
    <n v="0.31559999999999999"/>
    <n v="0.04"/>
    <n v="0"/>
  </r>
  <r>
    <n v="3580"/>
    <s v="CA-2016-104157"/>
    <d v="2016-07-25T00:00:00"/>
    <x v="0"/>
    <s v="Q3"/>
    <x v="16"/>
    <d v="2016-07-29T00:00:00"/>
    <s v="Standard Class"/>
    <x v="363"/>
    <x v="363"/>
    <s v="Consumer"/>
    <s v="United States"/>
    <s v="Jackson"/>
    <x v="35"/>
    <n v="39212"/>
    <x v="0"/>
    <x v="1402"/>
    <x v="1"/>
    <x v="10"/>
    <x v="1389"/>
    <n v="65.5"/>
    <s v="Medium"/>
    <n v="5"/>
    <n v="0"/>
    <x v="0"/>
    <x v="0"/>
    <n v="32.094999999999999"/>
    <n v="0.49"/>
    <n v="0"/>
  </r>
  <r>
    <n v="3581"/>
    <s v="CA-2016-104157"/>
    <d v="2016-07-25T00:00:00"/>
    <x v="0"/>
    <s v="Q3"/>
    <x v="16"/>
    <d v="2016-07-29T00:00:00"/>
    <s v="Standard Class"/>
    <x v="363"/>
    <x v="363"/>
    <s v="Consumer"/>
    <s v="United States"/>
    <s v="Jackson"/>
    <x v="35"/>
    <n v="39212"/>
    <x v="0"/>
    <x v="335"/>
    <x v="0"/>
    <x v="3"/>
    <x v="335"/>
    <n v="2430.08"/>
    <s v="High"/>
    <n v="8"/>
    <n v="0"/>
    <x v="0"/>
    <x v="0"/>
    <n v="388.81279999999998"/>
    <n v="0.16"/>
    <n v="0"/>
  </r>
  <r>
    <n v="3582"/>
    <s v="CA-2017-117807"/>
    <d v="2017-10-01T00:00:00"/>
    <x v="3"/>
    <s v="Q4"/>
    <x v="13"/>
    <d v="2017-10-07T00:00:00"/>
    <s v="Standard Class"/>
    <x v="54"/>
    <x v="54"/>
    <s v="Consumer"/>
    <s v="United States"/>
    <s v="Fremont"/>
    <x v="8"/>
    <n v="68025"/>
    <x v="2"/>
    <x v="921"/>
    <x v="1"/>
    <x v="10"/>
    <x v="913"/>
    <n v="104.85"/>
    <s v="Medium"/>
    <n v="1"/>
    <n v="0"/>
    <x v="0"/>
    <x v="0"/>
    <n v="50.328000000000003"/>
    <n v="0.48000000000000004"/>
    <n v="0"/>
  </r>
  <r>
    <n v="3583"/>
    <s v="CA-2015-121650"/>
    <d v="2015-12-10T00:00:00"/>
    <x v="1"/>
    <s v="Q4"/>
    <x v="14"/>
    <d v="2015-12-16T00:00:00"/>
    <s v="Standard Class"/>
    <x v="470"/>
    <x v="470"/>
    <s v="Corporate"/>
    <s v="United States"/>
    <s v="Jackson"/>
    <x v="12"/>
    <n v="49201"/>
    <x v="2"/>
    <x v="130"/>
    <x v="1"/>
    <x v="6"/>
    <x v="1544"/>
    <n v="3.9"/>
    <s v="Low"/>
    <n v="2"/>
    <n v="0"/>
    <x v="0"/>
    <x v="0"/>
    <n v="1.5209999999999999"/>
    <n v="0.38999999999999996"/>
    <n v="0"/>
  </r>
  <r>
    <n v="3584"/>
    <s v="CA-2015-121650"/>
    <d v="2015-12-10T00:00:00"/>
    <x v="1"/>
    <s v="Q4"/>
    <x v="14"/>
    <d v="2015-12-16T00:00:00"/>
    <s v="Standard Class"/>
    <x v="470"/>
    <x v="470"/>
    <s v="Corporate"/>
    <s v="United States"/>
    <s v="Jackson"/>
    <x v="12"/>
    <n v="49201"/>
    <x v="2"/>
    <x v="1382"/>
    <x v="0"/>
    <x v="3"/>
    <x v="1367"/>
    <n v="801.96"/>
    <s v="High"/>
    <n v="2"/>
    <n v="0"/>
    <x v="0"/>
    <x v="0"/>
    <n v="200.49"/>
    <n v="0.25"/>
    <n v="0"/>
  </r>
  <r>
    <n v="3585"/>
    <s v="CA-2015-121650"/>
    <d v="2015-12-10T00:00:00"/>
    <x v="1"/>
    <s v="Q4"/>
    <x v="14"/>
    <d v="2015-12-16T00:00:00"/>
    <s v="Standard Class"/>
    <x v="470"/>
    <x v="470"/>
    <s v="Corporate"/>
    <s v="United States"/>
    <s v="Jackson"/>
    <x v="12"/>
    <n v="49201"/>
    <x v="2"/>
    <x v="992"/>
    <x v="0"/>
    <x v="1"/>
    <x v="984"/>
    <n v="191.96"/>
    <s v="High"/>
    <n v="2"/>
    <n v="0"/>
    <x v="0"/>
    <x v="0"/>
    <n v="32.633200000000002"/>
    <n v="0.17"/>
    <n v="0"/>
  </r>
  <r>
    <n v="3586"/>
    <s v="CA-2015-121650"/>
    <d v="2015-12-10T00:00:00"/>
    <x v="1"/>
    <s v="Q4"/>
    <x v="14"/>
    <d v="2015-12-16T00:00:00"/>
    <s v="Standard Class"/>
    <x v="470"/>
    <x v="470"/>
    <s v="Corporate"/>
    <s v="United States"/>
    <s v="Jackson"/>
    <x v="12"/>
    <n v="49201"/>
    <x v="2"/>
    <x v="709"/>
    <x v="1"/>
    <x v="2"/>
    <x v="708"/>
    <n v="2.61"/>
    <s v="Low"/>
    <n v="1"/>
    <n v="0"/>
    <x v="0"/>
    <x v="0"/>
    <n v="1.2005999999999999"/>
    <n v="0.45999999999999996"/>
    <n v="0"/>
  </r>
  <r>
    <n v="3587"/>
    <s v="CA-2017-161823"/>
    <d v="2017-09-03T00:00:00"/>
    <x v="3"/>
    <s v="Q3"/>
    <x v="15"/>
    <d v="2017-09-08T00:00:00"/>
    <s v="Standard Class"/>
    <x v="636"/>
    <x v="636"/>
    <s v="Corporate"/>
    <s v="United States"/>
    <s v="San Francisco"/>
    <x v="1"/>
    <n v="94122"/>
    <x v="1"/>
    <x v="79"/>
    <x v="1"/>
    <x v="6"/>
    <x v="79"/>
    <n v="5.96"/>
    <s v="Low"/>
    <n v="2"/>
    <n v="0"/>
    <x v="0"/>
    <x v="0"/>
    <n v="1.6688000000000001"/>
    <n v="0.28000000000000003"/>
    <n v="0"/>
  </r>
  <r>
    <n v="3588"/>
    <s v="CA-2017-121839"/>
    <d v="2017-09-24T00:00:00"/>
    <x v="3"/>
    <s v="Q3"/>
    <x v="15"/>
    <d v="2017-09-28T00:00:00"/>
    <s v="Standard Class"/>
    <x v="414"/>
    <x v="414"/>
    <s v="Home Office"/>
    <s v="United States"/>
    <s v="Lancaster"/>
    <x v="24"/>
    <n v="43130"/>
    <x v="3"/>
    <x v="1148"/>
    <x v="2"/>
    <x v="7"/>
    <x v="1136"/>
    <n v="1169.694"/>
    <s v="High"/>
    <n v="3"/>
    <n v="0.4"/>
    <x v="1"/>
    <x v="7"/>
    <n v="-253.43369999999999"/>
    <n v="-0.21666666666666667"/>
    <n v="1"/>
  </r>
  <r>
    <n v="3589"/>
    <s v="CA-2017-158729"/>
    <d v="2017-12-19T00:00:00"/>
    <x v="3"/>
    <s v="Q4"/>
    <x v="22"/>
    <d v="2017-12-21T00:00:00"/>
    <s v="First Class"/>
    <x v="549"/>
    <x v="549"/>
    <s v="Consumer"/>
    <s v="United States"/>
    <s v="Lafayette"/>
    <x v="28"/>
    <n v="70506"/>
    <x v="0"/>
    <x v="465"/>
    <x v="1"/>
    <x v="14"/>
    <x v="466"/>
    <n v="1665.62"/>
    <s v="High"/>
    <n v="2"/>
    <n v="0"/>
    <x v="0"/>
    <x v="0"/>
    <n v="33.312399999999997"/>
    <n v="0.02"/>
    <n v="0"/>
  </r>
  <r>
    <n v="3590"/>
    <s v="CA-2017-146535"/>
    <d v="2017-11-24T00:00:00"/>
    <x v="3"/>
    <s v="Q4"/>
    <x v="23"/>
    <d v="2017-11-30T00:00:00"/>
    <s v="Standard Class"/>
    <x v="86"/>
    <x v="86"/>
    <s v="Home Office"/>
    <s v="United States"/>
    <s v="Richmond"/>
    <x v="0"/>
    <n v="40475"/>
    <x v="0"/>
    <x v="614"/>
    <x v="1"/>
    <x v="8"/>
    <x v="614"/>
    <n v="2.88"/>
    <s v="Low"/>
    <n v="1"/>
    <n v="0"/>
    <x v="0"/>
    <x v="0"/>
    <n v="1.4112"/>
    <n v="0.49000000000000005"/>
    <n v="0"/>
  </r>
  <r>
    <n v="3591"/>
    <s v="CA-2017-146535"/>
    <d v="2017-11-24T00:00:00"/>
    <x v="3"/>
    <s v="Q4"/>
    <x v="23"/>
    <d v="2017-11-30T00:00:00"/>
    <s v="Standard Class"/>
    <x v="86"/>
    <x v="86"/>
    <s v="Home Office"/>
    <s v="United States"/>
    <s v="Richmond"/>
    <x v="0"/>
    <n v="40475"/>
    <x v="0"/>
    <x v="772"/>
    <x v="1"/>
    <x v="4"/>
    <x v="771"/>
    <n v="1443.96"/>
    <s v="High"/>
    <n v="12"/>
    <n v="0"/>
    <x v="0"/>
    <x v="0"/>
    <n v="375.42959999999999"/>
    <n v="0.26"/>
    <n v="0"/>
  </r>
  <r>
    <n v="3592"/>
    <s v="CA-2014-154186"/>
    <d v="2014-12-13T00:00:00"/>
    <x v="2"/>
    <s v="Q4"/>
    <x v="20"/>
    <d v="2014-12-15T00:00:00"/>
    <s v="Second Class"/>
    <x v="267"/>
    <x v="267"/>
    <s v="Consumer"/>
    <s v="United States"/>
    <s v="Houston"/>
    <x v="5"/>
    <n v="77070"/>
    <x v="2"/>
    <x v="503"/>
    <x v="1"/>
    <x v="14"/>
    <x v="503"/>
    <n v="2.92"/>
    <s v="Low"/>
    <n v="1"/>
    <n v="0.2"/>
    <x v="2"/>
    <x v="2"/>
    <n v="0.36499999999999999"/>
    <n v="0.125"/>
    <n v="0"/>
  </r>
  <r>
    <n v="3593"/>
    <s v="CA-2016-108434"/>
    <d v="2016-12-05T00:00:00"/>
    <x v="0"/>
    <s v="Q4"/>
    <x v="5"/>
    <d v="2016-12-07T00:00:00"/>
    <s v="Second Class"/>
    <x v="506"/>
    <x v="506"/>
    <s v="Consumer"/>
    <s v="United States"/>
    <s v="New York City"/>
    <x v="15"/>
    <n v="10024"/>
    <x v="3"/>
    <x v="1449"/>
    <x v="1"/>
    <x v="4"/>
    <x v="1436"/>
    <n v="465.18"/>
    <s v="High"/>
    <n v="3"/>
    <n v="0"/>
    <x v="0"/>
    <x v="0"/>
    <n v="120.9468"/>
    <n v="0.26"/>
    <n v="0"/>
  </r>
  <r>
    <n v="3594"/>
    <s v="CA-2016-164154"/>
    <d v="2016-09-11T00:00:00"/>
    <x v="0"/>
    <s v="Q3"/>
    <x v="21"/>
    <d v="2016-09-17T00:00:00"/>
    <s v="Standard Class"/>
    <x v="125"/>
    <x v="125"/>
    <s v="Home Office"/>
    <s v="United States"/>
    <s v="Toledo"/>
    <x v="24"/>
    <n v="43615"/>
    <x v="3"/>
    <x v="444"/>
    <x v="1"/>
    <x v="8"/>
    <x v="444"/>
    <n v="22.428000000000001"/>
    <s v="Low"/>
    <n v="3"/>
    <n v="0.7"/>
    <x v="1"/>
    <x v="5"/>
    <n v="-17.942399999999999"/>
    <n v="-0.79999999999999993"/>
    <n v="1"/>
  </r>
  <r>
    <n v="3595"/>
    <s v="CA-2016-164154"/>
    <d v="2016-09-11T00:00:00"/>
    <x v="0"/>
    <s v="Q3"/>
    <x v="21"/>
    <d v="2016-09-17T00:00:00"/>
    <s v="Standard Class"/>
    <x v="125"/>
    <x v="125"/>
    <s v="Home Office"/>
    <s v="United States"/>
    <s v="Toledo"/>
    <x v="24"/>
    <n v="43615"/>
    <x v="3"/>
    <x v="1190"/>
    <x v="1"/>
    <x v="4"/>
    <x v="683"/>
    <n v="37.520000000000003"/>
    <s v="Medium"/>
    <n v="5"/>
    <n v="0.2"/>
    <x v="2"/>
    <x v="2"/>
    <n v="3.7519999999999998"/>
    <n v="9.9999999999999992E-2"/>
    <n v="0"/>
  </r>
  <r>
    <n v="3596"/>
    <s v="CA-2017-148012"/>
    <d v="2017-12-09T00:00:00"/>
    <x v="3"/>
    <s v="Q4"/>
    <x v="22"/>
    <d v="2017-12-15T00:00:00"/>
    <s v="Standard Class"/>
    <x v="366"/>
    <x v="366"/>
    <s v="Corporate"/>
    <s v="United States"/>
    <s v="Philadelphia"/>
    <x v="9"/>
    <n v="19143"/>
    <x v="3"/>
    <x v="346"/>
    <x v="1"/>
    <x v="6"/>
    <x v="346"/>
    <n v="2.6240000000000001"/>
    <s v="Low"/>
    <n v="1"/>
    <n v="0.2"/>
    <x v="2"/>
    <x v="2"/>
    <n v="0.4264"/>
    <n v="0.16250000000000001"/>
    <n v="0"/>
  </r>
  <r>
    <n v="3597"/>
    <s v="CA-2014-102869"/>
    <d v="2014-09-09T00:00:00"/>
    <x v="2"/>
    <s v="Q3"/>
    <x v="30"/>
    <d v="2014-09-14T00:00:00"/>
    <s v="Second Class"/>
    <x v="95"/>
    <x v="95"/>
    <s v="Consumer"/>
    <s v="United States"/>
    <s v="Philadelphia"/>
    <x v="9"/>
    <n v="19140"/>
    <x v="3"/>
    <x v="739"/>
    <x v="1"/>
    <x v="10"/>
    <x v="738"/>
    <n v="15.552"/>
    <s v="Low"/>
    <n v="3"/>
    <n v="0.2"/>
    <x v="2"/>
    <x v="2"/>
    <n v="5.4432"/>
    <n v="0.35000000000000003"/>
    <n v="0"/>
  </r>
  <r>
    <n v="3598"/>
    <s v="CA-2014-102869"/>
    <d v="2014-09-09T00:00:00"/>
    <x v="2"/>
    <s v="Q3"/>
    <x v="30"/>
    <d v="2014-09-14T00:00:00"/>
    <s v="Second Class"/>
    <x v="95"/>
    <x v="95"/>
    <s v="Consumer"/>
    <s v="United States"/>
    <s v="Philadelphia"/>
    <x v="9"/>
    <n v="19140"/>
    <x v="3"/>
    <x v="1556"/>
    <x v="2"/>
    <x v="11"/>
    <x v="1545"/>
    <n v="64.703999999999994"/>
    <s v="Medium"/>
    <n v="6"/>
    <n v="0.2"/>
    <x v="2"/>
    <x v="2"/>
    <n v="-4.8528000000000002"/>
    <n v="-7.5000000000000011E-2"/>
    <n v="1"/>
  </r>
  <r>
    <n v="3599"/>
    <s v="CA-2014-102869"/>
    <d v="2014-09-09T00:00:00"/>
    <x v="2"/>
    <s v="Q3"/>
    <x v="30"/>
    <d v="2014-09-14T00:00:00"/>
    <s v="Second Class"/>
    <x v="95"/>
    <x v="95"/>
    <s v="Consumer"/>
    <s v="United States"/>
    <s v="Philadelphia"/>
    <x v="9"/>
    <n v="19140"/>
    <x v="3"/>
    <x v="1027"/>
    <x v="0"/>
    <x v="5"/>
    <x v="1018"/>
    <n v="17.472000000000001"/>
    <s v="Low"/>
    <n v="3"/>
    <n v="0.2"/>
    <x v="2"/>
    <x v="2"/>
    <n v="5.0232000000000001"/>
    <n v="0.28749999999999998"/>
    <n v="0"/>
  </r>
  <r>
    <n v="3600"/>
    <s v="CA-2014-102869"/>
    <d v="2014-09-09T00:00:00"/>
    <x v="2"/>
    <s v="Q3"/>
    <x v="30"/>
    <d v="2014-09-14T00:00:00"/>
    <s v="Second Class"/>
    <x v="95"/>
    <x v="95"/>
    <s v="Consumer"/>
    <s v="United States"/>
    <s v="Philadelphia"/>
    <x v="9"/>
    <n v="19140"/>
    <x v="3"/>
    <x v="944"/>
    <x v="2"/>
    <x v="7"/>
    <x v="937"/>
    <n v="135.51599999999999"/>
    <s v="High"/>
    <n v="1"/>
    <n v="0.4"/>
    <x v="1"/>
    <x v="7"/>
    <n v="-31.6204"/>
    <n v="-0.23333333333333334"/>
    <n v="1"/>
  </r>
  <r>
    <n v="3601"/>
    <s v="CA-2017-138310"/>
    <d v="2017-06-26T00:00:00"/>
    <x v="3"/>
    <s v="Q2"/>
    <x v="27"/>
    <d v="2017-06-30T00:00:00"/>
    <s v="Standard Class"/>
    <x v="413"/>
    <x v="413"/>
    <s v="Consumer"/>
    <s v="United States"/>
    <s v="Denver"/>
    <x v="22"/>
    <n v="80219"/>
    <x v="1"/>
    <x v="876"/>
    <x v="2"/>
    <x v="11"/>
    <x v="870"/>
    <n v="431.928"/>
    <s v="High"/>
    <n v="9"/>
    <n v="0.2"/>
    <x v="2"/>
    <x v="2"/>
    <n v="64.789199999999994"/>
    <n v="0.15"/>
    <n v="0"/>
  </r>
  <r>
    <n v="3602"/>
    <s v="CA-2014-159835"/>
    <d v="2014-11-17T00:00:00"/>
    <x v="2"/>
    <s v="Q4"/>
    <x v="7"/>
    <d v="2014-11-24T00:00:00"/>
    <s v="Standard Class"/>
    <x v="713"/>
    <x v="713"/>
    <s v="Consumer"/>
    <s v="United States"/>
    <s v="Philadelphia"/>
    <x v="9"/>
    <n v="19143"/>
    <x v="3"/>
    <x v="565"/>
    <x v="1"/>
    <x v="10"/>
    <x v="565"/>
    <n v="12.448"/>
    <s v="Low"/>
    <n v="2"/>
    <n v="0.2"/>
    <x v="2"/>
    <x v="2"/>
    <n v="3.89"/>
    <n v="0.3125"/>
    <n v="0"/>
  </r>
  <r>
    <n v="3603"/>
    <s v="CA-2014-159835"/>
    <d v="2014-11-17T00:00:00"/>
    <x v="2"/>
    <s v="Q4"/>
    <x v="7"/>
    <d v="2014-11-24T00:00:00"/>
    <s v="Standard Class"/>
    <x v="713"/>
    <x v="713"/>
    <s v="Consumer"/>
    <s v="United States"/>
    <s v="Philadelphia"/>
    <x v="9"/>
    <n v="19143"/>
    <x v="3"/>
    <x v="499"/>
    <x v="0"/>
    <x v="1"/>
    <x v="499"/>
    <n v="657.93"/>
    <s v="High"/>
    <n v="5"/>
    <n v="0.3"/>
    <x v="1"/>
    <x v="4"/>
    <n v="-93.99"/>
    <n v="-0.14285714285714285"/>
    <n v="1"/>
  </r>
  <r>
    <n v="3604"/>
    <s v="CA-2017-112956"/>
    <d v="2017-08-21T00:00:00"/>
    <x v="3"/>
    <s v="Q3"/>
    <x v="43"/>
    <d v="2017-08-27T00:00:00"/>
    <s v="Standard Class"/>
    <x v="274"/>
    <x v="274"/>
    <s v="Home Office"/>
    <s v="United States"/>
    <s v="Columbia"/>
    <x v="39"/>
    <n v="21044"/>
    <x v="3"/>
    <x v="447"/>
    <x v="1"/>
    <x v="10"/>
    <x v="1228"/>
    <n v="277.39999999999998"/>
    <s v="High"/>
    <n v="5"/>
    <n v="0"/>
    <x v="0"/>
    <x v="0"/>
    <n v="133.15199999999999"/>
    <n v="0.48"/>
    <n v="0"/>
  </r>
  <r>
    <n v="3605"/>
    <s v="CA-2017-112956"/>
    <d v="2017-08-21T00:00:00"/>
    <x v="3"/>
    <s v="Q3"/>
    <x v="43"/>
    <d v="2017-08-27T00:00:00"/>
    <s v="Standard Class"/>
    <x v="274"/>
    <x v="274"/>
    <s v="Home Office"/>
    <s v="United States"/>
    <s v="Columbia"/>
    <x v="39"/>
    <n v="21044"/>
    <x v="3"/>
    <x v="980"/>
    <x v="0"/>
    <x v="5"/>
    <x v="973"/>
    <n v="25.16"/>
    <s v="Medium"/>
    <n v="2"/>
    <n v="0"/>
    <x v="0"/>
    <x v="0"/>
    <n v="8.5543999999999993"/>
    <n v="0.33999999999999997"/>
    <n v="0"/>
  </r>
  <r>
    <n v="3606"/>
    <s v="CA-2017-112956"/>
    <d v="2017-08-21T00:00:00"/>
    <x v="3"/>
    <s v="Q3"/>
    <x v="43"/>
    <d v="2017-08-27T00:00:00"/>
    <s v="Standard Class"/>
    <x v="274"/>
    <x v="274"/>
    <s v="Home Office"/>
    <s v="United States"/>
    <s v="Columbia"/>
    <x v="39"/>
    <n v="21044"/>
    <x v="3"/>
    <x v="935"/>
    <x v="0"/>
    <x v="5"/>
    <x v="928"/>
    <n v="91.92"/>
    <s v="Medium"/>
    <n v="4"/>
    <n v="0"/>
    <x v="0"/>
    <x v="0"/>
    <n v="31.252800000000001"/>
    <n v="0.34"/>
    <n v="0"/>
  </r>
  <r>
    <n v="3607"/>
    <s v="CA-2016-119683"/>
    <d v="2016-03-12T00:00:00"/>
    <x v="0"/>
    <s v="Q1"/>
    <x v="17"/>
    <d v="2016-03-16T00:00:00"/>
    <s v="Second Class"/>
    <x v="242"/>
    <x v="242"/>
    <s v="Consumer"/>
    <s v="United States"/>
    <s v="New York City"/>
    <x v="15"/>
    <n v="10024"/>
    <x v="3"/>
    <x v="706"/>
    <x v="1"/>
    <x v="12"/>
    <x v="153"/>
    <n v="29.34"/>
    <s v="Medium"/>
    <n v="3"/>
    <n v="0"/>
    <x v="0"/>
    <x v="0"/>
    <n v="13.4964"/>
    <n v="0.45999999999999996"/>
    <n v="0"/>
  </r>
  <r>
    <n v="3608"/>
    <s v="CA-2014-163559"/>
    <d v="2014-09-23T00:00:00"/>
    <x v="2"/>
    <s v="Q3"/>
    <x v="30"/>
    <d v="2014-09-28T00:00:00"/>
    <s v="Second Class"/>
    <x v="461"/>
    <x v="461"/>
    <s v="Consumer"/>
    <s v="United States"/>
    <s v="New York City"/>
    <x v="15"/>
    <n v="10035"/>
    <x v="3"/>
    <x v="920"/>
    <x v="1"/>
    <x v="8"/>
    <x v="912"/>
    <n v="139.44"/>
    <s v="High"/>
    <n v="3"/>
    <n v="0.2"/>
    <x v="2"/>
    <x v="2"/>
    <n v="47.061"/>
    <n v="0.33750000000000002"/>
    <n v="0"/>
  </r>
  <r>
    <n v="3609"/>
    <s v="CA-2014-140228"/>
    <d v="2014-04-28T00:00:00"/>
    <x v="2"/>
    <s v="Q2"/>
    <x v="41"/>
    <d v="2014-05-03T00:00:00"/>
    <s v="Standard Class"/>
    <x v="334"/>
    <x v="334"/>
    <s v="Corporate"/>
    <s v="United States"/>
    <s v="Newark"/>
    <x v="24"/>
    <n v="43055"/>
    <x v="3"/>
    <x v="745"/>
    <x v="1"/>
    <x v="2"/>
    <x v="743"/>
    <n v="6.9119999999999999"/>
    <s v="Low"/>
    <n v="3"/>
    <n v="0.2"/>
    <x v="2"/>
    <x v="2"/>
    <n v="2.5055999999999998"/>
    <n v="0.36249999999999999"/>
    <n v="0"/>
  </r>
  <r>
    <n v="3610"/>
    <s v="CA-2014-140228"/>
    <d v="2014-04-28T00:00:00"/>
    <x v="2"/>
    <s v="Q2"/>
    <x v="41"/>
    <d v="2014-05-03T00:00:00"/>
    <s v="Standard Class"/>
    <x v="334"/>
    <x v="334"/>
    <s v="Corporate"/>
    <s v="United States"/>
    <s v="Newark"/>
    <x v="24"/>
    <n v="43055"/>
    <x v="3"/>
    <x v="1011"/>
    <x v="1"/>
    <x v="4"/>
    <x v="1003"/>
    <n v="27.096"/>
    <s v="Medium"/>
    <n v="3"/>
    <n v="0.2"/>
    <x v="2"/>
    <x v="2"/>
    <n v="2.0322"/>
    <n v="7.4999999999999997E-2"/>
    <n v="0"/>
  </r>
  <r>
    <n v="3611"/>
    <s v="CA-2014-140228"/>
    <d v="2014-04-28T00:00:00"/>
    <x v="2"/>
    <s v="Q2"/>
    <x v="41"/>
    <d v="2014-05-03T00:00:00"/>
    <s v="Standard Class"/>
    <x v="334"/>
    <x v="334"/>
    <s v="Corporate"/>
    <s v="United States"/>
    <s v="Newark"/>
    <x v="24"/>
    <n v="43055"/>
    <x v="3"/>
    <x v="1439"/>
    <x v="1"/>
    <x v="4"/>
    <x v="1427"/>
    <n v="177.56800000000001"/>
    <s v="High"/>
    <n v="2"/>
    <n v="0.2"/>
    <x v="2"/>
    <x v="2"/>
    <n v="-37.733199999999997"/>
    <n v="-0.21249999999999997"/>
    <n v="1"/>
  </r>
  <r>
    <n v="3612"/>
    <s v="US-2016-131674"/>
    <d v="2016-11-29T00:00:00"/>
    <x v="0"/>
    <s v="Q4"/>
    <x v="0"/>
    <d v="2016-12-01T00:00:00"/>
    <s v="Second Class"/>
    <x v="714"/>
    <x v="714"/>
    <s v="Corporate"/>
    <s v="United States"/>
    <s v="Dallas"/>
    <x v="5"/>
    <n v="75217"/>
    <x v="2"/>
    <x v="1312"/>
    <x v="2"/>
    <x v="11"/>
    <x v="1298"/>
    <n v="58.415999999999997"/>
    <s v="Medium"/>
    <n v="2"/>
    <n v="0.2"/>
    <x v="2"/>
    <x v="2"/>
    <n v="16.794599999999999"/>
    <n v="0.28749999999999998"/>
    <n v="0"/>
  </r>
  <r>
    <n v="3613"/>
    <s v="CA-2015-110093"/>
    <d v="2015-12-03T00:00:00"/>
    <x v="1"/>
    <s v="Q4"/>
    <x v="14"/>
    <d v="2015-12-08T00:00:00"/>
    <s v="Standard Class"/>
    <x v="437"/>
    <x v="437"/>
    <s v="Home Office"/>
    <s v="United States"/>
    <s v="Philadelphia"/>
    <x v="9"/>
    <n v="19134"/>
    <x v="3"/>
    <x v="1536"/>
    <x v="1"/>
    <x v="10"/>
    <x v="1524"/>
    <n v="16.448"/>
    <s v="Low"/>
    <n v="2"/>
    <n v="0.2"/>
    <x v="2"/>
    <x v="2"/>
    <n v="5.5511999999999997"/>
    <n v="0.33749999999999997"/>
    <n v="0"/>
  </r>
  <r>
    <n v="3614"/>
    <s v="CA-2015-110093"/>
    <d v="2015-12-03T00:00:00"/>
    <x v="1"/>
    <s v="Q4"/>
    <x v="14"/>
    <d v="2015-12-08T00:00:00"/>
    <s v="Standard Class"/>
    <x v="437"/>
    <x v="437"/>
    <s v="Home Office"/>
    <s v="United States"/>
    <s v="Philadelphia"/>
    <x v="9"/>
    <n v="19134"/>
    <x v="3"/>
    <x v="43"/>
    <x v="2"/>
    <x v="11"/>
    <x v="43"/>
    <n v="36.783999999999999"/>
    <s v="Medium"/>
    <n v="2"/>
    <n v="0.2"/>
    <x v="2"/>
    <x v="2"/>
    <n v="10.5754"/>
    <n v="0.28750000000000003"/>
    <n v="0"/>
  </r>
  <r>
    <n v="3615"/>
    <s v="CA-2017-112529"/>
    <d v="2017-11-19T00:00:00"/>
    <x v="3"/>
    <s v="Q4"/>
    <x v="23"/>
    <d v="2017-11-21T00:00:00"/>
    <s v="First Class"/>
    <x v="34"/>
    <x v="34"/>
    <s v="Corporate"/>
    <s v="United States"/>
    <s v="San Antonio"/>
    <x v="5"/>
    <n v="78207"/>
    <x v="2"/>
    <x v="975"/>
    <x v="0"/>
    <x v="3"/>
    <x v="969"/>
    <n v="718.11599999999999"/>
    <s v="High"/>
    <n v="6"/>
    <n v="0.3"/>
    <x v="1"/>
    <x v="4"/>
    <n v="-71.811599999999999"/>
    <n v="-0.1"/>
    <n v="1"/>
  </r>
  <r>
    <n v="3616"/>
    <s v="CA-2017-112529"/>
    <d v="2017-11-19T00:00:00"/>
    <x v="3"/>
    <s v="Q4"/>
    <x v="23"/>
    <d v="2017-11-21T00:00:00"/>
    <s v="First Class"/>
    <x v="34"/>
    <x v="34"/>
    <s v="Corporate"/>
    <s v="United States"/>
    <s v="San Antonio"/>
    <x v="5"/>
    <n v="78207"/>
    <x v="2"/>
    <x v="1068"/>
    <x v="1"/>
    <x v="6"/>
    <x v="1057"/>
    <n v="31.776"/>
    <s v="Medium"/>
    <n v="4"/>
    <n v="0.2"/>
    <x v="2"/>
    <x v="2"/>
    <n v="8.7384000000000004"/>
    <n v="0.27500000000000002"/>
    <n v="0"/>
  </r>
  <r>
    <n v="3617"/>
    <s v="CA-2016-154536"/>
    <d v="2016-09-05T00:00:00"/>
    <x v="0"/>
    <s v="Q3"/>
    <x v="21"/>
    <d v="2016-09-09T00:00:00"/>
    <s v="Standard Class"/>
    <x v="209"/>
    <x v="209"/>
    <s v="Consumer"/>
    <s v="United States"/>
    <s v="Philadelphia"/>
    <x v="9"/>
    <n v="19120"/>
    <x v="3"/>
    <x v="48"/>
    <x v="1"/>
    <x v="8"/>
    <x v="48"/>
    <n v="9.5549999999999997"/>
    <s v="Low"/>
    <n v="5"/>
    <n v="0.7"/>
    <x v="1"/>
    <x v="5"/>
    <n v="-7.3254999999999999"/>
    <n v="-0.76666666666666672"/>
    <n v="1"/>
  </r>
  <r>
    <n v="3618"/>
    <s v="CA-2017-141929"/>
    <d v="2017-09-04T00:00:00"/>
    <x v="3"/>
    <s v="Q3"/>
    <x v="15"/>
    <d v="2017-09-08T00:00:00"/>
    <s v="Standard Class"/>
    <x v="267"/>
    <x v="267"/>
    <s v="Consumer"/>
    <s v="United States"/>
    <s v="Los Angeles"/>
    <x v="1"/>
    <n v="90004"/>
    <x v="1"/>
    <x v="569"/>
    <x v="1"/>
    <x v="8"/>
    <x v="569"/>
    <n v="487.98399999999998"/>
    <s v="High"/>
    <n v="2"/>
    <n v="0.2"/>
    <x v="2"/>
    <x v="2"/>
    <n v="152.495"/>
    <n v="0.3125"/>
    <n v="0"/>
  </r>
  <r>
    <n v="3619"/>
    <s v="CA-2017-141929"/>
    <d v="2017-09-04T00:00:00"/>
    <x v="3"/>
    <s v="Q3"/>
    <x v="15"/>
    <d v="2017-09-08T00:00:00"/>
    <s v="Standard Class"/>
    <x v="267"/>
    <x v="267"/>
    <s v="Consumer"/>
    <s v="United States"/>
    <s v="Los Angeles"/>
    <x v="1"/>
    <n v="90004"/>
    <x v="1"/>
    <x v="1091"/>
    <x v="2"/>
    <x v="7"/>
    <x v="1081"/>
    <n v="5.56"/>
    <s v="Low"/>
    <n v="1"/>
    <n v="0.2"/>
    <x v="2"/>
    <x v="2"/>
    <n v="1.7375"/>
    <n v="0.31250000000000006"/>
    <n v="0"/>
  </r>
  <r>
    <n v="3620"/>
    <s v="CA-2017-141929"/>
    <d v="2017-09-04T00:00:00"/>
    <x v="3"/>
    <s v="Q3"/>
    <x v="15"/>
    <d v="2017-09-08T00:00:00"/>
    <s v="Standard Class"/>
    <x v="267"/>
    <x v="267"/>
    <s v="Consumer"/>
    <s v="United States"/>
    <s v="Los Angeles"/>
    <x v="1"/>
    <n v="90004"/>
    <x v="1"/>
    <x v="123"/>
    <x v="1"/>
    <x v="4"/>
    <x v="123"/>
    <n v="217.85"/>
    <s v="High"/>
    <n v="5"/>
    <n v="0"/>
    <x v="0"/>
    <x v="0"/>
    <n v="65.355000000000004"/>
    <n v="0.30000000000000004"/>
    <n v="0"/>
  </r>
  <r>
    <n v="3621"/>
    <s v="CA-2016-109743"/>
    <d v="2016-09-22T00:00:00"/>
    <x v="0"/>
    <s v="Q3"/>
    <x v="21"/>
    <d v="2016-09-29T00:00:00"/>
    <s v="Standard Class"/>
    <x v="64"/>
    <x v="64"/>
    <s v="Corporate"/>
    <s v="United States"/>
    <s v="Smyrna"/>
    <x v="18"/>
    <n v="37167"/>
    <x v="0"/>
    <x v="1385"/>
    <x v="1"/>
    <x v="6"/>
    <x v="1371"/>
    <n v="40.776000000000003"/>
    <s v="Medium"/>
    <n v="3"/>
    <n v="0.2"/>
    <x v="2"/>
    <x v="2"/>
    <n v="4.5872999999999999"/>
    <n v="0.11249999999999999"/>
    <n v="0"/>
  </r>
  <r>
    <n v="3622"/>
    <s v="CA-2016-109743"/>
    <d v="2016-09-22T00:00:00"/>
    <x v="0"/>
    <s v="Q3"/>
    <x v="21"/>
    <d v="2016-09-29T00:00:00"/>
    <s v="Standard Class"/>
    <x v="64"/>
    <x v="64"/>
    <s v="Corporate"/>
    <s v="United States"/>
    <s v="Smyrna"/>
    <x v="18"/>
    <n v="37167"/>
    <x v="0"/>
    <x v="1557"/>
    <x v="2"/>
    <x v="7"/>
    <x v="1546"/>
    <n v="63.936"/>
    <s v="Medium"/>
    <n v="8"/>
    <n v="0.2"/>
    <x v="2"/>
    <x v="2"/>
    <n v="5.5944000000000003"/>
    <n v="8.7500000000000008E-2"/>
    <n v="0"/>
  </r>
  <r>
    <n v="3623"/>
    <s v="CA-2014-159184"/>
    <d v="2014-09-14T00:00:00"/>
    <x v="2"/>
    <s v="Q3"/>
    <x v="30"/>
    <d v="2014-09-19T00:00:00"/>
    <s v="Standard Class"/>
    <x v="547"/>
    <x v="547"/>
    <s v="Consumer"/>
    <s v="United States"/>
    <s v="Macon"/>
    <x v="32"/>
    <n v="31204"/>
    <x v="0"/>
    <x v="1146"/>
    <x v="0"/>
    <x v="5"/>
    <x v="1134"/>
    <n v="142.4"/>
    <s v="High"/>
    <n v="5"/>
    <n v="0"/>
    <x v="0"/>
    <x v="0"/>
    <n v="52.688000000000002"/>
    <n v="0.37"/>
    <n v="0"/>
  </r>
  <r>
    <n v="3624"/>
    <s v="CA-2014-159184"/>
    <d v="2014-09-14T00:00:00"/>
    <x v="2"/>
    <s v="Q3"/>
    <x v="30"/>
    <d v="2014-09-19T00:00:00"/>
    <s v="Standard Class"/>
    <x v="547"/>
    <x v="547"/>
    <s v="Consumer"/>
    <s v="United States"/>
    <s v="Macon"/>
    <x v="32"/>
    <n v="31204"/>
    <x v="0"/>
    <x v="175"/>
    <x v="1"/>
    <x v="8"/>
    <x v="176"/>
    <n v="7.16"/>
    <s v="Low"/>
    <n v="2"/>
    <n v="0"/>
    <x v="0"/>
    <x v="0"/>
    <n v="3.4367999999999999"/>
    <n v="0.48"/>
    <n v="0"/>
  </r>
  <r>
    <n v="3625"/>
    <s v="CA-2017-113530"/>
    <d v="2017-05-19T00:00:00"/>
    <x v="3"/>
    <s v="Q2"/>
    <x v="24"/>
    <d v="2017-05-21T00:00:00"/>
    <s v="Second Class"/>
    <x v="604"/>
    <x v="604"/>
    <s v="Home Office"/>
    <s v="United States"/>
    <s v="San Francisco"/>
    <x v="1"/>
    <n v="94109"/>
    <x v="1"/>
    <x v="474"/>
    <x v="0"/>
    <x v="1"/>
    <x v="475"/>
    <n v="681.40800000000002"/>
    <s v="High"/>
    <n v="12"/>
    <n v="0.2"/>
    <x v="2"/>
    <x v="2"/>
    <n v="42.588000000000001"/>
    <n v="6.25E-2"/>
    <n v="0"/>
  </r>
  <r>
    <n v="3626"/>
    <s v="CA-2017-113530"/>
    <d v="2017-05-19T00:00:00"/>
    <x v="3"/>
    <s v="Q2"/>
    <x v="24"/>
    <d v="2017-05-21T00:00:00"/>
    <s v="Second Class"/>
    <x v="604"/>
    <x v="604"/>
    <s v="Home Office"/>
    <s v="United States"/>
    <s v="San Francisco"/>
    <x v="1"/>
    <n v="94109"/>
    <x v="1"/>
    <x v="1039"/>
    <x v="1"/>
    <x v="6"/>
    <x v="1029"/>
    <n v="3.52"/>
    <s v="Low"/>
    <n v="2"/>
    <n v="0"/>
    <x v="0"/>
    <x v="0"/>
    <n v="1.0207999999999999"/>
    <n v="0.28999999999999998"/>
    <n v="0"/>
  </r>
  <r>
    <n v="3627"/>
    <s v="CA-2017-113530"/>
    <d v="2017-05-19T00:00:00"/>
    <x v="3"/>
    <s v="Q2"/>
    <x v="24"/>
    <d v="2017-05-21T00:00:00"/>
    <s v="Second Class"/>
    <x v="604"/>
    <x v="604"/>
    <s v="Home Office"/>
    <s v="United States"/>
    <s v="San Francisco"/>
    <x v="1"/>
    <n v="94109"/>
    <x v="1"/>
    <x v="311"/>
    <x v="1"/>
    <x v="6"/>
    <x v="311"/>
    <n v="5.58"/>
    <s v="Low"/>
    <n v="1"/>
    <n v="0"/>
    <x v="0"/>
    <x v="0"/>
    <n v="1.395"/>
    <n v="0.25"/>
    <n v="0"/>
  </r>
  <r>
    <n v="3628"/>
    <s v="CA-2017-113530"/>
    <d v="2017-05-19T00:00:00"/>
    <x v="3"/>
    <s v="Q2"/>
    <x v="24"/>
    <d v="2017-05-21T00:00:00"/>
    <s v="Second Class"/>
    <x v="604"/>
    <x v="604"/>
    <s v="Home Office"/>
    <s v="United States"/>
    <s v="San Francisco"/>
    <x v="1"/>
    <n v="94109"/>
    <x v="1"/>
    <x v="477"/>
    <x v="2"/>
    <x v="11"/>
    <x v="478"/>
    <n v="36.32"/>
    <s v="Medium"/>
    <n v="1"/>
    <n v="0"/>
    <x v="0"/>
    <x v="0"/>
    <n v="10.896000000000001"/>
    <n v="0.30000000000000004"/>
    <n v="0"/>
  </r>
  <r>
    <n v="3629"/>
    <s v="CA-2014-169726"/>
    <d v="2014-08-09T00:00:00"/>
    <x v="2"/>
    <s v="Q3"/>
    <x v="9"/>
    <d v="2014-08-13T00:00:00"/>
    <s v="Standard Class"/>
    <x v="98"/>
    <x v="98"/>
    <s v="Consumer"/>
    <s v="United States"/>
    <s v="Seattle"/>
    <x v="4"/>
    <n v="98103"/>
    <x v="1"/>
    <x v="1498"/>
    <x v="1"/>
    <x v="8"/>
    <x v="1486"/>
    <n v="2060.7440000000001"/>
    <s v="High"/>
    <n v="7"/>
    <n v="0.2"/>
    <x v="2"/>
    <x v="2"/>
    <n v="643.98249999999996"/>
    <n v="0.31249999999999994"/>
    <n v="0"/>
  </r>
  <r>
    <n v="3630"/>
    <s v="CA-2017-155957"/>
    <d v="2017-11-26T00:00:00"/>
    <x v="3"/>
    <s v="Q4"/>
    <x v="23"/>
    <d v="2017-11-30T00:00:00"/>
    <s v="Standard Class"/>
    <x v="566"/>
    <x v="566"/>
    <s v="Corporate"/>
    <s v="United States"/>
    <s v="Columbus"/>
    <x v="24"/>
    <n v="43229"/>
    <x v="3"/>
    <x v="1112"/>
    <x v="1"/>
    <x v="9"/>
    <x v="1101"/>
    <n v="52.271999999999998"/>
    <s v="Medium"/>
    <n v="3"/>
    <n v="0.2"/>
    <x v="2"/>
    <x v="2"/>
    <n v="9.8010000000000002"/>
    <n v="0.1875"/>
    <n v="0"/>
  </r>
  <r>
    <n v="3631"/>
    <s v="CA-2017-155957"/>
    <d v="2017-11-26T00:00:00"/>
    <x v="3"/>
    <s v="Q4"/>
    <x v="23"/>
    <d v="2017-11-30T00:00:00"/>
    <s v="Standard Class"/>
    <x v="566"/>
    <x v="566"/>
    <s v="Corporate"/>
    <s v="United States"/>
    <s v="Columbus"/>
    <x v="24"/>
    <n v="43229"/>
    <x v="3"/>
    <x v="513"/>
    <x v="1"/>
    <x v="9"/>
    <x v="513"/>
    <n v="213.136"/>
    <s v="High"/>
    <n v="7"/>
    <n v="0.2"/>
    <x v="2"/>
    <x v="2"/>
    <n v="23.977799999999998"/>
    <n v="0.11249999999999999"/>
    <n v="0"/>
  </r>
  <r>
    <n v="3632"/>
    <s v="CA-2017-132178"/>
    <d v="2017-05-03T00:00:00"/>
    <x v="3"/>
    <s v="Q2"/>
    <x v="24"/>
    <d v="2017-05-08T00:00:00"/>
    <s v="Second Class"/>
    <x v="715"/>
    <x v="715"/>
    <s v="Corporate"/>
    <s v="United States"/>
    <s v="Los Angeles"/>
    <x v="1"/>
    <n v="90004"/>
    <x v="1"/>
    <x v="1156"/>
    <x v="1"/>
    <x v="4"/>
    <x v="1144"/>
    <n v="69.52"/>
    <s v="Medium"/>
    <n v="2"/>
    <n v="0"/>
    <x v="0"/>
    <x v="0"/>
    <n v="19.465599999999998"/>
    <n v="0.27999999999999997"/>
    <n v="0"/>
  </r>
  <r>
    <n v="3633"/>
    <s v="CA-2017-132178"/>
    <d v="2017-05-03T00:00:00"/>
    <x v="3"/>
    <s v="Q2"/>
    <x v="24"/>
    <d v="2017-05-08T00:00:00"/>
    <s v="Second Class"/>
    <x v="715"/>
    <x v="715"/>
    <s v="Corporate"/>
    <s v="United States"/>
    <s v="Los Angeles"/>
    <x v="1"/>
    <n v="90004"/>
    <x v="1"/>
    <x v="621"/>
    <x v="1"/>
    <x v="4"/>
    <x v="621"/>
    <n v="763.44"/>
    <s v="High"/>
    <n v="8"/>
    <n v="0"/>
    <x v="0"/>
    <x v="0"/>
    <n v="45.806399999999996"/>
    <n v="5.9999999999999991E-2"/>
    <n v="0"/>
  </r>
  <r>
    <n v="3634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745"/>
    <x v="1"/>
    <x v="2"/>
    <x v="743"/>
    <n v="9.2159999999999993"/>
    <s v="Low"/>
    <n v="4"/>
    <n v="0.2"/>
    <x v="2"/>
    <x v="2"/>
    <n v="3.3408000000000002"/>
    <n v="0.36250000000000004"/>
    <n v="0"/>
  </r>
  <r>
    <n v="3635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433"/>
    <x v="2"/>
    <x v="7"/>
    <x v="433"/>
    <n v="41.957999999999998"/>
    <s v="Medium"/>
    <n v="7"/>
    <n v="0.4"/>
    <x v="1"/>
    <x v="7"/>
    <n v="-9.7902000000000005"/>
    <n v="-0.23333333333333336"/>
    <n v="1"/>
  </r>
  <r>
    <n v="3636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1558"/>
    <x v="1"/>
    <x v="10"/>
    <x v="1547"/>
    <n v="89.567999999999998"/>
    <s v="Medium"/>
    <n v="2"/>
    <n v="0.2"/>
    <x v="2"/>
    <x v="2"/>
    <n v="32.468400000000003"/>
    <n v="0.36250000000000004"/>
    <n v="0"/>
  </r>
  <r>
    <n v="3637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1286"/>
    <x v="1"/>
    <x v="10"/>
    <x v="1272"/>
    <n v="22.248000000000001"/>
    <s v="Low"/>
    <n v="3"/>
    <n v="0.2"/>
    <x v="2"/>
    <x v="2"/>
    <n v="7.5087000000000002"/>
    <n v="0.33749999999999997"/>
    <n v="0"/>
  </r>
  <r>
    <n v="3638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549"/>
    <x v="1"/>
    <x v="9"/>
    <x v="549"/>
    <n v="334.88"/>
    <s v="High"/>
    <n v="4"/>
    <n v="0.2"/>
    <x v="2"/>
    <x v="2"/>
    <n v="29.302"/>
    <n v="8.7499999999999994E-2"/>
    <n v="0"/>
  </r>
  <r>
    <n v="3639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1092"/>
    <x v="0"/>
    <x v="5"/>
    <x v="1082"/>
    <n v="148.28800000000001"/>
    <s v="High"/>
    <n v="7"/>
    <n v="0.2"/>
    <x v="2"/>
    <x v="2"/>
    <n v="29.657599999999999"/>
    <n v="0.19999999999999998"/>
    <n v="0"/>
  </r>
  <r>
    <n v="3640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874"/>
    <x v="1"/>
    <x v="10"/>
    <x v="868"/>
    <n v="4.6239999999999997"/>
    <s v="Low"/>
    <n v="1"/>
    <n v="0.2"/>
    <x v="2"/>
    <x v="2"/>
    <n v="1.6761999999999999"/>
    <n v="0.36249999999999999"/>
    <n v="0"/>
  </r>
  <r>
    <n v="3641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1365"/>
    <x v="2"/>
    <x v="11"/>
    <x v="1548"/>
    <n v="178.92"/>
    <s v="High"/>
    <n v="7"/>
    <n v="0.2"/>
    <x v="2"/>
    <x v="2"/>
    <n v="-29.0745"/>
    <n v="-0.16250000000000001"/>
    <n v="1"/>
  </r>
  <r>
    <n v="3642"/>
    <s v="CA-2016-145177"/>
    <d v="2016-11-10T00:00:00"/>
    <x v="0"/>
    <s v="Q4"/>
    <x v="0"/>
    <d v="2016-11-14T00:00:00"/>
    <s v="Standard Class"/>
    <x v="452"/>
    <x v="452"/>
    <s v="Home Office"/>
    <s v="United States"/>
    <s v="Springfield"/>
    <x v="24"/>
    <n v="45503"/>
    <x v="3"/>
    <x v="1197"/>
    <x v="1"/>
    <x v="8"/>
    <x v="1182"/>
    <n v="69.888000000000005"/>
    <s v="Medium"/>
    <n v="7"/>
    <n v="0.7"/>
    <x v="1"/>
    <x v="5"/>
    <n v="-46.591999999999999"/>
    <n v="-0.66666666666666663"/>
    <n v="1"/>
  </r>
  <r>
    <n v="3643"/>
    <s v="CA-2014-156594"/>
    <d v="2014-12-20T00:00:00"/>
    <x v="2"/>
    <s v="Q4"/>
    <x v="20"/>
    <d v="2014-12-23T00:00:00"/>
    <s v="Second Class"/>
    <x v="266"/>
    <x v="266"/>
    <s v="Consumer"/>
    <s v="United States"/>
    <s v="Los Angeles"/>
    <x v="1"/>
    <n v="90008"/>
    <x v="1"/>
    <x v="569"/>
    <x v="1"/>
    <x v="8"/>
    <x v="569"/>
    <n v="487.98399999999998"/>
    <s v="High"/>
    <n v="2"/>
    <n v="0.2"/>
    <x v="2"/>
    <x v="2"/>
    <n v="152.495"/>
    <n v="0.3125"/>
    <n v="0"/>
  </r>
  <r>
    <n v="3644"/>
    <s v="CA-2014-156594"/>
    <d v="2014-12-20T00:00:00"/>
    <x v="2"/>
    <s v="Q4"/>
    <x v="20"/>
    <d v="2014-12-23T00:00:00"/>
    <s v="Second Class"/>
    <x v="266"/>
    <x v="266"/>
    <s v="Consumer"/>
    <s v="United States"/>
    <s v="Los Angeles"/>
    <x v="1"/>
    <n v="90008"/>
    <x v="1"/>
    <x v="1559"/>
    <x v="1"/>
    <x v="6"/>
    <x v="1549"/>
    <n v="47.3"/>
    <s v="Medium"/>
    <n v="2"/>
    <n v="0"/>
    <x v="0"/>
    <x v="0"/>
    <n v="12.298"/>
    <n v="0.26"/>
    <n v="0"/>
  </r>
  <r>
    <n v="3645"/>
    <s v="CA-2014-156594"/>
    <d v="2014-12-20T00:00:00"/>
    <x v="2"/>
    <s v="Q4"/>
    <x v="20"/>
    <d v="2014-12-23T00:00:00"/>
    <s v="Second Class"/>
    <x v="266"/>
    <x v="266"/>
    <s v="Consumer"/>
    <s v="United States"/>
    <s v="Los Angeles"/>
    <x v="1"/>
    <n v="90008"/>
    <x v="1"/>
    <x v="1560"/>
    <x v="1"/>
    <x v="6"/>
    <x v="1550"/>
    <n v="4.13"/>
    <s v="Low"/>
    <n v="1"/>
    <n v="0"/>
    <x v="0"/>
    <x v="0"/>
    <n v="1.1564000000000001"/>
    <n v="0.28000000000000003"/>
    <n v="0"/>
  </r>
  <r>
    <n v="3646"/>
    <s v="CA-2014-156594"/>
    <d v="2014-12-20T00:00:00"/>
    <x v="2"/>
    <s v="Q4"/>
    <x v="20"/>
    <d v="2014-12-23T00:00:00"/>
    <s v="Second Class"/>
    <x v="266"/>
    <x v="266"/>
    <s v="Consumer"/>
    <s v="United States"/>
    <s v="Los Angeles"/>
    <x v="1"/>
    <n v="90008"/>
    <x v="1"/>
    <x v="1561"/>
    <x v="1"/>
    <x v="8"/>
    <x v="1551"/>
    <n v="155.12"/>
    <s v="High"/>
    <n v="5"/>
    <n v="0.2"/>
    <x v="2"/>
    <x v="2"/>
    <n v="50.414000000000001"/>
    <n v="0.32500000000000001"/>
    <n v="0"/>
  </r>
  <r>
    <n v="3647"/>
    <s v="CA-2014-146528"/>
    <d v="2014-07-25T00:00:00"/>
    <x v="2"/>
    <s v="Q3"/>
    <x v="39"/>
    <d v="2014-07-27T00:00:00"/>
    <s v="Second Class"/>
    <x v="665"/>
    <x v="665"/>
    <s v="Home Office"/>
    <s v="United States"/>
    <s v="Los Angeles"/>
    <x v="1"/>
    <n v="90045"/>
    <x v="1"/>
    <x v="727"/>
    <x v="1"/>
    <x v="10"/>
    <x v="1552"/>
    <n v="6.48"/>
    <s v="Low"/>
    <n v="1"/>
    <n v="0"/>
    <x v="0"/>
    <x v="0"/>
    <n v="3.1751999999999998"/>
    <n v="0.48999999999999994"/>
    <n v="0"/>
  </r>
  <r>
    <n v="3648"/>
    <s v="CA-2014-146528"/>
    <d v="2014-07-25T00:00:00"/>
    <x v="2"/>
    <s v="Q3"/>
    <x v="39"/>
    <d v="2014-07-27T00:00:00"/>
    <s v="Second Class"/>
    <x v="665"/>
    <x v="665"/>
    <s v="Home Office"/>
    <s v="United States"/>
    <s v="Los Angeles"/>
    <x v="1"/>
    <n v="90045"/>
    <x v="1"/>
    <x v="1562"/>
    <x v="1"/>
    <x v="14"/>
    <x v="1553"/>
    <n v="15.52"/>
    <s v="Low"/>
    <n v="4"/>
    <n v="0"/>
    <x v="0"/>
    <x v="0"/>
    <n v="4.5007999999999999"/>
    <n v="0.28999999999999998"/>
    <n v="0"/>
  </r>
  <r>
    <n v="3649"/>
    <s v="CA-2015-168459"/>
    <d v="2015-11-22T00:00:00"/>
    <x v="1"/>
    <s v="Q4"/>
    <x v="6"/>
    <d v="2015-11-27T00:00:00"/>
    <s v="Standard Class"/>
    <x v="507"/>
    <x v="507"/>
    <s v="Consumer"/>
    <s v="United States"/>
    <s v="Memphis"/>
    <x v="18"/>
    <n v="38109"/>
    <x v="0"/>
    <x v="696"/>
    <x v="1"/>
    <x v="8"/>
    <x v="696"/>
    <n v="2.9460000000000002"/>
    <s v="Low"/>
    <n v="2"/>
    <n v="0.7"/>
    <x v="1"/>
    <x v="5"/>
    <n v="-2.0621999999999998"/>
    <n v="-0.69999999999999984"/>
    <n v="1"/>
  </r>
  <r>
    <n v="3650"/>
    <s v="CA-2015-168459"/>
    <d v="2015-11-22T00:00:00"/>
    <x v="1"/>
    <s v="Q4"/>
    <x v="6"/>
    <d v="2015-11-27T00:00:00"/>
    <s v="Standard Class"/>
    <x v="507"/>
    <x v="507"/>
    <s v="Consumer"/>
    <s v="United States"/>
    <s v="Memphis"/>
    <x v="18"/>
    <n v="38109"/>
    <x v="0"/>
    <x v="271"/>
    <x v="1"/>
    <x v="13"/>
    <x v="271"/>
    <n v="55.103999999999999"/>
    <s v="Medium"/>
    <n v="6"/>
    <n v="0.2"/>
    <x v="2"/>
    <x v="2"/>
    <n v="18.5976"/>
    <n v="0.33750000000000002"/>
    <n v="0"/>
  </r>
  <r>
    <n v="3651"/>
    <s v="CA-2017-109960"/>
    <d v="2017-12-09T00:00:00"/>
    <x v="3"/>
    <s v="Q4"/>
    <x v="22"/>
    <d v="2017-12-11T00:00:00"/>
    <s v="Second Class"/>
    <x v="203"/>
    <x v="203"/>
    <s v="Consumer"/>
    <s v="United States"/>
    <s v="Detroit"/>
    <x v="12"/>
    <n v="48234"/>
    <x v="2"/>
    <x v="1563"/>
    <x v="2"/>
    <x v="11"/>
    <x v="1554"/>
    <n v="104.88"/>
    <s v="Medium"/>
    <n v="6"/>
    <n v="0"/>
    <x v="0"/>
    <x v="0"/>
    <n v="41.951999999999998"/>
    <n v="0.4"/>
    <n v="0"/>
  </r>
  <r>
    <n v="3652"/>
    <s v="CA-2017-109960"/>
    <d v="2017-12-09T00:00:00"/>
    <x v="3"/>
    <s v="Q4"/>
    <x v="22"/>
    <d v="2017-12-11T00:00:00"/>
    <s v="Second Class"/>
    <x v="203"/>
    <x v="203"/>
    <s v="Consumer"/>
    <s v="United States"/>
    <s v="Detroit"/>
    <x v="12"/>
    <n v="48234"/>
    <x v="2"/>
    <x v="924"/>
    <x v="1"/>
    <x v="6"/>
    <x v="916"/>
    <n v="34.700000000000003"/>
    <s v="Medium"/>
    <n v="5"/>
    <n v="0"/>
    <x v="0"/>
    <x v="0"/>
    <n v="12.492000000000001"/>
    <n v="0.36"/>
    <n v="0"/>
  </r>
  <r>
    <n v="3653"/>
    <s v="CA-2017-109960"/>
    <d v="2017-12-09T00:00:00"/>
    <x v="3"/>
    <s v="Q4"/>
    <x v="22"/>
    <d v="2017-12-11T00:00:00"/>
    <s v="Second Class"/>
    <x v="203"/>
    <x v="203"/>
    <s v="Consumer"/>
    <s v="United States"/>
    <s v="Detroit"/>
    <x v="12"/>
    <n v="48234"/>
    <x v="2"/>
    <x v="674"/>
    <x v="1"/>
    <x v="8"/>
    <x v="674"/>
    <n v="33.72"/>
    <s v="Medium"/>
    <n v="4"/>
    <n v="0"/>
    <x v="0"/>
    <x v="0"/>
    <n v="15.511200000000001"/>
    <n v="0.46"/>
    <n v="0"/>
  </r>
  <r>
    <n v="3654"/>
    <s v="CA-2017-109960"/>
    <d v="2017-12-09T00:00:00"/>
    <x v="3"/>
    <s v="Q4"/>
    <x v="22"/>
    <d v="2017-12-11T00:00:00"/>
    <s v="Second Class"/>
    <x v="203"/>
    <x v="203"/>
    <s v="Consumer"/>
    <s v="United States"/>
    <s v="Detroit"/>
    <x v="12"/>
    <n v="48234"/>
    <x v="2"/>
    <x v="811"/>
    <x v="1"/>
    <x v="10"/>
    <x v="33"/>
    <n v="14.94"/>
    <s v="Low"/>
    <n v="3"/>
    <n v="0"/>
    <x v="0"/>
    <x v="0"/>
    <n v="7.0217999999999998"/>
    <n v="0.47000000000000003"/>
    <n v="0"/>
  </r>
  <r>
    <n v="3655"/>
    <s v="CA-2017-133004"/>
    <d v="2017-08-31T00:00:00"/>
    <x v="3"/>
    <s v="Q3"/>
    <x v="43"/>
    <d v="2017-09-05T00:00:00"/>
    <s v="Standard Class"/>
    <x v="219"/>
    <x v="219"/>
    <s v="Consumer"/>
    <s v="United States"/>
    <s v="Lawrence"/>
    <x v="14"/>
    <n v="46226"/>
    <x v="2"/>
    <x v="554"/>
    <x v="1"/>
    <x v="9"/>
    <x v="553"/>
    <n v="638.73"/>
    <s v="High"/>
    <n v="9"/>
    <n v="0"/>
    <x v="0"/>
    <x v="0"/>
    <n v="166.06979999999999"/>
    <n v="0.25999999999999995"/>
    <n v="0"/>
  </r>
  <r>
    <n v="3656"/>
    <s v="CA-2017-168102"/>
    <d v="2017-04-24T00:00:00"/>
    <x v="3"/>
    <s v="Q2"/>
    <x v="4"/>
    <d v="2017-04-30T00:00:00"/>
    <s v="Standard Class"/>
    <x v="291"/>
    <x v="291"/>
    <s v="Corporate"/>
    <s v="United States"/>
    <s v="Jacksonville"/>
    <x v="2"/>
    <n v="32216"/>
    <x v="0"/>
    <x v="1043"/>
    <x v="1"/>
    <x v="4"/>
    <x v="1032"/>
    <n v="113.568"/>
    <s v="Medium"/>
    <n v="2"/>
    <n v="0.2"/>
    <x v="2"/>
    <x v="2"/>
    <n v="-21.294"/>
    <n v="-0.1875"/>
    <n v="1"/>
  </r>
  <r>
    <n v="3657"/>
    <s v="CA-2017-158036"/>
    <d v="2017-09-08T00:00:00"/>
    <x v="3"/>
    <s v="Q3"/>
    <x v="15"/>
    <d v="2017-09-14T00:00:00"/>
    <s v="Standard Class"/>
    <x v="587"/>
    <x v="587"/>
    <s v="Corporate"/>
    <s v="United States"/>
    <s v="Dublin"/>
    <x v="24"/>
    <n v="43017"/>
    <x v="3"/>
    <x v="1564"/>
    <x v="2"/>
    <x v="11"/>
    <x v="1555"/>
    <n v="9.0960000000000001"/>
    <s v="Low"/>
    <n v="1"/>
    <n v="0.2"/>
    <x v="2"/>
    <x v="2"/>
    <n v="1.7055"/>
    <n v="0.1875"/>
    <n v="0"/>
  </r>
  <r>
    <n v="3658"/>
    <s v="CA-2015-128083"/>
    <d v="2015-03-12T00:00:00"/>
    <x v="1"/>
    <s v="Q1"/>
    <x v="29"/>
    <d v="2015-03-17T00:00:00"/>
    <s v="Standard Class"/>
    <x v="494"/>
    <x v="494"/>
    <s v="Corporate"/>
    <s v="United States"/>
    <s v="Plantation"/>
    <x v="2"/>
    <n v="33317"/>
    <x v="0"/>
    <x v="135"/>
    <x v="1"/>
    <x v="12"/>
    <x v="136"/>
    <n v="8.6880000000000006"/>
    <s v="Low"/>
    <n v="3"/>
    <n v="0.2"/>
    <x v="2"/>
    <x v="2"/>
    <n v="2.9321999999999999"/>
    <n v="0.33749999999999997"/>
    <n v="0"/>
  </r>
  <r>
    <n v="3659"/>
    <s v="CA-2015-128083"/>
    <d v="2015-03-12T00:00:00"/>
    <x v="1"/>
    <s v="Q1"/>
    <x v="29"/>
    <d v="2015-03-17T00:00:00"/>
    <s v="Standard Class"/>
    <x v="494"/>
    <x v="494"/>
    <s v="Corporate"/>
    <s v="United States"/>
    <s v="Plantation"/>
    <x v="2"/>
    <n v="33317"/>
    <x v="0"/>
    <x v="76"/>
    <x v="0"/>
    <x v="5"/>
    <x v="76"/>
    <n v="30.88"/>
    <s v="Medium"/>
    <n v="4"/>
    <n v="0.2"/>
    <x v="2"/>
    <x v="2"/>
    <n v="3.86"/>
    <n v="0.125"/>
    <n v="0"/>
  </r>
  <r>
    <n v="3660"/>
    <s v="CA-2015-128083"/>
    <d v="2015-03-12T00:00:00"/>
    <x v="1"/>
    <s v="Q1"/>
    <x v="29"/>
    <d v="2015-03-17T00:00:00"/>
    <s v="Standard Class"/>
    <x v="494"/>
    <x v="494"/>
    <s v="Corporate"/>
    <s v="United States"/>
    <s v="Plantation"/>
    <x v="2"/>
    <n v="33317"/>
    <x v="0"/>
    <x v="1565"/>
    <x v="0"/>
    <x v="5"/>
    <x v="1556"/>
    <n v="6.4080000000000004"/>
    <s v="Low"/>
    <n v="3"/>
    <n v="0.2"/>
    <x v="2"/>
    <x v="2"/>
    <n v="1.4418"/>
    <n v="0.22499999999999998"/>
    <n v="0"/>
  </r>
  <r>
    <n v="3661"/>
    <s v="CA-2016-161676"/>
    <d v="2016-07-18T00:00:00"/>
    <x v="0"/>
    <s v="Q3"/>
    <x v="16"/>
    <d v="2016-07-23T00:00:00"/>
    <s v="Standard Class"/>
    <x v="687"/>
    <x v="687"/>
    <s v="Corporate"/>
    <s v="United States"/>
    <s v="Glendale"/>
    <x v="16"/>
    <n v="85301"/>
    <x v="1"/>
    <x v="1566"/>
    <x v="1"/>
    <x v="14"/>
    <x v="1557"/>
    <n v="33.799999999999997"/>
    <s v="Medium"/>
    <n v="5"/>
    <n v="0.2"/>
    <x v="2"/>
    <x v="2"/>
    <n v="4.2249999999999996"/>
    <n v="0.125"/>
    <n v="0"/>
  </r>
  <r>
    <n v="3662"/>
    <s v="CA-2016-155005"/>
    <d v="2016-06-13T00:00:00"/>
    <x v="0"/>
    <s v="Q2"/>
    <x v="1"/>
    <d v="2016-06-15T00:00:00"/>
    <s v="Second Class"/>
    <x v="337"/>
    <x v="337"/>
    <s v="Home Office"/>
    <s v="United States"/>
    <s v="Jackson"/>
    <x v="12"/>
    <n v="49201"/>
    <x v="2"/>
    <x v="1551"/>
    <x v="2"/>
    <x v="7"/>
    <x v="1539"/>
    <n v="377.97"/>
    <s v="High"/>
    <n v="3"/>
    <n v="0"/>
    <x v="0"/>
    <x v="0"/>
    <n v="94.492500000000007"/>
    <n v="0.25"/>
    <n v="0"/>
  </r>
  <r>
    <n v="3663"/>
    <s v="US-2017-129777"/>
    <d v="2017-07-03T00:00:00"/>
    <x v="3"/>
    <s v="Q3"/>
    <x v="10"/>
    <d v="2017-07-09T00:00:00"/>
    <s v="Standard Class"/>
    <x v="86"/>
    <x v="86"/>
    <s v="Home Office"/>
    <s v="United States"/>
    <s v="Quincy"/>
    <x v="31"/>
    <n v="2169"/>
    <x v="3"/>
    <x v="1113"/>
    <x v="2"/>
    <x v="11"/>
    <x v="1102"/>
    <n v="258.89999999999998"/>
    <s v="High"/>
    <n v="10"/>
    <n v="0"/>
    <x v="0"/>
    <x v="0"/>
    <n v="93.203999999999994"/>
    <n v="0.36"/>
    <n v="0"/>
  </r>
  <r>
    <n v="3664"/>
    <s v="US-2017-129777"/>
    <d v="2017-07-03T00:00:00"/>
    <x v="3"/>
    <s v="Q3"/>
    <x v="10"/>
    <d v="2017-07-09T00:00:00"/>
    <s v="Standard Class"/>
    <x v="86"/>
    <x v="86"/>
    <s v="Home Office"/>
    <s v="United States"/>
    <s v="Quincy"/>
    <x v="31"/>
    <n v="2169"/>
    <x v="3"/>
    <x v="314"/>
    <x v="1"/>
    <x v="10"/>
    <x v="314"/>
    <n v="24.56"/>
    <s v="Low"/>
    <n v="2"/>
    <n v="0"/>
    <x v="0"/>
    <x v="0"/>
    <n v="11.543200000000001"/>
    <n v="0.47000000000000003"/>
    <n v="0"/>
  </r>
  <r>
    <n v="3665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639"/>
    <x v="1"/>
    <x v="2"/>
    <x v="639"/>
    <n v="27.888000000000002"/>
    <s v="Medium"/>
    <n v="7"/>
    <n v="0.2"/>
    <x v="2"/>
    <x v="2"/>
    <n v="9.0635999999999992"/>
    <n v="0.32499999999999996"/>
    <n v="0"/>
  </r>
  <r>
    <n v="3666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636"/>
    <x v="1"/>
    <x v="8"/>
    <x v="636"/>
    <n v="6.4560000000000004"/>
    <s v="Low"/>
    <n v="4"/>
    <n v="0.7"/>
    <x v="1"/>
    <x v="5"/>
    <n v="-4.5191999999999997"/>
    <n v="-0.7"/>
    <n v="1"/>
  </r>
  <r>
    <n v="3667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1513"/>
    <x v="2"/>
    <x v="7"/>
    <x v="1500"/>
    <n v="52.68"/>
    <s v="Medium"/>
    <n v="3"/>
    <n v="0.2"/>
    <x v="2"/>
    <x v="2"/>
    <n v="19.754999999999999"/>
    <n v="0.375"/>
    <n v="0"/>
  </r>
  <r>
    <n v="3668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1567"/>
    <x v="1"/>
    <x v="14"/>
    <x v="1558"/>
    <n v="13.88"/>
    <s v="Low"/>
    <n v="5"/>
    <n v="0.2"/>
    <x v="2"/>
    <x v="2"/>
    <n v="-2.6025"/>
    <n v="-0.1875"/>
    <n v="1"/>
  </r>
  <r>
    <n v="3669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1421"/>
    <x v="2"/>
    <x v="11"/>
    <x v="1409"/>
    <n v="103.92"/>
    <s v="Medium"/>
    <n v="10"/>
    <n v="0.2"/>
    <x v="2"/>
    <x v="2"/>
    <n v="-18.186"/>
    <n v="-0.17499999999999999"/>
    <n v="1"/>
  </r>
  <r>
    <n v="3670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1568"/>
    <x v="1"/>
    <x v="2"/>
    <x v="1559"/>
    <n v="11.52"/>
    <s v="Low"/>
    <n v="5"/>
    <n v="0.2"/>
    <x v="2"/>
    <x v="2"/>
    <n v="3.7440000000000002"/>
    <n v="0.32500000000000001"/>
    <n v="0"/>
  </r>
  <r>
    <n v="3671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55"/>
    <x v="1"/>
    <x v="10"/>
    <x v="55"/>
    <n v="10.368"/>
    <s v="Low"/>
    <n v="2"/>
    <n v="0.2"/>
    <x v="2"/>
    <x v="2"/>
    <n v="3.6288"/>
    <n v="0.35"/>
    <n v="0"/>
  </r>
  <r>
    <n v="3672"/>
    <s v="CA-2014-129364"/>
    <d v="2014-12-08T00:00:00"/>
    <x v="2"/>
    <s v="Q4"/>
    <x v="20"/>
    <d v="2014-12-13T00:00:00"/>
    <s v="Standard Class"/>
    <x v="621"/>
    <x v="621"/>
    <s v="Consumer"/>
    <s v="United States"/>
    <s v="Salem"/>
    <x v="21"/>
    <n v="97301"/>
    <x v="1"/>
    <x v="1569"/>
    <x v="1"/>
    <x v="4"/>
    <x v="1560"/>
    <n v="39.072000000000003"/>
    <s v="Medium"/>
    <n v="3"/>
    <n v="0.2"/>
    <x v="2"/>
    <x v="2"/>
    <n v="2.9304000000000001"/>
    <n v="7.4999999999999997E-2"/>
    <n v="0"/>
  </r>
  <r>
    <n v="3673"/>
    <s v="CA-2016-104969"/>
    <d v="2016-04-08T00:00:00"/>
    <x v="0"/>
    <s v="Q2"/>
    <x v="25"/>
    <d v="2016-04-14T00:00:00"/>
    <s v="Standard Class"/>
    <x v="258"/>
    <x v="258"/>
    <s v="Home Office"/>
    <s v="United States"/>
    <s v="Troy"/>
    <x v="24"/>
    <n v="45373"/>
    <x v="3"/>
    <x v="1475"/>
    <x v="1"/>
    <x v="12"/>
    <x v="1462"/>
    <n v="8.8719999999999999"/>
    <s v="Low"/>
    <n v="1"/>
    <n v="0.2"/>
    <x v="2"/>
    <x v="2"/>
    <n v="3.2161"/>
    <n v="0.36249999999999999"/>
    <n v="0"/>
  </r>
  <r>
    <n v="3674"/>
    <s v="CA-2016-104969"/>
    <d v="2016-04-08T00:00:00"/>
    <x v="0"/>
    <s v="Q2"/>
    <x v="25"/>
    <d v="2016-04-14T00:00:00"/>
    <s v="Standard Class"/>
    <x v="258"/>
    <x v="258"/>
    <s v="Home Office"/>
    <s v="United States"/>
    <s v="Troy"/>
    <x v="24"/>
    <n v="45373"/>
    <x v="3"/>
    <x v="1080"/>
    <x v="1"/>
    <x v="8"/>
    <x v="1070"/>
    <n v="121.104"/>
    <s v="Medium"/>
    <n v="6"/>
    <n v="0.7"/>
    <x v="1"/>
    <x v="5"/>
    <n v="-100.92"/>
    <n v="-0.83333333333333337"/>
    <n v="1"/>
  </r>
  <r>
    <n v="3675"/>
    <s v="CA-2017-154109"/>
    <d v="2017-11-06T00:00:00"/>
    <x v="3"/>
    <s v="Q4"/>
    <x v="23"/>
    <d v="2017-11-11T00:00:00"/>
    <s v="Standard Class"/>
    <x v="586"/>
    <x v="586"/>
    <s v="Consumer"/>
    <s v="United States"/>
    <s v="Philadelphia"/>
    <x v="9"/>
    <n v="19143"/>
    <x v="3"/>
    <x v="1209"/>
    <x v="0"/>
    <x v="1"/>
    <x v="1194"/>
    <n v="127.372"/>
    <s v="High"/>
    <n v="2"/>
    <n v="0.3"/>
    <x v="1"/>
    <x v="4"/>
    <n v="-30.933199999999999"/>
    <n v="-0.24285714285714285"/>
    <n v="1"/>
  </r>
  <r>
    <n v="3676"/>
    <s v="CA-2017-154109"/>
    <d v="2017-11-06T00:00:00"/>
    <x v="3"/>
    <s v="Q4"/>
    <x v="23"/>
    <d v="2017-11-11T00:00:00"/>
    <s v="Standard Class"/>
    <x v="586"/>
    <x v="586"/>
    <s v="Consumer"/>
    <s v="United States"/>
    <s v="Philadelphia"/>
    <x v="9"/>
    <n v="19143"/>
    <x v="3"/>
    <x v="368"/>
    <x v="1"/>
    <x v="10"/>
    <x v="369"/>
    <n v="47.951999999999998"/>
    <s v="Medium"/>
    <n v="3"/>
    <n v="0.2"/>
    <x v="2"/>
    <x v="2"/>
    <n v="16.183800000000002"/>
    <n v="0.33750000000000002"/>
    <n v="0"/>
  </r>
  <r>
    <n v="3677"/>
    <s v="CA-2015-156440"/>
    <d v="2015-12-05T00:00:00"/>
    <x v="1"/>
    <s v="Q4"/>
    <x v="14"/>
    <d v="2015-12-09T00:00:00"/>
    <s v="Standard Class"/>
    <x v="588"/>
    <x v="588"/>
    <s v="Corporate"/>
    <s v="United States"/>
    <s v="San Diego"/>
    <x v="1"/>
    <n v="92105"/>
    <x v="1"/>
    <x v="642"/>
    <x v="0"/>
    <x v="5"/>
    <x v="642"/>
    <n v="44.46"/>
    <s v="Medium"/>
    <n v="2"/>
    <n v="0"/>
    <x v="0"/>
    <x v="0"/>
    <n v="14.671799999999999"/>
    <n v="0.32999999999999996"/>
    <n v="0"/>
  </r>
  <r>
    <n v="3678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1432"/>
    <x v="1"/>
    <x v="13"/>
    <x v="1420"/>
    <n v="15.8"/>
    <s v="Low"/>
    <n v="4"/>
    <n v="0"/>
    <x v="0"/>
    <x v="0"/>
    <n v="5.056"/>
    <n v="0.32"/>
    <n v="0"/>
  </r>
  <r>
    <n v="3679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1520"/>
    <x v="2"/>
    <x v="15"/>
    <x v="1507"/>
    <n v="464.97"/>
    <s v="High"/>
    <n v="3"/>
    <n v="0"/>
    <x v="0"/>
    <x v="0"/>
    <n v="209.23650000000001"/>
    <n v="0.45"/>
    <n v="0"/>
  </r>
  <r>
    <n v="3680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269"/>
    <x v="0"/>
    <x v="5"/>
    <x v="269"/>
    <n v="181.96"/>
    <s v="High"/>
    <n v="2"/>
    <n v="0"/>
    <x v="0"/>
    <x v="0"/>
    <n v="20.015599999999999"/>
    <n v="0.10999999999999999"/>
    <n v="0"/>
  </r>
  <r>
    <n v="3681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1570"/>
    <x v="1"/>
    <x v="2"/>
    <x v="1561"/>
    <n v="12.39"/>
    <s v="Low"/>
    <n v="3"/>
    <n v="0"/>
    <x v="0"/>
    <x v="0"/>
    <n v="5.6993999999999998"/>
    <n v="0.45999999999999996"/>
    <n v="0"/>
  </r>
  <r>
    <n v="3682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912"/>
    <x v="1"/>
    <x v="8"/>
    <x v="904"/>
    <n v="84.09"/>
    <s v="Medium"/>
    <n v="3"/>
    <n v="0"/>
    <x v="0"/>
    <x v="0"/>
    <n v="42.045000000000002"/>
    <n v="0.5"/>
    <n v="0"/>
  </r>
  <r>
    <n v="3683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1571"/>
    <x v="1"/>
    <x v="6"/>
    <x v="1562"/>
    <n v="79.36"/>
    <s v="Medium"/>
    <n v="4"/>
    <n v="0"/>
    <x v="0"/>
    <x v="0"/>
    <n v="32.537599999999998"/>
    <n v="0.41"/>
    <n v="0"/>
  </r>
  <r>
    <n v="3684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822"/>
    <x v="1"/>
    <x v="8"/>
    <x v="818"/>
    <n v="153.36000000000001"/>
    <s v="High"/>
    <n v="9"/>
    <n v="0"/>
    <x v="0"/>
    <x v="0"/>
    <n v="70.545599999999993"/>
    <n v="0.45999999999999991"/>
    <n v="0"/>
  </r>
  <r>
    <n v="3685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24"/>
    <x v="1"/>
    <x v="8"/>
    <x v="24"/>
    <n v="43.68"/>
    <s v="Medium"/>
    <n v="6"/>
    <n v="0"/>
    <x v="0"/>
    <x v="0"/>
    <n v="21.403199999999998"/>
    <n v="0.48999999999999994"/>
    <n v="0"/>
  </r>
  <r>
    <n v="3686"/>
    <s v="CA-2015-132626"/>
    <d v="2015-07-09T00:00:00"/>
    <x v="1"/>
    <s v="Q3"/>
    <x v="38"/>
    <d v="2015-07-14T00:00:00"/>
    <s v="Standard Class"/>
    <x v="537"/>
    <x v="537"/>
    <s v="Consumer"/>
    <s v="United States"/>
    <s v="Clinton"/>
    <x v="39"/>
    <n v="20735"/>
    <x v="3"/>
    <x v="768"/>
    <x v="1"/>
    <x v="4"/>
    <x v="767"/>
    <n v="98.21"/>
    <s v="Medium"/>
    <n v="7"/>
    <n v="0"/>
    <x v="0"/>
    <x v="0"/>
    <n v="28.480899999999998"/>
    <n v="0.28999999999999998"/>
    <n v="0"/>
  </r>
  <r>
    <n v="3687"/>
    <s v="CA-2016-102792"/>
    <d v="2016-12-13T00:00:00"/>
    <x v="0"/>
    <s v="Q4"/>
    <x v="5"/>
    <d v="2016-12-19T00:00:00"/>
    <s v="Standard Class"/>
    <x v="209"/>
    <x v="209"/>
    <s v="Consumer"/>
    <s v="United States"/>
    <s v="Riverside"/>
    <x v="1"/>
    <n v="92503"/>
    <x v="1"/>
    <x v="346"/>
    <x v="1"/>
    <x v="6"/>
    <x v="346"/>
    <n v="9.84"/>
    <s v="Low"/>
    <n v="3"/>
    <n v="0"/>
    <x v="0"/>
    <x v="0"/>
    <n v="3.2471999999999999"/>
    <n v="0.33"/>
    <n v="0"/>
  </r>
  <r>
    <n v="3688"/>
    <s v="CA-2016-108567"/>
    <d v="2016-05-20T00:00:00"/>
    <x v="0"/>
    <s v="Q2"/>
    <x v="35"/>
    <d v="2016-05-24T00:00:00"/>
    <s v="Standard Class"/>
    <x v="203"/>
    <x v="203"/>
    <s v="Consumer"/>
    <s v="United States"/>
    <s v="Port Saint Lucie"/>
    <x v="2"/>
    <n v="34952"/>
    <x v="0"/>
    <x v="307"/>
    <x v="1"/>
    <x v="8"/>
    <x v="307"/>
    <n v="2.694"/>
    <s v="Low"/>
    <n v="2"/>
    <n v="0.7"/>
    <x v="1"/>
    <x v="5"/>
    <n v="-2.2450000000000001"/>
    <n v="-0.83333333333333337"/>
    <n v="1"/>
  </r>
  <r>
    <n v="3689"/>
    <s v="CA-2017-140760"/>
    <d v="2017-06-02T00:00:00"/>
    <x v="3"/>
    <s v="Q2"/>
    <x v="27"/>
    <d v="2017-06-05T00:00:00"/>
    <s v="Second Class"/>
    <x v="157"/>
    <x v="157"/>
    <s v="Consumer"/>
    <s v="United States"/>
    <s v="Mesa"/>
    <x v="16"/>
    <n v="85204"/>
    <x v="1"/>
    <x v="218"/>
    <x v="1"/>
    <x v="10"/>
    <x v="219"/>
    <n v="25.344000000000001"/>
    <s v="Medium"/>
    <n v="6"/>
    <n v="0.2"/>
    <x v="2"/>
    <x v="2"/>
    <n v="7.92"/>
    <n v="0.3125"/>
    <n v="0"/>
  </r>
  <r>
    <n v="3690"/>
    <s v="CA-2017-140760"/>
    <d v="2017-06-02T00:00:00"/>
    <x v="3"/>
    <s v="Q2"/>
    <x v="27"/>
    <d v="2017-06-05T00:00:00"/>
    <s v="Second Class"/>
    <x v="157"/>
    <x v="157"/>
    <s v="Consumer"/>
    <s v="United States"/>
    <s v="Mesa"/>
    <x v="16"/>
    <n v="85204"/>
    <x v="1"/>
    <x v="598"/>
    <x v="1"/>
    <x v="12"/>
    <x v="598"/>
    <n v="43.92"/>
    <s v="Medium"/>
    <n v="5"/>
    <n v="0.2"/>
    <x v="2"/>
    <x v="2"/>
    <n v="15.920999999999999"/>
    <n v="0.36249999999999999"/>
    <n v="0"/>
  </r>
  <r>
    <n v="3691"/>
    <s v="US-2015-131359"/>
    <d v="2015-10-30T00:00:00"/>
    <x v="1"/>
    <s v="Q4"/>
    <x v="2"/>
    <d v="2015-11-02T00:00:00"/>
    <s v="Second Class"/>
    <x v="135"/>
    <x v="135"/>
    <s v="Corporate"/>
    <s v="United States"/>
    <s v="Denver"/>
    <x v="22"/>
    <n v="80219"/>
    <x v="1"/>
    <x v="1313"/>
    <x v="2"/>
    <x v="15"/>
    <x v="1299"/>
    <n v="59.994"/>
    <s v="Medium"/>
    <n v="2"/>
    <n v="0.7"/>
    <x v="1"/>
    <x v="5"/>
    <n v="-45.995399999999997"/>
    <n v="-0.76666666666666661"/>
    <n v="1"/>
  </r>
  <r>
    <n v="3692"/>
    <s v="US-2015-131359"/>
    <d v="2015-10-30T00:00:00"/>
    <x v="1"/>
    <s v="Q4"/>
    <x v="2"/>
    <d v="2015-11-02T00:00:00"/>
    <s v="Second Class"/>
    <x v="135"/>
    <x v="135"/>
    <s v="Corporate"/>
    <s v="United States"/>
    <s v="Denver"/>
    <x v="22"/>
    <n v="80219"/>
    <x v="1"/>
    <x v="1572"/>
    <x v="2"/>
    <x v="16"/>
    <x v="1563"/>
    <n v="439.99200000000002"/>
    <s v="High"/>
    <n v="1"/>
    <n v="0.2"/>
    <x v="2"/>
    <x v="2"/>
    <n v="164.99700000000001"/>
    <n v="0.375"/>
    <n v="0"/>
  </r>
  <r>
    <n v="3693"/>
    <s v="US-2015-131359"/>
    <d v="2015-10-30T00:00:00"/>
    <x v="1"/>
    <s v="Q4"/>
    <x v="2"/>
    <d v="2015-11-02T00:00:00"/>
    <s v="Second Class"/>
    <x v="135"/>
    <x v="135"/>
    <s v="Corporate"/>
    <s v="United States"/>
    <s v="Denver"/>
    <x v="22"/>
    <n v="80219"/>
    <x v="1"/>
    <x v="722"/>
    <x v="2"/>
    <x v="7"/>
    <x v="721"/>
    <n v="87.96"/>
    <s v="Medium"/>
    <n v="5"/>
    <n v="0.2"/>
    <x v="2"/>
    <x v="2"/>
    <n v="30.786000000000001"/>
    <n v="0.35000000000000003"/>
    <n v="0"/>
  </r>
  <r>
    <n v="3694"/>
    <s v="US-2015-131359"/>
    <d v="2015-10-30T00:00:00"/>
    <x v="1"/>
    <s v="Q4"/>
    <x v="2"/>
    <d v="2015-11-02T00:00:00"/>
    <s v="Second Class"/>
    <x v="135"/>
    <x v="135"/>
    <s v="Corporate"/>
    <s v="United States"/>
    <s v="Denver"/>
    <x v="22"/>
    <n v="80219"/>
    <x v="1"/>
    <x v="1573"/>
    <x v="0"/>
    <x v="5"/>
    <x v="1564"/>
    <n v="15.488"/>
    <s v="Low"/>
    <n v="4"/>
    <n v="0.2"/>
    <x v="2"/>
    <x v="2"/>
    <n v="3.6783999999999999"/>
    <n v="0.23749999999999999"/>
    <n v="0"/>
  </r>
  <r>
    <n v="3695"/>
    <s v="CA-2016-142097"/>
    <d v="2016-10-15T00:00:00"/>
    <x v="0"/>
    <s v="Q4"/>
    <x v="32"/>
    <d v="2016-10-20T00:00:00"/>
    <s v="Standard Class"/>
    <x v="425"/>
    <x v="425"/>
    <s v="Corporate"/>
    <s v="United States"/>
    <s v="Springfield"/>
    <x v="17"/>
    <n v="22153"/>
    <x v="0"/>
    <x v="1197"/>
    <x v="1"/>
    <x v="8"/>
    <x v="1182"/>
    <n v="232.96"/>
    <s v="High"/>
    <n v="7"/>
    <n v="0"/>
    <x v="0"/>
    <x v="0"/>
    <n v="116.48"/>
    <n v="0.5"/>
    <n v="0"/>
  </r>
  <r>
    <n v="3696"/>
    <s v="CA-2016-142097"/>
    <d v="2016-10-15T00:00:00"/>
    <x v="0"/>
    <s v="Q4"/>
    <x v="32"/>
    <d v="2016-10-20T00:00:00"/>
    <s v="Standard Class"/>
    <x v="425"/>
    <x v="425"/>
    <s v="Corporate"/>
    <s v="United States"/>
    <s v="Springfield"/>
    <x v="17"/>
    <n v="22153"/>
    <x v="0"/>
    <x v="1475"/>
    <x v="1"/>
    <x v="12"/>
    <x v="1462"/>
    <n v="66.540000000000006"/>
    <s v="Medium"/>
    <n v="6"/>
    <n v="0"/>
    <x v="0"/>
    <x v="0"/>
    <n v="32.604599999999998"/>
    <n v="0.48999999999999994"/>
    <n v="0"/>
  </r>
  <r>
    <n v="3697"/>
    <s v="CA-2016-142097"/>
    <d v="2016-10-15T00:00:00"/>
    <x v="0"/>
    <s v="Q4"/>
    <x v="32"/>
    <d v="2016-10-20T00:00:00"/>
    <s v="Standard Class"/>
    <x v="425"/>
    <x v="425"/>
    <s v="Corporate"/>
    <s v="United States"/>
    <s v="Springfield"/>
    <x v="17"/>
    <n v="22153"/>
    <x v="0"/>
    <x v="336"/>
    <x v="1"/>
    <x v="9"/>
    <x v="336"/>
    <n v="43.26"/>
    <s v="Medium"/>
    <n v="3"/>
    <n v="0"/>
    <x v="0"/>
    <x v="0"/>
    <n v="14.2758"/>
    <n v="0.33"/>
    <n v="0"/>
  </r>
  <r>
    <n v="3698"/>
    <s v="CA-2015-151680"/>
    <d v="2015-11-19T00:00:00"/>
    <x v="1"/>
    <s v="Q4"/>
    <x v="6"/>
    <d v="2015-11-21T00:00:00"/>
    <s v="Second Class"/>
    <x v="679"/>
    <x v="679"/>
    <s v="Home Office"/>
    <s v="United States"/>
    <s v="Seattle"/>
    <x v="4"/>
    <n v="98115"/>
    <x v="1"/>
    <x v="1460"/>
    <x v="0"/>
    <x v="5"/>
    <x v="1446"/>
    <n v="141.96"/>
    <s v="High"/>
    <n v="2"/>
    <n v="0"/>
    <x v="0"/>
    <x v="0"/>
    <n v="22.7136"/>
    <n v="0.15999999999999998"/>
    <n v="0"/>
  </r>
  <r>
    <n v="3699"/>
    <s v="CA-2014-140039"/>
    <d v="2014-09-13T00:00:00"/>
    <x v="2"/>
    <s v="Q3"/>
    <x v="30"/>
    <d v="2014-09-17T00:00:00"/>
    <s v="Standard Class"/>
    <x v="21"/>
    <x v="21"/>
    <s v="Corporate"/>
    <s v="United States"/>
    <s v="Tempe"/>
    <x v="16"/>
    <n v="85281"/>
    <x v="1"/>
    <x v="1574"/>
    <x v="1"/>
    <x v="4"/>
    <x v="1565"/>
    <n v="79.400000000000006"/>
    <s v="Medium"/>
    <n v="5"/>
    <n v="0.2"/>
    <x v="2"/>
    <x v="2"/>
    <n v="5.9550000000000001"/>
    <n v="7.4999999999999997E-2"/>
    <n v="0"/>
  </r>
  <r>
    <n v="3700"/>
    <s v="CA-2017-160416"/>
    <d v="2017-11-13T00:00:00"/>
    <x v="3"/>
    <s v="Q4"/>
    <x v="23"/>
    <d v="2017-11-18T00:00:00"/>
    <s v="Second Class"/>
    <x v="57"/>
    <x v="57"/>
    <s v="Home Office"/>
    <s v="United States"/>
    <s v="Yonkers"/>
    <x v="15"/>
    <n v="10701"/>
    <x v="3"/>
    <x v="374"/>
    <x v="2"/>
    <x v="11"/>
    <x v="375"/>
    <n v="163.96"/>
    <s v="High"/>
    <n v="4"/>
    <n v="0"/>
    <x v="0"/>
    <x v="0"/>
    <n v="70.502799999999993"/>
    <n v="0.42999999999999994"/>
    <n v="0"/>
  </r>
  <r>
    <n v="3701"/>
    <s v="CA-2017-169411"/>
    <d v="2017-12-24T00:00:00"/>
    <x v="3"/>
    <s v="Q4"/>
    <x v="22"/>
    <d v="2017-12-29T00:00:00"/>
    <s v="Standard Class"/>
    <x v="556"/>
    <x v="556"/>
    <s v="Corporate"/>
    <s v="United States"/>
    <s v="Rochester"/>
    <x v="15"/>
    <n v="14609"/>
    <x v="3"/>
    <x v="767"/>
    <x v="0"/>
    <x v="5"/>
    <x v="766"/>
    <n v="37.93"/>
    <s v="Medium"/>
    <n v="1"/>
    <n v="0"/>
    <x v="0"/>
    <x v="0"/>
    <n v="6.8273999999999999"/>
    <n v="0.18"/>
    <n v="0"/>
  </r>
  <r>
    <n v="3702"/>
    <s v="CA-2016-126543"/>
    <d v="2016-01-09T00:00:00"/>
    <x v="0"/>
    <s v="Q1"/>
    <x v="12"/>
    <d v="2016-01-13T00:00:00"/>
    <s v="Second Class"/>
    <x v="716"/>
    <x v="716"/>
    <s v="Corporate"/>
    <s v="United States"/>
    <s v="Toledo"/>
    <x v="24"/>
    <n v="43615"/>
    <x v="3"/>
    <x v="1462"/>
    <x v="0"/>
    <x v="5"/>
    <x v="1448"/>
    <n v="15.167999999999999"/>
    <s v="Low"/>
    <n v="2"/>
    <n v="0.2"/>
    <x v="2"/>
    <x v="2"/>
    <n v="3.7919999999999998"/>
    <n v="0.25"/>
    <n v="0"/>
  </r>
  <r>
    <n v="3703"/>
    <s v="CA-2015-104941"/>
    <d v="2015-06-13T00:00:00"/>
    <x v="1"/>
    <s v="Q2"/>
    <x v="40"/>
    <d v="2015-06-19T00:00:00"/>
    <s v="Standard Class"/>
    <x v="704"/>
    <x v="704"/>
    <s v="Corporate"/>
    <s v="United States"/>
    <s v="Decatur"/>
    <x v="19"/>
    <n v="35601"/>
    <x v="0"/>
    <x v="1560"/>
    <x v="1"/>
    <x v="6"/>
    <x v="1550"/>
    <n v="24.78"/>
    <s v="Low"/>
    <n v="6"/>
    <n v="0"/>
    <x v="0"/>
    <x v="0"/>
    <n v="6.9383999999999997"/>
    <n v="0.27999999999999997"/>
    <n v="0"/>
  </r>
  <r>
    <n v="3704"/>
    <s v="CA-2015-104941"/>
    <d v="2015-06-13T00:00:00"/>
    <x v="1"/>
    <s v="Q2"/>
    <x v="40"/>
    <d v="2015-06-19T00:00:00"/>
    <s v="Standard Class"/>
    <x v="704"/>
    <x v="704"/>
    <s v="Corporate"/>
    <s v="United States"/>
    <s v="Decatur"/>
    <x v="19"/>
    <n v="35601"/>
    <x v="0"/>
    <x v="1206"/>
    <x v="1"/>
    <x v="8"/>
    <x v="1191"/>
    <n v="19.14"/>
    <s v="Low"/>
    <n v="3"/>
    <n v="0"/>
    <x v="0"/>
    <x v="0"/>
    <n v="8.8043999999999993"/>
    <n v="0.45999999999999996"/>
    <n v="0"/>
  </r>
  <r>
    <n v="3705"/>
    <s v="CA-2015-104941"/>
    <d v="2015-06-13T00:00:00"/>
    <x v="1"/>
    <s v="Q2"/>
    <x v="40"/>
    <d v="2015-06-19T00:00:00"/>
    <s v="Standard Class"/>
    <x v="704"/>
    <x v="704"/>
    <s v="Corporate"/>
    <s v="United States"/>
    <s v="Decatur"/>
    <x v="19"/>
    <n v="35601"/>
    <x v="0"/>
    <x v="851"/>
    <x v="2"/>
    <x v="16"/>
    <x v="844"/>
    <n v="899.97"/>
    <s v="High"/>
    <n v="3"/>
    <n v="0"/>
    <x v="0"/>
    <x v="0"/>
    <n v="314.98950000000002"/>
    <n v="0.35000000000000003"/>
    <n v="0"/>
  </r>
  <r>
    <n v="3706"/>
    <s v="CA-2015-104941"/>
    <d v="2015-06-13T00:00:00"/>
    <x v="1"/>
    <s v="Q2"/>
    <x v="40"/>
    <d v="2015-06-19T00:00:00"/>
    <s v="Standard Class"/>
    <x v="704"/>
    <x v="704"/>
    <s v="Corporate"/>
    <s v="United States"/>
    <s v="Decatur"/>
    <x v="19"/>
    <n v="35601"/>
    <x v="0"/>
    <x v="1541"/>
    <x v="1"/>
    <x v="10"/>
    <x v="1529"/>
    <n v="32.4"/>
    <s v="Medium"/>
    <n v="5"/>
    <n v="0"/>
    <x v="0"/>
    <x v="0"/>
    <n v="15.552"/>
    <n v="0.48"/>
    <n v="0"/>
  </r>
  <r>
    <n v="3707"/>
    <s v="CA-2017-160087"/>
    <d v="2017-03-18T00:00:00"/>
    <x v="3"/>
    <s v="Q1"/>
    <x v="42"/>
    <d v="2017-03-22T00:00:00"/>
    <s v="Standard Class"/>
    <x v="633"/>
    <x v="633"/>
    <s v="Consumer"/>
    <s v="United States"/>
    <s v="Dallas"/>
    <x v="5"/>
    <n v="75220"/>
    <x v="2"/>
    <x v="1068"/>
    <x v="1"/>
    <x v="6"/>
    <x v="1057"/>
    <n v="23.832000000000001"/>
    <s v="Low"/>
    <n v="3"/>
    <n v="0.2"/>
    <x v="2"/>
    <x v="2"/>
    <n v="6.5537999999999998"/>
    <n v="0.27499999999999997"/>
    <n v="0"/>
  </r>
  <r>
    <n v="3708"/>
    <s v="CA-2014-120544"/>
    <d v="2014-11-23T00:00:00"/>
    <x v="2"/>
    <s v="Q4"/>
    <x v="7"/>
    <d v="2014-11-27T00:00:00"/>
    <s v="Standard Class"/>
    <x v="164"/>
    <x v="164"/>
    <s v="Corporate"/>
    <s v="United States"/>
    <s v="Mesquite"/>
    <x v="5"/>
    <n v="75150"/>
    <x v="2"/>
    <x v="740"/>
    <x v="0"/>
    <x v="5"/>
    <x v="222"/>
    <n v="6.3680000000000003"/>
    <s v="Low"/>
    <n v="2"/>
    <n v="0.6"/>
    <x v="1"/>
    <x v="6"/>
    <n v="-2.5472000000000001"/>
    <n v="-0.4"/>
    <n v="1"/>
  </r>
  <r>
    <n v="3709"/>
    <s v="CA-2014-120544"/>
    <d v="2014-11-23T00:00:00"/>
    <x v="2"/>
    <s v="Q4"/>
    <x v="7"/>
    <d v="2014-11-27T00:00:00"/>
    <s v="Standard Class"/>
    <x v="164"/>
    <x v="164"/>
    <s v="Corporate"/>
    <s v="United States"/>
    <s v="Mesquite"/>
    <x v="5"/>
    <n v="75150"/>
    <x v="2"/>
    <x v="1051"/>
    <x v="1"/>
    <x v="9"/>
    <x v="1040"/>
    <n v="34.176000000000002"/>
    <s v="Medium"/>
    <n v="3"/>
    <n v="0.8"/>
    <x v="1"/>
    <x v="3"/>
    <n v="-87.148799999999994"/>
    <n v="-2.5499999999999998"/>
    <n v="1"/>
  </r>
  <r>
    <n v="3710"/>
    <s v="CA-2014-120544"/>
    <d v="2014-11-23T00:00:00"/>
    <x v="2"/>
    <s v="Q4"/>
    <x v="7"/>
    <d v="2014-11-27T00:00:00"/>
    <s v="Standard Class"/>
    <x v="164"/>
    <x v="164"/>
    <s v="Corporate"/>
    <s v="United States"/>
    <s v="Mesquite"/>
    <x v="5"/>
    <n v="75150"/>
    <x v="2"/>
    <x v="1425"/>
    <x v="2"/>
    <x v="11"/>
    <x v="1413"/>
    <n v="5.5439999999999996"/>
    <s v="Low"/>
    <n v="7"/>
    <n v="0.2"/>
    <x v="2"/>
    <x v="2"/>
    <n v="1.6632"/>
    <n v="0.30000000000000004"/>
    <n v="0"/>
  </r>
  <r>
    <n v="3711"/>
    <s v="CA-2017-113670"/>
    <d v="2017-10-15T00:00:00"/>
    <x v="3"/>
    <s v="Q4"/>
    <x v="13"/>
    <d v="2017-10-17T00:00:00"/>
    <s v="First Class"/>
    <x v="276"/>
    <x v="276"/>
    <s v="Corporate"/>
    <s v="United States"/>
    <s v="Los Angeles"/>
    <x v="1"/>
    <n v="90045"/>
    <x v="1"/>
    <x v="214"/>
    <x v="0"/>
    <x v="3"/>
    <x v="215"/>
    <n v="510.24"/>
    <s v="High"/>
    <n v="3"/>
    <n v="0.2"/>
    <x v="2"/>
    <x v="2"/>
    <n v="6.3780000000000001"/>
    <n v="1.2500000000000001E-2"/>
    <n v="0"/>
  </r>
  <r>
    <n v="3712"/>
    <s v="CA-2017-113670"/>
    <d v="2017-10-15T00:00:00"/>
    <x v="3"/>
    <s v="Q4"/>
    <x v="13"/>
    <d v="2017-10-17T00:00:00"/>
    <s v="First Class"/>
    <x v="276"/>
    <x v="276"/>
    <s v="Corporate"/>
    <s v="United States"/>
    <s v="Los Angeles"/>
    <x v="1"/>
    <n v="90045"/>
    <x v="1"/>
    <x v="1127"/>
    <x v="1"/>
    <x v="10"/>
    <x v="1115"/>
    <n v="204.95"/>
    <s v="High"/>
    <n v="5"/>
    <n v="0"/>
    <x v="0"/>
    <x v="0"/>
    <n v="100.4255"/>
    <n v="0.49000000000000005"/>
    <n v="0"/>
  </r>
  <r>
    <n v="3713"/>
    <s v="CA-2017-166198"/>
    <d v="2017-04-21T00:00:00"/>
    <x v="3"/>
    <s v="Q2"/>
    <x v="4"/>
    <d v="2017-04-24T00:00:00"/>
    <s v="First Class"/>
    <x v="527"/>
    <x v="527"/>
    <s v="Consumer"/>
    <s v="United States"/>
    <s v="Seattle"/>
    <x v="4"/>
    <n v="98103"/>
    <x v="1"/>
    <x v="1575"/>
    <x v="2"/>
    <x v="11"/>
    <x v="1566"/>
    <n v="11.54"/>
    <s v="Low"/>
    <n v="1"/>
    <n v="0"/>
    <x v="0"/>
    <x v="0"/>
    <n v="3.4620000000000002"/>
    <n v="0.30000000000000004"/>
    <n v="0"/>
  </r>
  <r>
    <n v="3714"/>
    <s v="CA-2017-166198"/>
    <d v="2017-04-21T00:00:00"/>
    <x v="3"/>
    <s v="Q2"/>
    <x v="4"/>
    <d v="2017-04-24T00:00:00"/>
    <s v="First Class"/>
    <x v="527"/>
    <x v="527"/>
    <s v="Consumer"/>
    <s v="United States"/>
    <s v="Seattle"/>
    <x v="4"/>
    <n v="98103"/>
    <x v="1"/>
    <x v="797"/>
    <x v="0"/>
    <x v="5"/>
    <x v="795"/>
    <n v="162.6"/>
    <s v="High"/>
    <n v="3"/>
    <n v="0"/>
    <x v="0"/>
    <x v="0"/>
    <n v="34.146000000000001"/>
    <n v="0.21000000000000002"/>
    <n v="0"/>
  </r>
  <r>
    <n v="3715"/>
    <s v="CA-2014-135608"/>
    <d v="2014-12-08T00:00:00"/>
    <x v="2"/>
    <s v="Q4"/>
    <x v="20"/>
    <d v="2014-12-10T00:00:00"/>
    <s v="Second Class"/>
    <x v="600"/>
    <x v="600"/>
    <s v="Consumer"/>
    <s v="United States"/>
    <s v="Olympia"/>
    <x v="4"/>
    <n v="98502"/>
    <x v="1"/>
    <x v="600"/>
    <x v="1"/>
    <x v="10"/>
    <x v="600"/>
    <n v="45.68"/>
    <s v="Medium"/>
    <n v="2"/>
    <n v="0"/>
    <x v="0"/>
    <x v="0"/>
    <n v="21.012799999999999"/>
    <n v="0.45999999999999996"/>
    <n v="0"/>
  </r>
  <r>
    <n v="3716"/>
    <s v="CA-2014-135608"/>
    <d v="2014-12-08T00:00:00"/>
    <x v="2"/>
    <s v="Q4"/>
    <x v="20"/>
    <d v="2014-12-10T00:00:00"/>
    <s v="Second Class"/>
    <x v="600"/>
    <x v="600"/>
    <s v="Consumer"/>
    <s v="United States"/>
    <s v="Olympia"/>
    <x v="4"/>
    <n v="98502"/>
    <x v="1"/>
    <x v="291"/>
    <x v="0"/>
    <x v="1"/>
    <x v="291"/>
    <n v="603.91999999999996"/>
    <s v="High"/>
    <n v="5"/>
    <n v="0.2"/>
    <x v="2"/>
    <x v="2"/>
    <n v="45.293999999999997"/>
    <n v="7.4999999999999997E-2"/>
    <n v="0"/>
  </r>
  <r>
    <n v="3717"/>
    <s v="CA-2017-144568"/>
    <d v="2017-05-29T00:00:00"/>
    <x v="3"/>
    <s v="Q2"/>
    <x v="24"/>
    <d v="2017-06-02T00:00:00"/>
    <s v="Standard Class"/>
    <x v="270"/>
    <x v="270"/>
    <s v="Home Office"/>
    <s v="United States"/>
    <s v="Omaha"/>
    <x v="8"/>
    <n v="68104"/>
    <x v="2"/>
    <x v="1217"/>
    <x v="1"/>
    <x v="13"/>
    <x v="1201"/>
    <n v="23.55"/>
    <s v="Low"/>
    <n v="5"/>
    <n v="0"/>
    <x v="0"/>
    <x v="0"/>
    <n v="1.1775"/>
    <n v="4.9999999999999996E-2"/>
    <n v="0"/>
  </r>
  <r>
    <n v="3718"/>
    <s v="CA-2016-142370"/>
    <d v="2016-09-19T00:00:00"/>
    <x v="0"/>
    <s v="Q3"/>
    <x v="21"/>
    <d v="2016-09-23T00:00:00"/>
    <s v="Standard Class"/>
    <x v="236"/>
    <x v="236"/>
    <s v="Consumer"/>
    <s v="United States"/>
    <s v="Columbus"/>
    <x v="32"/>
    <n v="31907"/>
    <x v="0"/>
    <x v="1576"/>
    <x v="1"/>
    <x v="14"/>
    <x v="1567"/>
    <n v="5.04"/>
    <s v="Low"/>
    <n v="2"/>
    <n v="0"/>
    <x v="0"/>
    <x v="0"/>
    <n v="0.1512"/>
    <n v="0.03"/>
    <n v="0"/>
  </r>
  <r>
    <n v="3719"/>
    <s v="CA-2016-142370"/>
    <d v="2016-09-19T00:00:00"/>
    <x v="0"/>
    <s v="Q3"/>
    <x v="21"/>
    <d v="2016-09-23T00:00:00"/>
    <s v="Standard Class"/>
    <x v="236"/>
    <x v="236"/>
    <s v="Consumer"/>
    <s v="United States"/>
    <s v="Columbus"/>
    <x v="32"/>
    <n v="31907"/>
    <x v="0"/>
    <x v="1135"/>
    <x v="2"/>
    <x v="11"/>
    <x v="1123"/>
    <n v="249.95"/>
    <s v="High"/>
    <n v="5"/>
    <n v="0"/>
    <x v="0"/>
    <x v="0"/>
    <n v="107.4785"/>
    <n v="0.43"/>
    <n v="0"/>
  </r>
  <r>
    <n v="3720"/>
    <s v="CA-2016-105900"/>
    <d v="2016-09-17T00:00:00"/>
    <x v="0"/>
    <s v="Q3"/>
    <x v="21"/>
    <d v="2016-09-23T00:00:00"/>
    <s v="Standard Class"/>
    <x v="29"/>
    <x v="29"/>
    <s v="Corporate"/>
    <s v="United States"/>
    <s v="Columbus"/>
    <x v="14"/>
    <n v="47201"/>
    <x v="2"/>
    <x v="158"/>
    <x v="1"/>
    <x v="6"/>
    <x v="159"/>
    <n v="33.4"/>
    <s v="Medium"/>
    <n v="5"/>
    <n v="0"/>
    <x v="0"/>
    <x v="0"/>
    <n v="12.358000000000001"/>
    <n v="0.37000000000000005"/>
    <n v="0"/>
  </r>
  <r>
    <n v="3721"/>
    <s v="CA-2016-151155"/>
    <d v="2016-12-20T00:00:00"/>
    <x v="0"/>
    <s v="Q4"/>
    <x v="5"/>
    <d v="2016-12-24T00:00:00"/>
    <s v="Standard Class"/>
    <x v="437"/>
    <x v="437"/>
    <s v="Home Office"/>
    <s v="United States"/>
    <s v="Jackson"/>
    <x v="35"/>
    <n v="39212"/>
    <x v="0"/>
    <x v="283"/>
    <x v="0"/>
    <x v="5"/>
    <x v="283"/>
    <n v="18.920000000000002"/>
    <s v="Low"/>
    <n v="4"/>
    <n v="0"/>
    <x v="0"/>
    <x v="0"/>
    <n v="7.3788"/>
    <n v="0.38999999999999996"/>
    <n v="0"/>
  </r>
  <r>
    <n v="3722"/>
    <s v="CA-2016-151155"/>
    <d v="2016-12-20T00:00:00"/>
    <x v="0"/>
    <s v="Q4"/>
    <x v="5"/>
    <d v="2016-12-24T00:00:00"/>
    <s v="Standard Class"/>
    <x v="437"/>
    <x v="437"/>
    <s v="Home Office"/>
    <s v="United States"/>
    <s v="Jackson"/>
    <x v="35"/>
    <n v="39212"/>
    <x v="0"/>
    <x v="8"/>
    <x v="1"/>
    <x v="8"/>
    <x v="8"/>
    <n v="15.42"/>
    <s v="Low"/>
    <n v="2"/>
    <n v="0"/>
    <x v="0"/>
    <x v="0"/>
    <n v="6.9390000000000001"/>
    <n v="0.45"/>
    <n v="0"/>
  </r>
  <r>
    <n v="3723"/>
    <s v="CA-2017-144036"/>
    <d v="2017-11-22T00:00:00"/>
    <x v="3"/>
    <s v="Q4"/>
    <x v="23"/>
    <d v="2017-11-26T00:00:00"/>
    <s v="Standard Class"/>
    <x v="383"/>
    <x v="383"/>
    <s v="Consumer"/>
    <s v="United States"/>
    <s v="Houston"/>
    <x v="5"/>
    <n v="77070"/>
    <x v="2"/>
    <x v="311"/>
    <x v="1"/>
    <x v="6"/>
    <x v="311"/>
    <n v="35.712000000000003"/>
    <s v="Medium"/>
    <n v="8"/>
    <n v="0.2"/>
    <x v="2"/>
    <x v="2"/>
    <n v="2.2320000000000002"/>
    <n v="6.25E-2"/>
    <n v="0"/>
  </r>
  <r>
    <n v="3724"/>
    <s v="US-2014-169789"/>
    <d v="2014-12-30T00:00:00"/>
    <x v="2"/>
    <s v="Q4"/>
    <x v="20"/>
    <d v="2015-01-04T00:00:00"/>
    <s v="Standard Class"/>
    <x v="716"/>
    <x v="716"/>
    <s v="Corporate"/>
    <s v="United States"/>
    <s v="Phoenix"/>
    <x v="16"/>
    <n v="85023"/>
    <x v="1"/>
    <x v="1498"/>
    <x v="1"/>
    <x v="8"/>
    <x v="1486"/>
    <n v="551.98500000000001"/>
    <s v="High"/>
    <n v="5"/>
    <n v="0.7"/>
    <x v="1"/>
    <x v="5"/>
    <n v="-459.98750000000001"/>
    <n v="-0.83333333333333337"/>
    <n v="1"/>
  </r>
  <r>
    <n v="3725"/>
    <s v="CA-2017-127264"/>
    <d v="2017-04-03T00:00:00"/>
    <x v="3"/>
    <s v="Q2"/>
    <x v="4"/>
    <d v="2017-04-05T00:00:00"/>
    <s v="First Class"/>
    <x v="193"/>
    <x v="193"/>
    <s v="Consumer"/>
    <s v="United States"/>
    <s v="Chicago"/>
    <x v="10"/>
    <n v="60653"/>
    <x v="2"/>
    <x v="425"/>
    <x v="1"/>
    <x v="6"/>
    <x v="425"/>
    <n v="7.056"/>
    <s v="Low"/>
    <n v="3"/>
    <n v="0.2"/>
    <x v="2"/>
    <x v="2"/>
    <n v="2.2050000000000001"/>
    <n v="0.3125"/>
    <n v="0"/>
  </r>
  <r>
    <n v="3726"/>
    <s v="CA-2016-151512"/>
    <d v="2016-12-26T00:00:00"/>
    <x v="0"/>
    <s v="Q4"/>
    <x v="5"/>
    <d v="2017-01-02T00:00:00"/>
    <s v="Standard Class"/>
    <x v="64"/>
    <x v="64"/>
    <s v="Corporate"/>
    <s v="United States"/>
    <s v="Denver"/>
    <x v="22"/>
    <n v="80219"/>
    <x v="1"/>
    <x v="1267"/>
    <x v="1"/>
    <x v="9"/>
    <x v="1251"/>
    <n v="18.72"/>
    <s v="Low"/>
    <n v="2"/>
    <n v="0.2"/>
    <x v="2"/>
    <x v="2"/>
    <n v="3.51"/>
    <n v="0.1875"/>
    <n v="0"/>
  </r>
  <r>
    <n v="3727"/>
    <s v="CA-2016-165169"/>
    <d v="2016-06-05T00:00:00"/>
    <x v="0"/>
    <s v="Q2"/>
    <x v="1"/>
    <d v="2016-06-11T00:00:00"/>
    <s v="Standard Class"/>
    <x v="538"/>
    <x v="538"/>
    <s v="Consumer"/>
    <s v="United States"/>
    <s v="Newark"/>
    <x v="13"/>
    <n v="19711"/>
    <x v="3"/>
    <x v="734"/>
    <x v="1"/>
    <x v="4"/>
    <x v="733"/>
    <n v="360.38"/>
    <s v="High"/>
    <n v="2"/>
    <n v="0"/>
    <x v="0"/>
    <x v="0"/>
    <n v="93.698800000000006"/>
    <n v="0.26"/>
    <n v="0"/>
  </r>
  <r>
    <n v="3728"/>
    <s v="CA-2016-165169"/>
    <d v="2016-06-05T00:00:00"/>
    <x v="0"/>
    <s v="Q2"/>
    <x v="1"/>
    <d v="2016-06-11T00:00:00"/>
    <s v="Standard Class"/>
    <x v="538"/>
    <x v="538"/>
    <s v="Consumer"/>
    <s v="United States"/>
    <s v="Newark"/>
    <x v="13"/>
    <n v="19711"/>
    <x v="3"/>
    <x v="311"/>
    <x v="1"/>
    <x v="6"/>
    <x v="311"/>
    <n v="11.16"/>
    <s v="Low"/>
    <n v="2"/>
    <n v="0"/>
    <x v="0"/>
    <x v="0"/>
    <n v="2.79"/>
    <n v="0.25"/>
    <n v="0"/>
  </r>
  <r>
    <n v="3729"/>
    <s v="CA-2016-165169"/>
    <d v="2016-06-05T00:00:00"/>
    <x v="0"/>
    <s v="Q2"/>
    <x v="1"/>
    <d v="2016-06-11T00:00:00"/>
    <s v="Standard Class"/>
    <x v="538"/>
    <x v="538"/>
    <s v="Consumer"/>
    <s v="United States"/>
    <s v="Newark"/>
    <x v="13"/>
    <n v="19711"/>
    <x v="3"/>
    <x v="1508"/>
    <x v="1"/>
    <x v="2"/>
    <x v="1495"/>
    <n v="14.94"/>
    <s v="Low"/>
    <n v="3"/>
    <n v="0"/>
    <x v="0"/>
    <x v="0"/>
    <n v="6.8723999999999998"/>
    <n v="0.46"/>
    <n v="0"/>
  </r>
  <r>
    <n v="3730"/>
    <s v="CA-2015-109575"/>
    <d v="2015-09-18T00:00:00"/>
    <x v="1"/>
    <s v="Q3"/>
    <x v="11"/>
    <d v="2015-09-23T00:00:00"/>
    <s v="Standard Class"/>
    <x v="175"/>
    <x v="175"/>
    <s v="Corporate"/>
    <s v="United States"/>
    <s v="Clinton"/>
    <x v="39"/>
    <n v="20735"/>
    <x v="3"/>
    <x v="1018"/>
    <x v="1"/>
    <x v="4"/>
    <x v="1009"/>
    <n v="41.96"/>
    <s v="Medium"/>
    <n v="2"/>
    <n v="0"/>
    <x v="0"/>
    <x v="0"/>
    <n v="7.9724000000000004"/>
    <n v="0.19"/>
    <n v="0"/>
  </r>
  <r>
    <n v="3731"/>
    <s v="CA-2015-109575"/>
    <d v="2015-09-18T00:00:00"/>
    <x v="1"/>
    <s v="Q3"/>
    <x v="11"/>
    <d v="2015-09-23T00:00:00"/>
    <s v="Standard Class"/>
    <x v="175"/>
    <x v="175"/>
    <s v="Corporate"/>
    <s v="United States"/>
    <s v="Clinton"/>
    <x v="39"/>
    <n v="20735"/>
    <x v="3"/>
    <x v="72"/>
    <x v="1"/>
    <x v="4"/>
    <x v="72"/>
    <n v="636.86"/>
    <s v="High"/>
    <n v="7"/>
    <n v="0"/>
    <x v="0"/>
    <x v="0"/>
    <n v="0"/>
    <n v="0"/>
    <n v="0"/>
  </r>
  <r>
    <n v="3732"/>
    <s v="CA-2015-109575"/>
    <d v="2015-09-18T00:00:00"/>
    <x v="1"/>
    <s v="Q3"/>
    <x v="11"/>
    <d v="2015-09-23T00:00:00"/>
    <s v="Standard Class"/>
    <x v="175"/>
    <x v="175"/>
    <s v="Corporate"/>
    <s v="United States"/>
    <s v="Clinton"/>
    <x v="39"/>
    <n v="20735"/>
    <x v="3"/>
    <x v="1577"/>
    <x v="2"/>
    <x v="7"/>
    <x v="1568"/>
    <n v="499.99"/>
    <s v="High"/>
    <n v="1"/>
    <n v="0"/>
    <x v="0"/>
    <x v="0"/>
    <n v="129.9974"/>
    <n v="0.26"/>
    <n v="0"/>
  </r>
  <r>
    <n v="3733"/>
    <s v="CA-2015-109575"/>
    <d v="2015-09-18T00:00:00"/>
    <x v="1"/>
    <s v="Q3"/>
    <x v="11"/>
    <d v="2015-09-23T00:00:00"/>
    <s v="Standard Class"/>
    <x v="175"/>
    <x v="175"/>
    <s v="Corporate"/>
    <s v="United States"/>
    <s v="Clinton"/>
    <x v="39"/>
    <n v="20735"/>
    <x v="3"/>
    <x v="1149"/>
    <x v="2"/>
    <x v="7"/>
    <x v="1137"/>
    <n v="1259.93"/>
    <s v="High"/>
    <n v="7"/>
    <n v="0"/>
    <x v="0"/>
    <x v="0"/>
    <n v="327.58179999999999"/>
    <n v="0.25999999999999995"/>
    <n v="0"/>
  </r>
  <r>
    <n v="3734"/>
    <s v="CA-2015-109575"/>
    <d v="2015-09-18T00:00:00"/>
    <x v="1"/>
    <s v="Q3"/>
    <x v="11"/>
    <d v="2015-09-23T00:00:00"/>
    <s v="Standard Class"/>
    <x v="175"/>
    <x v="175"/>
    <s v="Corporate"/>
    <s v="United States"/>
    <s v="Clinton"/>
    <x v="39"/>
    <n v="20735"/>
    <x v="3"/>
    <x v="1526"/>
    <x v="1"/>
    <x v="8"/>
    <x v="1513"/>
    <n v="65.08"/>
    <s v="Medium"/>
    <n v="4"/>
    <n v="0"/>
    <x v="0"/>
    <x v="0"/>
    <n v="31.889199999999999"/>
    <n v="0.49"/>
    <n v="0"/>
  </r>
  <r>
    <n v="3735"/>
    <s v="CA-2017-168193"/>
    <d v="2017-03-06T00:00:00"/>
    <x v="3"/>
    <s v="Q1"/>
    <x v="42"/>
    <d v="2017-03-11T00:00:00"/>
    <s v="Second Class"/>
    <x v="717"/>
    <x v="717"/>
    <s v="Consumer"/>
    <s v="United States"/>
    <s v="New York City"/>
    <x v="15"/>
    <n v="10011"/>
    <x v="3"/>
    <x v="145"/>
    <x v="1"/>
    <x v="10"/>
    <x v="146"/>
    <n v="26.38"/>
    <s v="Medium"/>
    <n v="1"/>
    <n v="0"/>
    <x v="0"/>
    <x v="0"/>
    <n v="12.1348"/>
    <n v="0.46"/>
    <n v="0"/>
  </r>
  <r>
    <n v="3736"/>
    <s v="CA-2017-168193"/>
    <d v="2017-03-06T00:00:00"/>
    <x v="3"/>
    <s v="Q1"/>
    <x v="42"/>
    <d v="2017-03-11T00:00:00"/>
    <s v="Second Class"/>
    <x v="717"/>
    <x v="717"/>
    <s v="Consumer"/>
    <s v="United States"/>
    <s v="New York City"/>
    <x v="15"/>
    <n v="10011"/>
    <x v="3"/>
    <x v="928"/>
    <x v="0"/>
    <x v="5"/>
    <x v="921"/>
    <n v="71.97"/>
    <s v="Medium"/>
    <n v="3"/>
    <n v="0"/>
    <x v="0"/>
    <x v="0"/>
    <n v="16.553100000000001"/>
    <n v="0.23"/>
    <n v="0"/>
  </r>
  <r>
    <n v="3737"/>
    <s v="CA-2016-115476"/>
    <d v="2016-03-17T00:00:00"/>
    <x v="0"/>
    <s v="Q1"/>
    <x v="17"/>
    <d v="2016-03-17T00:00:00"/>
    <s v="Same Day"/>
    <x v="718"/>
    <x v="718"/>
    <s v="Consumer"/>
    <s v="United States"/>
    <s v="Newark"/>
    <x v="13"/>
    <n v="19711"/>
    <x v="3"/>
    <x v="1417"/>
    <x v="2"/>
    <x v="7"/>
    <x v="1405"/>
    <n v="129.97999999999999"/>
    <s v="High"/>
    <n v="2"/>
    <n v="0"/>
    <x v="0"/>
    <x v="0"/>
    <n v="62.3904"/>
    <n v="0.48000000000000004"/>
    <n v="0"/>
  </r>
  <r>
    <n v="3738"/>
    <s v="CA-2016-115476"/>
    <d v="2016-03-17T00:00:00"/>
    <x v="0"/>
    <s v="Q1"/>
    <x v="17"/>
    <d v="2016-03-17T00:00:00"/>
    <s v="Same Day"/>
    <x v="718"/>
    <x v="718"/>
    <s v="Consumer"/>
    <s v="United States"/>
    <s v="Newark"/>
    <x v="13"/>
    <n v="19711"/>
    <x v="3"/>
    <x v="1526"/>
    <x v="1"/>
    <x v="8"/>
    <x v="1513"/>
    <n v="32.54"/>
    <s v="Medium"/>
    <n v="2"/>
    <n v="0"/>
    <x v="0"/>
    <x v="0"/>
    <n v="15.944599999999999"/>
    <n v="0.49"/>
    <n v="0"/>
  </r>
  <r>
    <n v="3739"/>
    <s v="CA-2016-133340"/>
    <d v="2016-12-09T00:00:00"/>
    <x v="0"/>
    <s v="Q4"/>
    <x v="5"/>
    <d v="2016-12-13T00:00:00"/>
    <s v="Standard Class"/>
    <x v="109"/>
    <x v="109"/>
    <s v="Consumer"/>
    <s v="United States"/>
    <s v="Jackson"/>
    <x v="12"/>
    <n v="49201"/>
    <x v="2"/>
    <x v="47"/>
    <x v="2"/>
    <x v="7"/>
    <x v="47"/>
    <n v="10.9"/>
    <s v="Low"/>
    <n v="1"/>
    <n v="0"/>
    <x v="0"/>
    <x v="0"/>
    <n v="3.052"/>
    <n v="0.27999999999999997"/>
    <n v="0"/>
  </r>
  <r>
    <n v="3740"/>
    <s v="CA-2016-133340"/>
    <d v="2016-12-09T00:00:00"/>
    <x v="0"/>
    <s v="Q4"/>
    <x v="5"/>
    <d v="2016-12-13T00:00:00"/>
    <s v="Standard Class"/>
    <x v="109"/>
    <x v="109"/>
    <s v="Consumer"/>
    <s v="United States"/>
    <s v="Jackson"/>
    <x v="12"/>
    <n v="49201"/>
    <x v="2"/>
    <x v="1016"/>
    <x v="2"/>
    <x v="11"/>
    <x v="1007"/>
    <n v="59.98"/>
    <s v="Medium"/>
    <n v="2"/>
    <n v="0"/>
    <x v="0"/>
    <x v="0"/>
    <n v="25.191600000000001"/>
    <n v="0.42000000000000004"/>
    <n v="0"/>
  </r>
  <r>
    <n v="3741"/>
    <s v="CA-2016-133340"/>
    <d v="2016-12-09T00:00:00"/>
    <x v="0"/>
    <s v="Q4"/>
    <x v="5"/>
    <d v="2016-12-13T00:00:00"/>
    <s v="Standard Class"/>
    <x v="109"/>
    <x v="109"/>
    <s v="Consumer"/>
    <s v="United States"/>
    <s v="Jackson"/>
    <x v="12"/>
    <n v="49201"/>
    <x v="2"/>
    <x v="14"/>
    <x v="1"/>
    <x v="9"/>
    <x v="14"/>
    <n v="61.929000000000002"/>
    <s v="Medium"/>
    <n v="1"/>
    <n v="0.1"/>
    <x v="3"/>
    <x v="8"/>
    <n v="23.395399999999999"/>
    <n v="0.37777777777777777"/>
    <n v="0"/>
  </r>
  <r>
    <n v="3742"/>
    <s v="CA-2016-137848"/>
    <d v="2016-01-15T00:00:00"/>
    <x v="0"/>
    <s v="Q1"/>
    <x v="12"/>
    <d v="2016-01-21T00:00:00"/>
    <s v="Standard Class"/>
    <x v="576"/>
    <x v="576"/>
    <s v="Consumer"/>
    <s v="United States"/>
    <s v="New York City"/>
    <x v="15"/>
    <n v="10011"/>
    <x v="3"/>
    <x v="318"/>
    <x v="1"/>
    <x v="12"/>
    <x v="318"/>
    <n v="16.52"/>
    <s v="Low"/>
    <n v="4"/>
    <n v="0"/>
    <x v="0"/>
    <x v="0"/>
    <n v="7.5991999999999997"/>
    <n v="0.46"/>
    <n v="0"/>
  </r>
  <r>
    <n v="3743"/>
    <s v="CA-2016-137848"/>
    <d v="2016-01-15T00:00:00"/>
    <x v="0"/>
    <s v="Q1"/>
    <x v="12"/>
    <d v="2016-01-21T00:00:00"/>
    <s v="Standard Class"/>
    <x v="576"/>
    <x v="576"/>
    <s v="Consumer"/>
    <s v="United States"/>
    <s v="New York City"/>
    <x v="15"/>
    <n v="10011"/>
    <x v="3"/>
    <x v="1283"/>
    <x v="1"/>
    <x v="10"/>
    <x v="1268"/>
    <n v="60.12"/>
    <s v="Medium"/>
    <n v="9"/>
    <n v="0"/>
    <x v="0"/>
    <x v="0"/>
    <n v="28.857600000000001"/>
    <n v="0.48000000000000004"/>
    <n v="0"/>
  </r>
  <r>
    <n v="3744"/>
    <s v="CA-2016-137848"/>
    <d v="2016-01-15T00:00:00"/>
    <x v="0"/>
    <s v="Q1"/>
    <x v="12"/>
    <d v="2016-01-21T00:00:00"/>
    <s v="Standard Class"/>
    <x v="576"/>
    <x v="576"/>
    <s v="Consumer"/>
    <s v="United States"/>
    <s v="New York City"/>
    <x v="15"/>
    <n v="10011"/>
    <x v="3"/>
    <x v="340"/>
    <x v="1"/>
    <x v="8"/>
    <x v="340"/>
    <n v="49.536000000000001"/>
    <s v="Medium"/>
    <n v="3"/>
    <n v="0.2"/>
    <x v="2"/>
    <x v="2"/>
    <n v="17.337599999999998"/>
    <n v="0.35"/>
    <n v="0"/>
  </r>
  <r>
    <n v="3745"/>
    <s v="CA-2014-113047"/>
    <d v="2014-10-24T00:00:00"/>
    <x v="2"/>
    <s v="Q4"/>
    <x v="18"/>
    <d v="2014-10-24T00:00:00"/>
    <s v="Same Day"/>
    <x v="275"/>
    <x v="275"/>
    <s v="Consumer"/>
    <s v="United States"/>
    <s v="Rock Hill"/>
    <x v="20"/>
    <n v="29730"/>
    <x v="0"/>
    <x v="1432"/>
    <x v="1"/>
    <x v="13"/>
    <x v="1420"/>
    <n v="11.85"/>
    <s v="Low"/>
    <n v="3"/>
    <n v="0"/>
    <x v="0"/>
    <x v="0"/>
    <n v="3.7919999999999998"/>
    <n v="0.32"/>
    <n v="0"/>
  </r>
  <r>
    <n v="3746"/>
    <s v="CA-2016-149979"/>
    <d v="2016-09-23T00:00:00"/>
    <x v="0"/>
    <s v="Q3"/>
    <x v="21"/>
    <d v="2016-09-28T00:00:00"/>
    <s v="Second Class"/>
    <x v="154"/>
    <x v="154"/>
    <s v="Consumer"/>
    <s v="United States"/>
    <s v="Columbus"/>
    <x v="32"/>
    <n v="31907"/>
    <x v="0"/>
    <x v="392"/>
    <x v="1"/>
    <x v="4"/>
    <x v="393"/>
    <n v="118.25"/>
    <s v="Medium"/>
    <n v="5"/>
    <n v="0"/>
    <x v="0"/>
    <x v="0"/>
    <n v="34.292499999999997"/>
    <n v="0.28999999999999998"/>
    <n v="0"/>
  </r>
  <r>
    <n v="3747"/>
    <s v="CA-2016-149979"/>
    <d v="2016-09-23T00:00:00"/>
    <x v="0"/>
    <s v="Q3"/>
    <x v="21"/>
    <d v="2016-09-28T00:00:00"/>
    <s v="Second Class"/>
    <x v="154"/>
    <x v="154"/>
    <s v="Consumer"/>
    <s v="United States"/>
    <s v="Columbus"/>
    <x v="32"/>
    <n v="31907"/>
    <x v="0"/>
    <x v="1265"/>
    <x v="0"/>
    <x v="1"/>
    <x v="1249"/>
    <n v="368.97"/>
    <s v="High"/>
    <n v="3"/>
    <n v="0"/>
    <x v="0"/>
    <x v="0"/>
    <n v="81.173400000000001"/>
    <n v="0.21999999999999997"/>
    <n v="0"/>
  </r>
  <r>
    <n v="3748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1071"/>
    <x v="0"/>
    <x v="5"/>
    <x v="1060"/>
    <n v="198.46"/>
    <s v="High"/>
    <n v="2"/>
    <n v="0"/>
    <x v="0"/>
    <x v="0"/>
    <n v="99.23"/>
    <n v="0.5"/>
    <n v="0"/>
  </r>
  <r>
    <n v="3749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1429"/>
    <x v="1"/>
    <x v="9"/>
    <x v="1417"/>
    <n v="321.92"/>
    <s v="High"/>
    <n v="4"/>
    <n v="0"/>
    <x v="0"/>
    <x v="0"/>
    <n v="96.575999999999993"/>
    <n v="0.3"/>
    <n v="0"/>
  </r>
  <r>
    <n v="3750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1572"/>
    <x v="2"/>
    <x v="16"/>
    <x v="1563"/>
    <n v="879.98400000000004"/>
    <s v="High"/>
    <n v="2"/>
    <n v="0.2"/>
    <x v="2"/>
    <x v="2"/>
    <n v="329.99400000000003"/>
    <n v="0.375"/>
    <n v="0"/>
  </r>
  <r>
    <n v="3751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675"/>
    <x v="1"/>
    <x v="14"/>
    <x v="675"/>
    <n v="28.4"/>
    <s v="Medium"/>
    <n v="5"/>
    <n v="0"/>
    <x v="0"/>
    <x v="0"/>
    <n v="8.2360000000000007"/>
    <n v="0.29000000000000004"/>
    <n v="0"/>
  </r>
  <r>
    <n v="3752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370"/>
    <x v="0"/>
    <x v="1"/>
    <x v="371"/>
    <n v="230.28"/>
    <s v="High"/>
    <n v="3"/>
    <n v="0.2"/>
    <x v="2"/>
    <x v="2"/>
    <n v="23.027999999999999"/>
    <n v="9.9999999999999992E-2"/>
    <n v="0"/>
  </r>
  <r>
    <n v="3753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968"/>
    <x v="1"/>
    <x v="10"/>
    <x v="961"/>
    <n v="116.28"/>
    <s v="Medium"/>
    <n v="3"/>
    <n v="0"/>
    <x v="0"/>
    <x v="0"/>
    <n v="56.977200000000003"/>
    <n v="0.49000000000000005"/>
    <n v="0"/>
  </r>
  <r>
    <n v="3754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115"/>
    <x v="1"/>
    <x v="8"/>
    <x v="115"/>
    <n v="841.56799999999998"/>
    <s v="High"/>
    <n v="2"/>
    <n v="0.2"/>
    <x v="2"/>
    <x v="2"/>
    <n v="294.54880000000003"/>
    <n v="0.35000000000000003"/>
    <n v="0"/>
  </r>
  <r>
    <n v="3755"/>
    <s v="CA-2017-161956"/>
    <d v="2017-08-27T00:00:00"/>
    <x v="3"/>
    <s v="Q3"/>
    <x v="43"/>
    <d v="2017-08-29T00:00:00"/>
    <s v="Second Class"/>
    <x v="112"/>
    <x v="112"/>
    <s v="Corporate"/>
    <s v="United States"/>
    <s v="Inglewood"/>
    <x v="1"/>
    <n v="90301"/>
    <x v="1"/>
    <x v="1043"/>
    <x v="1"/>
    <x v="4"/>
    <x v="1032"/>
    <n v="354.9"/>
    <s v="High"/>
    <n v="5"/>
    <n v="0"/>
    <x v="0"/>
    <x v="0"/>
    <n v="17.745000000000001"/>
    <n v="0.05"/>
    <n v="0"/>
  </r>
  <r>
    <n v="3756"/>
    <s v="CA-2016-116799"/>
    <d v="2016-03-03T00:00:00"/>
    <x v="0"/>
    <s v="Q1"/>
    <x v="17"/>
    <d v="2016-03-06T00:00:00"/>
    <s v="First Class"/>
    <x v="684"/>
    <x v="684"/>
    <s v="Corporate"/>
    <s v="United States"/>
    <s v="Odessa"/>
    <x v="5"/>
    <n v="79762"/>
    <x v="2"/>
    <x v="827"/>
    <x v="1"/>
    <x v="10"/>
    <x v="823"/>
    <n v="42.783999999999999"/>
    <s v="Medium"/>
    <n v="7"/>
    <n v="0.2"/>
    <x v="2"/>
    <x v="2"/>
    <n v="15.5092"/>
    <n v="0.36249999999999999"/>
    <n v="0"/>
  </r>
  <r>
    <n v="3757"/>
    <s v="CA-2016-116799"/>
    <d v="2016-03-03T00:00:00"/>
    <x v="0"/>
    <s v="Q1"/>
    <x v="17"/>
    <d v="2016-03-06T00:00:00"/>
    <s v="First Class"/>
    <x v="684"/>
    <x v="684"/>
    <s v="Corporate"/>
    <s v="United States"/>
    <s v="Odessa"/>
    <x v="5"/>
    <n v="79762"/>
    <x v="2"/>
    <x v="1578"/>
    <x v="0"/>
    <x v="1"/>
    <x v="1569"/>
    <n v="563.42999999999995"/>
    <s v="High"/>
    <n v="5"/>
    <n v="0.3"/>
    <x v="1"/>
    <x v="4"/>
    <n v="-56.343000000000004"/>
    <n v="-0.10000000000000002"/>
    <n v="1"/>
  </r>
  <r>
    <n v="3758"/>
    <s v="CA-2016-111283"/>
    <d v="2016-02-29T00:00:00"/>
    <x v="0"/>
    <s v="Q1"/>
    <x v="47"/>
    <d v="2016-03-04T00:00:00"/>
    <s v="Standard Class"/>
    <x v="48"/>
    <x v="48"/>
    <s v="Consumer"/>
    <s v="United States"/>
    <s v="Newark"/>
    <x v="24"/>
    <n v="43055"/>
    <x v="3"/>
    <x v="1500"/>
    <x v="1"/>
    <x v="6"/>
    <x v="1488"/>
    <n v="111.104"/>
    <s v="Medium"/>
    <n v="7"/>
    <n v="0.2"/>
    <x v="2"/>
    <x v="2"/>
    <n v="8.3328000000000007"/>
    <n v="7.5000000000000011E-2"/>
    <n v="0"/>
  </r>
  <r>
    <n v="3759"/>
    <s v="CA-2015-167745"/>
    <d v="2015-09-18T00:00:00"/>
    <x v="1"/>
    <s v="Q3"/>
    <x v="11"/>
    <d v="2015-09-23T00:00:00"/>
    <s v="Standard Class"/>
    <x v="334"/>
    <x v="334"/>
    <s v="Corporate"/>
    <s v="United States"/>
    <s v="Los Angeles"/>
    <x v="1"/>
    <n v="90049"/>
    <x v="1"/>
    <x v="241"/>
    <x v="1"/>
    <x v="6"/>
    <x v="242"/>
    <n v="11.68"/>
    <s v="Low"/>
    <n v="2"/>
    <n v="0"/>
    <x v="0"/>
    <x v="0"/>
    <n v="5.4896000000000003"/>
    <n v="0.47000000000000003"/>
    <n v="0"/>
  </r>
  <r>
    <n v="3760"/>
    <s v="CA-2015-167745"/>
    <d v="2015-09-18T00:00:00"/>
    <x v="1"/>
    <s v="Q3"/>
    <x v="11"/>
    <d v="2015-09-23T00:00:00"/>
    <s v="Standard Class"/>
    <x v="334"/>
    <x v="334"/>
    <s v="Corporate"/>
    <s v="United States"/>
    <s v="Los Angeles"/>
    <x v="1"/>
    <n v="90049"/>
    <x v="1"/>
    <x v="1566"/>
    <x v="1"/>
    <x v="14"/>
    <x v="1557"/>
    <n v="16.899999999999999"/>
    <s v="Low"/>
    <n v="2"/>
    <n v="0"/>
    <x v="0"/>
    <x v="0"/>
    <n v="5.07"/>
    <n v="0.30000000000000004"/>
    <n v="0"/>
  </r>
  <r>
    <n v="3761"/>
    <s v="CA-2015-167745"/>
    <d v="2015-09-18T00:00:00"/>
    <x v="1"/>
    <s v="Q3"/>
    <x v="11"/>
    <d v="2015-09-23T00:00:00"/>
    <s v="Standard Class"/>
    <x v="334"/>
    <x v="334"/>
    <s v="Corporate"/>
    <s v="United States"/>
    <s v="Los Angeles"/>
    <x v="1"/>
    <n v="90049"/>
    <x v="1"/>
    <x v="1122"/>
    <x v="0"/>
    <x v="5"/>
    <x v="1110"/>
    <n v="24.4"/>
    <s v="Low"/>
    <n v="2"/>
    <n v="0"/>
    <x v="0"/>
    <x v="0"/>
    <n v="10.247999999999999"/>
    <n v="0.42"/>
    <n v="0"/>
  </r>
  <r>
    <n v="3762"/>
    <s v="CA-2017-104577"/>
    <d v="2017-05-12T00:00:00"/>
    <x v="3"/>
    <s v="Q2"/>
    <x v="24"/>
    <d v="2017-05-17T00:00:00"/>
    <s v="Standard Class"/>
    <x v="237"/>
    <x v="237"/>
    <s v="Consumer"/>
    <s v="United States"/>
    <s v="Everett"/>
    <x v="31"/>
    <n v="2149"/>
    <x v="3"/>
    <x v="161"/>
    <x v="1"/>
    <x v="10"/>
    <x v="1295"/>
    <n v="87.6"/>
    <s v="Medium"/>
    <n v="5"/>
    <n v="0"/>
    <x v="0"/>
    <x v="0"/>
    <n v="42.048000000000002"/>
    <n v="0.48000000000000004"/>
    <n v="0"/>
  </r>
  <r>
    <n v="3763"/>
    <s v="CA-2016-156251"/>
    <d v="2016-08-13T00:00:00"/>
    <x v="0"/>
    <s v="Q3"/>
    <x v="28"/>
    <d v="2016-08-18T00:00:00"/>
    <s v="Second Class"/>
    <x v="378"/>
    <x v="378"/>
    <s v="Corporate"/>
    <s v="United States"/>
    <s v="West Allis"/>
    <x v="6"/>
    <n v="53214"/>
    <x v="2"/>
    <x v="430"/>
    <x v="0"/>
    <x v="0"/>
    <x v="430"/>
    <n v="241.96"/>
    <s v="High"/>
    <n v="2"/>
    <n v="0"/>
    <x v="0"/>
    <x v="0"/>
    <n v="24.196000000000002"/>
    <n v="0.1"/>
    <n v="0"/>
  </r>
  <r>
    <n v="3764"/>
    <s v="CA-2016-156251"/>
    <d v="2016-08-13T00:00:00"/>
    <x v="0"/>
    <s v="Q3"/>
    <x v="28"/>
    <d v="2016-08-18T00:00:00"/>
    <s v="Second Class"/>
    <x v="378"/>
    <x v="378"/>
    <s v="Corporate"/>
    <s v="United States"/>
    <s v="West Allis"/>
    <x v="6"/>
    <n v="53214"/>
    <x v="2"/>
    <x v="798"/>
    <x v="1"/>
    <x v="8"/>
    <x v="796"/>
    <n v="8.52"/>
    <s v="Low"/>
    <n v="3"/>
    <n v="0"/>
    <x v="0"/>
    <x v="0"/>
    <n v="4.1748000000000003"/>
    <n v="0.49000000000000005"/>
    <n v="0"/>
  </r>
  <r>
    <n v="3765"/>
    <s v="CA-2017-125878"/>
    <d v="2017-02-25T00:00:00"/>
    <x v="3"/>
    <s v="Q1"/>
    <x v="31"/>
    <d v="2017-03-02T00:00:00"/>
    <s v="Standard Class"/>
    <x v="659"/>
    <x v="659"/>
    <s v="Consumer"/>
    <s v="United States"/>
    <s v="Chicago"/>
    <x v="10"/>
    <n v="60623"/>
    <x v="2"/>
    <x v="98"/>
    <x v="1"/>
    <x v="8"/>
    <x v="98"/>
    <n v="1.788"/>
    <s v="Low"/>
    <n v="3"/>
    <n v="0.8"/>
    <x v="1"/>
    <x v="3"/>
    <n v="-3.0396000000000001"/>
    <n v="-1.7"/>
    <n v="1"/>
  </r>
  <r>
    <n v="3766"/>
    <s v="CA-2016-163153"/>
    <d v="2016-03-21T00:00:00"/>
    <x v="0"/>
    <s v="Q1"/>
    <x v="17"/>
    <d v="2016-03-25T00:00:00"/>
    <s v="Standard Class"/>
    <x v="678"/>
    <x v="678"/>
    <s v="Corporate"/>
    <s v="United States"/>
    <s v="Houston"/>
    <x v="5"/>
    <n v="77036"/>
    <x v="2"/>
    <x v="1169"/>
    <x v="0"/>
    <x v="3"/>
    <x v="1156"/>
    <n v="99.372"/>
    <s v="Medium"/>
    <n v="2"/>
    <n v="0.3"/>
    <x v="1"/>
    <x v="4"/>
    <n v="-1.4196"/>
    <n v="-1.4285714285714285E-2"/>
    <n v="1"/>
  </r>
  <r>
    <n v="3767"/>
    <s v="CA-2016-163153"/>
    <d v="2016-03-21T00:00:00"/>
    <x v="0"/>
    <s v="Q1"/>
    <x v="17"/>
    <d v="2016-03-25T00:00:00"/>
    <s v="Standard Class"/>
    <x v="678"/>
    <x v="678"/>
    <s v="Corporate"/>
    <s v="United States"/>
    <s v="Houston"/>
    <x v="5"/>
    <n v="77036"/>
    <x v="2"/>
    <x v="59"/>
    <x v="1"/>
    <x v="6"/>
    <x v="59"/>
    <n v="1.3440000000000001"/>
    <s v="Low"/>
    <n v="1"/>
    <n v="0.2"/>
    <x v="2"/>
    <x v="2"/>
    <n v="0.504"/>
    <n v="0.375"/>
    <n v="0"/>
  </r>
  <r>
    <n v="3768"/>
    <s v="CA-2015-103205"/>
    <d v="2015-12-08T00:00:00"/>
    <x v="1"/>
    <s v="Q4"/>
    <x v="14"/>
    <d v="2015-12-10T00:00:00"/>
    <s v="Second Class"/>
    <x v="342"/>
    <x v="342"/>
    <s v="Home Office"/>
    <s v="United States"/>
    <s v="Houston"/>
    <x v="5"/>
    <n v="77036"/>
    <x v="2"/>
    <x v="173"/>
    <x v="2"/>
    <x v="7"/>
    <x v="174"/>
    <n v="119.96"/>
    <s v="Medium"/>
    <n v="5"/>
    <n v="0.2"/>
    <x v="2"/>
    <x v="2"/>
    <n v="11.996"/>
    <n v="0.1"/>
    <n v="0"/>
  </r>
  <r>
    <n v="3769"/>
    <s v="CA-2014-153913"/>
    <d v="2014-12-16T00:00:00"/>
    <x v="2"/>
    <s v="Q4"/>
    <x v="20"/>
    <d v="2014-12-20T00:00:00"/>
    <s v="Second Class"/>
    <x v="10"/>
    <x v="10"/>
    <s v="Corporate"/>
    <s v="United States"/>
    <s v="Hialeah"/>
    <x v="2"/>
    <n v="33012"/>
    <x v="0"/>
    <x v="1153"/>
    <x v="0"/>
    <x v="1"/>
    <x v="1141"/>
    <n v="1013.832"/>
    <s v="High"/>
    <n v="9"/>
    <n v="0.2"/>
    <x v="2"/>
    <x v="2"/>
    <n v="101.3832"/>
    <n v="0.1"/>
    <n v="0"/>
  </r>
  <r>
    <n v="3770"/>
    <s v="CA-2014-153913"/>
    <d v="2014-12-16T00:00:00"/>
    <x v="2"/>
    <s v="Q4"/>
    <x v="20"/>
    <d v="2014-12-20T00:00:00"/>
    <s v="Second Class"/>
    <x v="10"/>
    <x v="10"/>
    <s v="Corporate"/>
    <s v="United States"/>
    <s v="Hialeah"/>
    <x v="2"/>
    <n v="33012"/>
    <x v="0"/>
    <x v="310"/>
    <x v="1"/>
    <x v="13"/>
    <x v="310"/>
    <n v="1.984"/>
    <s v="Low"/>
    <n v="2"/>
    <n v="0.2"/>
    <x v="2"/>
    <x v="2"/>
    <n v="0.66959999999999997"/>
    <n v="0.33749999999999997"/>
    <n v="0"/>
  </r>
  <r>
    <n v="3771"/>
    <s v="CA-2016-155530"/>
    <d v="2016-12-17T00:00:00"/>
    <x v="0"/>
    <s v="Q4"/>
    <x v="5"/>
    <d v="2016-12-21T00:00:00"/>
    <s v="Standard Class"/>
    <x v="380"/>
    <x v="380"/>
    <s v="Consumer"/>
    <s v="United States"/>
    <s v="San Francisco"/>
    <x v="1"/>
    <n v="94122"/>
    <x v="1"/>
    <x v="489"/>
    <x v="0"/>
    <x v="3"/>
    <x v="489"/>
    <n v="2003.52"/>
    <s v="High"/>
    <n v="6"/>
    <n v="0.2"/>
    <x v="2"/>
    <x v="2"/>
    <n v="-325.572"/>
    <n v="-0.16250000000000001"/>
    <n v="1"/>
  </r>
  <r>
    <n v="3772"/>
    <s v="US-2016-101196"/>
    <d v="2016-05-12T00:00:00"/>
    <x v="0"/>
    <s v="Q2"/>
    <x v="35"/>
    <d v="2016-05-17T00:00:00"/>
    <s v="Standard Class"/>
    <x v="524"/>
    <x v="524"/>
    <s v="Corporate"/>
    <s v="United States"/>
    <s v="Philadelphia"/>
    <x v="9"/>
    <n v="19140"/>
    <x v="3"/>
    <x v="232"/>
    <x v="1"/>
    <x v="4"/>
    <x v="233"/>
    <n v="82.367999999999995"/>
    <s v="Medium"/>
    <n v="2"/>
    <n v="0.2"/>
    <x v="2"/>
    <x v="2"/>
    <n v="-19.5624"/>
    <n v="-0.23750000000000002"/>
    <n v="1"/>
  </r>
  <r>
    <n v="3773"/>
    <s v="CA-2014-115357"/>
    <d v="2014-08-06T00:00:00"/>
    <x v="2"/>
    <s v="Q3"/>
    <x v="9"/>
    <d v="2014-08-11T00:00:00"/>
    <s v="Second Class"/>
    <x v="288"/>
    <x v="288"/>
    <s v="Consumer"/>
    <s v="United States"/>
    <s v="Columbia"/>
    <x v="20"/>
    <n v="29203"/>
    <x v="0"/>
    <x v="917"/>
    <x v="2"/>
    <x v="11"/>
    <x v="909"/>
    <n v="62.91"/>
    <s v="Medium"/>
    <n v="3"/>
    <n v="0"/>
    <x v="0"/>
    <x v="0"/>
    <n v="22.647600000000001"/>
    <n v="0.36000000000000004"/>
    <n v="0"/>
  </r>
  <r>
    <n v="3774"/>
    <s v="US-2014-102715"/>
    <d v="2014-04-11T00:00:00"/>
    <x v="2"/>
    <s v="Q2"/>
    <x v="41"/>
    <d v="2014-04-13T00:00:00"/>
    <s v="Second Class"/>
    <x v="271"/>
    <x v="271"/>
    <s v="Consumer"/>
    <s v="United States"/>
    <s v="Miami"/>
    <x v="2"/>
    <n v="33180"/>
    <x v="0"/>
    <x v="1579"/>
    <x v="1"/>
    <x v="13"/>
    <x v="1570"/>
    <n v="6.9119999999999999"/>
    <s v="Low"/>
    <n v="3"/>
    <n v="0.2"/>
    <x v="2"/>
    <x v="2"/>
    <n v="2.3328000000000002"/>
    <n v="0.33750000000000002"/>
    <n v="0"/>
  </r>
  <r>
    <n v="3775"/>
    <s v="US-2014-102715"/>
    <d v="2014-04-11T00:00:00"/>
    <x v="2"/>
    <s v="Q2"/>
    <x v="41"/>
    <d v="2014-04-13T00:00:00"/>
    <s v="Second Class"/>
    <x v="271"/>
    <x v="271"/>
    <s v="Consumer"/>
    <s v="United States"/>
    <s v="Miami"/>
    <x v="2"/>
    <n v="33180"/>
    <x v="0"/>
    <x v="265"/>
    <x v="2"/>
    <x v="11"/>
    <x v="265"/>
    <n v="383.976"/>
    <s v="High"/>
    <n v="3"/>
    <n v="0.2"/>
    <x v="2"/>
    <x v="2"/>
    <n v="81.594899999999996"/>
    <n v="0.21249999999999999"/>
    <n v="0"/>
  </r>
  <r>
    <n v="3776"/>
    <s v="US-2014-102715"/>
    <d v="2014-04-11T00:00:00"/>
    <x v="2"/>
    <s v="Q2"/>
    <x v="41"/>
    <d v="2014-04-13T00:00:00"/>
    <s v="Second Class"/>
    <x v="271"/>
    <x v="271"/>
    <s v="Consumer"/>
    <s v="United States"/>
    <s v="Miami"/>
    <x v="2"/>
    <n v="33180"/>
    <x v="0"/>
    <x v="815"/>
    <x v="1"/>
    <x v="10"/>
    <x v="811"/>
    <n v="10.368"/>
    <s v="Low"/>
    <n v="2"/>
    <n v="0.2"/>
    <x v="2"/>
    <x v="2"/>
    <n v="3.6288"/>
    <n v="0.35"/>
    <n v="0"/>
  </r>
  <r>
    <n v="3777"/>
    <s v="US-2014-102715"/>
    <d v="2014-04-11T00:00:00"/>
    <x v="2"/>
    <s v="Q2"/>
    <x v="41"/>
    <d v="2014-04-13T00:00:00"/>
    <s v="Second Class"/>
    <x v="271"/>
    <x v="271"/>
    <s v="Consumer"/>
    <s v="United States"/>
    <s v="Miami"/>
    <x v="2"/>
    <n v="33180"/>
    <x v="0"/>
    <x v="1580"/>
    <x v="2"/>
    <x v="11"/>
    <x v="1571"/>
    <n v="335.94400000000002"/>
    <s v="High"/>
    <n v="7"/>
    <n v="0.2"/>
    <x v="2"/>
    <x v="2"/>
    <n v="41.993000000000002"/>
    <n v="0.125"/>
    <n v="0"/>
  </r>
  <r>
    <n v="3778"/>
    <s v="CA-2015-107937"/>
    <d v="2015-05-03T00:00:00"/>
    <x v="1"/>
    <s v="Q2"/>
    <x v="33"/>
    <d v="2015-05-08T00:00:00"/>
    <s v="Standard Class"/>
    <x v="674"/>
    <x v="674"/>
    <s v="Home Office"/>
    <s v="United States"/>
    <s v="Chula Vista"/>
    <x v="1"/>
    <n v="91911"/>
    <x v="1"/>
    <x v="1319"/>
    <x v="0"/>
    <x v="5"/>
    <x v="1305"/>
    <n v="665.88"/>
    <s v="High"/>
    <n v="6"/>
    <n v="0"/>
    <x v="0"/>
    <x v="0"/>
    <n v="106.5408"/>
    <n v="0.16"/>
    <n v="0"/>
  </r>
  <r>
    <n v="3779"/>
    <s v="US-2017-148768"/>
    <d v="2017-11-30T00:00:00"/>
    <x v="3"/>
    <s v="Q4"/>
    <x v="23"/>
    <d v="2017-12-02T00:00:00"/>
    <s v="Second Class"/>
    <x v="43"/>
    <x v="43"/>
    <s v="Home Office"/>
    <s v="United States"/>
    <s v="Miami"/>
    <x v="2"/>
    <n v="33180"/>
    <x v="0"/>
    <x v="993"/>
    <x v="2"/>
    <x v="7"/>
    <x v="985"/>
    <n v="71.975999999999999"/>
    <s v="Medium"/>
    <n v="3"/>
    <n v="0.2"/>
    <x v="2"/>
    <x v="2"/>
    <n v="8.9969999999999999"/>
    <n v="0.125"/>
    <n v="0"/>
  </r>
  <r>
    <n v="3780"/>
    <s v="CA-2017-118521"/>
    <d v="2017-02-16T00:00:00"/>
    <x v="3"/>
    <s v="Q1"/>
    <x v="31"/>
    <d v="2017-02-20T00:00:00"/>
    <s v="Standard Class"/>
    <x v="166"/>
    <x v="166"/>
    <s v="Consumer"/>
    <s v="United States"/>
    <s v="New York City"/>
    <x v="15"/>
    <n v="10035"/>
    <x v="3"/>
    <x v="423"/>
    <x v="1"/>
    <x v="10"/>
    <x v="423"/>
    <n v="37.94"/>
    <s v="Medium"/>
    <n v="2"/>
    <n v="0"/>
    <x v="0"/>
    <x v="0"/>
    <n v="18.211200000000002"/>
    <n v="0.48000000000000009"/>
    <n v="0"/>
  </r>
  <r>
    <n v="3781"/>
    <s v="CA-2014-149643"/>
    <d v="2014-11-16T00:00:00"/>
    <x v="2"/>
    <s v="Q4"/>
    <x v="7"/>
    <d v="2014-11-20T00:00:00"/>
    <s v="Standard Class"/>
    <x v="563"/>
    <x v="563"/>
    <s v="Home Office"/>
    <s v="United States"/>
    <s v="Manhattan"/>
    <x v="41"/>
    <n v="66502"/>
    <x v="2"/>
    <x v="1075"/>
    <x v="2"/>
    <x v="7"/>
    <x v="1065"/>
    <n v="273.95999999999998"/>
    <s v="High"/>
    <n v="2"/>
    <n v="0"/>
    <x v="0"/>
    <x v="0"/>
    <n v="10.958399999999999"/>
    <n v="0.04"/>
    <n v="0"/>
  </r>
  <r>
    <n v="3782"/>
    <s v="CA-2015-135314"/>
    <d v="2015-07-09T00:00:00"/>
    <x v="1"/>
    <s v="Q3"/>
    <x v="38"/>
    <d v="2015-07-14T00:00:00"/>
    <s v="Second Class"/>
    <x v="430"/>
    <x v="430"/>
    <s v="Consumer"/>
    <s v="United States"/>
    <s v="Philadelphia"/>
    <x v="9"/>
    <n v="19120"/>
    <x v="3"/>
    <x v="1334"/>
    <x v="2"/>
    <x v="7"/>
    <x v="1319"/>
    <n v="269.98200000000003"/>
    <s v="High"/>
    <n v="3"/>
    <n v="0.4"/>
    <x v="1"/>
    <x v="7"/>
    <n v="40.497300000000003"/>
    <n v="0.15"/>
    <n v="0"/>
  </r>
  <r>
    <n v="3783"/>
    <s v="CA-2017-165204"/>
    <d v="2017-11-13T00:00:00"/>
    <x v="3"/>
    <s v="Q4"/>
    <x v="23"/>
    <d v="2017-11-16T00:00:00"/>
    <s v="Second Class"/>
    <x v="438"/>
    <x v="438"/>
    <s v="Consumer"/>
    <s v="United States"/>
    <s v="Memphis"/>
    <x v="18"/>
    <n v="38109"/>
    <x v="0"/>
    <x v="1101"/>
    <x v="1"/>
    <x v="10"/>
    <x v="1090"/>
    <n v="8.9039999999999999"/>
    <s v="Low"/>
    <n v="3"/>
    <n v="0.2"/>
    <x v="2"/>
    <x v="2"/>
    <n v="3.339"/>
    <n v="0.375"/>
    <n v="0"/>
  </r>
  <r>
    <n v="3784"/>
    <s v="CA-2017-165204"/>
    <d v="2017-11-13T00:00:00"/>
    <x v="3"/>
    <s v="Q4"/>
    <x v="23"/>
    <d v="2017-11-16T00:00:00"/>
    <s v="Second Class"/>
    <x v="438"/>
    <x v="438"/>
    <s v="Consumer"/>
    <s v="United States"/>
    <s v="Memphis"/>
    <x v="18"/>
    <n v="38109"/>
    <x v="0"/>
    <x v="906"/>
    <x v="1"/>
    <x v="4"/>
    <x v="898"/>
    <n v="720.06399999999996"/>
    <s v="High"/>
    <n v="4"/>
    <n v="0.2"/>
    <x v="2"/>
    <x v="2"/>
    <n v="-63.005600000000001"/>
    <n v="-8.7500000000000008E-2"/>
    <n v="1"/>
  </r>
  <r>
    <n v="3785"/>
    <s v="CA-2017-125752"/>
    <d v="2017-07-31T00:00:00"/>
    <x v="3"/>
    <s v="Q3"/>
    <x v="10"/>
    <d v="2017-08-04T00:00:00"/>
    <s v="Standard Class"/>
    <x v="258"/>
    <x v="258"/>
    <s v="Home Office"/>
    <s v="United States"/>
    <s v="Fort Lauderdale"/>
    <x v="2"/>
    <n v="33311"/>
    <x v="0"/>
    <x v="1113"/>
    <x v="2"/>
    <x v="11"/>
    <x v="1102"/>
    <n v="41.423999999999999"/>
    <s v="Medium"/>
    <n v="2"/>
    <n v="0.2"/>
    <x v="2"/>
    <x v="2"/>
    <n v="8.2848000000000006"/>
    <n v="0.2"/>
    <n v="0"/>
  </r>
  <r>
    <n v="3786"/>
    <s v="CA-2017-112487"/>
    <d v="2017-12-26T00:00:00"/>
    <x v="3"/>
    <s v="Q4"/>
    <x v="22"/>
    <d v="2017-12-30T00:00:00"/>
    <s v="Standard Class"/>
    <x v="426"/>
    <x v="426"/>
    <s v="Home Office"/>
    <s v="United States"/>
    <s v="Columbus"/>
    <x v="24"/>
    <n v="43229"/>
    <x v="3"/>
    <x v="1581"/>
    <x v="1"/>
    <x v="8"/>
    <x v="1572"/>
    <n v="3.1320000000000001"/>
    <s v="Low"/>
    <n v="2"/>
    <n v="0.7"/>
    <x v="1"/>
    <x v="5"/>
    <n v="-2.61"/>
    <n v="-0.83333333333333326"/>
    <n v="1"/>
  </r>
  <r>
    <n v="3787"/>
    <s v="CA-2016-144218"/>
    <d v="2016-10-31T00:00:00"/>
    <x v="0"/>
    <s v="Q4"/>
    <x v="32"/>
    <d v="2016-11-04T00:00:00"/>
    <s v="Standard Class"/>
    <x v="63"/>
    <x v="63"/>
    <s v="Corporate"/>
    <s v="United States"/>
    <s v="Los Angeles"/>
    <x v="1"/>
    <n v="90045"/>
    <x v="1"/>
    <x v="1449"/>
    <x v="1"/>
    <x v="4"/>
    <x v="1436"/>
    <n v="1085.42"/>
    <s v="High"/>
    <n v="7"/>
    <n v="0"/>
    <x v="0"/>
    <x v="0"/>
    <n v="282.20920000000001"/>
    <n v="0.26"/>
    <n v="0"/>
  </r>
  <r>
    <n v="3788"/>
    <s v="CA-2016-169971"/>
    <d v="2016-09-04T00:00:00"/>
    <x v="0"/>
    <s v="Q3"/>
    <x v="21"/>
    <d v="2016-09-09T00:00:00"/>
    <s v="Standard Class"/>
    <x v="582"/>
    <x v="582"/>
    <s v="Consumer"/>
    <s v="United States"/>
    <s v="Houston"/>
    <x v="5"/>
    <n v="77041"/>
    <x v="2"/>
    <x v="282"/>
    <x v="1"/>
    <x v="6"/>
    <x v="282"/>
    <n v="3.9119999999999999"/>
    <s v="Low"/>
    <n v="1"/>
    <n v="0.2"/>
    <x v="2"/>
    <x v="2"/>
    <n v="1.0268999999999999"/>
    <n v="0.26250000000000001"/>
    <n v="0"/>
  </r>
  <r>
    <n v="3789"/>
    <s v="CA-2016-169971"/>
    <d v="2016-09-04T00:00:00"/>
    <x v="0"/>
    <s v="Q3"/>
    <x v="21"/>
    <d v="2016-09-09T00:00:00"/>
    <s v="Standard Class"/>
    <x v="582"/>
    <x v="582"/>
    <s v="Consumer"/>
    <s v="United States"/>
    <s v="Houston"/>
    <x v="5"/>
    <n v="77041"/>
    <x v="2"/>
    <x v="1062"/>
    <x v="1"/>
    <x v="6"/>
    <x v="1051"/>
    <n v="62.375999999999998"/>
    <s v="Medium"/>
    <n v="3"/>
    <n v="0.2"/>
    <x v="2"/>
    <x v="2"/>
    <n v="7.0172999999999996"/>
    <n v="0.1125"/>
    <n v="0"/>
  </r>
  <r>
    <n v="3790"/>
    <s v="US-2016-133508"/>
    <d v="2016-04-17T00:00:00"/>
    <x v="0"/>
    <s v="Q2"/>
    <x v="25"/>
    <d v="2016-04-21T00:00:00"/>
    <s v="Standard Class"/>
    <x v="680"/>
    <x v="680"/>
    <s v="Home Office"/>
    <s v="United States"/>
    <s v="Omaha"/>
    <x v="8"/>
    <n v="68104"/>
    <x v="2"/>
    <x v="195"/>
    <x v="1"/>
    <x v="13"/>
    <x v="196"/>
    <n v="29.05"/>
    <s v="Medium"/>
    <n v="5"/>
    <n v="0"/>
    <x v="0"/>
    <x v="0"/>
    <n v="9.0054999999999996"/>
    <n v="0.31"/>
    <n v="0"/>
  </r>
  <r>
    <n v="3791"/>
    <s v="CA-2014-107139"/>
    <d v="2014-07-05T00:00:00"/>
    <x v="2"/>
    <s v="Q3"/>
    <x v="39"/>
    <d v="2014-07-11T00:00:00"/>
    <s v="Standard Class"/>
    <x v="503"/>
    <x v="503"/>
    <s v="Home Office"/>
    <s v="United States"/>
    <s v="Los Angeles"/>
    <x v="1"/>
    <n v="90004"/>
    <x v="1"/>
    <x v="443"/>
    <x v="1"/>
    <x v="8"/>
    <x v="443"/>
    <n v="180.96"/>
    <s v="High"/>
    <n v="6"/>
    <n v="0.2"/>
    <x v="2"/>
    <x v="2"/>
    <n v="67.86"/>
    <n v="0.375"/>
    <n v="0"/>
  </r>
  <r>
    <n v="3792"/>
    <s v="CA-2015-111325"/>
    <d v="2015-02-27T00:00:00"/>
    <x v="1"/>
    <s v="Q1"/>
    <x v="36"/>
    <d v="2015-02-28T00:00:00"/>
    <s v="First Class"/>
    <x v="387"/>
    <x v="387"/>
    <s v="Corporate"/>
    <s v="United States"/>
    <s v="Altoona"/>
    <x v="9"/>
    <n v="16602"/>
    <x v="3"/>
    <x v="185"/>
    <x v="1"/>
    <x v="8"/>
    <x v="186"/>
    <n v="4.4189999999999996"/>
    <s v="Low"/>
    <n v="3"/>
    <n v="0.7"/>
    <x v="1"/>
    <x v="5"/>
    <n v="-3.3879000000000001"/>
    <n v="-0.76666666666666672"/>
    <n v="1"/>
  </r>
  <r>
    <n v="3793"/>
    <s v="CA-2015-111325"/>
    <d v="2015-02-27T00:00:00"/>
    <x v="1"/>
    <s v="Q1"/>
    <x v="36"/>
    <d v="2015-02-28T00:00:00"/>
    <s v="First Class"/>
    <x v="387"/>
    <x v="387"/>
    <s v="Corporate"/>
    <s v="United States"/>
    <s v="Altoona"/>
    <x v="9"/>
    <n v="16602"/>
    <x v="3"/>
    <x v="1216"/>
    <x v="1"/>
    <x v="6"/>
    <x v="1200"/>
    <n v="16.032"/>
    <s v="Low"/>
    <n v="6"/>
    <n v="0.2"/>
    <x v="2"/>
    <x v="2"/>
    <n v="2.2044000000000001"/>
    <n v="0.13750000000000001"/>
    <n v="0"/>
  </r>
  <r>
    <n v="3794"/>
    <s v="CA-2015-163762"/>
    <d v="2015-11-27T00:00:00"/>
    <x v="1"/>
    <s v="Q4"/>
    <x v="6"/>
    <d v="2015-12-01T00:00:00"/>
    <s v="Standard Class"/>
    <x v="188"/>
    <x v="188"/>
    <s v="Consumer"/>
    <s v="United States"/>
    <s v="New York City"/>
    <x v="15"/>
    <n v="10024"/>
    <x v="3"/>
    <x v="1068"/>
    <x v="1"/>
    <x v="6"/>
    <x v="1057"/>
    <n v="29.79"/>
    <s v="Medium"/>
    <n v="3"/>
    <n v="0"/>
    <x v="0"/>
    <x v="0"/>
    <n v="12.511799999999999"/>
    <n v="0.42"/>
    <n v="0"/>
  </r>
  <r>
    <n v="3795"/>
    <s v="US-2014-117163"/>
    <d v="2014-01-27T00:00:00"/>
    <x v="2"/>
    <s v="Q1"/>
    <x v="46"/>
    <d v="2014-02-02T00:00:00"/>
    <s v="Standard Class"/>
    <x v="719"/>
    <x v="719"/>
    <s v="Consumer"/>
    <s v="United States"/>
    <s v="San Diego"/>
    <x v="1"/>
    <n v="92037"/>
    <x v="1"/>
    <x v="1277"/>
    <x v="1"/>
    <x v="4"/>
    <x v="1262"/>
    <n v="57.23"/>
    <s v="Medium"/>
    <n v="1"/>
    <n v="0"/>
    <x v="0"/>
    <x v="0"/>
    <n v="14.307499999999999"/>
    <n v="0.25"/>
    <n v="0"/>
  </r>
  <r>
    <n v="3796"/>
    <s v="US-2014-117163"/>
    <d v="2014-01-27T00:00:00"/>
    <x v="2"/>
    <s v="Q1"/>
    <x v="46"/>
    <d v="2014-02-02T00:00:00"/>
    <s v="Standard Class"/>
    <x v="719"/>
    <x v="719"/>
    <s v="Consumer"/>
    <s v="United States"/>
    <s v="San Diego"/>
    <x v="1"/>
    <n v="92037"/>
    <x v="1"/>
    <x v="1582"/>
    <x v="0"/>
    <x v="3"/>
    <x v="1573"/>
    <n v="333"/>
    <s v="High"/>
    <n v="3"/>
    <n v="0.2"/>
    <x v="2"/>
    <x v="2"/>
    <n v="-16.649999999999999"/>
    <n v="-4.9999999999999996E-2"/>
    <n v="1"/>
  </r>
  <r>
    <n v="3797"/>
    <s v="US-2014-117163"/>
    <d v="2014-01-27T00:00:00"/>
    <x v="2"/>
    <s v="Q1"/>
    <x v="46"/>
    <d v="2014-02-02T00:00:00"/>
    <s v="Standard Class"/>
    <x v="719"/>
    <x v="719"/>
    <s v="Consumer"/>
    <s v="United States"/>
    <s v="San Diego"/>
    <x v="1"/>
    <n v="92037"/>
    <x v="1"/>
    <x v="1583"/>
    <x v="1"/>
    <x v="6"/>
    <x v="1574"/>
    <n v="36.44"/>
    <s v="Medium"/>
    <n v="4"/>
    <n v="0"/>
    <x v="0"/>
    <x v="0"/>
    <n v="12.0252"/>
    <n v="0.33"/>
    <n v="0"/>
  </r>
  <r>
    <n v="3798"/>
    <s v="CA-2017-121314"/>
    <d v="2017-09-23T00:00:00"/>
    <x v="3"/>
    <s v="Q3"/>
    <x v="15"/>
    <d v="2017-09-26T00:00:00"/>
    <s v="First Class"/>
    <x v="648"/>
    <x v="648"/>
    <s v="Consumer"/>
    <s v="United States"/>
    <s v="Miami"/>
    <x v="2"/>
    <n v="33178"/>
    <x v="0"/>
    <x v="656"/>
    <x v="1"/>
    <x v="10"/>
    <x v="656"/>
    <n v="251.64"/>
    <s v="High"/>
    <n v="3"/>
    <n v="0.2"/>
    <x v="2"/>
    <x v="2"/>
    <n v="88.073999999999998"/>
    <n v="0.35000000000000003"/>
    <n v="0"/>
  </r>
  <r>
    <n v="3799"/>
    <s v="CA-2017-147760"/>
    <d v="2017-11-04T00:00:00"/>
    <x v="3"/>
    <s v="Q4"/>
    <x v="23"/>
    <d v="2017-11-05T00:00:00"/>
    <s v="First Class"/>
    <x v="126"/>
    <x v="126"/>
    <s v="Corporate"/>
    <s v="United States"/>
    <s v="Greensboro"/>
    <x v="3"/>
    <n v="27405"/>
    <x v="0"/>
    <x v="309"/>
    <x v="0"/>
    <x v="3"/>
    <x v="309"/>
    <n v="523.76400000000001"/>
    <s v="High"/>
    <n v="3"/>
    <n v="0.4"/>
    <x v="1"/>
    <x v="7"/>
    <n v="-192.04679999999999"/>
    <n v="-0.36666666666666664"/>
    <n v="1"/>
  </r>
  <r>
    <n v="3800"/>
    <s v="CA-2017-147760"/>
    <d v="2017-11-04T00:00:00"/>
    <x v="3"/>
    <s v="Q4"/>
    <x v="23"/>
    <d v="2017-11-05T00:00:00"/>
    <s v="First Class"/>
    <x v="126"/>
    <x v="126"/>
    <s v="Corporate"/>
    <s v="United States"/>
    <s v="Greensboro"/>
    <x v="3"/>
    <n v="27405"/>
    <x v="0"/>
    <x v="1194"/>
    <x v="2"/>
    <x v="7"/>
    <x v="1179"/>
    <n v="1359.96"/>
    <s v="High"/>
    <n v="5"/>
    <n v="0.2"/>
    <x v="2"/>
    <x v="2"/>
    <n v="118.9965"/>
    <n v="8.7499999999999994E-2"/>
    <n v="0"/>
  </r>
  <r>
    <n v="3801"/>
    <s v="CA-2016-156503"/>
    <d v="2016-10-14T00:00:00"/>
    <x v="0"/>
    <s v="Q4"/>
    <x v="32"/>
    <d v="2016-10-20T00:00:00"/>
    <s v="Standard Class"/>
    <x v="720"/>
    <x v="720"/>
    <s v="Consumer"/>
    <s v="United States"/>
    <s v="Jacksonville"/>
    <x v="3"/>
    <n v="28540"/>
    <x v="0"/>
    <x v="1584"/>
    <x v="0"/>
    <x v="1"/>
    <x v="1575"/>
    <n v="102.592"/>
    <s v="Medium"/>
    <n v="1"/>
    <n v="0.2"/>
    <x v="2"/>
    <x v="2"/>
    <n v="10.2592"/>
    <n v="0.1"/>
    <n v="0"/>
  </r>
  <r>
    <n v="3802"/>
    <s v="CA-2016-156503"/>
    <d v="2016-10-14T00:00:00"/>
    <x v="0"/>
    <s v="Q4"/>
    <x v="32"/>
    <d v="2016-10-20T00:00:00"/>
    <s v="Standard Class"/>
    <x v="720"/>
    <x v="720"/>
    <s v="Consumer"/>
    <s v="United States"/>
    <s v="Jacksonville"/>
    <x v="3"/>
    <n v="28540"/>
    <x v="0"/>
    <x v="721"/>
    <x v="2"/>
    <x v="11"/>
    <x v="720"/>
    <n v="22.704000000000001"/>
    <s v="Low"/>
    <n v="1"/>
    <n v="0.2"/>
    <x v="2"/>
    <x v="2"/>
    <n v="5.9598000000000004"/>
    <n v="0.26250000000000001"/>
    <n v="0"/>
  </r>
  <r>
    <n v="3803"/>
    <s v="CA-2016-156503"/>
    <d v="2016-10-14T00:00:00"/>
    <x v="0"/>
    <s v="Q4"/>
    <x v="32"/>
    <d v="2016-10-20T00:00:00"/>
    <s v="Standard Class"/>
    <x v="720"/>
    <x v="720"/>
    <s v="Consumer"/>
    <s v="United States"/>
    <s v="Jacksonville"/>
    <x v="3"/>
    <n v="28540"/>
    <x v="0"/>
    <x v="1413"/>
    <x v="1"/>
    <x v="10"/>
    <x v="1400"/>
    <n v="93.024000000000001"/>
    <s v="Medium"/>
    <n v="3"/>
    <n v="0.2"/>
    <x v="2"/>
    <x v="2"/>
    <n v="33.721200000000003"/>
    <n v="0.36250000000000004"/>
    <n v="0"/>
  </r>
  <r>
    <n v="3804"/>
    <s v="CA-2016-156503"/>
    <d v="2016-10-14T00:00:00"/>
    <x v="0"/>
    <s v="Q4"/>
    <x v="32"/>
    <d v="2016-10-20T00:00:00"/>
    <s v="Standard Class"/>
    <x v="720"/>
    <x v="720"/>
    <s v="Consumer"/>
    <s v="United States"/>
    <s v="Jacksonville"/>
    <x v="3"/>
    <n v="28540"/>
    <x v="0"/>
    <x v="1444"/>
    <x v="1"/>
    <x v="14"/>
    <x v="327"/>
    <n v="12.768000000000001"/>
    <s v="Low"/>
    <n v="2"/>
    <n v="0.2"/>
    <x v="2"/>
    <x v="2"/>
    <n v="1.4363999999999999"/>
    <n v="0.11249999999999999"/>
    <n v="0"/>
  </r>
  <r>
    <n v="3805"/>
    <s v="CA-2016-156503"/>
    <d v="2016-10-14T00:00:00"/>
    <x v="0"/>
    <s v="Q4"/>
    <x v="32"/>
    <d v="2016-10-20T00:00:00"/>
    <s v="Standard Class"/>
    <x v="720"/>
    <x v="720"/>
    <s v="Consumer"/>
    <s v="United States"/>
    <s v="Jacksonville"/>
    <x v="3"/>
    <n v="28540"/>
    <x v="0"/>
    <x v="466"/>
    <x v="1"/>
    <x v="12"/>
    <x v="467"/>
    <n v="35.008000000000003"/>
    <s v="Medium"/>
    <n v="4"/>
    <n v="0.2"/>
    <x v="2"/>
    <x v="2"/>
    <n v="13.128"/>
    <n v="0.375"/>
    <n v="0"/>
  </r>
  <r>
    <n v="3806"/>
    <s v="CA-2016-156503"/>
    <d v="2016-10-14T00:00:00"/>
    <x v="0"/>
    <s v="Q4"/>
    <x v="32"/>
    <d v="2016-10-20T00:00:00"/>
    <s v="Standard Class"/>
    <x v="720"/>
    <x v="720"/>
    <s v="Consumer"/>
    <s v="United States"/>
    <s v="Jacksonville"/>
    <x v="3"/>
    <n v="28540"/>
    <x v="0"/>
    <x v="126"/>
    <x v="1"/>
    <x v="10"/>
    <x v="127"/>
    <n v="39.152000000000001"/>
    <s v="Medium"/>
    <n v="1"/>
    <n v="0.2"/>
    <x v="2"/>
    <x v="2"/>
    <n v="14.682"/>
    <n v="0.375"/>
    <n v="0"/>
  </r>
  <r>
    <n v="3807"/>
    <s v="CA-2015-113628"/>
    <d v="2015-11-12T00:00:00"/>
    <x v="1"/>
    <s v="Q4"/>
    <x v="6"/>
    <d v="2015-11-19T00:00:00"/>
    <s v="Standard Class"/>
    <x v="706"/>
    <x v="706"/>
    <s v="Corporate"/>
    <s v="United States"/>
    <s v="Plantation"/>
    <x v="2"/>
    <n v="33317"/>
    <x v="0"/>
    <x v="454"/>
    <x v="1"/>
    <x v="6"/>
    <x v="455"/>
    <n v="11.76"/>
    <s v="Low"/>
    <n v="5"/>
    <n v="0.2"/>
    <x v="2"/>
    <x v="2"/>
    <n v="1.323"/>
    <n v="0.1125"/>
    <n v="0"/>
  </r>
  <r>
    <n v="3808"/>
    <s v="CA-2015-113628"/>
    <d v="2015-11-12T00:00:00"/>
    <x v="1"/>
    <s v="Q4"/>
    <x v="6"/>
    <d v="2015-11-19T00:00:00"/>
    <s v="Standard Class"/>
    <x v="706"/>
    <x v="706"/>
    <s v="Corporate"/>
    <s v="United States"/>
    <s v="Plantation"/>
    <x v="2"/>
    <n v="33317"/>
    <x v="0"/>
    <x v="44"/>
    <x v="1"/>
    <x v="8"/>
    <x v="44"/>
    <n v="5.2380000000000004"/>
    <s v="Low"/>
    <n v="2"/>
    <n v="0.7"/>
    <x v="1"/>
    <x v="5"/>
    <n v="-4.0157999999999996"/>
    <n v="-0.7666666666666665"/>
    <n v="1"/>
  </r>
  <r>
    <n v="3809"/>
    <s v="CA-2015-113628"/>
    <d v="2015-11-12T00:00:00"/>
    <x v="1"/>
    <s v="Q4"/>
    <x v="6"/>
    <d v="2015-11-19T00:00:00"/>
    <s v="Standard Class"/>
    <x v="706"/>
    <x v="706"/>
    <s v="Corporate"/>
    <s v="United States"/>
    <s v="Plantation"/>
    <x v="2"/>
    <n v="33317"/>
    <x v="0"/>
    <x v="1472"/>
    <x v="1"/>
    <x v="8"/>
    <x v="1459"/>
    <n v="4.6619999999999999"/>
    <s v="Low"/>
    <n v="3"/>
    <n v="0.7"/>
    <x v="1"/>
    <x v="5"/>
    <n v="-3.7296"/>
    <n v="-0.8"/>
    <n v="1"/>
  </r>
  <r>
    <n v="3810"/>
    <s v="CA-2015-113628"/>
    <d v="2015-11-12T00:00:00"/>
    <x v="1"/>
    <s v="Q4"/>
    <x v="6"/>
    <d v="2015-11-19T00:00:00"/>
    <s v="Standard Class"/>
    <x v="706"/>
    <x v="706"/>
    <s v="Corporate"/>
    <s v="United States"/>
    <s v="Plantation"/>
    <x v="2"/>
    <n v="33317"/>
    <x v="0"/>
    <x v="1585"/>
    <x v="0"/>
    <x v="1"/>
    <x v="1576"/>
    <n v="523.91999999999996"/>
    <s v="High"/>
    <n v="5"/>
    <n v="0.2"/>
    <x v="2"/>
    <x v="2"/>
    <n v="-72.039000000000001"/>
    <n v="-0.13750000000000001"/>
    <n v="1"/>
  </r>
  <r>
    <n v="3811"/>
    <s v="CA-2015-113628"/>
    <d v="2015-11-12T00:00:00"/>
    <x v="1"/>
    <s v="Q4"/>
    <x v="6"/>
    <d v="2015-11-19T00:00:00"/>
    <s v="Standard Class"/>
    <x v="706"/>
    <x v="706"/>
    <s v="Corporate"/>
    <s v="United States"/>
    <s v="Plantation"/>
    <x v="2"/>
    <n v="33317"/>
    <x v="0"/>
    <x v="1066"/>
    <x v="2"/>
    <x v="7"/>
    <x v="1055"/>
    <n v="100.792"/>
    <s v="Medium"/>
    <n v="1"/>
    <n v="0.2"/>
    <x v="2"/>
    <x v="2"/>
    <n v="10.0792"/>
    <n v="0.1"/>
    <n v="0"/>
  </r>
  <r>
    <n v="3812"/>
    <s v="CA-2015-113628"/>
    <d v="2015-11-12T00:00:00"/>
    <x v="1"/>
    <s v="Q4"/>
    <x v="6"/>
    <d v="2015-11-19T00:00:00"/>
    <s v="Standard Class"/>
    <x v="706"/>
    <x v="706"/>
    <s v="Corporate"/>
    <s v="United States"/>
    <s v="Plantation"/>
    <x v="2"/>
    <n v="33317"/>
    <x v="0"/>
    <x v="212"/>
    <x v="0"/>
    <x v="1"/>
    <x v="213"/>
    <n v="146.136"/>
    <s v="High"/>
    <n v="3"/>
    <n v="0.2"/>
    <x v="2"/>
    <x v="2"/>
    <n v="16.440300000000001"/>
    <n v="0.1125"/>
    <n v="0"/>
  </r>
  <r>
    <n v="3813"/>
    <s v="CA-2017-147753"/>
    <d v="2017-03-05T00:00:00"/>
    <x v="3"/>
    <s v="Q1"/>
    <x v="42"/>
    <d v="2017-03-05T00:00:00"/>
    <s v="Same Day"/>
    <x v="7"/>
    <x v="7"/>
    <s v="Consumer"/>
    <s v="United States"/>
    <s v="Milwaukee"/>
    <x v="6"/>
    <n v="53209"/>
    <x v="2"/>
    <x v="1586"/>
    <x v="1"/>
    <x v="2"/>
    <x v="1577"/>
    <n v="25.06"/>
    <s v="Medium"/>
    <n v="2"/>
    <n v="0"/>
    <x v="0"/>
    <x v="0"/>
    <n v="11.7782"/>
    <n v="0.47000000000000003"/>
    <n v="0"/>
  </r>
  <r>
    <n v="3814"/>
    <s v="CA-2015-103961"/>
    <d v="2015-11-05T00:00:00"/>
    <x v="1"/>
    <s v="Q4"/>
    <x v="6"/>
    <d v="2015-11-09T00:00:00"/>
    <s v="Standard Class"/>
    <x v="159"/>
    <x v="159"/>
    <s v="Consumer"/>
    <s v="United States"/>
    <s v="Quincy"/>
    <x v="10"/>
    <n v="62301"/>
    <x v="2"/>
    <x v="617"/>
    <x v="1"/>
    <x v="2"/>
    <x v="617"/>
    <n v="19.824000000000002"/>
    <s v="Low"/>
    <n v="6"/>
    <n v="0.2"/>
    <x v="2"/>
    <x v="2"/>
    <n v="6.4428000000000001"/>
    <n v="0.32499999999999996"/>
    <n v="0"/>
  </r>
  <r>
    <n v="3815"/>
    <s v="CA-2016-152471"/>
    <d v="2016-07-08T00:00:00"/>
    <x v="0"/>
    <s v="Q3"/>
    <x v="16"/>
    <d v="2016-07-08T00:00:00"/>
    <s v="Same Day"/>
    <x v="9"/>
    <x v="9"/>
    <s v="Consumer"/>
    <s v="United States"/>
    <s v="Jacksonville"/>
    <x v="2"/>
    <n v="32216"/>
    <x v="0"/>
    <x v="1164"/>
    <x v="2"/>
    <x v="7"/>
    <x v="1151"/>
    <n v="823.96"/>
    <s v="High"/>
    <n v="5"/>
    <n v="0.2"/>
    <x v="2"/>
    <x v="2"/>
    <n v="51.497500000000002"/>
    <n v="6.25E-2"/>
    <n v="0"/>
  </r>
  <r>
    <n v="3816"/>
    <s v="CA-2016-152471"/>
    <d v="2016-07-08T00:00:00"/>
    <x v="0"/>
    <s v="Q3"/>
    <x v="16"/>
    <d v="2016-07-08T00:00:00"/>
    <s v="Same Day"/>
    <x v="9"/>
    <x v="9"/>
    <s v="Consumer"/>
    <s v="United States"/>
    <s v="Jacksonville"/>
    <x v="2"/>
    <n v="32216"/>
    <x v="0"/>
    <x v="112"/>
    <x v="1"/>
    <x v="10"/>
    <x v="112"/>
    <n v="15.984"/>
    <s v="Low"/>
    <n v="2"/>
    <n v="0.2"/>
    <x v="2"/>
    <x v="2"/>
    <n v="4.9950000000000001"/>
    <n v="0.3125"/>
    <n v="0"/>
  </r>
  <r>
    <n v="3817"/>
    <s v="CA-2015-102582"/>
    <d v="2015-09-15T00:00:00"/>
    <x v="1"/>
    <s v="Q3"/>
    <x v="11"/>
    <d v="2015-09-19T00:00:00"/>
    <s v="Standard Class"/>
    <x v="508"/>
    <x v="508"/>
    <s v="Consumer"/>
    <s v="United States"/>
    <s v="Mobile"/>
    <x v="19"/>
    <n v="36608"/>
    <x v="0"/>
    <x v="1382"/>
    <x v="0"/>
    <x v="3"/>
    <x v="1367"/>
    <n v="801.96"/>
    <s v="High"/>
    <n v="2"/>
    <n v="0"/>
    <x v="0"/>
    <x v="0"/>
    <n v="200.49"/>
    <n v="0.25"/>
    <n v="0"/>
  </r>
  <r>
    <n v="3818"/>
    <s v="CA-2015-102582"/>
    <d v="2015-09-15T00:00:00"/>
    <x v="1"/>
    <s v="Q3"/>
    <x v="11"/>
    <d v="2015-09-19T00:00:00"/>
    <s v="Standard Class"/>
    <x v="508"/>
    <x v="508"/>
    <s v="Consumer"/>
    <s v="United States"/>
    <s v="Mobile"/>
    <x v="19"/>
    <n v="36608"/>
    <x v="0"/>
    <x v="1431"/>
    <x v="2"/>
    <x v="7"/>
    <x v="1419"/>
    <n v="59.97"/>
    <s v="Medium"/>
    <n v="3"/>
    <n v="0"/>
    <x v="0"/>
    <x v="0"/>
    <n v="0"/>
    <n v="0"/>
    <n v="0"/>
  </r>
  <r>
    <n v="3819"/>
    <s v="CA-2015-102582"/>
    <d v="2015-09-15T00:00:00"/>
    <x v="1"/>
    <s v="Q3"/>
    <x v="11"/>
    <d v="2015-09-19T00:00:00"/>
    <s v="Standard Class"/>
    <x v="508"/>
    <x v="508"/>
    <s v="Consumer"/>
    <s v="United States"/>
    <s v="Mobile"/>
    <x v="19"/>
    <n v="36608"/>
    <x v="0"/>
    <x v="531"/>
    <x v="0"/>
    <x v="1"/>
    <x v="531"/>
    <n v="1056.8599999999999"/>
    <s v="High"/>
    <n v="7"/>
    <n v="0"/>
    <x v="0"/>
    <x v="0"/>
    <n v="306.48939999999999"/>
    <n v="0.29000000000000004"/>
    <n v="0"/>
  </r>
  <r>
    <n v="3820"/>
    <s v="CA-2017-141873"/>
    <d v="2017-10-09T00:00:00"/>
    <x v="3"/>
    <s v="Q4"/>
    <x v="13"/>
    <d v="2017-10-14T00:00:00"/>
    <s v="Standard Class"/>
    <x v="668"/>
    <x v="668"/>
    <s v="Consumer"/>
    <s v="United States"/>
    <s v="New York City"/>
    <x v="15"/>
    <n v="10024"/>
    <x v="3"/>
    <x v="880"/>
    <x v="1"/>
    <x v="8"/>
    <x v="874"/>
    <n v="12.816000000000001"/>
    <s v="Low"/>
    <n v="3"/>
    <n v="0.2"/>
    <x v="2"/>
    <x v="2"/>
    <n v="4.3254000000000001"/>
    <n v="0.33749999999999997"/>
    <n v="0"/>
  </r>
  <r>
    <n v="3821"/>
    <s v="CA-2017-141873"/>
    <d v="2017-10-09T00:00:00"/>
    <x v="3"/>
    <s v="Q4"/>
    <x v="13"/>
    <d v="2017-10-14T00:00:00"/>
    <s v="Standard Class"/>
    <x v="668"/>
    <x v="668"/>
    <s v="Consumer"/>
    <s v="United States"/>
    <s v="New York City"/>
    <x v="15"/>
    <n v="10024"/>
    <x v="3"/>
    <x v="1219"/>
    <x v="0"/>
    <x v="0"/>
    <x v="1203"/>
    <n v="314.35199999999998"/>
    <s v="High"/>
    <n v="3"/>
    <n v="0.2"/>
    <x v="2"/>
    <x v="2"/>
    <n v="-15.717599999999999"/>
    <n v="-0.05"/>
    <n v="1"/>
  </r>
  <r>
    <n v="3822"/>
    <s v="CA-2017-141873"/>
    <d v="2017-10-09T00:00:00"/>
    <x v="3"/>
    <s v="Q4"/>
    <x v="13"/>
    <d v="2017-10-14T00:00:00"/>
    <s v="Standard Class"/>
    <x v="668"/>
    <x v="668"/>
    <s v="Consumer"/>
    <s v="United States"/>
    <s v="New York City"/>
    <x v="15"/>
    <n v="10024"/>
    <x v="3"/>
    <x v="1587"/>
    <x v="1"/>
    <x v="10"/>
    <x v="1578"/>
    <n v="18.98"/>
    <s v="Low"/>
    <n v="2"/>
    <n v="0"/>
    <x v="0"/>
    <x v="0"/>
    <n v="8.9206000000000003"/>
    <n v="0.47000000000000003"/>
    <n v="0"/>
  </r>
  <r>
    <n v="3823"/>
    <s v="CA-2017-141873"/>
    <d v="2017-10-09T00:00:00"/>
    <x v="3"/>
    <s v="Q4"/>
    <x v="13"/>
    <d v="2017-10-14T00:00:00"/>
    <s v="Standard Class"/>
    <x v="668"/>
    <x v="668"/>
    <s v="Consumer"/>
    <s v="United States"/>
    <s v="New York City"/>
    <x v="15"/>
    <n v="10024"/>
    <x v="3"/>
    <x v="1469"/>
    <x v="1"/>
    <x v="8"/>
    <x v="1456"/>
    <n v="18.239999999999998"/>
    <s v="Low"/>
    <n v="6"/>
    <n v="0.2"/>
    <x v="2"/>
    <x v="2"/>
    <n v="6.1559999999999997"/>
    <n v="0.33750000000000002"/>
    <n v="0"/>
  </r>
  <r>
    <n v="3824"/>
    <s v="CA-2015-140984"/>
    <d v="2015-09-14T00:00:00"/>
    <x v="1"/>
    <s v="Q3"/>
    <x v="11"/>
    <d v="2015-09-18T00:00:00"/>
    <s v="Standard Class"/>
    <x v="530"/>
    <x v="530"/>
    <s v="Consumer"/>
    <s v="United States"/>
    <s v="New York City"/>
    <x v="15"/>
    <n v="10011"/>
    <x v="3"/>
    <x v="546"/>
    <x v="1"/>
    <x v="4"/>
    <x v="546"/>
    <n v="991.2"/>
    <s v="High"/>
    <n v="6"/>
    <n v="0"/>
    <x v="0"/>
    <x v="0"/>
    <n v="257.71199999999999"/>
    <n v="0.25999999999999995"/>
    <n v="0"/>
  </r>
  <r>
    <n v="3825"/>
    <s v="CA-2015-140984"/>
    <d v="2015-09-14T00:00:00"/>
    <x v="1"/>
    <s v="Q3"/>
    <x v="11"/>
    <d v="2015-09-18T00:00:00"/>
    <s v="Standard Class"/>
    <x v="530"/>
    <x v="530"/>
    <s v="Consumer"/>
    <s v="United States"/>
    <s v="New York City"/>
    <x v="15"/>
    <n v="10011"/>
    <x v="3"/>
    <x v="1572"/>
    <x v="2"/>
    <x v="16"/>
    <x v="1563"/>
    <n v="879.98400000000004"/>
    <s v="High"/>
    <n v="2"/>
    <n v="0.2"/>
    <x v="2"/>
    <x v="2"/>
    <n v="329.99400000000003"/>
    <n v="0.375"/>
    <n v="0"/>
  </r>
  <r>
    <n v="3826"/>
    <s v="CA-2015-140984"/>
    <d v="2015-09-14T00:00:00"/>
    <x v="1"/>
    <s v="Q3"/>
    <x v="11"/>
    <d v="2015-09-18T00:00:00"/>
    <s v="Standard Class"/>
    <x v="530"/>
    <x v="530"/>
    <s v="Consumer"/>
    <s v="United States"/>
    <s v="New York City"/>
    <x v="15"/>
    <n v="10011"/>
    <x v="3"/>
    <x v="751"/>
    <x v="1"/>
    <x v="8"/>
    <x v="749"/>
    <n v="12.96"/>
    <s v="Low"/>
    <n v="9"/>
    <n v="0.2"/>
    <x v="2"/>
    <x v="2"/>
    <n v="4.5359999999999996"/>
    <n v="0.34999999999999992"/>
    <n v="0"/>
  </r>
  <r>
    <n v="3827"/>
    <s v="CA-2014-132801"/>
    <d v="2014-10-07T00:00:00"/>
    <x v="2"/>
    <s v="Q4"/>
    <x v="18"/>
    <d v="2014-10-12T00:00:00"/>
    <s v="Standard Class"/>
    <x v="189"/>
    <x v="189"/>
    <s v="Corporate"/>
    <s v="United States"/>
    <s v="Dallas"/>
    <x v="5"/>
    <n v="75217"/>
    <x v="2"/>
    <x v="230"/>
    <x v="1"/>
    <x v="4"/>
    <x v="231"/>
    <n v="107.44"/>
    <s v="Medium"/>
    <n v="10"/>
    <n v="0.2"/>
    <x v="2"/>
    <x v="2"/>
    <n v="10.744"/>
    <n v="0.1"/>
    <n v="0"/>
  </r>
  <r>
    <n v="3828"/>
    <s v="CA-2017-141733"/>
    <d v="2017-05-07T00:00:00"/>
    <x v="3"/>
    <s v="Q2"/>
    <x v="24"/>
    <d v="2017-05-11T00:00:00"/>
    <s v="Standard Class"/>
    <x v="459"/>
    <x v="459"/>
    <s v="Corporate"/>
    <s v="United States"/>
    <s v="Detroit"/>
    <x v="12"/>
    <n v="48234"/>
    <x v="2"/>
    <x v="284"/>
    <x v="0"/>
    <x v="1"/>
    <x v="284"/>
    <n v="1458.65"/>
    <s v="High"/>
    <n v="5"/>
    <n v="0"/>
    <x v="0"/>
    <x v="0"/>
    <n v="423.00850000000003"/>
    <n v="0.28999999999999998"/>
    <n v="0"/>
  </r>
  <r>
    <n v="3829"/>
    <s v="CA-2017-141733"/>
    <d v="2017-05-07T00:00:00"/>
    <x v="3"/>
    <s v="Q2"/>
    <x v="24"/>
    <d v="2017-05-11T00:00:00"/>
    <s v="Standard Class"/>
    <x v="459"/>
    <x v="459"/>
    <s v="Corporate"/>
    <s v="United States"/>
    <s v="Detroit"/>
    <x v="12"/>
    <n v="48234"/>
    <x v="2"/>
    <x v="1391"/>
    <x v="0"/>
    <x v="1"/>
    <x v="1377"/>
    <n v="26.64"/>
    <s v="Medium"/>
    <n v="1"/>
    <n v="0"/>
    <x v="0"/>
    <x v="0"/>
    <n v="7.4592000000000001"/>
    <n v="0.27999999999999997"/>
    <n v="0"/>
  </r>
  <r>
    <n v="3830"/>
    <s v="CA-2017-141733"/>
    <d v="2017-05-07T00:00:00"/>
    <x v="3"/>
    <s v="Q2"/>
    <x v="24"/>
    <d v="2017-05-11T00:00:00"/>
    <s v="Standard Class"/>
    <x v="459"/>
    <x v="459"/>
    <s v="Corporate"/>
    <s v="United States"/>
    <s v="Detroit"/>
    <x v="12"/>
    <n v="48234"/>
    <x v="2"/>
    <x v="467"/>
    <x v="0"/>
    <x v="1"/>
    <x v="468"/>
    <n v="476.8"/>
    <s v="High"/>
    <n v="2"/>
    <n v="0"/>
    <x v="0"/>
    <x v="0"/>
    <n v="119.2"/>
    <n v="0.25"/>
    <n v="0"/>
  </r>
  <r>
    <n v="3831"/>
    <s v="CA-2017-141733"/>
    <d v="2017-05-07T00:00:00"/>
    <x v="3"/>
    <s v="Q2"/>
    <x v="24"/>
    <d v="2017-05-11T00:00:00"/>
    <s v="Standard Class"/>
    <x v="459"/>
    <x v="459"/>
    <s v="Corporate"/>
    <s v="United States"/>
    <s v="Detroit"/>
    <x v="12"/>
    <n v="48234"/>
    <x v="2"/>
    <x v="535"/>
    <x v="1"/>
    <x v="9"/>
    <x v="535"/>
    <n v="87.444000000000003"/>
    <s v="Medium"/>
    <n v="2"/>
    <n v="0.1"/>
    <x v="3"/>
    <x v="8"/>
    <n v="18.4604"/>
    <n v="0.21111111111111111"/>
    <n v="0"/>
  </r>
  <r>
    <n v="3832"/>
    <s v="US-2015-111927"/>
    <d v="2015-11-14T00:00:00"/>
    <x v="1"/>
    <s v="Q4"/>
    <x v="6"/>
    <d v="2015-11-19T00:00:00"/>
    <s v="Standard Class"/>
    <x v="721"/>
    <x v="721"/>
    <s v="Consumer"/>
    <s v="United States"/>
    <s v="Dover"/>
    <x v="13"/>
    <n v="19901"/>
    <x v="3"/>
    <x v="216"/>
    <x v="0"/>
    <x v="5"/>
    <x v="1579"/>
    <n v="76.14"/>
    <s v="Medium"/>
    <n v="3"/>
    <n v="0"/>
    <x v="0"/>
    <x v="0"/>
    <n v="26.649000000000001"/>
    <n v="0.35000000000000003"/>
    <n v="0"/>
  </r>
  <r>
    <n v="3833"/>
    <s v="US-2015-111927"/>
    <d v="2015-11-14T00:00:00"/>
    <x v="1"/>
    <s v="Q4"/>
    <x v="6"/>
    <d v="2015-11-19T00:00:00"/>
    <s v="Standard Class"/>
    <x v="721"/>
    <x v="721"/>
    <s v="Consumer"/>
    <s v="United States"/>
    <s v="Dover"/>
    <x v="13"/>
    <n v="19901"/>
    <x v="3"/>
    <x v="1230"/>
    <x v="1"/>
    <x v="8"/>
    <x v="1213"/>
    <n v="19.96"/>
    <s v="Low"/>
    <n v="2"/>
    <n v="0"/>
    <x v="0"/>
    <x v="0"/>
    <n v="9.3811999999999998"/>
    <n v="0.47"/>
    <n v="0"/>
  </r>
  <r>
    <n v="3834"/>
    <s v="CA-2014-105984"/>
    <d v="2014-11-24T00:00:00"/>
    <x v="2"/>
    <s v="Q4"/>
    <x v="7"/>
    <d v="2014-11-24T00:00:00"/>
    <s v="Same Day"/>
    <x v="501"/>
    <x v="501"/>
    <s v="Corporate"/>
    <s v="United States"/>
    <s v="Columbus"/>
    <x v="24"/>
    <n v="43229"/>
    <x v="3"/>
    <x v="754"/>
    <x v="2"/>
    <x v="7"/>
    <x v="752"/>
    <n v="1049.97"/>
    <s v="High"/>
    <n v="5"/>
    <n v="0.4"/>
    <x v="1"/>
    <x v="7"/>
    <n v="-209.994"/>
    <n v="-0.19999999999999998"/>
    <n v="1"/>
  </r>
  <r>
    <n v="3835"/>
    <s v="CA-2014-105984"/>
    <d v="2014-11-24T00:00:00"/>
    <x v="2"/>
    <s v="Q4"/>
    <x v="7"/>
    <d v="2014-11-24T00:00:00"/>
    <s v="Same Day"/>
    <x v="501"/>
    <x v="501"/>
    <s v="Corporate"/>
    <s v="United States"/>
    <s v="Columbus"/>
    <x v="24"/>
    <n v="43229"/>
    <x v="3"/>
    <x v="1003"/>
    <x v="0"/>
    <x v="1"/>
    <x v="995"/>
    <n v="611.05799999999999"/>
    <s v="High"/>
    <n v="3"/>
    <n v="0.3"/>
    <x v="1"/>
    <x v="4"/>
    <n v="-34.9176"/>
    <n v="-5.7142857142857141E-2"/>
    <n v="1"/>
  </r>
  <r>
    <n v="3836"/>
    <s v="CA-2014-100363"/>
    <d v="2014-04-08T00:00:00"/>
    <x v="2"/>
    <s v="Q2"/>
    <x v="41"/>
    <d v="2014-04-15T00:00:00"/>
    <s v="Standard Class"/>
    <x v="487"/>
    <x v="487"/>
    <s v="Corporate"/>
    <s v="United States"/>
    <s v="Glendale"/>
    <x v="16"/>
    <n v="85301"/>
    <x v="1"/>
    <x v="1084"/>
    <x v="1"/>
    <x v="13"/>
    <x v="1074"/>
    <n v="2.3679999999999999"/>
    <s v="Low"/>
    <n v="2"/>
    <n v="0.2"/>
    <x v="2"/>
    <x v="2"/>
    <n v="0.82879999999999998"/>
    <n v="0.35000000000000003"/>
    <n v="0"/>
  </r>
  <r>
    <n v="3837"/>
    <s v="CA-2014-100363"/>
    <d v="2014-04-08T00:00:00"/>
    <x v="2"/>
    <s v="Q2"/>
    <x v="41"/>
    <d v="2014-04-15T00:00:00"/>
    <s v="Standard Class"/>
    <x v="487"/>
    <x v="487"/>
    <s v="Corporate"/>
    <s v="United States"/>
    <s v="Glendale"/>
    <x v="16"/>
    <n v="85301"/>
    <x v="1"/>
    <x v="1588"/>
    <x v="1"/>
    <x v="10"/>
    <x v="1580"/>
    <n v="19.007999999999999"/>
    <s v="Low"/>
    <n v="3"/>
    <n v="0.2"/>
    <x v="2"/>
    <x v="2"/>
    <n v="6.8903999999999996"/>
    <n v="0.36249999999999999"/>
    <n v="0"/>
  </r>
  <r>
    <n v="3838"/>
    <s v="CA-2014-126760"/>
    <d v="2014-07-26T00:00:00"/>
    <x v="2"/>
    <s v="Q3"/>
    <x v="39"/>
    <d v="2014-08-02T00:00:00"/>
    <s v="Standard Class"/>
    <x v="27"/>
    <x v="27"/>
    <s v="Consumer"/>
    <s v="United States"/>
    <s v="North Las Vegas"/>
    <x v="33"/>
    <n v="89031"/>
    <x v="1"/>
    <x v="432"/>
    <x v="2"/>
    <x v="7"/>
    <x v="432"/>
    <n v="911.98400000000004"/>
    <s v="High"/>
    <n v="2"/>
    <n v="0.2"/>
    <x v="2"/>
    <x v="2"/>
    <n v="113.998"/>
    <n v="0.125"/>
    <n v="0"/>
  </r>
  <r>
    <n v="3839"/>
    <s v="CA-2014-126760"/>
    <d v="2014-07-26T00:00:00"/>
    <x v="2"/>
    <s v="Q3"/>
    <x v="39"/>
    <d v="2014-08-02T00:00:00"/>
    <s v="Standard Class"/>
    <x v="27"/>
    <x v="27"/>
    <s v="Consumer"/>
    <s v="United States"/>
    <s v="North Las Vegas"/>
    <x v="33"/>
    <n v="89031"/>
    <x v="1"/>
    <x v="299"/>
    <x v="0"/>
    <x v="1"/>
    <x v="299"/>
    <n v="674.35199999999998"/>
    <s v="High"/>
    <n v="3"/>
    <n v="0.2"/>
    <x v="2"/>
    <x v="2"/>
    <n v="-109.5822"/>
    <n v="-0.16250000000000001"/>
    <n v="1"/>
  </r>
  <r>
    <n v="3840"/>
    <s v="CA-2014-126760"/>
    <d v="2014-07-26T00:00:00"/>
    <x v="2"/>
    <s v="Q3"/>
    <x v="39"/>
    <d v="2014-08-02T00:00:00"/>
    <s v="Standard Class"/>
    <x v="27"/>
    <x v="27"/>
    <s v="Consumer"/>
    <s v="United States"/>
    <s v="North Las Vegas"/>
    <x v="33"/>
    <n v="89031"/>
    <x v="1"/>
    <x v="943"/>
    <x v="0"/>
    <x v="5"/>
    <x v="936"/>
    <n v="134.01"/>
    <s v="High"/>
    <n v="9"/>
    <n v="0"/>
    <x v="0"/>
    <x v="0"/>
    <n v="36.182699999999997"/>
    <n v="0.27"/>
    <n v="0"/>
  </r>
  <r>
    <n v="3841"/>
    <s v="CA-2014-126760"/>
    <d v="2014-07-26T00:00:00"/>
    <x v="2"/>
    <s v="Q3"/>
    <x v="39"/>
    <d v="2014-08-02T00:00:00"/>
    <s v="Standard Class"/>
    <x v="27"/>
    <x v="27"/>
    <s v="Consumer"/>
    <s v="United States"/>
    <s v="North Las Vegas"/>
    <x v="33"/>
    <n v="89031"/>
    <x v="1"/>
    <x v="1589"/>
    <x v="2"/>
    <x v="11"/>
    <x v="1581"/>
    <n v="170.97"/>
    <s v="High"/>
    <n v="3"/>
    <n v="0"/>
    <x v="0"/>
    <x v="0"/>
    <n v="70.097700000000003"/>
    <n v="0.41000000000000003"/>
    <n v="0"/>
  </r>
  <r>
    <n v="3842"/>
    <s v="US-2014-109162"/>
    <d v="2014-06-08T00:00:00"/>
    <x v="2"/>
    <s v="Q2"/>
    <x v="3"/>
    <d v="2014-06-12T00:00:00"/>
    <s v="Standard Class"/>
    <x v="722"/>
    <x v="722"/>
    <s v="Corporate"/>
    <s v="United States"/>
    <s v="Bristol"/>
    <x v="18"/>
    <n v="37620"/>
    <x v="0"/>
    <x v="474"/>
    <x v="0"/>
    <x v="1"/>
    <x v="475"/>
    <n v="170.352"/>
    <s v="High"/>
    <n v="3"/>
    <n v="0.2"/>
    <x v="2"/>
    <x v="2"/>
    <n v="10.647"/>
    <n v="6.25E-2"/>
    <n v="0"/>
  </r>
  <r>
    <n v="3843"/>
    <s v="CA-2014-101931"/>
    <d v="2014-10-28T00:00:00"/>
    <x v="2"/>
    <s v="Q4"/>
    <x v="18"/>
    <d v="2014-10-31T00:00:00"/>
    <s v="First Class"/>
    <x v="477"/>
    <x v="477"/>
    <s v="Corporate"/>
    <s v="United States"/>
    <s v="Los Angeles"/>
    <x v="1"/>
    <n v="90049"/>
    <x v="1"/>
    <x v="307"/>
    <x v="1"/>
    <x v="8"/>
    <x v="307"/>
    <n v="7.1840000000000002"/>
    <s v="Low"/>
    <n v="2"/>
    <n v="0.2"/>
    <x v="2"/>
    <x v="2"/>
    <n v="2.2450000000000001"/>
    <n v="0.3125"/>
    <n v="0"/>
  </r>
  <r>
    <n v="3844"/>
    <s v="CA-2014-101931"/>
    <d v="2014-10-28T00:00:00"/>
    <x v="2"/>
    <s v="Q4"/>
    <x v="18"/>
    <d v="2014-10-31T00:00:00"/>
    <s v="First Class"/>
    <x v="477"/>
    <x v="477"/>
    <s v="Corporate"/>
    <s v="United States"/>
    <s v="Los Angeles"/>
    <x v="1"/>
    <n v="90049"/>
    <x v="1"/>
    <x v="1590"/>
    <x v="1"/>
    <x v="14"/>
    <x v="1582"/>
    <n v="6.28"/>
    <s v="Low"/>
    <n v="2"/>
    <n v="0"/>
    <x v="0"/>
    <x v="0"/>
    <n v="6.2799999999999995E-2"/>
    <n v="9.9999999999999985E-3"/>
    <n v="0"/>
  </r>
  <r>
    <n v="3845"/>
    <s v="CA-2014-101931"/>
    <d v="2014-10-28T00:00:00"/>
    <x v="2"/>
    <s v="Q4"/>
    <x v="18"/>
    <d v="2014-10-31T00:00:00"/>
    <s v="First Class"/>
    <x v="477"/>
    <x v="477"/>
    <s v="Corporate"/>
    <s v="United States"/>
    <s v="Los Angeles"/>
    <x v="1"/>
    <n v="90049"/>
    <x v="1"/>
    <x v="262"/>
    <x v="1"/>
    <x v="14"/>
    <x v="262"/>
    <n v="480.74"/>
    <s v="High"/>
    <n v="2"/>
    <n v="0"/>
    <x v="0"/>
    <x v="0"/>
    <n v="14.4222"/>
    <n v="0.03"/>
    <n v="0"/>
  </r>
  <r>
    <n v="3846"/>
    <s v="CA-2014-101931"/>
    <d v="2014-10-28T00:00:00"/>
    <x v="2"/>
    <s v="Q4"/>
    <x v="18"/>
    <d v="2014-10-31T00:00:00"/>
    <s v="First Class"/>
    <x v="477"/>
    <x v="477"/>
    <s v="Corporate"/>
    <s v="United States"/>
    <s v="Los Angeles"/>
    <x v="1"/>
    <n v="90049"/>
    <x v="1"/>
    <x v="430"/>
    <x v="0"/>
    <x v="0"/>
    <x v="430"/>
    <n v="616.99800000000005"/>
    <s v="High"/>
    <n v="6"/>
    <n v="0.15"/>
    <x v="2"/>
    <x v="2"/>
    <n v="-36.293999999999997"/>
    <n v="-5.8823529411764698E-2"/>
    <n v="1"/>
  </r>
  <r>
    <n v="3847"/>
    <s v="CA-2014-101931"/>
    <d v="2014-10-28T00:00:00"/>
    <x v="2"/>
    <s v="Q4"/>
    <x v="18"/>
    <d v="2014-10-31T00:00:00"/>
    <s v="First Class"/>
    <x v="477"/>
    <x v="477"/>
    <s v="Corporate"/>
    <s v="United States"/>
    <s v="Los Angeles"/>
    <x v="1"/>
    <n v="90049"/>
    <x v="1"/>
    <x v="86"/>
    <x v="1"/>
    <x v="4"/>
    <x v="86"/>
    <n v="141.4"/>
    <s v="High"/>
    <n v="5"/>
    <n v="0"/>
    <x v="0"/>
    <x v="0"/>
    <n v="38.177999999999997"/>
    <n v="0.26999999999999996"/>
    <n v="0"/>
  </r>
  <r>
    <n v="3848"/>
    <s v="CA-2017-129000"/>
    <d v="2017-11-25T00:00:00"/>
    <x v="3"/>
    <s v="Q4"/>
    <x v="23"/>
    <d v="2017-11-27T00:00:00"/>
    <s v="Second Class"/>
    <x v="449"/>
    <x v="449"/>
    <s v="Home Office"/>
    <s v="United States"/>
    <s v="Canton"/>
    <x v="12"/>
    <n v="48187"/>
    <x v="2"/>
    <x v="749"/>
    <x v="1"/>
    <x v="4"/>
    <x v="747"/>
    <n v="501.81"/>
    <s v="High"/>
    <n v="3"/>
    <n v="0"/>
    <x v="0"/>
    <x v="0"/>
    <n v="0"/>
    <n v="0"/>
    <n v="0"/>
  </r>
  <r>
    <n v="3849"/>
    <s v="CA-2017-161053"/>
    <d v="2017-09-22T00:00:00"/>
    <x v="3"/>
    <s v="Q3"/>
    <x v="15"/>
    <d v="2017-09-23T00:00:00"/>
    <s v="First Class"/>
    <x v="32"/>
    <x v="32"/>
    <s v="Consumer"/>
    <s v="United States"/>
    <s v="Fayetteville"/>
    <x v="36"/>
    <n v="72701"/>
    <x v="0"/>
    <x v="1591"/>
    <x v="1"/>
    <x v="8"/>
    <x v="1583"/>
    <n v="691.96"/>
    <s v="High"/>
    <n v="4"/>
    <n v="0"/>
    <x v="0"/>
    <x v="0"/>
    <n v="318.30160000000001"/>
    <n v="0.45999999999999996"/>
    <n v="0"/>
  </r>
  <r>
    <n v="3850"/>
    <s v="CA-2017-161053"/>
    <d v="2017-09-22T00:00:00"/>
    <x v="3"/>
    <s v="Q3"/>
    <x v="15"/>
    <d v="2017-09-23T00:00:00"/>
    <s v="First Class"/>
    <x v="32"/>
    <x v="32"/>
    <s v="Consumer"/>
    <s v="United States"/>
    <s v="Fayetteville"/>
    <x v="36"/>
    <n v="72701"/>
    <x v="0"/>
    <x v="60"/>
    <x v="2"/>
    <x v="11"/>
    <x v="60"/>
    <n v="34.950000000000003"/>
    <s v="Medium"/>
    <n v="5"/>
    <n v="0"/>
    <x v="0"/>
    <x v="0"/>
    <n v="15.378"/>
    <n v="0.43999999999999995"/>
    <n v="0"/>
  </r>
  <r>
    <n v="3851"/>
    <s v="CA-2015-142377"/>
    <d v="2015-12-04T00:00:00"/>
    <x v="1"/>
    <s v="Q4"/>
    <x v="14"/>
    <d v="2015-12-09T00:00:00"/>
    <s v="Standard Class"/>
    <x v="99"/>
    <x v="99"/>
    <s v="Corporate"/>
    <s v="United States"/>
    <s v="Springfield"/>
    <x v="25"/>
    <n v="65807"/>
    <x v="2"/>
    <x v="314"/>
    <x v="1"/>
    <x v="10"/>
    <x v="314"/>
    <n v="85.96"/>
    <s v="Medium"/>
    <n v="7"/>
    <n v="0"/>
    <x v="0"/>
    <x v="0"/>
    <n v="40.401200000000003"/>
    <n v="0.47000000000000008"/>
    <n v="0"/>
  </r>
  <r>
    <n v="3852"/>
    <s v="CA-2015-127593"/>
    <d v="2015-09-21T00:00:00"/>
    <x v="1"/>
    <s v="Q3"/>
    <x v="11"/>
    <d v="2015-09-21T00:00:00"/>
    <s v="Same Day"/>
    <x v="723"/>
    <x v="723"/>
    <s v="Home Office"/>
    <s v="United States"/>
    <s v="Quincy"/>
    <x v="31"/>
    <n v="2169"/>
    <x v="3"/>
    <x v="101"/>
    <x v="0"/>
    <x v="5"/>
    <x v="101"/>
    <n v="85.3"/>
    <s v="Medium"/>
    <n v="2"/>
    <n v="0"/>
    <x v="0"/>
    <x v="0"/>
    <n v="14.500999999999999"/>
    <n v="0.17"/>
    <n v="0"/>
  </r>
  <r>
    <n v="3853"/>
    <s v="CA-2017-130526"/>
    <d v="2017-11-26T00:00:00"/>
    <x v="3"/>
    <s v="Q4"/>
    <x v="23"/>
    <d v="2017-11-29T00:00:00"/>
    <s v="First Class"/>
    <x v="150"/>
    <x v="150"/>
    <s v="Consumer"/>
    <s v="United States"/>
    <s v="Rockford"/>
    <x v="10"/>
    <n v="61107"/>
    <x v="2"/>
    <x v="301"/>
    <x v="1"/>
    <x v="8"/>
    <x v="301"/>
    <n v="33.567999999999998"/>
    <s v="Medium"/>
    <n v="8"/>
    <n v="0.8"/>
    <x v="1"/>
    <x v="3"/>
    <n v="-53.708799999999997"/>
    <n v="-1.6"/>
    <n v="1"/>
  </r>
  <r>
    <n v="3854"/>
    <s v="US-2017-131849"/>
    <d v="2017-06-06T00:00:00"/>
    <x v="3"/>
    <s v="Q2"/>
    <x v="27"/>
    <d v="2017-06-10T00:00:00"/>
    <s v="Standard Class"/>
    <x v="689"/>
    <x v="689"/>
    <s v="Home Office"/>
    <s v="United States"/>
    <s v="San Francisco"/>
    <x v="1"/>
    <n v="94122"/>
    <x v="1"/>
    <x v="1592"/>
    <x v="0"/>
    <x v="5"/>
    <x v="1584"/>
    <n v="4.95"/>
    <s v="Low"/>
    <n v="1"/>
    <n v="0"/>
    <x v="0"/>
    <x v="0"/>
    <n v="2.1779999999999999"/>
    <n v="0.43999999999999995"/>
    <n v="0"/>
  </r>
  <r>
    <n v="3855"/>
    <s v="US-2017-131849"/>
    <d v="2017-06-06T00:00:00"/>
    <x v="3"/>
    <s v="Q2"/>
    <x v="27"/>
    <d v="2017-06-10T00:00:00"/>
    <s v="Standard Class"/>
    <x v="689"/>
    <x v="689"/>
    <s v="Home Office"/>
    <s v="United States"/>
    <s v="San Francisco"/>
    <x v="1"/>
    <n v="94122"/>
    <x v="1"/>
    <x v="1505"/>
    <x v="1"/>
    <x v="4"/>
    <x v="1492"/>
    <n v="26.4"/>
    <s v="Medium"/>
    <n v="5"/>
    <n v="0"/>
    <x v="0"/>
    <x v="0"/>
    <n v="0"/>
    <n v="0"/>
    <n v="0"/>
  </r>
  <r>
    <n v="3856"/>
    <s v="US-2017-105389"/>
    <d v="2017-10-23T00:00:00"/>
    <x v="3"/>
    <s v="Q4"/>
    <x v="13"/>
    <d v="2017-10-28T00:00:00"/>
    <s v="Second Class"/>
    <x v="661"/>
    <x v="661"/>
    <s v="Consumer"/>
    <s v="United States"/>
    <s v="San Antonio"/>
    <x v="5"/>
    <n v="78207"/>
    <x v="2"/>
    <x v="990"/>
    <x v="1"/>
    <x v="8"/>
    <x v="305"/>
    <n v="3.5640000000000001"/>
    <s v="Low"/>
    <n v="3"/>
    <n v="0.8"/>
    <x v="1"/>
    <x v="3"/>
    <n v="-6.2370000000000001"/>
    <n v="-1.75"/>
    <n v="1"/>
  </r>
  <r>
    <n v="3857"/>
    <s v="US-2017-105389"/>
    <d v="2017-10-23T00:00:00"/>
    <x v="3"/>
    <s v="Q4"/>
    <x v="13"/>
    <d v="2017-10-28T00:00:00"/>
    <s v="Second Class"/>
    <x v="661"/>
    <x v="661"/>
    <s v="Consumer"/>
    <s v="United States"/>
    <s v="San Antonio"/>
    <x v="5"/>
    <n v="78207"/>
    <x v="2"/>
    <x v="1164"/>
    <x v="2"/>
    <x v="7"/>
    <x v="1151"/>
    <n v="823.96"/>
    <s v="High"/>
    <n v="5"/>
    <n v="0.2"/>
    <x v="2"/>
    <x v="2"/>
    <n v="51.497500000000002"/>
    <n v="6.25E-2"/>
    <n v="0"/>
  </r>
  <r>
    <n v="3858"/>
    <s v="US-2017-105389"/>
    <d v="2017-10-23T00:00:00"/>
    <x v="3"/>
    <s v="Q4"/>
    <x v="13"/>
    <d v="2017-10-28T00:00:00"/>
    <s v="Second Class"/>
    <x v="661"/>
    <x v="661"/>
    <s v="Consumer"/>
    <s v="United States"/>
    <s v="San Antonio"/>
    <x v="5"/>
    <n v="78207"/>
    <x v="2"/>
    <x v="1005"/>
    <x v="1"/>
    <x v="6"/>
    <x v="997"/>
    <n v="10.272"/>
    <s v="Low"/>
    <n v="3"/>
    <n v="0.2"/>
    <x v="2"/>
    <x v="2"/>
    <n v="0.89880000000000004"/>
    <n v="8.7500000000000008E-2"/>
    <n v="0"/>
  </r>
  <r>
    <n v="3859"/>
    <s v="CA-2014-140816"/>
    <d v="2014-12-20T00:00:00"/>
    <x v="2"/>
    <s v="Q4"/>
    <x v="20"/>
    <d v="2014-12-20T00:00:00"/>
    <s v="Same Day"/>
    <x v="646"/>
    <x v="646"/>
    <s v="Consumer"/>
    <s v="United States"/>
    <s v="Thornton"/>
    <x v="22"/>
    <n v="80229"/>
    <x v="1"/>
    <x v="1593"/>
    <x v="2"/>
    <x v="11"/>
    <x v="1585"/>
    <n v="447.94400000000002"/>
    <s v="High"/>
    <n v="7"/>
    <n v="0.2"/>
    <x v="2"/>
    <x v="2"/>
    <n v="89.588800000000006"/>
    <n v="0.2"/>
    <n v="0"/>
  </r>
  <r>
    <n v="3860"/>
    <s v="CA-2017-154039"/>
    <d v="2017-02-17T00:00:00"/>
    <x v="3"/>
    <s v="Q1"/>
    <x v="31"/>
    <d v="2017-02-22T00:00:00"/>
    <s v="Standard Class"/>
    <x v="451"/>
    <x v="451"/>
    <s v="Home Office"/>
    <s v="United States"/>
    <s v="Chicago"/>
    <x v="10"/>
    <n v="60653"/>
    <x v="2"/>
    <x v="855"/>
    <x v="0"/>
    <x v="3"/>
    <x v="848"/>
    <n v="480.96"/>
    <s v="High"/>
    <n v="3"/>
    <n v="0.5"/>
    <x v="1"/>
    <x v="1"/>
    <n v="-269.33760000000001"/>
    <n v="-0.56000000000000005"/>
    <n v="1"/>
  </r>
  <r>
    <n v="3861"/>
    <s v="CA-2017-154039"/>
    <d v="2017-02-17T00:00:00"/>
    <x v="3"/>
    <s v="Q1"/>
    <x v="31"/>
    <d v="2017-02-22T00:00:00"/>
    <s v="Standard Class"/>
    <x v="451"/>
    <x v="451"/>
    <s v="Home Office"/>
    <s v="United States"/>
    <s v="Chicago"/>
    <x v="10"/>
    <n v="60653"/>
    <x v="2"/>
    <x v="1594"/>
    <x v="2"/>
    <x v="7"/>
    <x v="1586"/>
    <n v="124.792"/>
    <s v="High"/>
    <n v="1"/>
    <n v="0.2"/>
    <x v="2"/>
    <x v="2"/>
    <n v="10.9193"/>
    <n v="8.7499999999999994E-2"/>
    <n v="0"/>
  </r>
  <r>
    <n v="3862"/>
    <s v="CA-2014-135755"/>
    <d v="2014-05-03T00:00:00"/>
    <x v="2"/>
    <s v="Q2"/>
    <x v="8"/>
    <d v="2014-05-10T00:00:00"/>
    <s v="Standard Class"/>
    <x v="720"/>
    <x v="720"/>
    <s v="Consumer"/>
    <s v="United States"/>
    <s v="Yonkers"/>
    <x v="15"/>
    <n v="10701"/>
    <x v="3"/>
    <x v="1595"/>
    <x v="1"/>
    <x v="8"/>
    <x v="1587"/>
    <n v="40.176000000000002"/>
    <s v="Medium"/>
    <n v="3"/>
    <n v="0.2"/>
    <x v="2"/>
    <x v="2"/>
    <n v="14.563800000000001"/>
    <n v="0.36249999999999999"/>
    <n v="0"/>
  </r>
  <r>
    <n v="3863"/>
    <s v="CA-2014-135755"/>
    <d v="2014-05-03T00:00:00"/>
    <x v="2"/>
    <s v="Q2"/>
    <x v="8"/>
    <d v="2014-05-10T00:00:00"/>
    <s v="Standard Class"/>
    <x v="720"/>
    <x v="720"/>
    <s v="Consumer"/>
    <s v="United States"/>
    <s v="Yonkers"/>
    <x v="15"/>
    <n v="10701"/>
    <x v="3"/>
    <x v="109"/>
    <x v="1"/>
    <x v="8"/>
    <x v="109"/>
    <n v="10.896000000000001"/>
    <s v="Low"/>
    <n v="3"/>
    <n v="0.2"/>
    <x v="2"/>
    <x v="2"/>
    <n v="3.9498000000000002"/>
    <n v="0.36249999999999999"/>
    <n v="0"/>
  </r>
  <r>
    <n v="3864"/>
    <s v="CA-2017-123246"/>
    <d v="2017-10-17T00:00:00"/>
    <x v="3"/>
    <s v="Q4"/>
    <x v="13"/>
    <d v="2017-10-19T00:00:00"/>
    <s v="Second Class"/>
    <x v="195"/>
    <x v="195"/>
    <s v="Consumer"/>
    <s v="United States"/>
    <s v="San Diego"/>
    <x v="1"/>
    <n v="92037"/>
    <x v="1"/>
    <x v="1596"/>
    <x v="1"/>
    <x v="6"/>
    <x v="1588"/>
    <n v="10.64"/>
    <s v="Low"/>
    <n v="4"/>
    <n v="0"/>
    <x v="0"/>
    <x v="0"/>
    <n v="2.7664"/>
    <n v="0.26"/>
    <n v="0"/>
  </r>
  <r>
    <n v="3865"/>
    <s v="CA-2015-157133"/>
    <d v="2015-11-28T00:00:00"/>
    <x v="1"/>
    <s v="Q4"/>
    <x v="6"/>
    <d v="2015-12-03T00:00:00"/>
    <s v="Standard Class"/>
    <x v="62"/>
    <x v="62"/>
    <s v="Consumer"/>
    <s v="United States"/>
    <s v="Champaign"/>
    <x v="10"/>
    <n v="61821"/>
    <x v="2"/>
    <x v="1597"/>
    <x v="0"/>
    <x v="5"/>
    <x v="1589"/>
    <n v="151.96"/>
    <s v="High"/>
    <n v="5"/>
    <n v="0.6"/>
    <x v="1"/>
    <x v="6"/>
    <n v="-182.352"/>
    <n v="-1.2"/>
    <n v="1"/>
  </r>
  <r>
    <n v="3866"/>
    <s v="CA-2014-124709"/>
    <d v="2014-07-27T00:00:00"/>
    <x v="2"/>
    <s v="Q3"/>
    <x v="39"/>
    <d v="2014-07-29T00:00:00"/>
    <s v="Second Class"/>
    <x v="543"/>
    <x v="543"/>
    <s v="Consumer"/>
    <s v="United States"/>
    <s v="San Francisco"/>
    <x v="1"/>
    <n v="94122"/>
    <x v="1"/>
    <x v="1200"/>
    <x v="2"/>
    <x v="11"/>
    <x v="1185"/>
    <n v="238"/>
    <s v="High"/>
    <n v="2"/>
    <n v="0"/>
    <x v="0"/>
    <x v="0"/>
    <n v="38.08"/>
    <n v="0.16"/>
    <n v="0"/>
  </r>
  <r>
    <n v="3867"/>
    <s v="CA-2017-146360"/>
    <d v="2017-04-23T00:00:00"/>
    <x v="3"/>
    <s v="Q2"/>
    <x v="4"/>
    <d v="2017-04-25T00:00:00"/>
    <s v="Second Class"/>
    <x v="253"/>
    <x v="253"/>
    <s v="Consumer"/>
    <s v="United States"/>
    <s v="Lawrence"/>
    <x v="14"/>
    <n v="46226"/>
    <x v="2"/>
    <x v="1113"/>
    <x v="2"/>
    <x v="11"/>
    <x v="1102"/>
    <n v="155.34"/>
    <s v="High"/>
    <n v="6"/>
    <n v="0"/>
    <x v="0"/>
    <x v="0"/>
    <n v="55.922400000000003"/>
    <n v="0.36"/>
    <n v="0"/>
  </r>
  <r>
    <n v="3868"/>
    <s v="CA-2015-132486"/>
    <d v="2015-10-23T00:00:00"/>
    <x v="1"/>
    <s v="Q4"/>
    <x v="2"/>
    <d v="2015-10-27T00:00:00"/>
    <s v="Second Class"/>
    <x v="282"/>
    <x v="282"/>
    <s v="Consumer"/>
    <s v="United States"/>
    <s v="San Diego"/>
    <x v="1"/>
    <n v="92105"/>
    <x v="1"/>
    <x v="678"/>
    <x v="2"/>
    <x v="11"/>
    <x v="678"/>
    <n v="148.32"/>
    <s v="High"/>
    <n v="9"/>
    <n v="0"/>
    <x v="0"/>
    <x v="0"/>
    <n v="63.7776"/>
    <n v="0.43"/>
    <n v="0"/>
  </r>
  <r>
    <n v="3869"/>
    <s v="CA-2015-132486"/>
    <d v="2015-10-23T00:00:00"/>
    <x v="1"/>
    <s v="Q4"/>
    <x v="2"/>
    <d v="2015-10-27T00:00:00"/>
    <s v="Second Class"/>
    <x v="282"/>
    <x v="282"/>
    <s v="Consumer"/>
    <s v="United States"/>
    <s v="San Diego"/>
    <x v="1"/>
    <n v="92105"/>
    <x v="1"/>
    <x v="1496"/>
    <x v="0"/>
    <x v="1"/>
    <x v="1484"/>
    <n v="240.78399999999999"/>
    <s v="High"/>
    <n v="1"/>
    <n v="0.2"/>
    <x v="2"/>
    <x v="2"/>
    <n v="27.088200000000001"/>
    <n v="0.1125"/>
    <n v="0"/>
  </r>
  <r>
    <n v="3870"/>
    <s v="CA-2015-132486"/>
    <d v="2015-10-23T00:00:00"/>
    <x v="1"/>
    <s v="Q4"/>
    <x v="2"/>
    <d v="2015-10-27T00:00:00"/>
    <s v="Second Class"/>
    <x v="282"/>
    <x v="282"/>
    <s v="Consumer"/>
    <s v="United States"/>
    <s v="San Diego"/>
    <x v="1"/>
    <n v="92105"/>
    <x v="1"/>
    <x v="877"/>
    <x v="0"/>
    <x v="1"/>
    <x v="871"/>
    <n v="191.96799999999999"/>
    <s v="High"/>
    <n v="7"/>
    <n v="0.2"/>
    <x v="2"/>
    <x v="2"/>
    <n v="16.7972"/>
    <n v="8.7500000000000008E-2"/>
    <n v="0"/>
  </r>
  <r>
    <n v="3871"/>
    <s v="CA-2015-132486"/>
    <d v="2015-10-23T00:00:00"/>
    <x v="1"/>
    <s v="Q4"/>
    <x v="2"/>
    <d v="2015-10-27T00:00:00"/>
    <s v="Second Class"/>
    <x v="282"/>
    <x v="282"/>
    <s v="Consumer"/>
    <s v="United States"/>
    <s v="San Diego"/>
    <x v="1"/>
    <n v="92105"/>
    <x v="1"/>
    <x v="609"/>
    <x v="1"/>
    <x v="10"/>
    <x v="609"/>
    <n v="11.56"/>
    <s v="Low"/>
    <n v="2"/>
    <n v="0"/>
    <x v="0"/>
    <x v="0"/>
    <n v="5.6643999999999997"/>
    <n v="0.48999999999999994"/>
    <n v="0"/>
  </r>
  <r>
    <n v="3872"/>
    <s v="CA-2015-132486"/>
    <d v="2015-10-23T00:00:00"/>
    <x v="1"/>
    <s v="Q4"/>
    <x v="2"/>
    <d v="2015-10-27T00:00:00"/>
    <s v="Second Class"/>
    <x v="282"/>
    <x v="282"/>
    <s v="Consumer"/>
    <s v="United States"/>
    <s v="San Diego"/>
    <x v="1"/>
    <n v="92105"/>
    <x v="1"/>
    <x v="111"/>
    <x v="1"/>
    <x v="12"/>
    <x v="111"/>
    <n v="11.8"/>
    <s v="Low"/>
    <n v="4"/>
    <n v="0"/>
    <x v="0"/>
    <x v="0"/>
    <n v="5.6639999999999997"/>
    <n v="0.47999999999999993"/>
    <n v="0"/>
  </r>
  <r>
    <n v="3873"/>
    <s v="CA-2015-132486"/>
    <d v="2015-10-23T00:00:00"/>
    <x v="1"/>
    <s v="Q4"/>
    <x v="2"/>
    <d v="2015-10-27T00:00:00"/>
    <s v="Second Class"/>
    <x v="282"/>
    <x v="282"/>
    <s v="Consumer"/>
    <s v="United States"/>
    <s v="San Diego"/>
    <x v="1"/>
    <n v="92105"/>
    <x v="1"/>
    <x v="1131"/>
    <x v="0"/>
    <x v="1"/>
    <x v="1119"/>
    <n v="842.35199999999998"/>
    <s v="High"/>
    <n v="3"/>
    <n v="0.2"/>
    <x v="2"/>
    <x v="2"/>
    <n v="42.117600000000003"/>
    <n v="0.05"/>
    <n v="0"/>
  </r>
  <r>
    <n v="3874"/>
    <s v="CA-2016-136231"/>
    <d v="2016-09-05T00:00:00"/>
    <x v="0"/>
    <s v="Q3"/>
    <x v="21"/>
    <d v="2016-09-07T00:00:00"/>
    <s v="Second Class"/>
    <x v="661"/>
    <x v="661"/>
    <s v="Consumer"/>
    <s v="United States"/>
    <s v="Johnson City"/>
    <x v="18"/>
    <n v="37604"/>
    <x v="0"/>
    <x v="706"/>
    <x v="1"/>
    <x v="12"/>
    <x v="153"/>
    <n v="23.472000000000001"/>
    <s v="Low"/>
    <n v="3"/>
    <n v="0.2"/>
    <x v="2"/>
    <x v="2"/>
    <n v="7.6284000000000001"/>
    <n v="0.32500000000000001"/>
    <n v="0"/>
  </r>
  <r>
    <n v="3875"/>
    <s v="CA-2016-136231"/>
    <d v="2016-09-05T00:00:00"/>
    <x v="0"/>
    <s v="Q3"/>
    <x v="21"/>
    <d v="2016-09-07T00:00:00"/>
    <s v="Second Class"/>
    <x v="661"/>
    <x v="661"/>
    <s v="Consumer"/>
    <s v="United States"/>
    <s v="Johnson City"/>
    <x v="18"/>
    <n v="37604"/>
    <x v="0"/>
    <x v="800"/>
    <x v="1"/>
    <x v="8"/>
    <x v="798"/>
    <n v="86.058000000000007"/>
    <s v="Medium"/>
    <n v="7"/>
    <n v="0.7"/>
    <x v="1"/>
    <x v="5"/>
    <n v="-63.109200000000001"/>
    <n v="-0.73333333333333328"/>
    <n v="1"/>
  </r>
  <r>
    <n v="3876"/>
    <s v="CA-2016-136231"/>
    <d v="2016-09-05T00:00:00"/>
    <x v="0"/>
    <s v="Q3"/>
    <x v="21"/>
    <d v="2016-09-07T00:00:00"/>
    <s v="Second Class"/>
    <x v="661"/>
    <x v="661"/>
    <s v="Consumer"/>
    <s v="United States"/>
    <s v="Johnson City"/>
    <x v="18"/>
    <n v="37604"/>
    <x v="0"/>
    <x v="704"/>
    <x v="2"/>
    <x v="7"/>
    <x v="704"/>
    <n v="108.78400000000001"/>
    <s v="Medium"/>
    <n v="2"/>
    <n v="0.2"/>
    <x v="2"/>
    <x v="2"/>
    <n v="6.7990000000000004"/>
    <n v="6.25E-2"/>
    <n v="0"/>
  </r>
  <r>
    <n v="3877"/>
    <s v="CA-2016-136231"/>
    <d v="2016-09-05T00:00:00"/>
    <x v="0"/>
    <s v="Q3"/>
    <x v="21"/>
    <d v="2016-09-07T00:00:00"/>
    <s v="Second Class"/>
    <x v="661"/>
    <x v="661"/>
    <s v="Consumer"/>
    <s v="United States"/>
    <s v="Johnson City"/>
    <x v="18"/>
    <n v="37604"/>
    <x v="0"/>
    <x v="1450"/>
    <x v="1"/>
    <x v="10"/>
    <x v="1437"/>
    <n v="10.272"/>
    <s v="Low"/>
    <n v="3"/>
    <n v="0.2"/>
    <x v="2"/>
    <x v="2"/>
    <n v="3.21"/>
    <n v="0.3125"/>
    <n v="0"/>
  </r>
  <r>
    <n v="3878"/>
    <s v="CA-2016-140641"/>
    <d v="2016-10-28T00:00:00"/>
    <x v="0"/>
    <s v="Q4"/>
    <x v="32"/>
    <d v="2016-11-02T00:00:00"/>
    <s v="Standard Class"/>
    <x v="212"/>
    <x v="212"/>
    <s v="Consumer"/>
    <s v="United States"/>
    <s v="Tampa"/>
    <x v="2"/>
    <n v="33614"/>
    <x v="0"/>
    <x v="986"/>
    <x v="1"/>
    <x v="8"/>
    <x v="979"/>
    <n v="38.19"/>
    <s v="Medium"/>
    <n v="5"/>
    <n v="0.7"/>
    <x v="1"/>
    <x v="5"/>
    <n v="-26.733000000000001"/>
    <n v="-0.70000000000000007"/>
    <n v="1"/>
  </r>
  <r>
    <n v="3879"/>
    <s v="CA-2014-151001"/>
    <d v="2014-04-05T00:00:00"/>
    <x v="2"/>
    <s v="Q2"/>
    <x v="41"/>
    <d v="2014-04-07T00:00:00"/>
    <s v="First Class"/>
    <x v="189"/>
    <x v="189"/>
    <s v="Corporate"/>
    <s v="United States"/>
    <s v="Decatur"/>
    <x v="10"/>
    <n v="62521"/>
    <x v="2"/>
    <x v="170"/>
    <x v="1"/>
    <x v="4"/>
    <x v="171"/>
    <n v="49.631999999999998"/>
    <s v="Medium"/>
    <n v="4"/>
    <n v="0.2"/>
    <x v="2"/>
    <x v="2"/>
    <n v="3.7223999999999999"/>
    <n v="7.4999999999999997E-2"/>
    <n v="0"/>
  </r>
  <r>
    <n v="3880"/>
    <s v="CA-2014-151001"/>
    <d v="2014-04-05T00:00:00"/>
    <x v="2"/>
    <s v="Q2"/>
    <x v="41"/>
    <d v="2014-04-07T00:00:00"/>
    <s v="First Class"/>
    <x v="189"/>
    <x v="189"/>
    <s v="Corporate"/>
    <s v="United States"/>
    <s v="Decatur"/>
    <x v="10"/>
    <n v="62521"/>
    <x v="2"/>
    <x v="1569"/>
    <x v="1"/>
    <x v="4"/>
    <x v="1560"/>
    <n v="52.095999999999997"/>
    <s v="Medium"/>
    <n v="4"/>
    <n v="0.2"/>
    <x v="2"/>
    <x v="2"/>
    <n v="3.9072"/>
    <n v="7.5000000000000011E-2"/>
    <n v="0"/>
  </r>
  <r>
    <n v="3881"/>
    <s v="CA-2015-129896"/>
    <d v="2015-06-15T00:00:00"/>
    <x v="1"/>
    <s v="Q2"/>
    <x v="40"/>
    <d v="2015-06-20T00:00:00"/>
    <s v="Standard Class"/>
    <x v="724"/>
    <x v="724"/>
    <s v="Consumer"/>
    <s v="United States"/>
    <s v="Gilbert"/>
    <x v="16"/>
    <n v="85234"/>
    <x v="1"/>
    <x v="1357"/>
    <x v="1"/>
    <x v="10"/>
    <x v="1343"/>
    <n v="9.5679999999999996"/>
    <s v="Low"/>
    <n v="2"/>
    <n v="0.2"/>
    <x v="2"/>
    <x v="2"/>
    <n v="2.99"/>
    <n v="0.31250000000000006"/>
    <n v="0"/>
  </r>
  <r>
    <n v="3882"/>
    <s v="CA-2015-129896"/>
    <d v="2015-06-15T00:00:00"/>
    <x v="1"/>
    <s v="Q2"/>
    <x v="40"/>
    <d v="2015-06-20T00:00:00"/>
    <s v="Standard Class"/>
    <x v="724"/>
    <x v="724"/>
    <s v="Consumer"/>
    <s v="United States"/>
    <s v="Gilbert"/>
    <x v="16"/>
    <n v="85234"/>
    <x v="1"/>
    <x v="232"/>
    <x v="1"/>
    <x v="4"/>
    <x v="233"/>
    <n v="82.367999999999995"/>
    <s v="Medium"/>
    <n v="2"/>
    <n v="0.2"/>
    <x v="2"/>
    <x v="2"/>
    <n v="-19.5624"/>
    <n v="-0.23750000000000002"/>
    <n v="1"/>
  </r>
  <r>
    <n v="3883"/>
    <s v="CA-2015-129896"/>
    <d v="2015-06-15T00:00:00"/>
    <x v="1"/>
    <s v="Q2"/>
    <x v="40"/>
    <d v="2015-06-20T00:00:00"/>
    <s v="Standard Class"/>
    <x v="724"/>
    <x v="724"/>
    <s v="Consumer"/>
    <s v="United States"/>
    <s v="Gilbert"/>
    <x v="16"/>
    <n v="85234"/>
    <x v="1"/>
    <x v="1597"/>
    <x v="0"/>
    <x v="5"/>
    <x v="1589"/>
    <n v="364.70400000000001"/>
    <s v="High"/>
    <n v="6"/>
    <n v="0.2"/>
    <x v="2"/>
    <x v="2"/>
    <n v="-36.470399999999998"/>
    <n v="-9.9999999999999992E-2"/>
    <n v="1"/>
  </r>
  <r>
    <n v="3884"/>
    <s v="CA-2015-129896"/>
    <d v="2015-06-15T00:00:00"/>
    <x v="1"/>
    <s v="Q2"/>
    <x v="40"/>
    <d v="2015-06-20T00:00:00"/>
    <s v="Standard Class"/>
    <x v="724"/>
    <x v="724"/>
    <s v="Consumer"/>
    <s v="United States"/>
    <s v="Gilbert"/>
    <x v="16"/>
    <n v="85234"/>
    <x v="1"/>
    <x v="1598"/>
    <x v="0"/>
    <x v="5"/>
    <x v="1590"/>
    <n v="40.256"/>
    <s v="Medium"/>
    <n v="4"/>
    <n v="0.2"/>
    <x v="2"/>
    <x v="2"/>
    <n v="11.070399999999999"/>
    <n v="0.27499999999999997"/>
    <n v="0"/>
  </r>
  <r>
    <n v="3885"/>
    <s v="CA-2014-152849"/>
    <d v="2014-07-05T00:00:00"/>
    <x v="2"/>
    <s v="Q3"/>
    <x v="39"/>
    <d v="2014-07-12T00:00:00"/>
    <s v="Standard Class"/>
    <x v="694"/>
    <x v="694"/>
    <s v="Corporate"/>
    <s v="United States"/>
    <s v="Knoxville"/>
    <x v="18"/>
    <n v="37918"/>
    <x v="0"/>
    <x v="6"/>
    <x v="1"/>
    <x v="6"/>
    <x v="6"/>
    <n v="4.3680000000000003"/>
    <s v="Low"/>
    <n v="3"/>
    <n v="0.2"/>
    <x v="2"/>
    <x v="2"/>
    <n v="0.38219999999999998"/>
    <n v="8.7499999999999994E-2"/>
    <n v="0"/>
  </r>
  <r>
    <n v="3886"/>
    <s v="US-2017-127341"/>
    <d v="2017-01-29T00:00:00"/>
    <x v="3"/>
    <s v="Q1"/>
    <x v="44"/>
    <d v="2017-02-02T00:00:00"/>
    <s v="Standard Class"/>
    <x v="242"/>
    <x v="242"/>
    <s v="Consumer"/>
    <s v="United States"/>
    <s v="Chicago"/>
    <x v="10"/>
    <n v="60653"/>
    <x v="2"/>
    <x v="280"/>
    <x v="1"/>
    <x v="8"/>
    <x v="280"/>
    <n v="12.128"/>
    <s v="Low"/>
    <n v="4"/>
    <n v="0.8"/>
    <x v="1"/>
    <x v="3"/>
    <n v="-20.617599999999999"/>
    <n v="-1.7"/>
    <n v="1"/>
  </r>
  <r>
    <n v="3887"/>
    <s v="CA-2016-167759"/>
    <d v="2016-03-03T00:00:00"/>
    <x v="0"/>
    <s v="Q1"/>
    <x v="17"/>
    <d v="2016-03-08T00:00:00"/>
    <s v="Second Class"/>
    <x v="113"/>
    <x v="113"/>
    <s v="Consumer"/>
    <s v="United States"/>
    <s v="Bloomington"/>
    <x v="14"/>
    <n v="47401"/>
    <x v="2"/>
    <x v="1517"/>
    <x v="2"/>
    <x v="7"/>
    <x v="1504"/>
    <n v="134.85"/>
    <s v="High"/>
    <n v="3"/>
    <n v="0"/>
    <x v="0"/>
    <x v="0"/>
    <n v="37.758000000000003"/>
    <n v="0.28000000000000003"/>
    <n v="0"/>
  </r>
  <r>
    <n v="3888"/>
    <s v="CA-2014-100895"/>
    <d v="2014-06-02T00:00:00"/>
    <x v="2"/>
    <s v="Q2"/>
    <x v="3"/>
    <d v="2014-06-06T00:00:00"/>
    <s v="Standard Class"/>
    <x v="647"/>
    <x v="647"/>
    <s v="Consumer"/>
    <s v="United States"/>
    <s v="Roswell"/>
    <x v="32"/>
    <n v="30076"/>
    <x v="0"/>
    <x v="1253"/>
    <x v="1"/>
    <x v="6"/>
    <x v="1237"/>
    <n v="8.56"/>
    <s v="Low"/>
    <n v="2"/>
    <n v="0"/>
    <x v="0"/>
    <x v="0"/>
    <n v="2.6536"/>
    <n v="0.31"/>
    <n v="0"/>
  </r>
  <r>
    <n v="3889"/>
    <s v="CA-2014-100895"/>
    <d v="2014-06-02T00:00:00"/>
    <x v="2"/>
    <s v="Q2"/>
    <x v="3"/>
    <d v="2014-06-06T00:00:00"/>
    <s v="Standard Class"/>
    <x v="647"/>
    <x v="647"/>
    <s v="Consumer"/>
    <s v="United States"/>
    <s v="Roswell"/>
    <x v="32"/>
    <n v="30076"/>
    <x v="0"/>
    <x v="516"/>
    <x v="2"/>
    <x v="7"/>
    <x v="516"/>
    <n v="239.97"/>
    <s v="High"/>
    <n v="3"/>
    <n v="0"/>
    <x v="0"/>
    <x v="0"/>
    <n v="67.191599999999994"/>
    <n v="0.27999999999999997"/>
    <n v="0"/>
  </r>
  <r>
    <n v="3890"/>
    <s v="CA-2014-100895"/>
    <d v="2014-06-02T00:00:00"/>
    <x v="2"/>
    <s v="Q2"/>
    <x v="3"/>
    <d v="2014-06-06T00:00:00"/>
    <s v="Standard Class"/>
    <x v="647"/>
    <x v="647"/>
    <s v="Consumer"/>
    <s v="United States"/>
    <s v="Roswell"/>
    <x v="32"/>
    <n v="30076"/>
    <x v="0"/>
    <x v="518"/>
    <x v="1"/>
    <x v="4"/>
    <x v="518"/>
    <n v="356.94"/>
    <s v="High"/>
    <n v="2"/>
    <n v="0"/>
    <x v="0"/>
    <x v="0"/>
    <n v="107.08199999999999"/>
    <n v="0.3"/>
    <n v="0"/>
  </r>
  <r>
    <n v="3891"/>
    <s v="US-2016-163881"/>
    <d v="2016-11-24T00:00:00"/>
    <x v="0"/>
    <s v="Q4"/>
    <x v="0"/>
    <d v="2016-11-30T00:00:00"/>
    <s v="Standard Class"/>
    <x v="133"/>
    <x v="133"/>
    <s v="Corporate"/>
    <s v="United States"/>
    <s v="Los Angeles"/>
    <x v="1"/>
    <n v="90036"/>
    <x v="1"/>
    <x v="764"/>
    <x v="2"/>
    <x v="11"/>
    <x v="763"/>
    <n v="659.9"/>
    <s v="High"/>
    <n v="2"/>
    <n v="0"/>
    <x v="0"/>
    <x v="0"/>
    <n v="217.767"/>
    <n v="0.33"/>
    <n v="0"/>
  </r>
  <r>
    <n v="3892"/>
    <s v="US-2016-163881"/>
    <d v="2016-11-24T00:00:00"/>
    <x v="0"/>
    <s v="Q4"/>
    <x v="0"/>
    <d v="2016-11-30T00:00:00"/>
    <s v="Standard Class"/>
    <x v="133"/>
    <x v="133"/>
    <s v="Corporate"/>
    <s v="United States"/>
    <s v="Los Angeles"/>
    <x v="1"/>
    <n v="90036"/>
    <x v="1"/>
    <x v="654"/>
    <x v="0"/>
    <x v="1"/>
    <x v="654"/>
    <n v="1684.752"/>
    <s v="High"/>
    <n v="6"/>
    <n v="0.2"/>
    <x v="2"/>
    <x v="2"/>
    <n v="210.59399999999999"/>
    <n v="0.125"/>
    <n v="0"/>
  </r>
  <r>
    <n v="3893"/>
    <s v="US-2016-163881"/>
    <d v="2016-11-24T00:00:00"/>
    <x v="0"/>
    <s v="Q4"/>
    <x v="0"/>
    <d v="2016-11-30T00:00:00"/>
    <s v="Standard Class"/>
    <x v="133"/>
    <x v="133"/>
    <s v="Corporate"/>
    <s v="United States"/>
    <s v="Los Angeles"/>
    <x v="1"/>
    <n v="90036"/>
    <x v="1"/>
    <x v="1509"/>
    <x v="2"/>
    <x v="11"/>
    <x v="1496"/>
    <n v="559.91999999999996"/>
    <s v="High"/>
    <n v="8"/>
    <n v="0"/>
    <x v="0"/>
    <x v="0"/>
    <n v="190.37280000000001"/>
    <n v="0.34"/>
    <n v="0"/>
  </r>
  <r>
    <n v="3894"/>
    <s v="US-2016-144547"/>
    <d v="2016-11-10T00:00:00"/>
    <x v="0"/>
    <s v="Q4"/>
    <x v="0"/>
    <d v="2016-11-14T00:00:00"/>
    <s v="Standard Class"/>
    <x v="474"/>
    <x v="474"/>
    <s v="Consumer"/>
    <s v="United States"/>
    <s v="Houston"/>
    <x v="5"/>
    <n v="77036"/>
    <x v="2"/>
    <x v="648"/>
    <x v="2"/>
    <x v="11"/>
    <x v="648"/>
    <n v="279.94400000000002"/>
    <s v="High"/>
    <n v="7"/>
    <n v="0.2"/>
    <x v="2"/>
    <x v="2"/>
    <n v="48.990200000000002"/>
    <n v="0.17499999999999999"/>
    <n v="0"/>
  </r>
  <r>
    <n v="3895"/>
    <s v="US-2014-112200"/>
    <d v="2014-11-22T00:00:00"/>
    <x v="2"/>
    <s v="Q4"/>
    <x v="7"/>
    <d v="2014-11-28T00:00:00"/>
    <s v="Standard Class"/>
    <x v="679"/>
    <x v="679"/>
    <s v="Home Office"/>
    <s v="United States"/>
    <s v="Bolingbrook"/>
    <x v="10"/>
    <n v="60440"/>
    <x v="2"/>
    <x v="1230"/>
    <x v="1"/>
    <x v="8"/>
    <x v="1213"/>
    <n v="9.98"/>
    <s v="Low"/>
    <n v="5"/>
    <n v="0.8"/>
    <x v="1"/>
    <x v="3"/>
    <n v="-16.466999999999999"/>
    <n v="-1.65"/>
    <n v="1"/>
  </r>
  <r>
    <n v="3896"/>
    <s v="CA-2017-110212"/>
    <d v="2017-05-01T00:00:00"/>
    <x v="3"/>
    <s v="Q2"/>
    <x v="24"/>
    <d v="2017-05-05T00:00:00"/>
    <s v="Standard Class"/>
    <x v="319"/>
    <x v="319"/>
    <s v="Home Office"/>
    <s v="United States"/>
    <s v="Texarkana"/>
    <x v="36"/>
    <n v="71854"/>
    <x v="0"/>
    <x v="1599"/>
    <x v="2"/>
    <x v="11"/>
    <x v="1591"/>
    <n v="48.9"/>
    <s v="Medium"/>
    <n v="5"/>
    <n v="0"/>
    <x v="0"/>
    <x v="0"/>
    <n v="18.093"/>
    <n v="0.37"/>
    <n v="0"/>
  </r>
  <r>
    <n v="3897"/>
    <s v="CA-2017-134285"/>
    <d v="2017-12-07T00:00:00"/>
    <x v="3"/>
    <s v="Q4"/>
    <x v="22"/>
    <d v="2017-12-12T00:00:00"/>
    <s v="Standard Class"/>
    <x v="103"/>
    <x v="103"/>
    <s v="Corporate"/>
    <s v="United States"/>
    <s v="San Antonio"/>
    <x v="5"/>
    <n v="78207"/>
    <x v="2"/>
    <x v="1084"/>
    <x v="1"/>
    <x v="13"/>
    <x v="1074"/>
    <n v="3.552"/>
    <s v="Low"/>
    <n v="3"/>
    <n v="0.2"/>
    <x v="2"/>
    <x v="2"/>
    <n v="1.2432000000000001"/>
    <n v="0.35000000000000003"/>
    <n v="0"/>
  </r>
  <r>
    <n v="3898"/>
    <s v="CA-2017-134285"/>
    <d v="2017-12-07T00:00:00"/>
    <x v="3"/>
    <s v="Q4"/>
    <x v="22"/>
    <d v="2017-12-12T00:00:00"/>
    <s v="Standard Class"/>
    <x v="103"/>
    <x v="103"/>
    <s v="Corporate"/>
    <s v="United States"/>
    <s v="San Antonio"/>
    <x v="5"/>
    <n v="78207"/>
    <x v="2"/>
    <x v="88"/>
    <x v="1"/>
    <x v="10"/>
    <x v="88"/>
    <n v="15.552"/>
    <s v="Low"/>
    <n v="3"/>
    <n v="0.2"/>
    <x v="2"/>
    <x v="2"/>
    <n v="5.4432"/>
    <n v="0.35000000000000003"/>
    <n v="0"/>
  </r>
  <r>
    <n v="3899"/>
    <s v="CA-2017-102267"/>
    <d v="2017-11-30T00:00:00"/>
    <x v="3"/>
    <s v="Q4"/>
    <x v="23"/>
    <d v="2017-12-04T00:00:00"/>
    <s v="Standard Class"/>
    <x v="561"/>
    <x v="561"/>
    <s v="Consumer"/>
    <s v="United States"/>
    <s v="Edinburg"/>
    <x v="5"/>
    <n v="78539"/>
    <x v="2"/>
    <x v="1084"/>
    <x v="1"/>
    <x v="13"/>
    <x v="1074"/>
    <n v="2.3679999999999999"/>
    <s v="Low"/>
    <n v="2"/>
    <n v="0.2"/>
    <x v="2"/>
    <x v="2"/>
    <n v="0.82879999999999998"/>
    <n v="0.35000000000000003"/>
    <n v="0"/>
  </r>
  <r>
    <n v="3900"/>
    <s v="CA-2017-157980"/>
    <d v="2017-12-07T00:00:00"/>
    <x v="3"/>
    <s v="Q4"/>
    <x v="22"/>
    <d v="2017-12-09T00:00:00"/>
    <s v="First Class"/>
    <x v="129"/>
    <x v="129"/>
    <s v="Consumer"/>
    <s v="United States"/>
    <s v="Toledo"/>
    <x v="24"/>
    <n v="43615"/>
    <x v="3"/>
    <x v="428"/>
    <x v="2"/>
    <x v="11"/>
    <x v="428"/>
    <n v="127.98399999999999"/>
    <s v="High"/>
    <n v="2"/>
    <n v="0.2"/>
    <x v="2"/>
    <x v="2"/>
    <n v="25.596800000000002"/>
    <n v="0.2"/>
    <n v="0"/>
  </r>
  <r>
    <n v="3901"/>
    <s v="CA-2015-121097"/>
    <d v="2015-01-03T00:00:00"/>
    <x v="1"/>
    <s v="Q1"/>
    <x v="26"/>
    <d v="2015-01-08T00:00:00"/>
    <s v="Standard Class"/>
    <x v="245"/>
    <x v="245"/>
    <s v="Corporate"/>
    <s v="United States"/>
    <s v="Baytown"/>
    <x v="5"/>
    <n v="77520"/>
    <x v="2"/>
    <x v="289"/>
    <x v="1"/>
    <x v="10"/>
    <x v="289"/>
    <n v="10.368"/>
    <s v="Low"/>
    <n v="2"/>
    <n v="0.2"/>
    <x v="2"/>
    <x v="2"/>
    <n v="3.6288"/>
    <n v="0.35"/>
    <n v="0"/>
  </r>
  <r>
    <n v="3902"/>
    <s v="CA-2015-151043"/>
    <d v="2015-11-14T00:00:00"/>
    <x v="1"/>
    <s v="Q4"/>
    <x v="6"/>
    <d v="2015-11-20T00:00:00"/>
    <s v="Standard Class"/>
    <x v="67"/>
    <x v="67"/>
    <s v="Home Office"/>
    <s v="United States"/>
    <s v="Philadelphia"/>
    <x v="9"/>
    <n v="19143"/>
    <x v="3"/>
    <x v="1600"/>
    <x v="2"/>
    <x v="11"/>
    <x v="1592"/>
    <n v="47.984000000000002"/>
    <s v="Medium"/>
    <n v="2"/>
    <n v="0.2"/>
    <x v="2"/>
    <x v="2"/>
    <n v="-1.1996"/>
    <n v="-2.4999999999999998E-2"/>
    <n v="1"/>
  </r>
  <r>
    <n v="3903"/>
    <s v="US-2015-119312"/>
    <d v="2015-10-02T00:00:00"/>
    <x v="1"/>
    <s v="Q4"/>
    <x v="2"/>
    <d v="2015-10-07T00:00:00"/>
    <s v="Second Class"/>
    <x v="37"/>
    <x v="37"/>
    <s v="Home Office"/>
    <s v="United States"/>
    <s v="Los Angeles"/>
    <x v="1"/>
    <n v="90045"/>
    <x v="1"/>
    <x v="1220"/>
    <x v="1"/>
    <x v="4"/>
    <x v="1204"/>
    <n v="270.33999999999997"/>
    <s v="High"/>
    <n v="14"/>
    <n v="0"/>
    <x v="0"/>
    <x v="0"/>
    <n v="75.6952"/>
    <n v="0.28000000000000003"/>
    <n v="0"/>
  </r>
  <r>
    <n v="3904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1297"/>
    <x v="1"/>
    <x v="9"/>
    <x v="1282"/>
    <n v="98.111999999999995"/>
    <s v="Medium"/>
    <n v="7"/>
    <n v="0.2"/>
    <x v="2"/>
    <x v="2"/>
    <n v="18.396000000000001"/>
    <n v="0.18750000000000003"/>
    <n v="0"/>
  </r>
  <r>
    <n v="3905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718"/>
    <x v="1"/>
    <x v="4"/>
    <x v="717"/>
    <n v="563.80799999999999"/>
    <s v="High"/>
    <n v="4"/>
    <n v="0.2"/>
    <x v="2"/>
    <x v="2"/>
    <n v="21.142800000000001"/>
    <n v="3.7500000000000006E-2"/>
    <n v="0"/>
  </r>
  <r>
    <n v="3906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844"/>
    <x v="1"/>
    <x v="8"/>
    <x v="838"/>
    <n v="10.428000000000001"/>
    <s v="Low"/>
    <n v="4"/>
    <n v="0.7"/>
    <x v="1"/>
    <x v="5"/>
    <n v="-6.952"/>
    <n v="-0.66666666666666663"/>
    <n v="1"/>
  </r>
  <r>
    <n v="3907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1304"/>
    <x v="0"/>
    <x v="5"/>
    <x v="1289"/>
    <n v="547.13599999999997"/>
    <s v="High"/>
    <n v="4"/>
    <n v="0.2"/>
    <x v="2"/>
    <x v="2"/>
    <n v="-68.391999999999996"/>
    <n v="-0.125"/>
    <n v="1"/>
  </r>
  <r>
    <n v="3908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500"/>
    <x v="2"/>
    <x v="7"/>
    <x v="500"/>
    <n v="14.85"/>
    <s v="Low"/>
    <n v="5"/>
    <n v="0.4"/>
    <x v="1"/>
    <x v="7"/>
    <n v="-3.2174999999999998"/>
    <n v="-0.21666666666666665"/>
    <n v="1"/>
  </r>
  <r>
    <n v="3909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104"/>
    <x v="2"/>
    <x v="7"/>
    <x v="104"/>
    <n v="41.988"/>
    <s v="Medium"/>
    <n v="2"/>
    <n v="0.4"/>
    <x v="1"/>
    <x v="7"/>
    <n v="-9.7972000000000001"/>
    <n v="-0.23333333333333334"/>
    <n v="1"/>
  </r>
  <r>
    <n v="3910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1183"/>
    <x v="0"/>
    <x v="5"/>
    <x v="1169"/>
    <n v="7.5839999999999996"/>
    <s v="Low"/>
    <n v="1"/>
    <n v="0.2"/>
    <x v="2"/>
    <x v="2"/>
    <n v="2.37"/>
    <n v="0.31250000000000006"/>
    <n v="0"/>
  </r>
  <r>
    <n v="3911"/>
    <s v="CA-2015-167010"/>
    <d v="2015-04-05T00:00:00"/>
    <x v="1"/>
    <s v="Q2"/>
    <x v="19"/>
    <d v="2015-04-10T00:00:00"/>
    <s v="Standard Class"/>
    <x v="725"/>
    <x v="725"/>
    <s v="Home Office"/>
    <s v="United States"/>
    <s v="Philadelphia"/>
    <x v="9"/>
    <n v="19143"/>
    <x v="3"/>
    <x v="1601"/>
    <x v="0"/>
    <x v="0"/>
    <x v="1593"/>
    <n v="352.45"/>
    <s v="High"/>
    <n v="5"/>
    <n v="0.5"/>
    <x v="1"/>
    <x v="1"/>
    <n v="-211.47"/>
    <n v="-0.6"/>
    <n v="1"/>
  </r>
  <r>
    <n v="3912"/>
    <s v="CA-2017-126788"/>
    <d v="2017-06-05T00:00:00"/>
    <x v="3"/>
    <s v="Q2"/>
    <x v="27"/>
    <d v="2017-06-06T00:00:00"/>
    <s v="First Class"/>
    <x v="455"/>
    <x v="455"/>
    <s v="Consumer"/>
    <s v="United States"/>
    <s v="Pearland"/>
    <x v="5"/>
    <n v="77581"/>
    <x v="2"/>
    <x v="1602"/>
    <x v="2"/>
    <x v="7"/>
    <x v="1594"/>
    <n v="470.37599999999998"/>
    <s v="High"/>
    <n v="3"/>
    <n v="0.2"/>
    <x v="2"/>
    <x v="2"/>
    <n v="52.917299999999997"/>
    <n v="0.1125"/>
    <n v="0"/>
  </r>
  <r>
    <n v="3913"/>
    <s v="CA-2017-148068"/>
    <d v="2017-09-18T00:00:00"/>
    <x v="3"/>
    <s v="Q3"/>
    <x v="15"/>
    <d v="2017-09-25T00:00:00"/>
    <s v="Standard Class"/>
    <x v="152"/>
    <x v="152"/>
    <s v="Corporate"/>
    <s v="United States"/>
    <s v="New York City"/>
    <x v="15"/>
    <n v="10035"/>
    <x v="3"/>
    <x v="988"/>
    <x v="1"/>
    <x v="10"/>
    <x v="981"/>
    <n v="19.440000000000001"/>
    <s v="Low"/>
    <n v="3"/>
    <n v="0"/>
    <x v="0"/>
    <x v="0"/>
    <n v="9.3312000000000008"/>
    <n v="0.48000000000000004"/>
    <n v="0"/>
  </r>
  <r>
    <n v="3914"/>
    <s v="CA-2017-148068"/>
    <d v="2017-09-18T00:00:00"/>
    <x v="3"/>
    <s v="Q3"/>
    <x v="15"/>
    <d v="2017-09-25T00:00:00"/>
    <s v="Standard Class"/>
    <x v="152"/>
    <x v="152"/>
    <s v="Corporate"/>
    <s v="United States"/>
    <s v="New York City"/>
    <x v="15"/>
    <n v="10035"/>
    <x v="3"/>
    <x v="875"/>
    <x v="0"/>
    <x v="5"/>
    <x v="869"/>
    <n v="9.82"/>
    <s v="Low"/>
    <n v="2"/>
    <n v="0"/>
    <x v="0"/>
    <x v="0"/>
    <n v="3.2406000000000001"/>
    <n v="0.33"/>
    <n v="0"/>
  </r>
  <r>
    <n v="3915"/>
    <s v="US-2017-142573"/>
    <d v="2017-07-18T00:00:00"/>
    <x v="3"/>
    <s v="Q3"/>
    <x v="10"/>
    <d v="2017-07-23T00:00:00"/>
    <s v="Standard Class"/>
    <x v="586"/>
    <x v="586"/>
    <s v="Consumer"/>
    <s v="United States"/>
    <s v="Phoenix"/>
    <x v="16"/>
    <n v="85023"/>
    <x v="1"/>
    <x v="855"/>
    <x v="0"/>
    <x v="3"/>
    <x v="848"/>
    <n v="801.6"/>
    <s v="High"/>
    <n v="5"/>
    <n v="0.5"/>
    <x v="1"/>
    <x v="1"/>
    <n v="-448.89600000000002"/>
    <n v="-0.56000000000000005"/>
    <n v="1"/>
  </r>
  <r>
    <n v="3916"/>
    <s v="US-2017-142573"/>
    <d v="2017-07-18T00:00:00"/>
    <x v="3"/>
    <s v="Q3"/>
    <x v="10"/>
    <d v="2017-07-23T00:00:00"/>
    <s v="Standard Class"/>
    <x v="586"/>
    <x v="586"/>
    <s v="Consumer"/>
    <s v="United States"/>
    <s v="Phoenix"/>
    <x v="16"/>
    <n v="85023"/>
    <x v="1"/>
    <x v="38"/>
    <x v="0"/>
    <x v="1"/>
    <x v="38"/>
    <n v="161.56800000000001"/>
    <s v="High"/>
    <n v="2"/>
    <n v="0.2"/>
    <x v="2"/>
    <x v="2"/>
    <n v="10.098000000000001"/>
    <n v="6.25E-2"/>
    <n v="0"/>
  </r>
  <r>
    <n v="3917"/>
    <s v="US-2017-142573"/>
    <d v="2017-07-18T00:00:00"/>
    <x v="3"/>
    <s v="Q3"/>
    <x v="10"/>
    <d v="2017-07-23T00:00:00"/>
    <s v="Standard Class"/>
    <x v="586"/>
    <x v="586"/>
    <s v="Consumer"/>
    <s v="United States"/>
    <s v="Phoenix"/>
    <x v="16"/>
    <n v="85023"/>
    <x v="1"/>
    <x v="1603"/>
    <x v="1"/>
    <x v="10"/>
    <x v="1595"/>
    <n v="16.096"/>
    <s v="Low"/>
    <n v="2"/>
    <n v="0.2"/>
    <x v="2"/>
    <x v="2"/>
    <n v="5.2312000000000003"/>
    <n v="0.32500000000000001"/>
    <n v="0"/>
  </r>
  <r>
    <n v="3918"/>
    <s v="US-2017-142573"/>
    <d v="2017-07-18T00:00:00"/>
    <x v="3"/>
    <s v="Q3"/>
    <x v="10"/>
    <d v="2017-07-23T00:00:00"/>
    <s v="Standard Class"/>
    <x v="586"/>
    <x v="586"/>
    <s v="Consumer"/>
    <s v="United States"/>
    <s v="Phoenix"/>
    <x v="16"/>
    <n v="85023"/>
    <x v="1"/>
    <x v="849"/>
    <x v="1"/>
    <x v="8"/>
    <x v="842"/>
    <n v="7.6559999999999997"/>
    <s v="Low"/>
    <n v="4"/>
    <n v="0.7"/>
    <x v="1"/>
    <x v="5"/>
    <n v="-6.1247999999999996"/>
    <n v="-0.79999999999999993"/>
    <n v="1"/>
  </r>
  <r>
    <n v="3919"/>
    <s v="US-2017-142573"/>
    <d v="2017-07-18T00:00:00"/>
    <x v="3"/>
    <s v="Q3"/>
    <x v="10"/>
    <d v="2017-07-23T00:00:00"/>
    <s v="Standard Class"/>
    <x v="586"/>
    <x v="586"/>
    <s v="Consumer"/>
    <s v="United States"/>
    <s v="Phoenix"/>
    <x v="16"/>
    <n v="85023"/>
    <x v="1"/>
    <x v="70"/>
    <x v="0"/>
    <x v="1"/>
    <x v="70"/>
    <n v="311.976"/>
    <s v="High"/>
    <n v="3"/>
    <n v="0.2"/>
    <x v="2"/>
    <x v="2"/>
    <n v="-42.896700000000003"/>
    <n v="-0.13750000000000001"/>
    <n v="1"/>
  </r>
  <r>
    <n v="3920"/>
    <s v="US-2015-148817"/>
    <d v="2015-12-01T00:00:00"/>
    <x v="1"/>
    <s v="Q4"/>
    <x v="14"/>
    <d v="2015-12-07T00:00:00"/>
    <s v="Standard Class"/>
    <x v="470"/>
    <x v="470"/>
    <s v="Corporate"/>
    <s v="United States"/>
    <s v="Chesapeake"/>
    <x v="17"/>
    <n v="23320"/>
    <x v="0"/>
    <x v="421"/>
    <x v="1"/>
    <x v="4"/>
    <x v="421"/>
    <n v="61.68"/>
    <s v="Medium"/>
    <n v="4"/>
    <n v="0"/>
    <x v="0"/>
    <x v="0"/>
    <n v="16.653600000000001"/>
    <n v="0.27"/>
    <n v="0"/>
  </r>
  <r>
    <n v="3921"/>
    <s v="US-2015-148817"/>
    <d v="2015-12-01T00:00:00"/>
    <x v="1"/>
    <s v="Q4"/>
    <x v="14"/>
    <d v="2015-12-07T00:00:00"/>
    <s v="Standard Class"/>
    <x v="470"/>
    <x v="470"/>
    <s v="Corporate"/>
    <s v="United States"/>
    <s v="Chesapeake"/>
    <x v="17"/>
    <n v="23320"/>
    <x v="0"/>
    <x v="1399"/>
    <x v="1"/>
    <x v="8"/>
    <x v="1386"/>
    <n v="63.96"/>
    <s v="Medium"/>
    <n v="4"/>
    <n v="0"/>
    <x v="0"/>
    <x v="0"/>
    <n v="30.700800000000001"/>
    <n v="0.48"/>
    <n v="0"/>
  </r>
  <r>
    <n v="3922"/>
    <s v="CA-2016-110044"/>
    <d v="2016-06-28T00:00:00"/>
    <x v="0"/>
    <s v="Q2"/>
    <x v="1"/>
    <d v="2016-07-02T00:00:00"/>
    <s v="Second Class"/>
    <x v="288"/>
    <x v="288"/>
    <s v="Consumer"/>
    <s v="United States"/>
    <s v="Chicago"/>
    <x v="10"/>
    <n v="60610"/>
    <x v="2"/>
    <x v="1501"/>
    <x v="2"/>
    <x v="7"/>
    <x v="1489"/>
    <n v="359.976"/>
    <s v="High"/>
    <n v="3"/>
    <n v="0.2"/>
    <x v="2"/>
    <x v="2"/>
    <n v="35.997599999999998"/>
    <n v="9.9999999999999992E-2"/>
    <n v="0"/>
  </r>
  <r>
    <n v="3923"/>
    <s v="CA-2017-146920"/>
    <d v="2017-08-28T00:00:00"/>
    <x v="3"/>
    <s v="Q3"/>
    <x v="43"/>
    <d v="2017-09-01T00:00:00"/>
    <s v="Standard Class"/>
    <x v="253"/>
    <x v="253"/>
    <s v="Consumer"/>
    <s v="United States"/>
    <s v="Chicago"/>
    <x v="10"/>
    <n v="60623"/>
    <x v="2"/>
    <x v="218"/>
    <x v="1"/>
    <x v="10"/>
    <x v="219"/>
    <n v="25.344000000000001"/>
    <s v="Medium"/>
    <n v="6"/>
    <n v="0.2"/>
    <x v="2"/>
    <x v="2"/>
    <n v="7.92"/>
    <n v="0.3125"/>
    <n v="0"/>
  </r>
  <r>
    <n v="3924"/>
    <s v="CA-2017-146920"/>
    <d v="2017-08-28T00:00:00"/>
    <x v="3"/>
    <s v="Q3"/>
    <x v="43"/>
    <d v="2017-09-01T00:00:00"/>
    <s v="Standard Class"/>
    <x v="253"/>
    <x v="253"/>
    <s v="Consumer"/>
    <s v="United States"/>
    <s v="Chicago"/>
    <x v="10"/>
    <n v="60623"/>
    <x v="2"/>
    <x v="1604"/>
    <x v="1"/>
    <x v="10"/>
    <x v="1596"/>
    <n v="26.72"/>
    <s v="Medium"/>
    <n v="5"/>
    <n v="0.2"/>
    <x v="2"/>
    <x v="2"/>
    <n v="9.3520000000000003"/>
    <n v="0.35000000000000003"/>
    <n v="0"/>
  </r>
  <r>
    <n v="3925"/>
    <s v="CA-2014-103940"/>
    <d v="2014-09-17T00:00:00"/>
    <x v="2"/>
    <s v="Q3"/>
    <x v="30"/>
    <d v="2014-09-21T00:00:00"/>
    <s v="Standard Class"/>
    <x v="202"/>
    <x v="202"/>
    <s v="Consumer"/>
    <s v="United States"/>
    <s v="Seattle"/>
    <x v="4"/>
    <n v="98103"/>
    <x v="1"/>
    <x v="464"/>
    <x v="1"/>
    <x v="4"/>
    <x v="465"/>
    <n v="30.28"/>
    <s v="Medium"/>
    <n v="2"/>
    <n v="0"/>
    <x v="0"/>
    <x v="0"/>
    <n v="1.2112000000000001"/>
    <n v="0.04"/>
    <n v="0"/>
  </r>
  <r>
    <n v="3926"/>
    <s v="CA-2014-103940"/>
    <d v="2014-09-17T00:00:00"/>
    <x v="2"/>
    <s v="Q3"/>
    <x v="30"/>
    <d v="2014-09-21T00:00:00"/>
    <s v="Standard Class"/>
    <x v="202"/>
    <x v="202"/>
    <s v="Consumer"/>
    <s v="United States"/>
    <s v="Seattle"/>
    <x v="4"/>
    <n v="98103"/>
    <x v="1"/>
    <x v="1220"/>
    <x v="1"/>
    <x v="4"/>
    <x v="1204"/>
    <n v="57.93"/>
    <s v="Medium"/>
    <n v="3"/>
    <n v="0"/>
    <x v="0"/>
    <x v="0"/>
    <n v="16.220400000000001"/>
    <n v="0.28000000000000003"/>
    <n v="0"/>
  </r>
  <r>
    <n v="3927"/>
    <s v="CA-2014-103940"/>
    <d v="2014-09-17T00:00:00"/>
    <x v="2"/>
    <s v="Q3"/>
    <x v="30"/>
    <d v="2014-09-21T00:00:00"/>
    <s v="Standard Class"/>
    <x v="202"/>
    <x v="202"/>
    <s v="Consumer"/>
    <s v="United States"/>
    <s v="Seattle"/>
    <x v="4"/>
    <n v="98103"/>
    <x v="1"/>
    <x v="1381"/>
    <x v="0"/>
    <x v="5"/>
    <x v="1366"/>
    <n v="35.340000000000003"/>
    <s v="Medium"/>
    <n v="2"/>
    <n v="0"/>
    <x v="0"/>
    <x v="0"/>
    <n v="13.4292"/>
    <n v="0.37999999999999995"/>
    <n v="0"/>
  </r>
  <r>
    <n v="3928"/>
    <s v="CA-2014-103940"/>
    <d v="2014-09-17T00:00:00"/>
    <x v="2"/>
    <s v="Q3"/>
    <x v="30"/>
    <d v="2014-09-21T00:00:00"/>
    <s v="Standard Class"/>
    <x v="202"/>
    <x v="202"/>
    <s v="Consumer"/>
    <s v="United States"/>
    <s v="Seattle"/>
    <x v="4"/>
    <n v="98103"/>
    <x v="1"/>
    <x v="141"/>
    <x v="1"/>
    <x v="8"/>
    <x v="142"/>
    <n v="137.24"/>
    <s v="High"/>
    <n v="5"/>
    <n v="0.2"/>
    <x v="2"/>
    <x v="2"/>
    <n v="46.3185"/>
    <n v="0.33749999999999997"/>
    <n v="0"/>
  </r>
  <r>
    <n v="3929"/>
    <s v="CA-2016-162082"/>
    <d v="2016-03-14T00:00:00"/>
    <x v="0"/>
    <s v="Q1"/>
    <x v="17"/>
    <d v="2016-03-17T00:00:00"/>
    <s v="First Class"/>
    <x v="365"/>
    <x v="365"/>
    <s v="Consumer"/>
    <s v="United States"/>
    <s v="Harlingen"/>
    <x v="5"/>
    <n v="78550"/>
    <x v="2"/>
    <x v="631"/>
    <x v="0"/>
    <x v="0"/>
    <x v="631"/>
    <n v="241.33199999999999"/>
    <s v="High"/>
    <n v="5"/>
    <n v="0.32"/>
    <x v="1"/>
    <x v="7"/>
    <n v="-14.196"/>
    <n v="-5.8823529411764705E-2"/>
    <n v="1"/>
  </r>
  <r>
    <n v="3930"/>
    <s v="CA-2016-162082"/>
    <d v="2016-03-14T00:00:00"/>
    <x v="0"/>
    <s v="Q1"/>
    <x v="17"/>
    <d v="2016-03-17T00:00:00"/>
    <s v="First Class"/>
    <x v="365"/>
    <x v="365"/>
    <s v="Consumer"/>
    <s v="United States"/>
    <s v="Harlingen"/>
    <x v="5"/>
    <n v="78550"/>
    <x v="2"/>
    <x v="548"/>
    <x v="1"/>
    <x v="10"/>
    <x v="548"/>
    <n v="5.1840000000000002"/>
    <s v="Low"/>
    <n v="1"/>
    <n v="0.2"/>
    <x v="2"/>
    <x v="2"/>
    <n v="1.8792"/>
    <n v="0.36249999999999999"/>
    <n v="0"/>
  </r>
  <r>
    <n v="3931"/>
    <s v="CA-2016-162082"/>
    <d v="2016-03-14T00:00:00"/>
    <x v="0"/>
    <s v="Q1"/>
    <x v="17"/>
    <d v="2016-03-17T00:00:00"/>
    <s v="First Class"/>
    <x v="365"/>
    <x v="365"/>
    <s v="Consumer"/>
    <s v="United States"/>
    <s v="Harlingen"/>
    <x v="5"/>
    <n v="78550"/>
    <x v="2"/>
    <x v="1062"/>
    <x v="1"/>
    <x v="6"/>
    <x v="1051"/>
    <n v="145.54400000000001"/>
    <s v="High"/>
    <n v="7"/>
    <n v="0.2"/>
    <x v="2"/>
    <x v="2"/>
    <n v="16.373699999999999"/>
    <n v="0.11249999999999999"/>
    <n v="0"/>
  </r>
  <r>
    <n v="3932"/>
    <s v="CA-2016-132094"/>
    <d v="2016-08-26T00:00:00"/>
    <x v="0"/>
    <s v="Q3"/>
    <x v="28"/>
    <d v="2016-09-02T00:00:00"/>
    <s v="Standard Class"/>
    <x v="500"/>
    <x v="500"/>
    <s v="Corporate"/>
    <s v="United States"/>
    <s v="Philadelphia"/>
    <x v="9"/>
    <n v="19140"/>
    <x v="3"/>
    <x v="1605"/>
    <x v="1"/>
    <x v="6"/>
    <x v="1597"/>
    <n v="5.4720000000000004"/>
    <s v="Low"/>
    <n v="3"/>
    <n v="0.2"/>
    <x v="2"/>
    <x v="2"/>
    <n v="1.6415999999999999"/>
    <n v="0.3"/>
    <n v="0"/>
  </r>
  <r>
    <n v="3933"/>
    <s v="CA-2016-132094"/>
    <d v="2016-08-26T00:00:00"/>
    <x v="0"/>
    <s v="Q3"/>
    <x v="28"/>
    <d v="2016-09-02T00:00:00"/>
    <s v="Standard Class"/>
    <x v="500"/>
    <x v="500"/>
    <s v="Corporate"/>
    <s v="United States"/>
    <s v="Philadelphia"/>
    <x v="9"/>
    <n v="19140"/>
    <x v="3"/>
    <x v="1016"/>
    <x v="2"/>
    <x v="11"/>
    <x v="1007"/>
    <n v="47.984000000000002"/>
    <s v="Medium"/>
    <n v="2"/>
    <n v="0.2"/>
    <x v="2"/>
    <x v="2"/>
    <n v="13.195600000000001"/>
    <n v="0.27500000000000002"/>
    <n v="0"/>
  </r>
  <r>
    <n v="3934"/>
    <s v="CA-2017-123001"/>
    <d v="2017-09-02T00:00:00"/>
    <x v="3"/>
    <s v="Q3"/>
    <x v="15"/>
    <d v="2017-09-08T00:00:00"/>
    <s v="Standard Class"/>
    <x v="497"/>
    <x v="497"/>
    <s v="Consumer"/>
    <s v="United States"/>
    <s v="Bakersfield"/>
    <x v="1"/>
    <n v="93309"/>
    <x v="1"/>
    <x v="868"/>
    <x v="1"/>
    <x v="6"/>
    <x v="862"/>
    <n v="9.4"/>
    <s v="Low"/>
    <n v="5"/>
    <n v="0"/>
    <x v="0"/>
    <x v="0"/>
    <n v="2.726"/>
    <n v="0.28999999999999998"/>
    <n v="0"/>
  </r>
  <r>
    <n v="3935"/>
    <s v="CA-2017-123001"/>
    <d v="2017-09-02T00:00:00"/>
    <x v="3"/>
    <s v="Q3"/>
    <x v="15"/>
    <d v="2017-09-08T00:00:00"/>
    <s v="Standard Class"/>
    <x v="497"/>
    <x v="497"/>
    <s v="Consumer"/>
    <s v="United States"/>
    <s v="Bakersfield"/>
    <x v="1"/>
    <n v="93309"/>
    <x v="1"/>
    <x v="198"/>
    <x v="1"/>
    <x v="2"/>
    <x v="199"/>
    <n v="74"/>
    <s v="Medium"/>
    <n v="5"/>
    <n v="0"/>
    <x v="0"/>
    <x v="0"/>
    <n v="37"/>
    <n v="0.5"/>
    <n v="0"/>
  </r>
  <r>
    <n v="3936"/>
    <s v="CA-2017-123001"/>
    <d v="2017-09-02T00:00:00"/>
    <x v="3"/>
    <s v="Q3"/>
    <x v="15"/>
    <d v="2017-09-08T00:00:00"/>
    <s v="Standard Class"/>
    <x v="497"/>
    <x v="497"/>
    <s v="Consumer"/>
    <s v="United States"/>
    <s v="Bakersfield"/>
    <x v="1"/>
    <n v="93309"/>
    <x v="1"/>
    <x v="1551"/>
    <x v="2"/>
    <x v="7"/>
    <x v="1539"/>
    <n v="201.584"/>
    <s v="High"/>
    <n v="2"/>
    <n v="0.2"/>
    <x v="2"/>
    <x v="2"/>
    <n v="12.599"/>
    <n v="6.25E-2"/>
    <n v="0"/>
  </r>
  <r>
    <n v="3937"/>
    <s v="CA-2015-118955"/>
    <d v="2015-06-16T00:00:00"/>
    <x v="1"/>
    <s v="Q2"/>
    <x v="40"/>
    <d v="2015-06-20T00:00:00"/>
    <s v="Standard Class"/>
    <x v="721"/>
    <x v="721"/>
    <s v="Consumer"/>
    <s v="United States"/>
    <s v="Grand Prairie"/>
    <x v="5"/>
    <n v="75051"/>
    <x v="2"/>
    <x v="1606"/>
    <x v="1"/>
    <x v="12"/>
    <x v="153"/>
    <n v="28.751999999999999"/>
    <s v="Medium"/>
    <n v="3"/>
    <n v="0.2"/>
    <x v="2"/>
    <x v="2"/>
    <n v="9.3444000000000003"/>
    <n v="0.32500000000000001"/>
    <n v="0"/>
  </r>
  <r>
    <n v="3938"/>
    <s v="CA-2015-118955"/>
    <d v="2015-06-16T00:00:00"/>
    <x v="1"/>
    <s v="Q2"/>
    <x v="40"/>
    <d v="2015-06-20T00:00:00"/>
    <s v="Standard Class"/>
    <x v="721"/>
    <x v="721"/>
    <s v="Consumer"/>
    <s v="United States"/>
    <s v="Grand Prairie"/>
    <x v="5"/>
    <n v="75051"/>
    <x v="2"/>
    <x v="752"/>
    <x v="1"/>
    <x v="10"/>
    <x v="750"/>
    <n v="27.216000000000001"/>
    <s v="Medium"/>
    <n v="3"/>
    <n v="0.2"/>
    <x v="2"/>
    <x v="2"/>
    <n v="9.8658000000000001"/>
    <n v="0.36249999999999999"/>
    <n v="0"/>
  </r>
  <r>
    <n v="3939"/>
    <s v="CA-2015-118955"/>
    <d v="2015-06-16T00:00:00"/>
    <x v="1"/>
    <s v="Q2"/>
    <x v="40"/>
    <d v="2015-06-20T00:00:00"/>
    <s v="Standard Class"/>
    <x v="721"/>
    <x v="721"/>
    <s v="Consumer"/>
    <s v="United States"/>
    <s v="Grand Prairie"/>
    <x v="5"/>
    <n v="75051"/>
    <x v="2"/>
    <x v="901"/>
    <x v="0"/>
    <x v="1"/>
    <x v="893"/>
    <n v="197.37200000000001"/>
    <s v="High"/>
    <n v="2"/>
    <n v="0.3"/>
    <x v="1"/>
    <x v="4"/>
    <n v="-25.3764"/>
    <n v="-0.12857142857142856"/>
    <n v="1"/>
  </r>
  <r>
    <n v="3940"/>
    <s v="US-2016-143448"/>
    <d v="2016-12-10T00:00:00"/>
    <x v="0"/>
    <s v="Q4"/>
    <x v="5"/>
    <d v="2016-12-10T00:00:00"/>
    <s v="Same Day"/>
    <x v="708"/>
    <x v="708"/>
    <s v="Consumer"/>
    <s v="United States"/>
    <s v="Greenwood"/>
    <x v="14"/>
    <n v="46142"/>
    <x v="2"/>
    <x v="463"/>
    <x v="0"/>
    <x v="1"/>
    <x v="464"/>
    <n v="1424.9"/>
    <s v="High"/>
    <n v="5"/>
    <n v="0"/>
    <x v="0"/>
    <x v="0"/>
    <n v="356.22500000000002"/>
    <n v="0.25"/>
    <n v="0"/>
  </r>
  <r>
    <n v="3941"/>
    <s v="CA-2017-117863"/>
    <d v="2017-05-18T00:00:00"/>
    <x v="3"/>
    <s v="Q2"/>
    <x v="24"/>
    <d v="2017-05-23T00:00:00"/>
    <s v="Standard Class"/>
    <x v="358"/>
    <x v="358"/>
    <s v="Consumer"/>
    <s v="United States"/>
    <s v="New York City"/>
    <x v="15"/>
    <n v="10024"/>
    <x v="3"/>
    <x v="1027"/>
    <x v="0"/>
    <x v="5"/>
    <x v="1018"/>
    <n v="14.56"/>
    <s v="Low"/>
    <n v="2"/>
    <n v="0"/>
    <x v="0"/>
    <x v="0"/>
    <n v="6.2607999999999997"/>
    <n v="0.42999999999999994"/>
    <n v="0"/>
  </r>
  <r>
    <n v="3942"/>
    <s v="CA-2017-117863"/>
    <d v="2017-05-18T00:00:00"/>
    <x v="3"/>
    <s v="Q2"/>
    <x v="24"/>
    <d v="2017-05-23T00:00:00"/>
    <s v="Standard Class"/>
    <x v="358"/>
    <x v="358"/>
    <s v="Consumer"/>
    <s v="United States"/>
    <s v="New York City"/>
    <x v="15"/>
    <n v="10024"/>
    <x v="3"/>
    <x v="536"/>
    <x v="1"/>
    <x v="8"/>
    <x v="536"/>
    <n v="3.048"/>
    <s v="Low"/>
    <n v="1"/>
    <n v="0.2"/>
    <x v="2"/>
    <x v="2"/>
    <n v="1.0286999999999999"/>
    <n v="0.33749999999999997"/>
    <n v="0"/>
  </r>
  <r>
    <n v="3943"/>
    <s v="CA-2017-160458"/>
    <d v="2017-05-27T00:00:00"/>
    <x v="3"/>
    <s v="Q2"/>
    <x v="24"/>
    <d v="2017-05-29T00:00:00"/>
    <s v="Second Class"/>
    <x v="13"/>
    <x v="13"/>
    <s v="Consumer"/>
    <s v="United States"/>
    <s v="Memphis"/>
    <x v="18"/>
    <n v="38109"/>
    <x v="0"/>
    <x v="778"/>
    <x v="1"/>
    <x v="10"/>
    <x v="777"/>
    <n v="25.92"/>
    <s v="Medium"/>
    <n v="5"/>
    <n v="0.2"/>
    <x v="2"/>
    <x v="2"/>
    <n v="9.0719999999999992"/>
    <n v="0.34999999999999992"/>
    <n v="0"/>
  </r>
  <r>
    <n v="3944"/>
    <s v="US-2016-142685"/>
    <d v="2016-06-23T00:00:00"/>
    <x v="0"/>
    <s v="Q2"/>
    <x v="1"/>
    <d v="2016-06-30T00:00:00"/>
    <s v="Standard Class"/>
    <x v="726"/>
    <x v="726"/>
    <s v="Consumer"/>
    <s v="United States"/>
    <s v="Buffalo"/>
    <x v="15"/>
    <n v="14215"/>
    <x v="3"/>
    <x v="1420"/>
    <x v="1"/>
    <x v="14"/>
    <x v="1408"/>
    <n v="835.17"/>
    <s v="High"/>
    <n v="7"/>
    <n v="0"/>
    <x v="0"/>
    <x v="0"/>
    <n v="16.703399999999998"/>
    <n v="0.02"/>
    <n v="0"/>
  </r>
  <r>
    <n v="3945"/>
    <s v="CA-2016-133144"/>
    <d v="2016-05-16T00:00:00"/>
    <x v="0"/>
    <s v="Q2"/>
    <x v="35"/>
    <d v="2016-05-21T00:00:00"/>
    <s v="Second Class"/>
    <x v="157"/>
    <x v="157"/>
    <s v="Consumer"/>
    <s v="United States"/>
    <s v="Los Angeles"/>
    <x v="1"/>
    <n v="90036"/>
    <x v="1"/>
    <x v="609"/>
    <x v="1"/>
    <x v="10"/>
    <x v="609"/>
    <n v="17.34"/>
    <s v="Low"/>
    <n v="3"/>
    <n v="0"/>
    <x v="0"/>
    <x v="0"/>
    <n v="8.4966000000000008"/>
    <n v="0.49000000000000005"/>
    <n v="0"/>
  </r>
  <r>
    <n v="3946"/>
    <s v="CA-2017-167871"/>
    <d v="2017-11-18T00:00:00"/>
    <x v="3"/>
    <s v="Q4"/>
    <x v="23"/>
    <d v="2017-11-23T00:00:00"/>
    <s v="Standard Class"/>
    <x v="578"/>
    <x v="578"/>
    <s v="Consumer"/>
    <s v="United States"/>
    <s v="Homestead"/>
    <x v="2"/>
    <n v="33030"/>
    <x v="0"/>
    <x v="1486"/>
    <x v="1"/>
    <x v="10"/>
    <x v="1473"/>
    <n v="44.384"/>
    <s v="Medium"/>
    <n v="1"/>
    <n v="0.2"/>
    <x v="2"/>
    <x v="2"/>
    <n v="15.5344"/>
    <n v="0.35"/>
    <n v="0"/>
  </r>
  <r>
    <n v="3947"/>
    <s v="CA-2017-167871"/>
    <d v="2017-11-18T00:00:00"/>
    <x v="3"/>
    <s v="Q4"/>
    <x v="23"/>
    <d v="2017-11-23T00:00:00"/>
    <s v="Standard Class"/>
    <x v="578"/>
    <x v="578"/>
    <s v="Consumer"/>
    <s v="United States"/>
    <s v="Homestead"/>
    <x v="2"/>
    <n v="33030"/>
    <x v="0"/>
    <x v="327"/>
    <x v="1"/>
    <x v="14"/>
    <x v="327"/>
    <n v="2.944"/>
    <s v="Low"/>
    <n v="1"/>
    <n v="0.2"/>
    <x v="2"/>
    <x v="2"/>
    <n v="-0.66239999999999999"/>
    <n v="-0.22500000000000001"/>
    <n v="1"/>
  </r>
  <r>
    <n v="3948"/>
    <s v="CA-2016-119963"/>
    <d v="2016-11-18T00:00:00"/>
    <x v="0"/>
    <s v="Q4"/>
    <x v="0"/>
    <d v="2016-11-22T00:00:00"/>
    <s v="Standard Class"/>
    <x v="17"/>
    <x v="17"/>
    <s v="Home Office"/>
    <s v="United States"/>
    <s v="Pasadena"/>
    <x v="5"/>
    <n v="77506"/>
    <x v="2"/>
    <x v="181"/>
    <x v="1"/>
    <x v="6"/>
    <x v="182"/>
    <n v="6.3680000000000003"/>
    <s v="Low"/>
    <n v="2"/>
    <n v="0.2"/>
    <x v="2"/>
    <x v="2"/>
    <n v="1.0347999999999999"/>
    <n v="0.16249999999999998"/>
    <n v="0"/>
  </r>
  <r>
    <n v="3949"/>
    <s v="CA-2016-119963"/>
    <d v="2016-11-18T00:00:00"/>
    <x v="0"/>
    <s v="Q4"/>
    <x v="0"/>
    <d v="2016-11-22T00:00:00"/>
    <s v="Standard Class"/>
    <x v="17"/>
    <x v="17"/>
    <s v="Home Office"/>
    <s v="United States"/>
    <s v="Pasadena"/>
    <x v="5"/>
    <n v="77506"/>
    <x v="2"/>
    <x v="580"/>
    <x v="1"/>
    <x v="2"/>
    <x v="580"/>
    <n v="48.847999999999999"/>
    <s v="Medium"/>
    <n v="2"/>
    <n v="0.2"/>
    <x v="2"/>
    <x v="2"/>
    <n v="15.8756"/>
    <n v="0.32500000000000001"/>
    <n v="0"/>
  </r>
  <r>
    <n v="3950"/>
    <s v="CA-2016-119963"/>
    <d v="2016-11-18T00:00:00"/>
    <x v="0"/>
    <s v="Q4"/>
    <x v="0"/>
    <d v="2016-11-22T00:00:00"/>
    <s v="Standard Class"/>
    <x v="17"/>
    <x v="17"/>
    <s v="Home Office"/>
    <s v="United States"/>
    <s v="Pasadena"/>
    <x v="5"/>
    <n v="77506"/>
    <x v="2"/>
    <x v="314"/>
    <x v="1"/>
    <x v="10"/>
    <x v="314"/>
    <n v="19.648"/>
    <s v="Low"/>
    <n v="2"/>
    <n v="0.2"/>
    <x v="2"/>
    <x v="2"/>
    <n v="6.6311999999999998"/>
    <n v="0.33749999999999997"/>
    <n v="0"/>
  </r>
  <r>
    <n v="3951"/>
    <s v="CA-2016-119963"/>
    <d v="2016-11-18T00:00:00"/>
    <x v="0"/>
    <s v="Q4"/>
    <x v="0"/>
    <d v="2016-11-22T00:00:00"/>
    <s v="Standard Class"/>
    <x v="17"/>
    <x v="17"/>
    <s v="Home Office"/>
    <s v="United States"/>
    <s v="Pasadena"/>
    <x v="5"/>
    <n v="77506"/>
    <x v="2"/>
    <x v="163"/>
    <x v="0"/>
    <x v="1"/>
    <x v="164"/>
    <n v="255.108"/>
    <s v="High"/>
    <n v="6"/>
    <n v="0.3"/>
    <x v="1"/>
    <x v="4"/>
    <n v="-18.222000000000001"/>
    <n v="-7.1428571428571438E-2"/>
    <n v="1"/>
  </r>
  <r>
    <n v="3952"/>
    <s v="CA-2014-121167"/>
    <d v="2014-11-28T00:00:00"/>
    <x v="2"/>
    <s v="Q4"/>
    <x v="7"/>
    <d v="2014-11-30T00:00:00"/>
    <s v="Second Class"/>
    <x v="373"/>
    <x v="373"/>
    <s v="Consumer"/>
    <s v="United States"/>
    <s v="Freeport"/>
    <x v="15"/>
    <n v="11520"/>
    <x v="3"/>
    <x v="828"/>
    <x v="1"/>
    <x v="8"/>
    <x v="824"/>
    <n v="17.248000000000001"/>
    <s v="Low"/>
    <n v="2"/>
    <n v="0.2"/>
    <x v="2"/>
    <x v="2"/>
    <n v="6.0368000000000004"/>
    <n v="0.35"/>
    <n v="0"/>
  </r>
  <r>
    <n v="3953"/>
    <s v="US-2016-151862"/>
    <d v="2016-03-01T00:00:00"/>
    <x v="0"/>
    <s v="Q1"/>
    <x v="17"/>
    <d v="2016-03-08T00:00:00"/>
    <s v="Standard Class"/>
    <x v="21"/>
    <x v="21"/>
    <s v="Corporate"/>
    <s v="United States"/>
    <s v="Denver"/>
    <x v="22"/>
    <n v="80219"/>
    <x v="1"/>
    <x v="1607"/>
    <x v="2"/>
    <x v="7"/>
    <x v="1598"/>
    <n v="159.98400000000001"/>
    <s v="High"/>
    <n v="2"/>
    <n v="0.2"/>
    <x v="2"/>
    <x v="2"/>
    <n v="13.9986"/>
    <n v="8.7499999999999994E-2"/>
    <n v="0"/>
  </r>
  <r>
    <n v="3954"/>
    <s v="CA-2017-152961"/>
    <d v="2017-01-15T00:00:00"/>
    <x v="3"/>
    <s v="Q1"/>
    <x v="44"/>
    <d v="2017-01-19T00:00:00"/>
    <s v="Standard Class"/>
    <x v="183"/>
    <x v="183"/>
    <s v="Consumer"/>
    <s v="United States"/>
    <s v="Quincy"/>
    <x v="31"/>
    <n v="2169"/>
    <x v="3"/>
    <x v="69"/>
    <x v="1"/>
    <x v="10"/>
    <x v="69"/>
    <n v="12.7"/>
    <s v="Low"/>
    <n v="2"/>
    <n v="0"/>
    <x v="0"/>
    <x v="0"/>
    <n v="5.8419999999999996"/>
    <n v="0.46"/>
    <n v="0"/>
  </r>
  <r>
    <n v="3955"/>
    <s v="CA-2014-133228"/>
    <d v="2014-04-04T00:00:00"/>
    <x v="2"/>
    <s v="Q2"/>
    <x v="41"/>
    <d v="2014-04-09T00:00:00"/>
    <s v="Standard Class"/>
    <x v="384"/>
    <x v="384"/>
    <s v="Consumer"/>
    <s v="United States"/>
    <s v="Detroit"/>
    <x v="12"/>
    <n v="48205"/>
    <x v="2"/>
    <x v="493"/>
    <x v="0"/>
    <x v="5"/>
    <x v="493"/>
    <n v="5.47"/>
    <s v="Low"/>
    <n v="1"/>
    <n v="0"/>
    <x v="0"/>
    <x v="0"/>
    <n v="2.3521000000000001"/>
    <n v="0.43000000000000005"/>
    <n v="0"/>
  </r>
  <r>
    <n v="3956"/>
    <s v="CA-2014-133228"/>
    <d v="2014-04-04T00:00:00"/>
    <x v="2"/>
    <s v="Q2"/>
    <x v="41"/>
    <d v="2014-04-09T00:00:00"/>
    <s v="Standard Class"/>
    <x v="384"/>
    <x v="384"/>
    <s v="Consumer"/>
    <s v="United States"/>
    <s v="Detroit"/>
    <x v="12"/>
    <n v="48205"/>
    <x v="2"/>
    <x v="1041"/>
    <x v="1"/>
    <x v="6"/>
    <x v="1030"/>
    <n v="79.36"/>
    <s v="Medium"/>
    <n v="4"/>
    <n v="0"/>
    <x v="0"/>
    <x v="0"/>
    <n v="23.808"/>
    <n v="0.3"/>
    <n v="0"/>
  </r>
  <r>
    <n v="3957"/>
    <s v="CA-2016-114951"/>
    <d v="2016-06-26T00:00:00"/>
    <x v="0"/>
    <s v="Q2"/>
    <x v="1"/>
    <d v="2016-07-03T00:00:00"/>
    <s v="Standard Class"/>
    <x v="35"/>
    <x v="35"/>
    <s v="Consumer"/>
    <s v="United States"/>
    <s v="San Francisco"/>
    <x v="1"/>
    <n v="94109"/>
    <x v="1"/>
    <x v="1256"/>
    <x v="0"/>
    <x v="5"/>
    <x v="1240"/>
    <n v="22.14"/>
    <s v="Low"/>
    <n v="3"/>
    <n v="0"/>
    <x v="0"/>
    <x v="0"/>
    <n v="6.4206000000000003"/>
    <n v="0.28999999999999998"/>
    <n v="0"/>
  </r>
  <r>
    <n v="3958"/>
    <s v="CA-2016-156573"/>
    <d v="2016-05-29T00:00:00"/>
    <x v="0"/>
    <s v="Q2"/>
    <x v="35"/>
    <d v="2016-06-02T00:00:00"/>
    <s v="Standard Class"/>
    <x v="181"/>
    <x v="181"/>
    <s v="Consumer"/>
    <s v="United States"/>
    <s v="Nashville"/>
    <x v="18"/>
    <n v="37211"/>
    <x v="0"/>
    <x v="1095"/>
    <x v="1"/>
    <x v="8"/>
    <x v="1085"/>
    <n v="11.276999999999999"/>
    <s v="Low"/>
    <n v="3"/>
    <n v="0.7"/>
    <x v="1"/>
    <x v="5"/>
    <n v="-8.6456999999999997"/>
    <n v="-0.76666666666666672"/>
    <n v="1"/>
  </r>
  <r>
    <n v="3959"/>
    <s v="CA-2016-156573"/>
    <d v="2016-05-29T00:00:00"/>
    <x v="0"/>
    <s v="Q2"/>
    <x v="35"/>
    <d v="2016-06-02T00:00:00"/>
    <s v="Standard Class"/>
    <x v="181"/>
    <x v="181"/>
    <s v="Consumer"/>
    <s v="United States"/>
    <s v="Nashville"/>
    <x v="18"/>
    <n v="37211"/>
    <x v="0"/>
    <x v="324"/>
    <x v="1"/>
    <x v="6"/>
    <x v="324"/>
    <n v="4.4480000000000004"/>
    <s v="Low"/>
    <n v="2"/>
    <n v="0.2"/>
    <x v="2"/>
    <x v="2"/>
    <n v="0.33360000000000001"/>
    <n v="7.4999999999999997E-2"/>
    <n v="0"/>
  </r>
  <r>
    <n v="3960"/>
    <s v="CA-2016-156573"/>
    <d v="2016-05-29T00:00:00"/>
    <x v="0"/>
    <s v="Q2"/>
    <x v="35"/>
    <d v="2016-06-02T00:00:00"/>
    <s v="Standard Class"/>
    <x v="181"/>
    <x v="181"/>
    <s v="Consumer"/>
    <s v="United States"/>
    <s v="Nashville"/>
    <x v="18"/>
    <n v="37211"/>
    <x v="0"/>
    <x v="1608"/>
    <x v="0"/>
    <x v="5"/>
    <x v="1599"/>
    <n v="44.76"/>
    <s v="Medium"/>
    <n v="3"/>
    <n v="0.2"/>
    <x v="2"/>
    <x v="2"/>
    <n v="14.547000000000001"/>
    <n v="0.32500000000000001"/>
    <n v="0"/>
  </r>
  <r>
    <n v="3961"/>
    <s v="CA-2015-113901"/>
    <d v="2015-10-19T00:00:00"/>
    <x v="1"/>
    <s v="Q4"/>
    <x v="2"/>
    <d v="2015-10-24T00:00:00"/>
    <s v="Standard Class"/>
    <x v="468"/>
    <x v="468"/>
    <s v="Corporate"/>
    <s v="United States"/>
    <s v="Detroit"/>
    <x v="12"/>
    <n v="48227"/>
    <x v="2"/>
    <x v="1206"/>
    <x v="1"/>
    <x v="8"/>
    <x v="1191"/>
    <n v="38.28"/>
    <s v="Medium"/>
    <n v="6"/>
    <n v="0"/>
    <x v="0"/>
    <x v="0"/>
    <n v="17.608799999999999"/>
    <n v="0.45999999999999996"/>
    <n v="0"/>
  </r>
  <r>
    <n v="3962"/>
    <s v="CA-2015-113901"/>
    <d v="2015-10-19T00:00:00"/>
    <x v="1"/>
    <s v="Q4"/>
    <x v="2"/>
    <d v="2015-10-24T00:00:00"/>
    <s v="Standard Class"/>
    <x v="468"/>
    <x v="468"/>
    <s v="Corporate"/>
    <s v="United States"/>
    <s v="Detroit"/>
    <x v="12"/>
    <n v="48227"/>
    <x v="2"/>
    <x v="993"/>
    <x v="2"/>
    <x v="7"/>
    <x v="985"/>
    <n v="149.94999999999999"/>
    <s v="High"/>
    <n v="5"/>
    <n v="0"/>
    <x v="0"/>
    <x v="0"/>
    <n v="44.984999999999999"/>
    <n v="0.30000000000000004"/>
    <n v="0"/>
  </r>
  <r>
    <n v="3963"/>
    <s v="CA-2017-134838"/>
    <d v="2017-02-19T00:00:00"/>
    <x v="3"/>
    <s v="Q1"/>
    <x v="31"/>
    <d v="2017-02-20T00:00:00"/>
    <s v="First Class"/>
    <x v="525"/>
    <x v="525"/>
    <s v="Home Office"/>
    <s v="United States"/>
    <s v="Los Angeles"/>
    <x v="1"/>
    <n v="90045"/>
    <x v="1"/>
    <x v="1005"/>
    <x v="1"/>
    <x v="6"/>
    <x v="997"/>
    <n v="12.84"/>
    <s v="Low"/>
    <n v="3"/>
    <n v="0"/>
    <x v="0"/>
    <x v="0"/>
    <n v="3.4668000000000001"/>
    <n v="0.27"/>
    <n v="0"/>
  </r>
  <r>
    <n v="3964"/>
    <s v="CA-2017-134838"/>
    <d v="2017-02-19T00:00:00"/>
    <x v="3"/>
    <s v="Q1"/>
    <x v="31"/>
    <d v="2017-02-20T00:00:00"/>
    <s v="First Class"/>
    <x v="525"/>
    <x v="525"/>
    <s v="Home Office"/>
    <s v="United States"/>
    <s v="Los Angeles"/>
    <x v="1"/>
    <n v="90045"/>
    <x v="1"/>
    <x v="943"/>
    <x v="0"/>
    <x v="5"/>
    <x v="936"/>
    <n v="44.67"/>
    <s v="Medium"/>
    <n v="3"/>
    <n v="0"/>
    <x v="0"/>
    <x v="0"/>
    <n v="12.0609"/>
    <n v="0.27"/>
    <n v="0"/>
  </r>
  <r>
    <n v="3965"/>
    <s v="CA-2016-120257"/>
    <d v="2016-09-22T00:00:00"/>
    <x v="0"/>
    <s v="Q3"/>
    <x v="21"/>
    <d v="2016-09-28T00:00:00"/>
    <s v="Standard Class"/>
    <x v="617"/>
    <x v="617"/>
    <s v="Consumer"/>
    <s v="United States"/>
    <s v="Philadelphia"/>
    <x v="9"/>
    <n v="19140"/>
    <x v="3"/>
    <x v="1609"/>
    <x v="1"/>
    <x v="6"/>
    <x v="1600"/>
    <n v="7.8719999999999999"/>
    <s v="Low"/>
    <n v="3"/>
    <n v="0.2"/>
    <x v="2"/>
    <x v="2"/>
    <n v="0.88560000000000005"/>
    <n v="0.1125"/>
    <n v="0"/>
  </r>
  <r>
    <n v="3966"/>
    <s v="CA-2014-164910"/>
    <d v="2014-11-12T00:00:00"/>
    <x v="2"/>
    <s v="Q4"/>
    <x v="7"/>
    <d v="2014-11-17T00:00:00"/>
    <s v="Second Class"/>
    <x v="664"/>
    <x v="664"/>
    <s v="Corporate"/>
    <s v="United States"/>
    <s v="Asheville"/>
    <x v="3"/>
    <n v="28806"/>
    <x v="0"/>
    <x v="279"/>
    <x v="1"/>
    <x v="6"/>
    <x v="279"/>
    <n v="7.8719999999999999"/>
    <s v="Low"/>
    <n v="3"/>
    <n v="0.2"/>
    <x v="2"/>
    <x v="2"/>
    <n v="0.88560000000000005"/>
    <n v="0.1125"/>
    <n v="0"/>
  </r>
  <r>
    <n v="3967"/>
    <s v="CA-2016-149902"/>
    <d v="2016-04-01T00:00:00"/>
    <x v="0"/>
    <s v="Q2"/>
    <x v="25"/>
    <d v="2016-04-06T00:00:00"/>
    <s v="Standard Class"/>
    <x v="386"/>
    <x v="386"/>
    <s v="Consumer"/>
    <s v="United States"/>
    <s v="New York City"/>
    <x v="15"/>
    <n v="10024"/>
    <x v="3"/>
    <x v="666"/>
    <x v="1"/>
    <x v="6"/>
    <x v="666"/>
    <n v="88.04"/>
    <s v="Medium"/>
    <n v="4"/>
    <n v="0"/>
    <x v="0"/>
    <x v="0"/>
    <n v="22.8904"/>
    <n v="0.25999999999999995"/>
    <n v="0"/>
  </r>
  <r>
    <n v="3968"/>
    <s v="CA-2016-146010"/>
    <d v="2016-05-20T00:00:00"/>
    <x v="0"/>
    <s v="Q2"/>
    <x v="35"/>
    <d v="2016-05-23T00:00:00"/>
    <s v="First Class"/>
    <x v="258"/>
    <x v="258"/>
    <s v="Home Office"/>
    <s v="United States"/>
    <s v="Colorado Springs"/>
    <x v="22"/>
    <n v="80906"/>
    <x v="1"/>
    <x v="612"/>
    <x v="1"/>
    <x v="8"/>
    <x v="612"/>
    <n v="40.634999999999998"/>
    <s v="Medium"/>
    <n v="7"/>
    <n v="0.7"/>
    <x v="1"/>
    <x v="5"/>
    <n v="-32.508000000000003"/>
    <n v="-0.80000000000000016"/>
    <n v="1"/>
  </r>
  <r>
    <n v="3969"/>
    <s v="US-2015-163685"/>
    <d v="2015-06-01T00:00:00"/>
    <x v="1"/>
    <s v="Q2"/>
    <x v="40"/>
    <d v="2015-06-05T00:00:00"/>
    <s v="Standard Class"/>
    <x v="722"/>
    <x v="722"/>
    <s v="Corporate"/>
    <s v="United States"/>
    <s v="San Antonio"/>
    <x v="5"/>
    <n v="78207"/>
    <x v="2"/>
    <x v="175"/>
    <x v="1"/>
    <x v="8"/>
    <x v="176"/>
    <n v="5.7279999999999998"/>
    <s v="Low"/>
    <n v="8"/>
    <n v="0.8"/>
    <x v="1"/>
    <x v="3"/>
    <n v="-9.1647999999999996"/>
    <n v="-1.6"/>
    <n v="1"/>
  </r>
  <r>
    <n v="3970"/>
    <s v="US-2015-163685"/>
    <d v="2015-06-01T00:00:00"/>
    <x v="1"/>
    <s v="Q2"/>
    <x v="40"/>
    <d v="2015-06-05T00:00:00"/>
    <s v="Standard Class"/>
    <x v="722"/>
    <x v="722"/>
    <s v="Corporate"/>
    <s v="United States"/>
    <s v="San Antonio"/>
    <x v="5"/>
    <n v="78207"/>
    <x v="2"/>
    <x v="1610"/>
    <x v="1"/>
    <x v="10"/>
    <x v="1601"/>
    <n v="42.24"/>
    <s v="Medium"/>
    <n v="10"/>
    <n v="0.2"/>
    <x v="2"/>
    <x v="2"/>
    <n v="13.2"/>
    <n v="0.31249999999999994"/>
    <n v="0"/>
  </r>
  <r>
    <n v="3971"/>
    <s v="CA-2014-135090"/>
    <d v="2014-11-22T00:00:00"/>
    <x v="2"/>
    <s v="Q4"/>
    <x v="7"/>
    <d v="2014-11-26T00:00:00"/>
    <s v="Standard Class"/>
    <x v="727"/>
    <x v="727"/>
    <s v="Consumer"/>
    <s v="United States"/>
    <s v="Los Angeles"/>
    <x v="1"/>
    <n v="90036"/>
    <x v="1"/>
    <x v="1357"/>
    <x v="1"/>
    <x v="10"/>
    <x v="1343"/>
    <n v="53.82"/>
    <s v="Medium"/>
    <n v="9"/>
    <n v="0"/>
    <x v="0"/>
    <x v="0"/>
    <n v="24.219000000000001"/>
    <n v="0.45"/>
    <n v="0"/>
  </r>
  <r>
    <n v="3972"/>
    <s v="CA-2015-132374"/>
    <d v="2015-02-22T00:00:00"/>
    <x v="1"/>
    <s v="Q1"/>
    <x v="36"/>
    <d v="2015-02-24T00:00:00"/>
    <s v="Second Class"/>
    <x v="390"/>
    <x v="390"/>
    <s v="Home Office"/>
    <s v="United States"/>
    <s v="Sterling Heights"/>
    <x v="12"/>
    <n v="48310"/>
    <x v="2"/>
    <x v="1500"/>
    <x v="1"/>
    <x v="6"/>
    <x v="1488"/>
    <n v="79.36"/>
    <s v="Medium"/>
    <n v="4"/>
    <n v="0"/>
    <x v="0"/>
    <x v="0"/>
    <n v="20.633600000000001"/>
    <n v="0.26"/>
    <n v="0"/>
  </r>
  <r>
    <n v="3973"/>
    <s v="CA-2016-167556"/>
    <d v="2016-03-29T00:00:00"/>
    <x v="0"/>
    <s v="Q1"/>
    <x v="17"/>
    <d v="2016-04-02T00:00:00"/>
    <s v="Standard Class"/>
    <x v="49"/>
    <x v="49"/>
    <s v="Consumer"/>
    <s v="United States"/>
    <s v="New York City"/>
    <x v="15"/>
    <n v="10009"/>
    <x v="3"/>
    <x v="949"/>
    <x v="1"/>
    <x v="10"/>
    <x v="942"/>
    <n v="13.48"/>
    <s v="Low"/>
    <n v="2"/>
    <n v="0"/>
    <x v="0"/>
    <x v="0"/>
    <n v="6.74"/>
    <n v="0.5"/>
    <n v="0"/>
  </r>
  <r>
    <n v="3974"/>
    <s v="CA-2016-167556"/>
    <d v="2016-03-29T00:00:00"/>
    <x v="0"/>
    <s v="Q1"/>
    <x v="17"/>
    <d v="2016-04-02T00:00:00"/>
    <s v="Standard Class"/>
    <x v="49"/>
    <x v="49"/>
    <s v="Consumer"/>
    <s v="United States"/>
    <s v="New York City"/>
    <x v="15"/>
    <n v="10009"/>
    <x v="3"/>
    <x v="985"/>
    <x v="1"/>
    <x v="8"/>
    <x v="978"/>
    <n v="29.8"/>
    <s v="Medium"/>
    <n v="5"/>
    <n v="0.2"/>
    <x v="2"/>
    <x v="2"/>
    <n v="9.3125"/>
    <n v="0.3125"/>
    <n v="0"/>
  </r>
  <r>
    <n v="3975"/>
    <s v="CA-2016-167556"/>
    <d v="2016-03-29T00:00:00"/>
    <x v="0"/>
    <s v="Q1"/>
    <x v="17"/>
    <d v="2016-04-02T00:00:00"/>
    <s v="Standard Class"/>
    <x v="49"/>
    <x v="49"/>
    <s v="Consumer"/>
    <s v="United States"/>
    <s v="New York City"/>
    <x v="15"/>
    <n v="10009"/>
    <x v="3"/>
    <x v="28"/>
    <x v="0"/>
    <x v="5"/>
    <x v="28"/>
    <n v="414"/>
    <s v="High"/>
    <n v="8"/>
    <n v="0"/>
    <x v="0"/>
    <x v="0"/>
    <n v="124.2"/>
    <n v="0.3"/>
    <n v="0"/>
  </r>
  <r>
    <n v="3976"/>
    <s v="CA-2016-167556"/>
    <d v="2016-03-29T00:00:00"/>
    <x v="0"/>
    <s v="Q1"/>
    <x v="17"/>
    <d v="2016-04-02T00:00:00"/>
    <s v="Standard Class"/>
    <x v="49"/>
    <x v="49"/>
    <s v="Consumer"/>
    <s v="United States"/>
    <s v="New York City"/>
    <x v="15"/>
    <n v="10009"/>
    <x v="3"/>
    <x v="777"/>
    <x v="1"/>
    <x v="8"/>
    <x v="776"/>
    <n v="41.328000000000003"/>
    <s v="Medium"/>
    <n v="7"/>
    <n v="0.2"/>
    <x v="2"/>
    <x v="2"/>
    <n v="14.981400000000001"/>
    <n v="0.36249999999999999"/>
    <n v="0"/>
  </r>
  <r>
    <n v="3977"/>
    <s v="US-2016-116400"/>
    <d v="2016-10-22T00:00:00"/>
    <x v="0"/>
    <s v="Q4"/>
    <x v="32"/>
    <d v="2016-10-24T00:00:00"/>
    <s v="First Class"/>
    <x v="518"/>
    <x v="518"/>
    <s v="Consumer"/>
    <s v="United States"/>
    <s v="Richmond"/>
    <x v="17"/>
    <n v="23223"/>
    <x v="0"/>
    <x v="1611"/>
    <x v="0"/>
    <x v="5"/>
    <x v="1602"/>
    <n v="39.92"/>
    <s v="Medium"/>
    <n v="4"/>
    <n v="0"/>
    <x v="0"/>
    <x v="0"/>
    <n v="11.1776"/>
    <n v="0.27999999999999997"/>
    <n v="0"/>
  </r>
  <r>
    <n v="3978"/>
    <s v="CA-2017-101308"/>
    <d v="2017-10-02T00:00:00"/>
    <x v="3"/>
    <s v="Q4"/>
    <x v="13"/>
    <d v="2017-10-07T00:00:00"/>
    <s v="Standard Class"/>
    <x v="435"/>
    <x v="435"/>
    <s v="Home Office"/>
    <s v="United States"/>
    <s v="Seattle"/>
    <x v="4"/>
    <n v="98105"/>
    <x v="1"/>
    <x v="127"/>
    <x v="1"/>
    <x v="13"/>
    <x v="128"/>
    <n v="8.94"/>
    <s v="Low"/>
    <n v="3"/>
    <n v="0"/>
    <x v="0"/>
    <x v="0"/>
    <n v="4.1124000000000001"/>
    <n v="0.46"/>
    <n v="0"/>
  </r>
  <r>
    <n v="3979"/>
    <s v="CA-2017-101308"/>
    <d v="2017-10-02T00:00:00"/>
    <x v="3"/>
    <s v="Q4"/>
    <x v="13"/>
    <d v="2017-10-07T00:00:00"/>
    <s v="Standard Class"/>
    <x v="435"/>
    <x v="435"/>
    <s v="Home Office"/>
    <s v="United States"/>
    <s v="Seattle"/>
    <x v="4"/>
    <n v="98105"/>
    <x v="1"/>
    <x v="509"/>
    <x v="2"/>
    <x v="7"/>
    <x v="509"/>
    <n v="84.784000000000006"/>
    <s v="Medium"/>
    <n v="2"/>
    <n v="0.2"/>
    <x v="2"/>
    <x v="2"/>
    <n v="-20.136199999999999"/>
    <n v="-0.23749999999999996"/>
    <n v="1"/>
  </r>
  <r>
    <n v="3980"/>
    <s v="CA-2014-114517"/>
    <d v="2014-12-23T00:00:00"/>
    <x v="2"/>
    <s v="Q4"/>
    <x v="20"/>
    <d v="2014-12-27T00:00:00"/>
    <s v="Standard Class"/>
    <x v="260"/>
    <x v="260"/>
    <s v="Corporate"/>
    <s v="United States"/>
    <s v="New York City"/>
    <x v="15"/>
    <n v="10024"/>
    <x v="3"/>
    <x v="972"/>
    <x v="0"/>
    <x v="3"/>
    <x v="966"/>
    <n v="53.316000000000003"/>
    <s v="Medium"/>
    <n v="2"/>
    <n v="0.4"/>
    <x v="1"/>
    <x v="7"/>
    <n v="-19.549199999999999"/>
    <n v="-0.36666666666666664"/>
    <n v="1"/>
  </r>
  <r>
    <n v="3981"/>
    <s v="CA-2014-114517"/>
    <d v="2014-12-23T00:00:00"/>
    <x v="2"/>
    <s v="Q4"/>
    <x v="20"/>
    <d v="2014-12-27T00:00:00"/>
    <s v="Standard Class"/>
    <x v="260"/>
    <x v="260"/>
    <s v="Corporate"/>
    <s v="United States"/>
    <s v="New York City"/>
    <x v="15"/>
    <n v="10024"/>
    <x v="3"/>
    <x v="551"/>
    <x v="1"/>
    <x v="9"/>
    <x v="550"/>
    <n v="56.52"/>
    <s v="Medium"/>
    <n v="3"/>
    <n v="0"/>
    <x v="0"/>
    <x v="0"/>
    <n v="15.8256"/>
    <n v="0.27999999999999997"/>
    <n v="0"/>
  </r>
  <r>
    <n v="3982"/>
    <s v="CA-2017-119564"/>
    <d v="2017-12-15T00:00:00"/>
    <x v="3"/>
    <s v="Q4"/>
    <x v="22"/>
    <d v="2017-12-20T00:00:00"/>
    <s v="Standard Class"/>
    <x v="484"/>
    <x v="484"/>
    <s v="Home Office"/>
    <s v="United States"/>
    <s v="Seattle"/>
    <x v="4"/>
    <n v="98115"/>
    <x v="1"/>
    <x v="560"/>
    <x v="0"/>
    <x v="5"/>
    <x v="559"/>
    <n v="22.77"/>
    <s v="Low"/>
    <n v="3"/>
    <n v="0"/>
    <x v="0"/>
    <x v="0"/>
    <n v="9.7911000000000001"/>
    <n v="0.43"/>
    <n v="0"/>
  </r>
  <r>
    <n v="3983"/>
    <s v="CA-2016-135265"/>
    <d v="2016-07-07T00:00:00"/>
    <x v="0"/>
    <s v="Q3"/>
    <x v="16"/>
    <d v="2016-07-09T00:00:00"/>
    <s v="Second Class"/>
    <x v="666"/>
    <x v="666"/>
    <s v="Consumer"/>
    <s v="United States"/>
    <s v="Los Angeles"/>
    <x v="1"/>
    <n v="90045"/>
    <x v="1"/>
    <x v="51"/>
    <x v="0"/>
    <x v="1"/>
    <x v="51"/>
    <n v="287.96800000000002"/>
    <s v="High"/>
    <n v="4"/>
    <n v="0.2"/>
    <x v="2"/>
    <x v="2"/>
    <n v="-3.5996000000000001"/>
    <n v="-1.2499999999999999E-2"/>
    <n v="1"/>
  </r>
  <r>
    <n v="3984"/>
    <s v="CA-2016-135265"/>
    <d v="2016-07-07T00:00:00"/>
    <x v="0"/>
    <s v="Q3"/>
    <x v="16"/>
    <d v="2016-07-09T00:00:00"/>
    <s v="Second Class"/>
    <x v="666"/>
    <x v="666"/>
    <s v="Consumer"/>
    <s v="United States"/>
    <s v="Los Angeles"/>
    <x v="1"/>
    <n v="90045"/>
    <x v="1"/>
    <x v="1293"/>
    <x v="2"/>
    <x v="16"/>
    <x v="1279"/>
    <n v="2799.96"/>
    <s v="High"/>
    <n v="5"/>
    <n v="0.2"/>
    <x v="2"/>
    <x v="2"/>
    <n v="944.98649999999998"/>
    <n v="0.33749999999999997"/>
    <n v="0"/>
  </r>
  <r>
    <n v="3985"/>
    <s v="CA-2016-135265"/>
    <d v="2016-07-07T00:00:00"/>
    <x v="0"/>
    <s v="Q3"/>
    <x v="16"/>
    <d v="2016-07-09T00:00:00"/>
    <s v="Second Class"/>
    <x v="666"/>
    <x v="666"/>
    <s v="Consumer"/>
    <s v="United States"/>
    <s v="Los Angeles"/>
    <x v="1"/>
    <n v="90045"/>
    <x v="1"/>
    <x v="1438"/>
    <x v="1"/>
    <x v="10"/>
    <x v="1426"/>
    <n v="48.94"/>
    <s v="Medium"/>
    <n v="1"/>
    <n v="0"/>
    <x v="0"/>
    <x v="0"/>
    <n v="24.47"/>
    <n v="0.5"/>
    <n v="0"/>
  </r>
  <r>
    <n v="3986"/>
    <s v="CA-2016-108735"/>
    <d v="2016-04-17T00:00:00"/>
    <x v="0"/>
    <s v="Q2"/>
    <x v="25"/>
    <d v="2016-04-21T00:00:00"/>
    <s v="Standard Class"/>
    <x v="341"/>
    <x v="341"/>
    <s v="Consumer"/>
    <s v="United States"/>
    <s v="Lakewood"/>
    <x v="1"/>
    <n v="90712"/>
    <x v="1"/>
    <x v="713"/>
    <x v="0"/>
    <x v="0"/>
    <x v="712"/>
    <n v="257.49900000000002"/>
    <s v="High"/>
    <n v="3"/>
    <n v="0.15"/>
    <x v="2"/>
    <x v="2"/>
    <n v="24.235199999999999"/>
    <n v="9.4117647058823514E-2"/>
    <n v="0"/>
  </r>
  <r>
    <n v="3987"/>
    <s v="CA-2017-112333"/>
    <d v="2017-04-08T00:00:00"/>
    <x v="3"/>
    <s v="Q2"/>
    <x v="4"/>
    <d v="2017-04-14T00:00:00"/>
    <s v="Standard Class"/>
    <x v="580"/>
    <x v="580"/>
    <s v="Home Office"/>
    <s v="United States"/>
    <s v="Plainfield"/>
    <x v="30"/>
    <n v="7060"/>
    <x v="3"/>
    <x v="486"/>
    <x v="1"/>
    <x v="4"/>
    <x v="486"/>
    <n v="2591.56"/>
    <s v="High"/>
    <n v="4"/>
    <n v="0"/>
    <x v="0"/>
    <x v="0"/>
    <n v="621.97439999999995"/>
    <n v="0.24"/>
    <n v="0"/>
  </r>
  <r>
    <n v="3988"/>
    <s v="CA-2017-112333"/>
    <d v="2017-04-08T00:00:00"/>
    <x v="3"/>
    <s v="Q2"/>
    <x v="4"/>
    <d v="2017-04-14T00:00:00"/>
    <s v="Standard Class"/>
    <x v="580"/>
    <x v="580"/>
    <s v="Home Office"/>
    <s v="United States"/>
    <s v="Plainfield"/>
    <x v="30"/>
    <n v="7060"/>
    <x v="3"/>
    <x v="1612"/>
    <x v="1"/>
    <x v="9"/>
    <x v="1603"/>
    <n v="41.95"/>
    <s v="Medium"/>
    <n v="5"/>
    <n v="0"/>
    <x v="0"/>
    <x v="0"/>
    <n v="10.487500000000001"/>
    <n v="0.25"/>
    <n v="0"/>
  </r>
  <r>
    <n v="3989"/>
    <s v="US-2016-159415"/>
    <d v="2016-04-17T00:00:00"/>
    <x v="0"/>
    <s v="Q2"/>
    <x v="25"/>
    <d v="2016-04-22T00:00:00"/>
    <s v="Standard Class"/>
    <x v="728"/>
    <x v="728"/>
    <s v="Corporate"/>
    <s v="United States"/>
    <s v="Columbia"/>
    <x v="18"/>
    <n v="38401"/>
    <x v="0"/>
    <x v="1613"/>
    <x v="0"/>
    <x v="5"/>
    <x v="1604"/>
    <n v="79.12"/>
    <s v="Medium"/>
    <n v="5"/>
    <n v="0.2"/>
    <x v="2"/>
    <x v="2"/>
    <n v="13.846"/>
    <n v="0.17499999999999999"/>
    <n v="0"/>
  </r>
  <r>
    <n v="3990"/>
    <s v="CA-2014-122588"/>
    <d v="2014-11-25T00:00:00"/>
    <x v="2"/>
    <s v="Q4"/>
    <x v="7"/>
    <d v="2014-11-27T00:00:00"/>
    <s v="Second Class"/>
    <x v="481"/>
    <x v="481"/>
    <s v="Consumer"/>
    <s v="United States"/>
    <s v="Woonsocket"/>
    <x v="34"/>
    <n v="2895"/>
    <x v="3"/>
    <x v="750"/>
    <x v="0"/>
    <x v="5"/>
    <x v="748"/>
    <n v="52.96"/>
    <s v="Medium"/>
    <n v="2"/>
    <n v="0"/>
    <x v="0"/>
    <x v="0"/>
    <n v="20.1248"/>
    <n v="0.38"/>
    <n v="0"/>
  </r>
  <r>
    <n v="3991"/>
    <s v="CA-2014-137589"/>
    <d v="2014-11-03T00:00:00"/>
    <x v="2"/>
    <s v="Q4"/>
    <x v="7"/>
    <d v="2014-11-08T00:00:00"/>
    <s v="Standard Class"/>
    <x v="474"/>
    <x v="474"/>
    <s v="Consumer"/>
    <s v="United States"/>
    <s v="Lancaster"/>
    <x v="9"/>
    <n v="17602"/>
    <x v="3"/>
    <x v="1420"/>
    <x v="1"/>
    <x v="14"/>
    <x v="1408"/>
    <n v="286.34399999999999"/>
    <s v="High"/>
    <n v="3"/>
    <n v="0.2"/>
    <x v="2"/>
    <x v="2"/>
    <n v="-64.427400000000006"/>
    <n v="-0.22500000000000003"/>
    <n v="1"/>
  </r>
  <r>
    <n v="3992"/>
    <s v="CA-2015-161998"/>
    <d v="2015-05-01T00:00:00"/>
    <x v="1"/>
    <s v="Q2"/>
    <x v="33"/>
    <d v="2015-05-05T00:00:00"/>
    <s v="Standard Class"/>
    <x v="106"/>
    <x v="106"/>
    <s v="Corporate"/>
    <s v="United States"/>
    <s v="Tampa"/>
    <x v="2"/>
    <n v="33614"/>
    <x v="0"/>
    <x v="750"/>
    <x v="0"/>
    <x v="5"/>
    <x v="748"/>
    <n v="63.552"/>
    <s v="Medium"/>
    <n v="3"/>
    <n v="0.2"/>
    <x v="2"/>
    <x v="2"/>
    <n v="14.299200000000001"/>
    <n v="0.22500000000000001"/>
    <n v="0"/>
  </r>
  <r>
    <n v="3993"/>
    <s v="CA-2015-161998"/>
    <d v="2015-05-01T00:00:00"/>
    <x v="1"/>
    <s v="Q2"/>
    <x v="33"/>
    <d v="2015-05-05T00:00:00"/>
    <s v="Standard Class"/>
    <x v="106"/>
    <x v="106"/>
    <s v="Corporate"/>
    <s v="United States"/>
    <s v="Tampa"/>
    <x v="2"/>
    <n v="33614"/>
    <x v="0"/>
    <x v="610"/>
    <x v="1"/>
    <x v="14"/>
    <x v="610"/>
    <n v="41.375999999999998"/>
    <s v="Medium"/>
    <n v="3"/>
    <n v="0.2"/>
    <x v="2"/>
    <x v="2"/>
    <n v="4.6547999999999998"/>
    <n v="0.1125"/>
    <n v="0"/>
  </r>
  <r>
    <n v="3994"/>
    <s v="CA-2015-161998"/>
    <d v="2015-05-01T00:00:00"/>
    <x v="1"/>
    <s v="Q2"/>
    <x v="33"/>
    <d v="2015-05-05T00:00:00"/>
    <s v="Standard Class"/>
    <x v="106"/>
    <x v="106"/>
    <s v="Corporate"/>
    <s v="United States"/>
    <s v="Tampa"/>
    <x v="2"/>
    <n v="33614"/>
    <x v="0"/>
    <x v="915"/>
    <x v="1"/>
    <x v="6"/>
    <x v="907"/>
    <n v="172.70400000000001"/>
    <s v="High"/>
    <n v="6"/>
    <n v="0.2"/>
    <x v="2"/>
    <x v="2"/>
    <n v="10.794"/>
    <n v="6.25E-2"/>
    <n v="0"/>
  </r>
  <r>
    <n v="3995"/>
    <s v="CA-2015-105627"/>
    <d v="2015-03-08T00:00:00"/>
    <x v="1"/>
    <s v="Q1"/>
    <x v="29"/>
    <d v="2015-03-12T00:00:00"/>
    <s v="Standard Class"/>
    <x v="729"/>
    <x v="729"/>
    <s v="Consumer"/>
    <s v="United States"/>
    <s v="Kenosha"/>
    <x v="6"/>
    <n v="53142"/>
    <x v="2"/>
    <x v="1528"/>
    <x v="0"/>
    <x v="0"/>
    <x v="1515"/>
    <n v="512.94000000000005"/>
    <s v="High"/>
    <n v="3"/>
    <n v="0"/>
    <x v="0"/>
    <x v="0"/>
    <n v="97.458600000000004"/>
    <n v="0.18999999999999997"/>
    <n v="0"/>
  </r>
  <r>
    <n v="3996"/>
    <s v="CA-2015-105627"/>
    <d v="2015-03-08T00:00:00"/>
    <x v="1"/>
    <s v="Q1"/>
    <x v="29"/>
    <d v="2015-03-12T00:00:00"/>
    <s v="Standard Class"/>
    <x v="729"/>
    <x v="729"/>
    <s v="Consumer"/>
    <s v="United States"/>
    <s v="Kenosha"/>
    <x v="6"/>
    <n v="53142"/>
    <x v="2"/>
    <x v="1265"/>
    <x v="0"/>
    <x v="1"/>
    <x v="1249"/>
    <n v="860.93"/>
    <s v="High"/>
    <n v="7"/>
    <n v="0"/>
    <x v="0"/>
    <x v="0"/>
    <n v="189.40459999999999"/>
    <n v="0.22"/>
    <n v="0"/>
  </r>
  <r>
    <n v="3997"/>
    <s v="CA-2015-105627"/>
    <d v="2015-03-08T00:00:00"/>
    <x v="1"/>
    <s v="Q1"/>
    <x v="29"/>
    <d v="2015-03-12T00:00:00"/>
    <s v="Standard Class"/>
    <x v="729"/>
    <x v="729"/>
    <s v="Consumer"/>
    <s v="United States"/>
    <s v="Kenosha"/>
    <x v="6"/>
    <n v="53142"/>
    <x v="2"/>
    <x v="348"/>
    <x v="2"/>
    <x v="7"/>
    <x v="348"/>
    <n v="769.95"/>
    <s v="High"/>
    <n v="5"/>
    <n v="0"/>
    <x v="0"/>
    <x v="0"/>
    <n v="223.28550000000001"/>
    <n v="0.28999999999999998"/>
    <n v="0"/>
  </r>
  <r>
    <n v="3998"/>
    <s v="CA-2015-105627"/>
    <d v="2015-03-08T00:00:00"/>
    <x v="1"/>
    <s v="Q1"/>
    <x v="29"/>
    <d v="2015-03-12T00:00:00"/>
    <s v="Standard Class"/>
    <x v="729"/>
    <x v="729"/>
    <s v="Consumer"/>
    <s v="United States"/>
    <s v="Kenosha"/>
    <x v="6"/>
    <n v="53142"/>
    <x v="2"/>
    <x v="1614"/>
    <x v="1"/>
    <x v="6"/>
    <x v="1605"/>
    <n v="14.98"/>
    <s v="Low"/>
    <n v="1"/>
    <n v="0"/>
    <x v="0"/>
    <x v="0"/>
    <n v="4.4939999999999998"/>
    <n v="0.3"/>
    <n v="0"/>
  </r>
  <r>
    <n v="3999"/>
    <s v="CA-2015-105627"/>
    <d v="2015-03-08T00:00:00"/>
    <x v="1"/>
    <s v="Q1"/>
    <x v="29"/>
    <d v="2015-03-12T00:00:00"/>
    <s v="Standard Class"/>
    <x v="729"/>
    <x v="729"/>
    <s v="Consumer"/>
    <s v="United States"/>
    <s v="Kenosha"/>
    <x v="6"/>
    <n v="53142"/>
    <x v="2"/>
    <x v="1292"/>
    <x v="0"/>
    <x v="5"/>
    <x v="1278"/>
    <n v="373.08"/>
    <s v="High"/>
    <n v="6"/>
    <n v="0"/>
    <x v="0"/>
    <x v="0"/>
    <n v="82.077600000000004"/>
    <n v="0.22000000000000003"/>
    <n v="0"/>
  </r>
  <r>
    <n v="4000"/>
    <s v="US-2015-149629"/>
    <d v="2015-07-17T00:00:00"/>
    <x v="1"/>
    <s v="Q3"/>
    <x v="38"/>
    <d v="2015-07-20T00:00:00"/>
    <s v="Second Class"/>
    <x v="172"/>
    <x v="172"/>
    <s v="Corporate"/>
    <s v="United States"/>
    <s v="Port Saint Lucie"/>
    <x v="2"/>
    <n v="34952"/>
    <x v="0"/>
    <x v="266"/>
    <x v="0"/>
    <x v="0"/>
    <x v="266"/>
    <n v="231.92"/>
    <s v="High"/>
    <n v="5"/>
    <n v="0.2"/>
    <x v="2"/>
    <x v="2"/>
    <n v="5.798"/>
    <n v="2.5000000000000001E-2"/>
    <n v="0"/>
  </r>
  <r>
    <n v="4001"/>
    <s v="CA-2014-116834"/>
    <d v="2014-10-11T00:00:00"/>
    <x v="2"/>
    <s v="Q4"/>
    <x v="18"/>
    <d v="2014-10-16T00:00:00"/>
    <s v="Standard Class"/>
    <x v="656"/>
    <x v="656"/>
    <s v="Home Office"/>
    <s v="United States"/>
    <s v="Seattle"/>
    <x v="4"/>
    <n v="98115"/>
    <x v="1"/>
    <x v="1137"/>
    <x v="0"/>
    <x v="5"/>
    <x v="1125"/>
    <n v="63.47"/>
    <s v="Medium"/>
    <n v="11"/>
    <n v="0"/>
    <x v="0"/>
    <x v="0"/>
    <n v="19.041"/>
    <n v="0.3"/>
    <n v="0"/>
  </r>
  <r>
    <n v="4002"/>
    <s v="CA-2014-116834"/>
    <d v="2014-10-11T00:00:00"/>
    <x v="2"/>
    <s v="Q4"/>
    <x v="18"/>
    <d v="2014-10-16T00:00:00"/>
    <s v="Standard Class"/>
    <x v="656"/>
    <x v="656"/>
    <s v="Home Office"/>
    <s v="United States"/>
    <s v="Seattle"/>
    <x v="4"/>
    <n v="98115"/>
    <x v="1"/>
    <x v="1615"/>
    <x v="2"/>
    <x v="11"/>
    <x v="1606"/>
    <n v="345"/>
    <s v="High"/>
    <n v="5"/>
    <n v="0"/>
    <x v="0"/>
    <x v="0"/>
    <n v="58.65"/>
    <n v="0.16999999999999998"/>
    <n v="0"/>
  </r>
  <r>
    <n v="4003"/>
    <s v="CA-2016-145730"/>
    <d v="2016-03-03T00:00:00"/>
    <x v="0"/>
    <s v="Q1"/>
    <x v="17"/>
    <d v="2016-03-08T00:00:00"/>
    <s v="Standard Class"/>
    <x v="417"/>
    <x v="417"/>
    <s v="Consumer"/>
    <s v="United States"/>
    <s v="San Antonio"/>
    <x v="5"/>
    <n v="78207"/>
    <x v="2"/>
    <x v="335"/>
    <x v="0"/>
    <x v="3"/>
    <x v="335"/>
    <n v="637.89599999999996"/>
    <s v="High"/>
    <n v="3"/>
    <n v="0.3"/>
    <x v="1"/>
    <x v="4"/>
    <n v="-127.5792"/>
    <n v="-0.2"/>
    <n v="1"/>
  </r>
  <r>
    <n v="4004"/>
    <s v="CA-2016-145730"/>
    <d v="2016-03-03T00:00:00"/>
    <x v="0"/>
    <s v="Q1"/>
    <x v="17"/>
    <d v="2016-03-08T00:00:00"/>
    <s v="Standard Class"/>
    <x v="417"/>
    <x v="417"/>
    <s v="Consumer"/>
    <s v="United States"/>
    <s v="San Antonio"/>
    <x v="5"/>
    <n v="78207"/>
    <x v="2"/>
    <x v="1616"/>
    <x v="2"/>
    <x v="15"/>
    <x v="1607"/>
    <n v="287.91000000000003"/>
    <s v="High"/>
    <n v="3"/>
    <n v="0.4"/>
    <x v="1"/>
    <x v="7"/>
    <n v="33.589500000000001"/>
    <n v="0.11666666666666665"/>
    <n v="0"/>
  </r>
  <r>
    <n v="4005"/>
    <s v="CA-2016-145730"/>
    <d v="2016-03-03T00:00:00"/>
    <x v="0"/>
    <s v="Q1"/>
    <x v="17"/>
    <d v="2016-03-08T00:00:00"/>
    <s v="Standard Class"/>
    <x v="417"/>
    <x v="417"/>
    <s v="Consumer"/>
    <s v="United States"/>
    <s v="San Antonio"/>
    <x v="5"/>
    <n v="78207"/>
    <x v="2"/>
    <x v="373"/>
    <x v="1"/>
    <x v="12"/>
    <x v="374"/>
    <n v="36.6"/>
    <s v="Medium"/>
    <n v="3"/>
    <n v="0.2"/>
    <x v="2"/>
    <x v="2"/>
    <n v="11.895"/>
    <n v="0.32499999999999996"/>
    <n v="0"/>
  </r>
  <r>
    <n v="4006"/>
    <s v="US-2015-168732"/>
    <d v="2015-12-10T00:00:00"/>
    <x v="1"/>
    <s v="Q4"/>
    <x v="14"/>
    <d v="2015-12-16T00:00:00"/>
    <s v="Standard Class"/>
    <x v="730"/>
    <x v="730"/>
    <s v="Consumer"/>
    <s v="United States"/>
    <s v="Roswell"/>
    <x v="32"/>
    <n v="30076"/>
    <x v="0"/>
    <x v="1325"/>
    <x v="1"/>
    <x v="6"/>
    <x v="772"/>
    <n v="1.78"/>
    <s v="Low"/>
    <n v="1"/>
    <n v="0"/>
    <x v="0"/>
    <x v="0"/>
    <n v="0.49840000000000001"/>
    <n v="0.28000000000000003"/>
    <n v="0"/>
  </r>
  <r>
    <n v="4007"/>
    <s v="US-2015-168732"/>
    <d v="2015-12-10T00:00:00"/>
    <x v="1"/>
    <s v="Q4"/>
    <x v="14"/>
    <d v="2015-12-16T00:00:00"/>
    <s v="Standard Class"/>
    <x v="730"/>
    <x v="730"/>
    <s v="Consumer"/>
    <s v="United States"/>
    <s v="Roswell"/>
    <x v="32"/>
    <n v="30076"/>
    <x v="0"/>
    <x v="1440"/>
    <x v="1"/>
    <x v="10"/>
    <x v="1428"/>
    <n v="25.92"/>
    <s v="Medium"/>
    <n v="4"/>
    <n v="0"/>
    <x v="0"/>
    <x v="0"/>
    <n v="12.441599999999999"/>
    <n v="0.47999999999999993"/>
    <n v="0"/>
  </r>
  <r>
    <n v="4008"/>
    <s v="US-2015-168732"/>
    <d v="2015-12-10T00:00:00"/>
    <x v="1"/>
    <s v="Q4"/>
    <x v="14"/>
    <d v="2015-12-16T00:00:00"/>
    <s v="Standard Class"/>
    <x v="730"/>
    <x v="730"/>
    <s v="Consumer"/>
    <s v="United States"/>
    <s v="Roswell"/>
    <x v="32"/>
    <n v="30076"/>
    <x v="0"/>
    <x v="1617"/>
    <x v="2"/>
    <x v="11"/>
    <x v="1608"/>
    <n v="101.94"/>
    <s v="Medium"/>
    <n v="6"/>
    <n v="0"/>
    <x v="0"/>
    <x v="0"/>
    <n v="21.407399999999999"/>
    <n v="0.21"/>
    <n v="0"/>
  </r>
  <r>
    <n v="4009"/>
    <s v="CA-2015-107468"/>
    <d v="2015-12-18T00:00:00"/>
    <x v="1"/>
    <s v="Q4"/>
    <x v="14"/>
    <d v="2015-12-22T00:00:00"/>
    <s v="Standard Class"/>
    <x v="149"/>
    <x v="149"/>
    <s v="Corporate"/>
    <s v="United States"/>
    <s v="Louisville"/>
    <x v="22"/>
    <n v="80027"/>
    <x v="1"/>
    <x v="1005"/>
    <x v="1"/>
    <x v="6"/>
    <x v="997"/>
    <n v="6.8479999999999999"/>
    <s v="Low"/>
    <n v="2"/>
    <n v="0.2"/>
    <x v="2"/>
    <x v="2"/>
    <n v="0.59919999999999995"/>
    <n v="8.7499999999999994E-2"/>
    <n v="0"/>
  </r>
  <r>
    <n v="4010"/>
    <s v="CA-2017-144463"/>
    <d v="2017-01-01T00:00:00"/>
    <x v="3"/>
    <s v="Q1"/>
    <x v="44"/>
    <d v="2017-01-05T00:00:00"/>
    <s v="Standard Class"/>
    <x v="56"/>
    <x v="56"/>
    <s v="Consumer"/>
    <s v="United States"/>
    <s v="Los Angeles"/>
    <x v="1"/>
    <n v="90036"/>
    <x v="1"/>
    <x v="1618"/>
    <x v="0"/>
    <x v="5"/>
    <x v="1609"/>
    <n v="474.43"/>
    <s v="High"/>
    <n v="11"/>
    <n v="0"/>
    <x v="0"/>
    <x v="0"/>
    <n v="199.26060000000001"/>
    <n v="0.42000000000000004"/>
    <n v="0"/>
  </r>
  <r>
    <n v="4011"/>
    <s v="CA-2017-100811"/>
    <d v="2017-11-21T00:00:00"/>
    <x v="3"/>
    <s v="Q4"/>
    <x v="23"/>
    <d v="2017-11-24T00:00:00"/>
    <s v="First Class"/>
    <x v="693"/>
    <x v="693"/>
    <s v="Consumer"/>
    <s v="United States"/>
    <s v="Philadelphia"/>
    <x v="9"/>
    <n v="19143"/>
    <x v="3"/>
    <x v="523"/>
    <x v="1"/>
    <x v="10"/>
    <x v="523"/>
    <n v="8.4480000000000004"/>
    <s v="Low"/>
    <n v="2"/>
    <n v="0.2"/>
    <x v="2"/>
    <x v="2"/>
    <n v="2.64"/>
    <n v="0.3125"/>
    <n v="0"/>
  </r>
  <r>
    <n v="4012"/>
    <s v="CA-2017-100811"/>
    <d v="2017-11-21T00:00:00"/>
    <x v="3"/>
    <s v="Q4"/>
    <x v="23"/>
    <d v="2017-11-24T00:00:00"/>
    <s v="First Class"/>
    <x v="693"/>
    <x v="693"/>
    <s v="Consumer"/>
    <s v="United States"/>
    <s v="Philadelphia"/>
    <x v="9"/>
    <n v="19143"/>
    <x v="3"/>
    <x v="576"/>
    <x v="1"/>
    <x v="4"/>
    <x v="576"/>
    <n v="39.295999999999999"/>
    <s v="Medium"/>
    <n v="4"/>
    <n v="0.2"/>
    <x v="2"/>
    <x v="2"/>
    <n v="3.9296000000000002"/>
    <n v="0.1"/>
    <n v="0"/>
  </r>
  <r>
    <n v="4013"/>
    <s v="CA-2015-153612"/>
    <d v="2015-12-22T00:00:00"/>
    <x v="1"/>
    <s v="Q4"/>
    <x v="14"/>
    <d v="2015-12-27T00:00:00"/>
    <s v="Standard Class"/>
    <x v="457"/>
    <x v="457"/>
    <s v="Home Office"/>
    <s v="United States"/>
    <s v="Superior"/>
    <x v="6"/>
    <n v="54880"/>
    <x v="2"/>
    <x v="786"/>
    <x v="1"/>
    <x v="6"/>
    <x v="785"/>
    <n v="17.12"/>
    <s v="Low"/>
    <n v="4"/>
    <n v="0"/>
    <x v="0"/>
    <x v="0"/>
    <n v="4.9648000000000003"/>
    <n v="0.28999999999999998"/>
    <n v="0"/>
  </r>
  <r>
    <n v="4014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1107"/>
    <x v="1"/>
    <x v="9"/>
    <x v="1096"/>
    <n v="542.94000000000005"/>
    <s v="High"/>
    <n v="3"/>
    <n v="0"/>
    <x v="0"/>
    <x v="0"/>
    <n v="152.0232"/>
    <n v="0.27999999999999997"/>
    <n v="0"/>
  </r>
  <r>
    <n v="4015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1186"/>
    <x v="1"/>
    <x v="2"/>
    <x v="1172"/>
    <n v="8.64"/>
    <s v="Low"/>
    <n v="3"/>
    <n v="0"/>
    <x v="0"/>
    <x v="0"/>
    <n v="4.2336"/>
    <n v="0.49"/>
    <n v="0"/>
  </r>
  <r>
    <n v="4016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1413"/>
    <x v="1"/>
    <x v="10"/>
    <x v="1400"/>
    <n v="193.8"/>
    <s v="High"/>
    <n v="5"/>
    <n v="0"/>
    <x v="0"/>
    <x v="0"/>
    <n v="94.962000000000003"/>
    <n v="0.49"/>
    <n v="0"/>
  </r>
  <r>
    <n v="4017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1117"/>
    <x v="1"/>
    <x v="10"/>
    <x v="1105"/>
    <n v="21.4"/>
    <s v="Low"/>
    <n v="5"/>
    <n v="0"/>
    <x v="0"/>
    <x v="0"/>
    <n v="9.6300000000000008"/>
    <n v="0.45000000000000007"/>
    <n v="0"/>
  </r>
  <r>
    <n v="4018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1619"/>
    <x v="1"/>
    <x v="10"/>
    <x v="1610"/>
    <n v="97.88"/>
    <s v="Medium"/>
    <n v="2"/>
    <n v="0"/>
    <x v="0"/>
    <x v="0"/>
    <n v="48.94"/>
    <n v="0.5"/>
    <n v="0"/>
  </r>
  <r>
    <n v="4019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1130"/>
    <x v="2"/>
    <x v="11"/>
    <x v="1118"/>
    <n v="251.91"/>
    <s v="High"/>
    <n v="9"/>
    <n v="0"/>
    <x v="0"/>
    <x v="0"/>
    <n v="47.862900000000003"/>
    <n v="0.19"/>
    <n v="0"/>
  </r>
  <r>
    <n v="4020"/>
    <s v="CA-2015-165624"/>
    <d v="2015-08-23T00:00:00"/>
    <x v="1"/>
    <s v="Q3"/>
    <x v="37"/>
    <d v="2015-08-28T00:00:00"/>
    <s v="Standard Class"/>
    <x v="651"/>
    <x v="651"/>
    <s v="Consumer"/>
    <s v="United States"/>
    <s v="Atlanta"/>
    <x v="32"/>
    <n v="30318"/>
    <x v="0"/>
    <x v="22"/>
    <x v="1"/>
    <x v="9"/>
    <x v="22"/>
    <n v="25.86"/>
    <s v="Medium"/>
    <n v="3"/>
    <n v="0"/>
    <x v="0"/>
    <x v="0"/>
    <n v="6.7236000000000002"/>
    <n v="0.26"/>
    <n v="0"/>
  </r>
  <r>
    <n v="4021"/>
    <s v="CA-2014-154963"/>
    <d v="2014-06-22T00:00:00"/>
    <x v="2"/>
    <s v="Q2"/>
    <x v="3"/>
    <d v="2014-06-27T00:00:00"/>
    <s v="Standard Class"/>
    <x v="731"/>
    <x v="731"/>
    <s v="Consumer"/>
    <s v="United States"/>
    <s v="Chester"/>
    <x v="9"/>
    <n v="19013"/>
    <x v="3"/>
    <x v="167"/>
    <x v="0"/>
    <x v="1"/>
    <x v="168"/>
    <n v="170.05799999999999"/>
    <s v="High"/>
    <n v="3"/>
    <n v="0.3"/>
    <x v="1"/>
    <x v="4"/>
    <n v="-4.8587999999999996"/>
    <n v="-2.8571428571428571E-2"/>
    <n v="1"/>
  </r>
  <r>
    <n v="4022"/>
    <s v="CA-2014-154963"/>
    <d v="2014-06-22T00:00:00"/>
    <x v="2"/>
    <s v="Q2"/>
    <x v="3"/>
    <d v="2014-06-27T00:00:00"/>
    <s v="Standard Class"/>
    <x v="731"/>
    <x v="731"/>
    <s v="Consumer"/>
    <s v="United States"/>
    <s v="Chester"/>
    <x v="9"/>
    <n v="19013"/>
    <x v="3"/>
    <x v="40"/>
    <x v="2"/>
    <x v="7"/>
    <x v="40"/>
    <n v="82.781999999999996"/>
    <s v="Medium"/>
    <n v="3"/>
    <n v="0.4"/>
    <x v="1"/>
    <x v="7"/>
    <n v="-15.1767"/>
    <n v="-0.18333333333333335"/>
    <n v="1"/>
  </r>
  <r>
    <n v="4023"/>
    <s v="CA-2014-154963"/>
    <d v="2014-06-22T00:00:00"/>
    <x v="2"/>
    <s v="Q2"/>
    <x v="3"/>
    <d v="2014-06-27T00:00:00"/>
    <s v="Standard Class"/>
    <x v="731"/>
    <x v="731"/>
    <s v="Consumer"/>
    <s v="United States"/>
    <s v="Chester"/>
    <x v="9"/>
    <n v="19013"/>
    <x v="3"/>
    <x v="1"/>
    <x v="0"/>
    <x v="1"/>
    <x v="1"/>
    <n v="853.93"/>
    <s v="High"/>
    <n v="5"/>
    <n v="0.3"/>
    <x v="1"/>
    <x v="4"/>
    <n v="0"/>
    <n v="0"/>
    <n v="0"/>
  </r>
  <r>
    <n v="4024"/>
    <s v="CA-2017-130764"/>
    <d v="2017-10-27T00:00:00"/>
    <x v="3"/>
    <s v="Q4"/>
    <x v="13"/>
    <d v="2017-10-28T00:00:00"/>
    <s v="First Class"/>
    <x v="705"/>
    <x v="705"/>
    <s v="Corporate"/>
    <s v="United States"/>
    <s v="San Francisco"/>
    <x v="1"/>
    <n v="94110"/>
    <x v="1"/>
    <x v="1219"/>
    <x v="0"/>
    <x v="0"/>
    <x v="1203"/>
    <n v="556.66499999999996"/>
    <s v="High"/>
    <n v="5"/>
    <n v="0.15"/>
    <x v="2"/>
    <x v="2"/>
    <n v="6.5490000000000004"/>
    <n v="1.1764705882352943E-2"/>
    <n v="0"/>
  </r>
  <r>
    <n v="4025"/>
    <s v="CA-2017-130764"/>
    <d v="2017-10-27T00:00:00"/>
    <x v="3"/>
    <s v="Q4"/>
    <x v="13"/>
    <d v="2017-10-28T00:00:00"/>
    <s v="First Class"/>
    <x v="705"/>
    <x v="705"/>
    <s v="Corporate"/>
    <s v="United States"/>
    <s v="San Francisco"/>
    <x v="1"/>
    <n v="94110"/>
    <x v="1"/>
    <x v="1620"/>
    <x v="2"/>
    <x v="7"/>
    <x v="1611"/>
    <n v="95.84"/>
    <s v="Medium"/>
    <n v="4"/>
    <n v="0.2"/>
    <x v="2"/>
    <x v="2"/>
    <n v="34.741999999999997"/>
    <n v="0.36249999999999993"/>
    <n v="0"/>
  </r>
  <r>
    <n v="4026"/>
    <s v="CA-2017-139311"/>
    <d v="2017-08-11T00:00:00"/>
    <x v="3"/>
    <s v="Q3"/>
    <x v="43"/>
    <d v="2017-08-13T00:00:00"/>
    <s v="First Class"/>
    <x v="245"/>
    <x v="245"/>
    <s v="Corporate"/>
    <s v="United States"/>
    <s v="Bedford"/>
    <x v="5"/>
    <n v="76021"/>
    <x v="2"/>
    <x v="1286"/>
    <x v="1"/>
    <x v="10"/>
    <x v="1272"/>
    <n v="29.664000000000001"/>
    <s v="Medium"/>
    <n v="4"/>
    <n v="0.2"/>
    <x v="2"/>
    <x v="2"/>
    <n v="10.0116"/>
    <n v="0.33749999999999997"/>
    <n v="0"/>
  </r>
  <r>
    <n v="4027"/>
    <s v="CA-2017-139311"/>
    <d v="2017-08-11T00:00:00"/>
    <x v="3"/>
    <s v="Q3"/>
    <x v="43"/>
    <d v="2017-08-13T00:00:00"/>
    <s v="First Class"/>
    <x v="245"/>
    <x v="245"/>
    <s v="Corporate"/>
    <s v="United States"/>
    <s v="Bedford"/>
    <x v="5"/>
    <n v="76021"/>
    <x v="2"/>
    <x v="1199"/>
    <x v="1"/>
    <x v="6"/>
    <x v="1184"/>
    <n v="9.1839999999999993"/>
    <s v="Low"/>
    <n v="7"/>
    <n v="0.2"/>
    <x v="2"/>
    <x v="2"/>
    <n v="2.87"/>
    <n v="0.31250000000000006"/>
    <n v="0"/>
  </r>
  <r>
    <n v="4028"/>
    <s v="CA-2017-139311"/>
    <d v="2017-08-11T00:00:00"/>
    <x v="3"/>
    <s v="Q3"/>
    <x v="43"/>
    <d v="2017-08-13T00:00:00"/>
    <s v="First Class"/>
    <x v="245"/>
    <x v="245"/>
    <s v="Corporate"/>
    <s v="United States"/>
    <s v="Bedford"/>
    <x v="5"/>
    <n v="76021"/>
    <x v="2"/>
    <x v="664"/>
    <x v="2"/>
    <x v="7"/>
    <x v="664"/>
    <n v="153.584"/>
    <s v="High"/>
    <n v="2"/>
    <n v="0.2"/>
    <x v="2"/>
    <x v="2"/>
    <n v="13.438599999999999"/>
    <n v="8.7499999999999994E-2"/>
    <n v="0"/>
  </r>
  <r>
    <n v="4029"/>
    <s v="CA-2017-139311"/>
    <d v="2017-08-11T00:00:00"/>
    <x v="3"/>
    <s v="Q3"/>
    <x v="43"/>
    <d v="2017-08-13T00:00:00"/>
    <s v="First Class"/>
    <x v="245"/>
    <x v="245"/>
    <s v="Corporate"/>
    <s v="United States"/>
    <s v="Bedford"/>
    <x v="5"/>
    <n v="76021"/>
    <x v="2"/>
    <x v="1232"/>
    <x v="1"/>
    <x v="8"/>
    <x v="1215"/>
    <n v="12.864000000000001"/>
    <s v="Low"/>
    <n v="8"/>
    <n v="0.8"/>
    <x v="1"/>
    <x v="3"/>
    <n v="-22.512"/>
    <n v="-1.75"/>
    <n v="1"/>
  </r>
  <r>
    <n v="4030"/>
    <s v="CA-2017-124296"/>
    <d v="2017-12-24T00:00:00"/>
    <x v="3"/>
    <s v="Q4"/>
    <x v="22"/>
    <d v="2017-12-28T00:00:00"/>
    <s v="Standard Class"/>
    <x v="394"/>
    <x v="394"/>
    <s v="Consumer"/>
    <s v="United States"/>
    <s v="Lafayette"/>
    <x v="28"/>
    <n v="70506"/>
    <x v="0"/>
    <x v="958"/>
    <x v="2"/>
    <x v="15"/>
    <x v="951"/>
    <n v="479.97"/>
    <s v="High"/>
    <n v="3"/>
    <n v="0"/>
    <x v="0"/>
    <x v="0"/>
    <n v="239.98500000000001"/>
    <n v="0.5"/>
    <n v="0"/>
  </r>
  <r>
    <n v="4031"/>
    <s v="CA-2017-124296"/>
    <d v="2017-12-24T00:00:00"/>
    <x v="3"/>
    <s v="Q4"/>
    <x v="22"/>
    <d v="2017-12-28T00:00:00"/>
    <s v="Standard Class"/>
    <x v="394"/>
    <x v="394"/>
    <s v="Consumer"/>
    <s v="United States"/>
    <s v="Lafayette"/>
    <x v="28"/>
    <n v="70506"/>
    <x v="0"/>
    <x v="1340"/>
    <x v="0"/>
    <x v="1"/>
    <x v="1325"/>
    <n v="232.88"/>
    <s v="High"/>
    <n v="4"/>
    <n v="0"/>
    <x v="0"/>
    <x v="0"/>
    <n v="60.5488"/>
    <n v="0.26"/>
    <n v="0"/>
  </r>
  <r>
    <n v="4032"/>
    <s v="CA-2016-169957"/>
    <d v="2016-09-26T00:00:00"/>
    <x v="0"/>
    <s v="Q3"/>
    <x v="21"/>
    <d v="2016-09-30T00:00:00"/>
    <s v="Standard Class"/>
    <x v="17"/>
    <x v="17"/>
    <s v="Home Office"/>
    <s v="United States"/>
    <s v="Covington"/>
    <x v="4"/>
    <n v="98042"/>
    <x v="1"/>
    <x v="643"/>
    <x v="1"/>
    <x v="9"/>
    <x v="643"/>
    <n v="236.88"/>
    <s v="High"/>
    <n v="6"/>
    <n v="0"/>
    <x v="0"/>
    <x v="0"/>
    <n v="66.326400000000007"/>
    <n v="0.28000000000000003"/>
    <n v="0"/>
  </r>
  <r>
    <n v="4033"/>
    <s v="CA-2016-169957"/>
    <d v="2016-09-26T00:00:00"/>
    <x v="0"/>
    <s v="Q3"/>
    <x v="21"/>
    <d v="2016-09-30T00:00:00"/>
    <s v="Standard Class"/>
    <x v="17"/>
    <x v="17"/>
    <s v="Home Office"/>
    <s v="United States"/>
    <s v="Covington"/>
    <x v="4"/>
    <n v="98042"/>
    <x v="1"/>
    <x v="99"/>
    <x v="1"/>
    <x v="10"/>
    <x v="99"/>
    <n v="29.9"/>
    <s v="Medium"/>
    <n v="5"/>
    <n v="0"/>
    <x v="0"/>
    <x v="0"/>
    <n v="14.651"/>
    <n v="0.49"/>
    <n v="0"/>
  </r>
  <r>
    <n v="4034"/>
    <s v="CA-2016-169957"/>
    <d v="2016-09-26T00:00:00"/>
    <x v="0"/>
    <s v="Q3"/>
    <x v="21"/>
    <d v="2016-09-30T00:00:00"/>
    <s v="Standard Class"/>
    <x v="17"/>
    <x v="17"/>
    <s v="Home Office"/>
    <s v="United States"/>
    <s v="Covington"/>
    <x v="4"/>
    <n v="98042"/>
    <x v="1"/>
    <x v="1072"/>
    <x v="2"/>
    <x v="11"/>
    <x v="1061"/>
    <n v="100"/>
    <s v="Medium"/>
    <n v="4"/>
    <n v="0"/>
    <x v="0"/>
    <x v="0"/>
    <n v="21"/>
    <n v="0.21"/>
    <n v="0"/>
  </r>
  <r>
    <n v="4035"/>
    <s v="US-2016-108777"/>
    <d v="2016-12-12T00:00:00"/>
    <x v="0"/>
    <s v="Q4"/>
    <x v="5"/>
    <d v="2016-12-12T00:00:00"/>
    <s v="Same Day"/>
    <x v="487"/>
    <x v="487"/>
    <s v="Corporate"/>
    <s v="United States"/>
    <s v="Lorain"/>
    <x v="24"/>
    <n v="44052"/>
    <x v="3"/>
    <x v="350"/>
    <x v="1"/>
    <x v="8"/>
    <x v="350"/>
    <n v="18.693000000000001"/>
    <s v="Low"/>
    <n v="3"/>
    <n v="0.7"/>
    <x v="1"/>
    <x v="5"/>
    <n v="-14.331300000000001"/>
    <n v="-0.76666666666666661"/>
    <n v="1"/>
  </r>
  <r>
    <n v="4036"/>
    <s v="US-2016-108777"/>
    <d v="2016-12-12T00:00:00"/>
    <x v="0"/>
    <s v="Q4"/>
    <x v="5"/>
    <d v="2016-12-12T00:00:00"/>
    <s v="Same Day"/>
    <x v="487"/>
    <x v="487"/>
    <s v="Corporate"/>
    <s v="United States"/>
    <s v="Lorain"/>
    <x v="24"/>
    <n v="44052"/>
    <x v="3"/>
    <x v="428"/>
    <x v="2"/>
    <x v="11"/>
    <x v="428"/>
    <n v="383.952"/>
    <s v="High"/>
    <n v="6"/>
    <n v="0.2"/>
    <x v="2"/>
    <x v="2"/>
    <n v="76.790400000000005"/>
    <n v="0.2"/>
    <n v="0"/>
  </r>
  <r>
    <n v="4037"/>
    <s v="CA-2015-148859"/>
    <d v="2015-12-28T00:00:00"/>
    <x v="1"/>
    <s v="Q4"/>
    <x v="14"/>
    <d v="2016-01-01T00:00:00"/>
    <s v="Standard Class"/>
    <x v="651"/>
    <x v="651"/>
    <s v="Consumer"/>
    <s v="United States"/>
    <s v="Chicago"/>
    <x v="10"/>
    <n v="60623"/>
    <x v="2"/>
    <x v="1018"/>
    <x v="1"/>
    <x v="4"/>
    <x v="1519"/>
    <n v="24.815999999999999"/>
    <s v="Low"/>
    <n v="2"/>
    <n v="0.2"/>
    <x v="2"/>
    <x v="2"/>
    <n v="1.5509999999999999"/>
    <n v="6.25E-2"/>
    <n v="0"/>
  </r>
  <r>
    <n v="4038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1467"/>
    <x v="0"/>
    <x v="5"/>
    <x v="1454"/>
    <n v="24.9"/>
    <s v="Medium"/>
    <n v="5"/>
    <n v="0"/>
    <x v="0"/>
    <x v="0"/>
    <n v="8.2170000000000005"/>
    <n v="0.33"/>
    <n v="0"/>
  </r>
  <r>
    <n v="4039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1157"/>
    <x v="1"/>
    <x v="10"/>
    <x v="1145"/>
    <n v="21.12"/>
    <s v="Low"/>
    <n v="4"/>
    <n v="0"/>
    <x v="0"/>
    <x v="0"/>
    <n v="9.5039999999999996"/>
    <n v="0.44999999999999996"/>
    <n v="0"/>
  </r>
  <r>
    <n v="4040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958"/>
    <x v="2"/>
    <x v="15"/>
    <x v="951"/>
    <n v="767.952"/>
    <s v="High"/>
    <n v="6"/>
    <n v="0.2"/>
    <x v="2"/>
    <x v="2"/>
    <n v="287.98200000000003"/>
    <n v="0.37500000000000006"/>
    <n v="0"/>
  </r>
  <r>
    <n v="4041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570"/>
    <x v="1"/>
    <x v="8"/>
    <x v="570"/>
    <n v="14.352"/>
    <s v="Low"/>
    <n v="3"/>
    <n v="0.2"/>
    <x v="2"/>
    <x v="2"/>
    <n v="4.6643999999999997"/>
    <n v="0.32499999999999996"/>
    <n v="0"/>
  </r>
  <r>
    <n v="4042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516"/>
    <x v="2"/>
    <x v="7"/>
    <x v="516"/>
    <n v="191.976"/>
    <s v="High"/>
    <n v="3"/>
    <n v="0.2"/>
    <x v="2"/>
    <x v="2"/>
    <n v="19.197600000000001"/>
    <n v="0.1"/>
    <n v="0"/>
  </r>
  <r>
    <n v="4043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933"/>
    <x v="1"/>
    <x v="2"/>
    <x v="926"/>
    <n v="274.77"/>
    <s v="High"/>
    <n v="9"/>
    <n v="0"/>
    <x v="0"/>
    <x v="0"/>
    <n v="126.3942"/>
    <n v="0.46"/>
    <n v="0"/>
  </r>
  <r>
    <n v="4044"/>
    <s v="CA-2014-110786"/>
    <d v="2014-12-29T00:00:00"/>
    <x v="2"/>
    <s v="Q4"/>
    <x v="20"/>
    <d v="2015-01-02T00:00:00"/>
    <s v="Standard Class"/>
    <x v="295"/>
    <x v="295"/>
    <s v="Corporate"/>
    <s v="United States"/>
    <s v="San Francisco"/>
    <x v="1"/>
    <n v="94110"/>
    <x v="1"/>
    <x v="1530"/>
    <x v="0"/>
    <x v="5"/>
    <x v="1517"/>
    <n v="70.56"/>
    <s v="Medium"/>
    <n v="6"/>
    <n v="0"/>
    <x v="0"/>
    <x v="0"/>
    <n v="23.990400000000001"/>
    <n v="0.34"/>
    <n v="0"/>
  </r>
  <r>
    <n v="4045"/>
    <s v="CA-2015-137750"/>
    <d v="2015-06-25T00:00:00"/>
    <x v="1"/>
    <s v="Q2"/>
    <x v="40"/>
    <d v="2015-06-30T00:00:00"/>
    <s v="Standard Class"/>
    <x v="535"/>
    <x v="535"/>
    <s v="Consumer"/>
    <s v="United States"/>
    <s v="San Francisco"/>
    <x v="1"/>
    <n v="94110"/>
    <x v="1"/>
    <x v="514"/>
    <x v="0"/>
    <x v="5"/>
    <x v="514"/>
    <n v="204.85"/>
    <s v="High"/>
    <n v="5"/>
    <n v="0"/>
    <x v="0"/>
    <x v="0"/>
    <n v="57.357999999999997"/>
    <n v="0.27999999999999997"/>
    <n v="0"/>
  </r>
  <r>
    <n v="4046"/>
    <s v="CA-2015-136378"/>
    <d v="2015-04-02T00:00:00"/>
    <x v="1"/>
    <s v="Q2"/>
    <x v="19"/>
    <d v="2015-04-07T00:00:00"/>
    <s v="Standard Class"/>
    <x v="688"/>
    <x v="688"/>
    <s v="Corporate"/>
    <s v="United States"/>
    <s v="Houston"/>
    <x v="5"/>
    <n v="77070"/>
    <x v="2"/>
    <x v="785"/>
    <x v="1"/>
    <x v="8"/>
    <x v="784"/>
    <n v="9.1560000000000006"/>
    <s v="Low"/>
    <n v="3"/>
    <n v="0.8"/>
    <x v="1"/>
    <x v="3"/>
    <n v="-13.734"/>
    <n v="-1.5"/>
    <n v="1"/>
  </r>
  <r>
    <n v="4047"/>
    <s v="CA-2017-100356"/>
    <d v="2017-10-21T00:00:00"/>
    <x v="3"/>
    <s v="Q4"/>
    <x v="13"/>
    <d v="2017-10-25T00:00:00"/>
    <s v="Standard Class"/>
    <x v="727"/>
    <x v="727"/>
    <s v="Consumer"/>
    <s v="United States"/>
    <s v="Chicago"/>
    <x v="10"/>
    <n v="60653"/>
    <x v="2"/>
    <x v="810"/>
    <x v="1"/>
    <x v="9"/>
    <x v="808"/>
    <n v="23.992000000000001"/>
    <s v="Low"/>
    <n v="2"/>
    <n v="0.8"/>
    <x v="1"/>
    <x v="3"/>
    <n v="-62.379199999999997"/>
    <n v="-2.5999999999999996"/>
    <n v="1"/>
  </r>
  <r>
    <n v="4048"/>
    <s v="US-2015-166520"/>
    <d v="2015-07-16T00:00:00"/>
    <x v="1"/>
    <s v="Q3"/>
    <x v="38"/>
    <d v="2015-07-19T00:00:00"/>
    <s v="First Class"/>
    <x v="722"/>
    <x v="722"/>
    <s v="Corporate"/>
    <s v="United States"/>
    <s v="New York City"/>
    <x v="15"/>
    <n v="10035"/>
    <x v="3"/>
    <x v="982"/>
    <x v="1"/>
    <x v="10"/>
    <x v="975"/>
    <n v="80.88"/>
    <s v="Medium"/>
    <n v="3"/>
    <n v="0"/>
    <x v="0"/>
    <x v="0"/>
    <n v="39.6312"/>
    <n v="0.49000000000000005"/>
    <n v="0"/>
  </r>
  <r>
    <n v="4049"/>
    <s v="US-2015-166520"/>
    <d v="2015-07-16T00:00:00"/>
    <x v="1"/>
    <s v="Q3"/>
    <x v="38"/>
    <d v="2015-07-19T00:00:00"/>
    <s v="First Class"/>
    <x v="722"/>
    <x v="722"/>
    <s v="Corporate"/>
    <s v="United States"/>
    <s v="New York City"/>
    <x v="15"/>
    <n v="10035"/>
    <x v="3"/>
    <x v="876"/>
    <x v="2"/>
    <x v="11"/>
    <x v="870"/>
    <n v="599.9"/>
    <s v="High"/>
    <n v="10"/>
    <n v="0"/>
    <x v="0"/>
    <x v="0"/>
    <n v="191.96799999999999"/>
    <n v="0.32"/>
    <n v="0"/>
  </r>
  <r>
    <n v="4050"/>
    <s v="CA-2017-136350"/>
    <d v="2017-06-24T00:00:00"/>
    <x v="3"/>
    <s v="Q2"/>
    <x v="27"/>
    <d v="2017-06-26T00:00:00"/>
    <s v="Second Class"/>
    <x v="654"/>
    <x v="654"/>
    <s v="Consumer"/>
    <s v="United States"/>
    <s v="New York City"/>
    <x v="15"/>
    <n v="10011"/>
    <x v="3"/>
    <x v="737"/>
    <x v="0"/>
    <x v="5"/>
    <x v="736"/>
    <n v="276.69"/>
    <s v="High"/>
    <n v="3"/>
    <n v="0"/>
    <x v="0"/>
    <x v="0"/>
    <n v="49.804200000000002"/>
    <n v="0.18"/>
    <n v="0"/>
  </r>
  <r>
    <n v="4051"/>
    <s v="CA-2017-136350"/>
    <d v="2017-06-24T00:00:00"/>
    <x v="3"/>
    <s v="Q2"/>
    <x v="27"/>
    <d v="2017-06-26T00:00:00"/>
    <s v="Second Class"/>
    <x v="654"/>
    <x v="654"/>
    <s v="Consumer"/>
    <s v="United States"/>
    <s v="New York City"/>
    <x v="15"/>
    <n v="10011"/>
    <x v="3"/>
    <x v="268"/>
    <x v="0"/>
    <x v="1"/>
    <x v="268"/>
    <n v="172.76400000000001"/>
    <s v="High"/>
    <n v="2"/>
    <n v="0.1"/>
    <x v="3"/>
    <x v="8"/>
    <n v="32.633200000000002"/>
    <n v="0.18888888888888888"/>
    <n v="0"/>
  </r>
  <r>
    <n v="4052"/>
    <s v="CA-2014-122931"/>
    <d v="2014-09-29T00:00:00"/>
    <x v="2"/>
    <s v="Q3"/>
    <x v="30"/>
    <d v="2014-10-03T00:00:00"/>
    <s v="Standard Class"/>
    <x v="416"/>
    <x v="416"/>
    <s v="Corporate"/>
    <s v="United States"/>
    <s v="Philadelphia"/>
    <x v="9"/>
    <n v="19134"/>
    <x v="3"/>
    <x v="1273"/>
    <x v="1"/>
    <x v="6"/>
    <x v="1258"/>
    <n v="4.2240000000000002"/>
    <s v="Low"/>
    <n v="3"/>
    <n v="0.2"/>
    <x v="2"/>
    <x v="2"/>
    <n v="1.4783999999999999"/>
    <n v="0.35"/>
    <n v="0"/>
  </r>
  <r>
    <n v="4053"/>
    <s v="CA-2014-122931"/>
    <d v="2014-09-29T00:00:00"/>
    <x v="2"/>
    <s v="Q3"/>
    <x v="30"/>
    <d v="2014-10-03T00:00:00"/>
    <s v="Standard Class"/>
    <x v="416"/>
    <x v="416"/>
    <s v="Corporate"/>
    <s v="United States"/>
    <s v="Philadelphia"/>
    <x v="9"/>
    <n v="19134"/>
    <x v="3"/>
    <x v="1168"/>
    <x v="0"/>
    <x v="3"/>
    <x v="1155"/>
    <n v="409.27199999999999"/>
    <s v="High"/>
    <n v="2"/>
    <n v="0.4"/>
    <x v="1"/>
    <x v="7"/>
    <n v="-81.854399999999998"/>
    <n v="-0.2"/>
    <n v="1"/>
  </r>
  <r>
    <n v="4054"/>
    <s v="CA-2014-122931"/>
    <d v="2014-09-29T00:00:00"/>
    <x v="2"/>
    <s v="Q3"/>
    <x v="30"/>
    <d v="2014-10-03T00:00:00"/>
    <s v="Standard Class"/>
    <x v="416"/>
    <x v="416"/>
    <s v="Corporate"/>
    <s v="United States"/>
    <s v="Philadelphia"/>
    <x v="9"/>
    <n v="19134"/>
    <x v="3"/>
    <x v="1621"/>
    <x v="1"/>
    <x v="2"/>
    <x v="1612"/>
    <n v="55.44"/>
    <s v="Medium"/>
    <n v="11"/>
    <n v="0.2"/>
    <x v="2"/>
    <x v="2"/>
    <n v="18.018000000000001"/>
    <n v="0.32500000000000001"/>
    <n v="0"/>
  </r>
  <r>
    <n v="4055"/>
    <s v="CA-2014-122931"/>
    <d v="2014-09-29T00:00:00"/>
    <x v="2"/>
    <s v="Q3"/>
    <x v="30"/>
    <d v="2014-10-03T00:00:00"/>
    <s v="Standard Class"/>
    <x v="416"/>
    <x v="416"/>
    <s v="Corporate"/>
    <s v="United States"/>
    <s v="Philadelphia"/>
    <x v="9"/>
    <n v="19134"/>
    <x v="3"/>
    <x v="1221"/>
    <x v="1"/>
    <x v="10"/>
    <x v="1205"/>
    <n v="20.928000000000001"/>
    <s v="Low"/>
    <n v="4"/>
    <n v="0.2"/>
    <x v="2"/>
    <x v="2"/>
    <n v="6.8015999999999996"/>
    <n v="0.32499999999999996"/>
    <n v="0"/>
  </r>
  <r>
    <n v="4056"/>
    <s v="CA-2014-122931"/>
    <d v="2014-09-29T00:00:00"/>
    <x v="2"/>
    <s v="Q3"/>
    <x v="30"/>
    <d v="2014-10-03T00:00:00"/>
    <s v="Standard Class"/>
    <x v="416"/>
    <x v="416"/>
    <s v="Corporate"/>
    <s v="United States"/>
    <s v="Philadelphia"/>
    <x v="9"/>
    <n v="19134"/>
    <x v="3"/>
    <x v="458"/>
    <x v="1"/>
    <x v="4"/>
    <x v="459"/>
    <n v="1801.6320000000001"/>
    <s v="High"/>
    <n v="6"/>
    <n v="0.2"/>
    <x v="2"/>
    <x v="2"/>
    <n v="-337.80599999999998"/>
    <n v="-0.18749999999999997"/>
    <n v="1"/>
  </r>
  <r>
    <n v="4057"/>
    <s v="CA-2014-122931"/>
    <d v="2014-09-29T00:00:00"/>
    <x v="2"/>
    <s v="Q3"/>
    <x v="30"/>
    <d v="2014-10-03T00:00:00"/>
    <s v="Standard Class"/>
    <x v="416"/>
    <x v="416"/>
    <s v="Corporate"/>
    <s v="United States"/>
    <s v="Philadelphia"/>
    <x v="9"/>
    <n v="19134"/>
    <x v="3"/>
    <x v="823"/>
    <x v="0"/>
    <x v="3"/>
    <x v="819"/>
    <n v="67.176000000000002"/>
    <s v="Medium"/>
    <n v="1"/>
    <n v="0.4"/>
    <x v="1"/>
    <x v="7"/>
    <n v="-20.152799999999999"/>
    <n v="-0.3"/>
    <n v="1"/>
  </r>
  <r>
    <n v="4058"/>
    <s v="CA-2014-163034"/>
    <d v="2014-11-24T00:00:00"/>
    <x v="2"/>
    <s v="Q4"/>
    <x v="7"/>
    <d v="2014-11-28T00:00:00"/>
    <s v="Standard Class"/>
    <x v="213"/>
    <x v="213"/>
    <s v="Consumer"/>
    <s v="United States"/>
    <s v="Chicago"/>
    <x v="10"/>
    <n v="60610"/>
    <x v="2"/>
    <x v="765"/>
    <x v="1"/>
    <x v="4"/>
    <x v="764"/>
    <n v="646.20000000000005"/>
    <s v="High"/>
    <n v="5"/>
    <n v="0.2"/>
    <x v="2"/>
    <x v="2"/>
    <n v="-8.0775000000000006"/>
    <n v="-1.2500000000000001E-2"/>
    <n v="1"/>
  </r>
  <r>
    <n v="4059"/>
    <s v="CA-2015-124058"/>
    <d v="2015-11-20T00:00:00"/>
    <x v="1"/>
    <s v="Q4"/>
    <x v="6"/>
    <d v="2015-11-24T00:00:00"/>
    <s v="Standard Class"/>
    <x v="62"/>
    <x v="62"/>
    <s v="Consumer"/>
    <s v="United States"/>
    <s v="Oakland"/>
    <x v="1"/>
    <n v="94601"/>
    <x v="1"/>
    <x v="714"/>
    <x v="2"/>
    <x v="7"/>
    <x v="713"/>
    <n v="72.744"/>
    <s v="Medium"/>
    <n v="7"/>
    <n v="0.2"/>
    <x v="2"/>
    <x v="2"/>
    <n v="-15.4581"/>
    <n v="-0.21249999999999999"/>
    <n v="1"/>
  </r>
  <r>
    <n v="4060"/>
    <s v="CA-2015-124058"/>
    <d v="2015-11-20T00:00:00"/>
    <x v="1"/>
    <s v="Q4"/>
    <x v="6"/>
    <d v="2015-11-24T00:00:00"/>
    <s v="Standard Class"/>
    <x v="62"/>
    <x v="62"/>
    <s v="Consumer"/>
    <s v="United States"/>
    <s v="Oakland"/>
    <x v="1"/>
    <n v="94601"/>
    <x v="1"/>
    <x v="467"/>
    <x v="0"/>
    <x v="1"/>
    <x v="468"/>
    <n v="572.16"/>
    <s v="High"/>
    <n v="3"/>
    <n v="0.2"/>
    <x v="2"/>
    <x v="2"/>
    <n v="35.76"/>
    <n v="6.25E-2"/>
    <n v="0"/>
  </r>
  <r>
    <n v="4061"/>
    <s v="CA-2016-129196"/>
    <d v="2016-11-01T00:00:00"/>
    <x v="0"/>
    <s v="Q4"/>
    <x v="0"/>
    <d v="2016-11-07T00:00:00"/>
    <s v="Standard Class"/>
    <x v="190"/>
    <x v="190"/>
    <s v="Consumer"/>
    <s v="United States"/>
    <s v="Chicago"/>
    <x v="10"/>
    <n v="60610"/>
    <x v="2"/>
    <x v="721"/>
    <x v="2"/>
    <x v="11"/>
    <x v="720"/>
    <n v="68.111999999999995"/>
    <s v="Medium"/>
    <n v="3"/>
    <n v="0.2"/>
    <x v="2"/>
    <x v="2"/>
    <n v="17.8794"/>
    <n v="0.26250000000000001"/>
    <n v="0"/>
  </r>
  <r>
    <n v="4062"/>
    <s v="US-2015-138716"/>
    <d v="2015-09-17T00:00:00"/>
    <x v="1"/>
    <s v="Q3"/>
    <x v="11"/>
    <d v="2015-09-20T00:00:00"/>
    <s v="First Class"/>
    <x v="688"/>
    <x v="688"/>
    <s v="Corporate"/>
    <s v="United States"/>
    <s v="Seattle"/>
    <x v="4"/>
    <n v="98105"/>
    <x v="1"/>
    <x v="1124"/>
    <x v="1"/>
    <x v="8"/>
    <x v="1112"/>
    <n v="25.032"/>
    <s v="Medium"/>
    <n v="3"/>
    <n v="0.2"/>
    <x v="2"/>
    <x v="2"/>
    <n v="7.8224999999999998"/>
    <n v="0.3125"/>
    <n v="0"/>
  </r>
  <r>
    <n v="4063"/>
    <s v="US-2016-122182"/>
    <d v="2016-03-10T00:00:00"/>
    <x v="0"/>
    <s v="Q1"/>
    <x v="17"/>
    <d v="2016-03-14T00:00:00"/>
    <s v="Standard Class"/>
    <x v="420"/>
    <x v="420"/>
    <s v="Consumer"/>
    <s v="United States"/>
    <s v="Philadelphia"/>
    <x v="9"/>
    <n v="19143"/>
    <x v="3"/>
    <x v="1233"/>
    <x v="2"/>
    <x v="11"/>
    <x v="1216"/>
    <n v="39.991999999999997"/>
    <s v="Medium"/>
    <n v="1"/>
    <n v="0.2"/>
    <x v="2"/>
    <x v="2"/>
    <n v="7.4984999999999999"/>
    <n v="0.1875"/>
    <n v="0"/>
  </r>
  <r>
    <n v="4064"/>
    <s v="US-2014-130358"/>
    <d v="2014-06-23T00:00:00"/>
    <x v="2"/>
    <s v="Q2"/>
    <x v="3"/>
    <d v="2014-06-26T00:00:00"/>
    <s v="First Class"/>
    <x v="658"/>
    <x v="658"/>
    <s v="Consumer"/>
    <s v="United States"/>
    <s v="Concord"/>
    <x v="3"/>
    <n v="28027"/>
    <x v="0"/>
    <x v="1622"/>
    <x v="1"/>
    <x v="6"/>
    <x v="1050"/>
    <n v="20.015999999999998"/>
    <s v="Low"/>
    <n v="9"/>
    <n v="0.2"/>
    <x v="2"/>
    <x v="2"/>
    <n v="1.7514000000000001"/>
    <n v="8.7500000000000008E-2"/>
    <n v="0"/>
  </r>
  <r>
    <n v="4065"/>
    <s v="US-2014-130358"/>
    <d v="2014-06-23T00:00:00"/>
    <x v="2"/>
    <s v="Q2"/>
    <x v="3"/>
    <d v="2014-06-26T00:00:00"/>
    <s v="First Class"/>
    <x v="658"/>
    <x v="658"/>
    <s v="Consumer"/>
    <s v="United States"/>
    <s v="Concord"/>
    <x v="3"/>
    <n v="28027"/>
    <x v="0"/>
    <x v="1562"/>
    <x v="1"/>
    <x v="14"/>
    <x v="1553"/>
    <n v="3.1040000000000001"/>
    <s v="Low"/>
    <n v="1"/>
    <n v="0.2"/>
    <x v="2"/>
    <x v="2"/>
    <n v="0.34920000000000001"/>
    <n v="0.1125"/>
    <n v="0"/>
  </r>
  <r>
    <n v="4066"/>
    <s v="CA-2014-102673"/>
    <d v="2014-11-01T00:00:00"/>
    <x v="2"/>
    <s v="Q4"/>
    <x v="7"/>
    <d v="2014-11-05T00:00:00"/>
    <s v="Standard Class"/>
    <x v="175"/>
    <x v="175"/>
    <s v="Corporate"/>
    <s v="United States"/>
    <s v="Charlotte"/>
    <x v="3"/>
    <n v="28205"/>
    <x v="0"/>
    <x v="1014"/>
    <x v="1"/>
    <x v="13"/>
    <x v="128"/>
    <n v="7.52"/>
    <s v="Low"/>
    <n v="5"/>
    <n v="0.2"/>
    <x v="2"/>
    <x v="2"/>
    <n v="1.41"/>
    <n v="0.1875"/>
    <n v="0"/>
  </r>
  <r>
    <n v="4067"/>
    <s v="CA-2014-102673"/>
    <d v="2014-11-01T00:00:00"/>
    <x v="2"/>
    <s v="Q4"/>
    <x v="7"/>
    <d v="2014-11-05T00:00:00"/>
    <s v="Standard Class"/>
    <x v="175"/>
    <x v="175"/>
    <s v="Corporate"/>
    <s v="United States"/>
    <s v="Charlotte"/>
    <x v="3"/>
    <n v="28205"/>
    <x v="0"/>
    <x v="1005"/>
    <x v="1"/>
    <x v="6"/>
    <x v="997"/>
    <n v="10.272"/>
    <s v="Low"/>
    <n v="3"/>
    <n v="0.2"/>
    <x v="2"/>
    <x v="2"/>
    <n v="0.89880000000000004"/>
    <n v="8.7500000000000008E-2"/>
    <n v="0"/>
  </r>
  <r>
    <n v="4068"/>
    <s v="CA-2014-102673"/>
    <d v="2014-11-01T00:00:00"/>
    <x v="2"/>
    <s v="Q4"/>
    <x v="7"/>
    <d v="2014-11-05T00:00:00"/>
    <s v="Standard Class"/>
    <x v="175"/>
    <x v="175"/>
    <s v="Corporate"/>
    <s v="United States"/>
    <s v="Charlotte"/>
    <x v="3"/>
    <n v="28205"/>
    <x v="0"/>
    <x v="1140"/>
    <x v="1"/>
    <x v="2"/>
    <x v="1128"/>
    <n v="47.808"/>
    <s v="Medium"/>
    <n v="12"/>
    <n v="0.2"/>
    <x v="2"/>
    <x v="2"/>
    <n v="15.537599999999999"/>
    <n v="0.32500000000000001"/>
    <n v="0"/>
  </r>
  <r>
    <n v="4069"/>
    <s v="CA-2014-102673"/>
    <d v="2014-11-01T00:00:00"/>
    <x v="2"/>
    <s v="Q4"/>
    <x v="7"/>
    <d v="2014-11-05T00:00:00"/>
    <s v="Standard Class"/>
    <x v="175"/>
    <x v="175"/>
    <s v="Corporate"/>
    <s v="United States"/>
    <s v="Charlotte"/>
    <x v="3"/>
    <n v="28205"/>
    <x v="0"/>
    <x v="1623"/>
    <x v="2"/>
    <x v="7"/>
    <x v="1613"/>
    <n v="978.84"/>
    <s v="High"/>
    <n v="9"/>
    <n v="0.2"/>
    <x v="2"/>
    <x v="2"/>
    <n v="110.1195"/>
    <n v="0.1125"/>
    <n v="0"/>
  </r>
  <r>
    <n v="4070"/>
    <s v="CA-2016-145303"/>
    <d v="2016-08-28T00:00:00"/>
    <x v="0"/>
    <s v="Q3"/>
    <x v="28"/>
    <d v="2016-08-31T00:00:00"/>
    <s v="First Class"/>
    <x v="599"/>
    <x v="599"/>
    <s v="Consumer"/>
    <s v="United States"/>
    <s v="Dallas"/>
    <x v="5"/>
    <n v="75081"/>
    <x v="2"/>
    <x v="347"/>
    <x v="1"/>
    <x v="8"/>
    <x v="347"/>
    <n v="13.14"/>
    <s v="Low"/>
    <n v="9"/>
    <n v="0.8"/>
    <x v="1"/>
    <x v="3"/>
    <n v="-21.681000000000001"/>
    <n v="-1.65"/>
    <n v="1"/>
  </r>
  <r>
    <n v="4071"/>
    <s v="CA-2016-145303"/>
    <d v="2016-08-28T00:00:00"/>
    <x v="0"/>
    <s v="Q3"/>
    <x v="28"/>
    <d v="2016-08-31T00:00:00"/>
    <s v="First Class"/>
    <x v="599"/>
    <x v="599"/>
    <s v="Consumer"/>
    <s v="United States"/>
    <s v="Dallas"/>
    <x v="5"/>
    <n v="75081"/>
    <x v="2"/>
    <x v="1095"/>
    <x v="1"/>
    <x v="8"/>
    <x v="1085"/>
    <n v="10.023999999999999"/>
    <s v="Low"/>
    <n v="4"/>
    <n v="0.8"/>
    <x v="1"/>
    <x v="3"/>
    <n v="-16.5396"/>
    <n v="-1.6500000000000001"/>
    <n v="1"/>
  </r>
  <r>
    <n v="4072"/>
    <s v="CA-2016-145303"/>
    <d v="2016-08-28T00:00:00"/>
    <x v="0"/>
    <s v="Q3"/>
    <x v="28"/>
    <d v="2016-08-31T00:00:00"/>
    <s v="First Class"/>
    <x v="599"/>
    <x v="599"/>
    <s v="Consumer"/>
    <s v="United States"/>
    <s v="Dallas"/>
    <x v="5"/>
    <n v="75081"/>
    <x v="2"/>
    <x v="1121"/>
    <x v="0"/>
    <x v="0"/>
    <x v="1109"/>
    <n v="156.37280000000001"/>
    <s v="High"/>
    <n v="2"/>
    <n v="0.32"/>
    <x v="1"/>
    <x v="7"/>
    <n v="-52.890799999999999"/>
    <n v="-0.33823529411764702"/>
    <n v="1"/>
  </r>
  <r>
    <n v="4073"/>
    <s v="CA-2015-156104"/>
    <d v="2015-12-06T00:00:00"/>
    <x v="1"/>
    <s v="Q4"/>
    <x v="14"/>
    <d v="2015-12-08T00:00:00"/>
    <s v="Second Class"/>
    <x v="472"/>
    <x v="472"/>
    <s v="Home Office"/>
    <s v="United States"/>
    <s v="Indianapolis"/>
    <x v="14"/>
    <n v="46203"/>
    <x v="2"/>
    <x v="615"/>
    <x v="2"/>
    <x v="16"/>
    <x v="615"/>
    <n v="999.98"/>
    <s v="High"/>
    <n v="2"/>
    <n v="0"/>
    <x v="0"/>
    <x v="0"/>
    <n v="449.99099999999999"/>
    <n v="0.44999999999999996"/>
    <n v="0"/>
  </r>
  <r>
    <n v="4074"/>
    <s v="US-2015-164308"/>
    <d v="2015-09-24T00:00:00"/>
    <x v="1"/>
    <s v="Q3"/>
    <x v="11"/>
    <d v="2015-09-27T00:00:00"/>
    <s v="First Class"/>
    <x v="649"/>
    <x v="649"/>
    <s v="Home Office"/>
    <s v="United States"/>
    <s v="Broken Arrow"/>
    <x v="26"/>
    <n v="74012"/>
    <x v="2"/>
    <x v="1546"/>
    <x v="2"/>
    <x v="7"/>
    <x v="1534"/>
    <n v="821.94"/>
    <s v="High"/>
    <n v="6"/>
    <n v="0"/>
    <x v="0"/>
    <x v="0"/>
    <n v="213.70439999999999"/>
    <n v="0.25999999999999995"/>
    <n v="0"/>
  </r>
  <r>
    <n v="4075"/>
    <s v="CA-2017-108112"/>
    <d v="2017-11-15T00:00:00"/>
    <x v="3"/>
    <s v="Q4"/>
    <x v="23"/>
    <d v="2017-11-20T00:00:00"/>
    <s v="Standard Class"/>
    <x v="729"/>
    <x v="729"/>
    <s v="Consumer"/>
    <s v="United States"/>
    <s v="Miramar"/>
    <x v="2"/>
    <n v="33023"/>
    <x v="0"/>
    <x v="568"/>
    <x v="0"/>
    <x v="5"/>
    <x v="568"/>
    <n v="220.06399999999999"/>
    <s v="High"/>
    <n v="4"/>
    <n v="0.2"/>
    <x v="2"/>
    <x v="2"/>
    <n v="55.015999999999998"/>
    <n v="0.25"/>
    <n v="0"/>
  </r>
  <r>
    <n v="4076"/>
    <s v="CA-2017-108112"/>
    <d v="2017-11-15T00:00:00"/>
    <x v="3"/>
    <s v="Q4"/>
    <x v="23"/>
    <d v="2017-11-20T00:00:00"/>
    <s v="Standard Class"/>
    <x v="729"/>
    <x v="729"/>
    <s v="Consumer"/>
    <s v="United States"/>
    <s v="Miramar"/>
    <x v="2"/>
    <n v="33023"/>
    <x v="0"/>
    <x v="1060"/>
    <x v="0"/>
    <x v="5"/>
    <x v="1049"/>
    <n v="339.13600000000002"/>
    <s v="High"/>
    <n v="4"/>
    <n v="0.2"/>
    <x v="2"/>
    <x v="2"/>
    <n v="0"/>
    <n v="0"/>
    <n v="0"/>
  </r>
  <r>
    <n v="4077"/>
    <s v="CA-2015-100685"/>
    <d v="2015-12-19T00:00:00"/>
    <x v="1"/>
    <s v="Q4"/>
    <x v="14"/>
    <d v="2015-12-21T00:00:00"/>
    <s v="Second Class"/>
    <x v="416"/>
    <x v="416"/>
    <s v="Corporate"/>
    <s v="United States"/>
    <s v="Omaha"/>
    <x v="8"/>
    <n v="68104"/>
    <x v="2"/>
    <x v="653"/>
    <x v="1"/>
    <x v="8"/>
    <x v="653"/>
    <n v="7.04"/>
    <s v="Low"/>
    <n v="2"/>
    <n v="0"/>
    <x v="0"/>
    <x v="0"/>
    <n v="3.3088000000000002"/>
    <n v="0.47000000000000003"/>
    <n v="0"/>
  </r>
  <r>
    <n v="4078"/>
    <s v="CA-2015-100685"/>
    <d v="2015-12-19T00:00:00"/>
    <x v="1"/>
    <s v="Q4"/>
    <x v="14"/>
    <d v="2015-12-21T00:00:00"/>
    <s v="Second Class"/>
    <x v="416"/>
    <x v="416"/>
    <s v="Corporate"/>
    <s v="United States"/>
    <s v="Omaha"/>
    <x v="8"/>
    <n v="68104"/>
    <x v="2"/>
    <x v="242"/>
    <x v="1"/>
    <x v="13"/>
    <x v="243"/>
    <n v="5.04"/>
    <s v="Low"/>
    <n v="4"/>
    <n v="0"/>
    <x v="0"/>
    <x v="0"/>
    <n v="0.2016"/>
    <n v="0.04"/>
    <n v="0"/>
  </r>
  <r>
    <n v="4079"/>
    <s v="CA-2015-100685"/>
    <d v="2015-12-19T00:00:00"/>
    <x v="1"/>
    <s v="Q4"/>
    <x v="14"/>
    <d v="2015-12-21T00:00:00"/>
    <s v="Second Class"/>
    <x v="416"/>
    <x v="416"/>
    <s v="Corporate"/>
    <s v="United States"/>
    <s v="Omaha"/>
    <x v="8"/>
    <n v="68104"/>
    <x v="2"/>
    <x v="968"/>
    <x v="1"/>
    <x v="10"/>
    <x v="961"/>
    <n v="116.28"/>
    <s v="Medium"/>
    <n v="3"/>
    <n v="0"/>
    <x v="0"/>
    <x v="0"/>
    <n v="56.977200000000003"/>
    <n v="0.49000000000000005"/>
    <n v="0"/>
  </r>
  <r>
    <n v="4080"/>
    <s v="CA-2015-165414"/>
    <d v="2015-12-21T00:00:00"/>
    <x v="1"/>
    <s v="Q4"/>
    <x v="14"/>
    <d v="2015-12-24T00:00:00"/>
    <s v="First Class"/>
    <x v="201"/>
    <x v="201"/>
    <s v="Consumer"/>
    <s v="United States"/>
    <s v="Jacksonville"/>
    <x v="3"/>
    <n v="28540"/>
    <x v="0"/>
    <x v="125"/>
    <x v="2"/>
    <x v="7"/>
    <x v="126"/>
    <n v="47.975999999999999"/>
    <s v="Medium"/>
    <n v="3"/>
    <n v="0.2"/>
    <x v="2"/>
    <x v="2"/>
    <n v="4.7976000000000001"/>
    <n v="0.1"/>
    <n v="0"/>
  </r>
  <r>
    <n v="4081"/>
    <s v="CA-2016-140417"/>
    <d v="2016-09-25T00:00:00"/>
    <x v="0"/>
    <s v="Q3"/>
    <x v="21"/>
    <d v="2016-09-29T00:00:00"/>
    <s v="Standard Class"/>
    <x v="722"/>
    <x v="722"/>
    <s v="Corporate"/>
    <s v="United States"/>
    <s v="Tigard"/>
    <x v="21"/>
    <n v="97224"/>
    <x v="1"/>
    <x v="1305"/>
    <x v="1"/>
    <x v="10"/>
    <x v="1290"/>
    <n v="60.048000000000002"/>
    <s v="Medium"/>
    <n v="9"/>
    <n v="0.2"/>
    <x v="2"/>
    <x v="2"/>
    <n v="22.518000000000001"/>
    <n v="0.375"/>
    <n v="0"/>
  </r>
  <r>
    <n v="4082"/>
    <s v="CA-2016-140417"/>
    <d v="2016-09-25T00:00:00"/>
    <x v="0"/>
    <s v="Q3"/>
    <x v="21"/>
    <d v="2016-09-29T00:00:00"/>
    <s v="Standard Class"/>
    <x v="722"/>
    <x v="722"/>
    <s v="Corporate"/>
    <s v="United States"/>
    <s v="Tigard"/>
    <x v="21"/>
    <n v="97224"/>
    <x v="1"/>
    <x v="1595"/>
    <x v="1"/>
    <x v="8"/>
    <x v="1587"/>
    <n v="5.0220000000000002"/>
    <s v="Low"/>
    <n v="1"/>
    <n v="0.7"/>
    <x v="1"/>
    <x v="5"/>
    <n v="-3.5154000000000001"/>
    <n v="-0.7"/>
    <n v="1"/>
  </r>
  <r>
    <n v="4083"/>
    <s v="US-2017-151316"/>
    <d v="2017-06-24T00:00:00"/>
    <x v="3"/>
    <s v="Q2"/>
    <x v="27"/>
    <d v="2017-06-30T00:00:00"/>
    <s v="Standard Class"/>
    <x v="637"/>
    <x v="637"/>
    <s v="Corporate"/>
    <s v="United States"/>
    <s v="Decatur"/>
    <x v="10"/>
    <n v="62521"/>
    <x v="2"/>
    <x v="569"/>
    <x v="1"/>
    <x v="8"/>
    <x v="569"/>
    <n v="182.994"/>
    <s v="High"/>
    <n v="3"/>
    <n v="0.8"/>
    <x v="1"/>
    <x v="3"/>
    <n v="-320.23950000000002"/>
    <n v="-1.7500000000000002"/>
    <n v="1"/>
  </r>
  <r>
    <n v="4084"/>
    <s v="US-2017-151316"/>
    <d v="2017-06-24T00:00:00"/>
    <x v="3"/>
    <s v="Q2"/>
    <x v="27"/>
    <d v="2017-06-30T00:00:00"/>
    <s v="Standard Class"/>
    <x v="637"/>
    <x v="637"/>
    <s v="Corporate"/>
    <s v="United States"/>
    <s v="Decatur"/>
    <x v="10"/>
    <n v="62521"/>
    <x v="2"/>
    <x v="1450"/>
    <x v="1"/>
    <x v="10"/>
    <x v="1437"/>
    <n v="10.272"/>
    <s v="Low"/>
    <n v="3"/>
    <n v="0.2"/>
    <x v="2"/>
    <x v="2"/>
    <n v="3.21"/>
    <n v="0.3125"/>
    <n v="0"/>
  </r>
  <r>
    <n v="4085"/>
    <s v="CA-2017-163692"/>
    <d v="2017-09-07T00:00:00"/>
    <x v="3"/>
    <s v="Q3"/>
    <x v="15"/>
    <d v="2017-09-09T00:00:00"/>
    <s v="First Class"/>
    <x v="656"/>
    <x v="656"/>
    <s v="Home Office"/>
    <s v="United States"/>
    <s v="Phoenix"/>
    <x v="16"/>
    <n v="85023"/>
    <x v="1"/>
    <x v="44"/>
    <x v="1"/>
    <x v="8"/>
    <x v="44"/>
    <n v="7.8570000000000002"/>
    <s v="Low"/>
    <n v="3"/>
    <n v="0.7"/>
    <x v="1"/>
    <x v="5"/>
    <n v="-6.0236999999999998"/>
    <n v="-0.76666666666666661"/>
    <n v="1"/>
  </r>
  <r>
    <n v="4086"/>
    <s v="CA-2016-111913"/>
    <d v="2016-08-04T00:00:00"/>
    <x v="0"/>
    <s v="Q3"/>
    <x v="28"/>
    <d v="2016-08-06T00:00:00"/>
    <s v="Second Class"/>
    <x v="18"/>
    <x v="18"/>
    <s v="Corporate"/>
    <s v="United States"/>
    <s v="Sacramento"/>
    <x v="1"/>
    <n v="95823"/>
    <x v="1"/>
    <x v="7"/>
    <x v="2"/>
    <x v="7"/>
    <x v="7"/>
    <n v="302.38400000000001"/>
    <s v="High"/>
    <n v="2"/>
    <n v="0.2"/>
    <x v="2"/>
    <x v="2"/>
    <n v="30.238399999999999"/>
    <n v="9.9999999999999992E-2"/>
    <n v="0"/>
  </r>
  <r>
    <n v="4087"/>
    <s v="CA-2016-111913"/>
    <d v="2016-08-04T00:00:00"/>
    <x v="0"/>
    <s v="Q3"/>
    <x v="28"/>
    <d v="2016-08-06T00:00:00"/>
    <s v="Second Class"/>
    <x v="18"/>
    <x v="18"/>
    <s v="Corporate"/>
    <s v="United States"/>
    <s v="Sacramento"/>
    <x v="1"/>
    <n v="95823"/>
    <x v="1"/>
    <x v="44"/>
    <x v="1"/>
    <x v="8"/>
    <x v="44"/>
    <n v="20.952000000000002"/>
    <s v="Low"/>
    <n v="3"/>
    <n v="0.2"/>
    <x v="2"/>
    <x v="2"/>
    <n v="7.0712999999999999"/>
    <n v="0.33749999999999997"/>
    <n v="0"/>
  </r>
  <r>
    <n v="4088"/>
    <s v="CA-2016-111913"/>
    <d v="2016-08-04T00:00:00"/>
    <x v="0"/>
    <s v="Q3"/>
    <x v="28"/>
    <d v="2016-08-06T00:00:00"/>
    <s v="Second Class"/>
    <x v="18"/>
    <x v="18"/>
    <s v="Corporate"/>
    <s v="United States"/>
    <s v="Sacramento"/>
    <x v="1"/>
    <n v="95823"/>
    <x v="1"/>
    <x v="185"/>
    <x v="1"/>
    <x v="8"/>
    <x v="186"/>
    <n v="11.784000000000001"/>
    <s v="Low"/>
    <n v="3"/>
    <n v="0.2"/>
    <x v="2"/>
    <x v="2"/>
    <n v="3.9771000000000001"/>
    <n v="0.33749999999999997"/>
    <n v="0"/>
  </r>
  <r>
    <n v="4089"/>
    <s v="US-2014-156559"/>
    <d v="2014-08-19T00:00:00"/>
    <x v="2"/>
    <s v="Q3"/>
    <x v="9"/>
    <d v="2014-08-26T00:00:00"/>
    <s v="Standard Class"/>
    <x v="23"/>
    <x v="23"/>
    <s v="Consumer"/>
    <s v="United States"/>
    <s v="Jonesboro"/>
    <x v="36"/>
    <n v="72401"/>
    <x v="0"/>
    <x v="1624"/>
    <x v="0"/>
    <x v="0"/>
    <x v="1614"/>
    <n v="638.82000000000005"/>
    <s v="High"/>
    <n v="9"/>
    <n v="0"/>
    <x v="0"/>
    <x v="0"/>
    <n v="172.48140000000001"/>
    <n v="0.27"/>
    <n v="0"/>
  </r>
  <r>
    <n v="4090"/>
    <s v="CA-2016-161473"/>
    <d v="2016-04-01T00:00:00"/>
    <x v="0"/>
    <s v="Q2"/>
    <x v="25"/>
    <d v="2016-04-05T00:00:00"/>
    <s v="Standard Class"/>
    <x v="533"/>
    <x v="533"/>
    <s v="Corporate"/>
    <s v="United States"/>
    <s v="New York City"/>
    <x v="15"/>
    <n v="10035"/>
    <x v="3"/>
    <x v="488"/>
    <x v="1"/>
    <x v="2"/>
    <x v="488"/>
    <n v="20.7"/>
    <s v="Low"/>
    <n v="2"/>
    <n v="0"/>
    <x v="0"/>
    <x v="0"/>
    <n v="9.9359999999999999"/>
    <n v="0.48000000000000004"/>
    <n v="0"/>
  </r>
  <r>
    <n v="4091"/>
    <s v="CA-2016-161473"/>
    <d v="2016-04-01T00:00:00"/>
    <x v="0"/>
    <s v="Q2"/>
    <x v="25"/>
    <d v="2016-04-05T00:00:00"/>
    <s v="Standard Class"/>
    <x v="533"/>
    <x v="533"/>
    <s v="Corporate"/>
    <s v="United States"/>
    <s v="New York City"/>
    <x v="15"/>
    <n v="10035"/>
    <x v="3"/>
    <x v="503"/>
    <x v="1"/>
    <x v="14"/>
    <x v="503"/>
    <n v="10.95"/>
    <s v="Low"/>
    <n v="3"/>
    <n v="0"/>
    <x v="0"/>
    <x v="0"/>
    <n v="3.2850000000000001"/>
    <n v="0.30000000000000004"/>
    <n v="0"/>
  </r>
  <r>
    <n v="4092"/>
    <s v="CA-2016-161473"/>
    <d v="2016-04-01T00:00:00"/>
    <x v="0"/>
    <s v="Q2"/>
    <x v="25"/>
    <d v="2016-04-05T00:00:00"/>
    <s v="Standard Class"/>
    <x v="533"/>
    <x v="533"/>
    <s v="Corporate"/>
    <s v="United States"/>
    <s v="New York City"/>
    <x v="15"/>
    <n v="10035"/>
    <x v="3"/>
    <x v="570"/>
    <x v="1"/>
    <x v="8"/>
    <x v="570"/>
    <n v="14.352"/>
    <s v="Low"/>
    <n v="3"/>
    <n v="0.2"/>
    <x v="2"/>
    <x v="2"/>
    <n v="4.6643999999999997"/>
    <n v="0.32499999999999996"/>
    <n v="0"/>
  </r>
  <r>
    <n v="4093"/>
    <s v="CA-2017-166576"/>
    <d v="2017-05-16T00:00:00"/>
    <x v="3"/>
    <s v="Q2"/>
    <x v="24"/>
    <d v="2017-05-18T00:00:00"/>
    <s v="First Class"/>
    <x v="622"/>
    <x v="622"/>
    <s v="Consumer"/>
    <s v="United States"/>
    <s v="Akron"/>
    <x v="24"/>
    <n v="44312"/>
    <x v="3"/>
    <x v="942"/>
    <x v="1"/>
    <x v="4"/>
    <x v="935"/>
    <n v="221.024"/>
    <s v="High"/>
    <n v="2"/>
    <n v="0.2"/>
    <x v="2"/>
    <x v="2"/>
    <n v="-55.256"/>
    <n v="-0.25"/>
    <n v="1"/>
  </r>
  <r>
    <n v="4094"/>
    <s v="CA-2015-102491"/>
    <d v="2015-08-24T00:00:00"/>
    <x v="1"/>
    <s v="Q3"/>
    <x v="37"/>
    <d v="2015-08-28T00:00:00"/>
    <s v="Standard Class"/>
    <x v="147"/>
    <x v="147"/>
    <s v="Consumer"/>
    <s v="United States"/>
    <s v="Florence"/>
    <x v="0"/>
    <n v="41042"/>
    <x v="0"/>
    <x v="200"/>
    <x v="2"/>
    <x v="15"/>
    <x v="201"/>
    <n v="3080"/>
    <s v="High"/>
    <n v="7"/>
    <n v="0"/>
    <x v="0"/>
    <x v="0"/>
    <n v="1416.8"/>
    <n v="0.45999999999999996"/>
    <n v="0"/>
  </r>
  <r>
    <n v="4095"/>
    <s v="CA-2015-102491"/>
    <d v="2015-08-24T00:00:00"/>
    <x v="1"/>
    <s v="Q3"/>
    <x v="37"/>
    <d v="2015-08-28T00:00:00"/>
    <s v="Standard Class"/>
    <x v="147"/>
    <x v="147"/>
    <s v="Consumer"/>
    <s v="United States"/>
    <s v="Florence"/>
    <x v="0"/>
    <n v="41042"/>
    <x v="0"/>
    <x v="1235"/>
    <x v="2"/>
    <x v="11"/>
    <x v="1218"/>
    <n v="79.959999999999994"/>
    <s v="Medium"/>
    <n v="4"/>
    <n v="0"/>
    <x v="0"/>
    <x v="0"/>
    <n v="18.390799999999999"/>
    <n v="0.23"/>
    <n v="0"/>
  </r>
  <r>
    <n v="4096"/>
    <s v="CA-2015-102491"/>
    <d v="2015-08-24T00:00:00"/>
    <x v="1"/>
    <s v="Q3"/>
    <x v="37"/>
    <d v="2015-08-28T00:00:00"/>
    <s v="Standard Class"/>
    <x v="147"/>
    <x v="147"/>
    <s v="Consumer"/>
    <s v="United States"/>
    <s v="Florence"/>
    <x v="0"/>
    <n v="41042"/>
    <x v="0"/>
    <x v="1602"/>
    <x v="2"/>
    <x v="7"/>
    <x v="1594"/>
    <n v="587.97"/>
    <s v="High"/>
    <n v="3"/>
    <n v="0"/>
    <x v="0"/>
    <x v="0"/>
    <n v="170.51130000000001"/>
    <n v="0.28999999999999998"/>
    <n v="0"/>
  </r>
  <r>
    <n v="4097"/>
    <s v="CA-2014-116904"/>
    <d v="2014-09-23T00:00:00"/>
    <x v="2"/>
    <s v="Q3"/>
    <x v="30"/>
    <d v="2014-09-28T00:00:00"/>
    <s v="Standard Class"/>
    <x v="183"/>
    <x v="183"/>
    <s v="Consumer"/>
    <s v="United States"/>
    <s v="Minneapolis"/>
    <x v="11"/>
    <n v="55407"/>
    <x v="2"/>
    <x v="974"/>
    <x v="1"/>
    <x v="10"/>
    <x v="968"/>
    <n v="32.4"/>
    <s v="Medium"/>
    <n v="5"/>
    <n v="0"/>
    <x v="0"/>
    <x v="0"/>
    <n v="15.552"/>
    <n v="0.48"/>
    <n v="0"/>
  </r>
  <r>
    <n v="4098"/>
    <s v="CA-2014-116904"/>
    <d v="2014-09-23T00:00:00"/>
    <x v="2"/>
    <s v="Q3"/>
    <x v="30"/>
    <d v="2014-09-28T00:00:00"/>
    <s v="Standard Class"/>
    <x v="183"/>
    <x v="183"/>
    <s v="Consumer"/>
    <s v="United States"/>
    <s v="Minneapolis"/>
    <x v="11"/>
    <n v="55407"/>
    <x v="2"/>
    <x v="459"/>
    <x v="1"/>
    <x v="4"/>
    <x v="460"/>
    <n v="404.9"/>
    <s v="High"/>
    <n v="5"/>
    <n v="0"/>
    <x v="0"/>
    <x v="0"/>
    <n v="16.196000000000002"/>
    <n v="4.0000000000000008E-2"/>
    <n v="0"/>
  </r>
  <r>
    <n v="4099"/>
    <s v="CA-2014-116904"/>
    <d v="2014-09-23T00:00:00"/>
    <x v="2"/>
    <s v="Q3"/>
    <x v="30"/>
    <d v="2014-09-28T00:00:00"/>
    <s v="Standard Class"/>
    <x v="183"/>
    <x v="183"/>
    <s v="Consumer"/>
    <s v="United States"/>
    <s v="Minneapolis"/>
    <x v="11"/>
    <n v="55407"/>
    <x v="2"/>
    <x v="1625"/>
    <x v="1"/>
    <x v="8"/>
    <x v="1615"/>
    <n v="9449.9500000000007"/>
    <s v="High"/>
    <n v="5"/>
    <n v="0"/>
    <x v="0"/>
    <x v="0"/>
    <n v="4630.4754999999996"/>
    <n v="0.48999999999999994"/>
    <n v="0"/>
  </r>
  <r>
    <n v="4100"/>
    <s v="CA-2014-116904"/>
    <d v="2014-09-23T00:00:00"/>
    <x v="2"/>
    <s v="Q3"/>
    <x v="30"/>
    <d v="2014-09-28T00:00:00"/>
    <s v="Standard Class"/>
    <x v="183"/>
    <x v="183"/>
    <s v="Consumer"/>
    <s v="United States"/>
    <s v="Minneapolis"/>
    <x v="11"/>
    <n v="55407"/>
    <x v="2"/>
    <x v="625"/>
    <x v="1"/>
    <x v="8"/>
    <x v="625"/>
    <n v="12.94"/>
    <s v="Low"/>
    <n v="2"/>
    <n v="0"/>
    <x v="0"/>
    <x v="0"/>
    <n v="6.47"/>
    <n v="0.5"/>
    <n v="0"/>
  </r>
  <r>
    <n v="4101"/>
    <s v="US-2017-102288"/>
    <d v="2017-06-19T00:00:00"/>
    <x v="3"/>
    <s v="Q2"/>
    <x v="27"/>
    <d v="2017-06-23T00:00:00"/>
    <s v="Standard Class"/>
    <x v="233"/>
    <x v="233"/>
    <s v="Consumer"/>
    <s v="United States"/>
    <s v="Houston"/>
    <x v="5"/>
    <n v="77095"/>
    <x v="2"/>
    <x v="1626"/>
    <x v="1"/>
    <x v="9"/>
    <x v="1616"/>
    <n v="2.2639999999999998"/>
    <s v="Low"/>
    <n v="1"/>
    <n v="0.8"/>
    <x v="1"/>
    <x v="3"/>
    <n v="-5.2072000000000003"/>
    <n v="-2.3000000000000003"/>
    <n v="1"/>
  </r>
  <r>
    <n v="4102"/>
    <s v="US-2017-102288"/>
    <d v="2017-06-19T00:00:00"/>
    <x v="3"/>
    <s v="Q2"/>
    <x v="27"/>
    <d v="2017-06-23T00:00:00"/>
    <s v="Standard Class"/>
    <x v="233"/>
    <x v="233"/>
    <s v="Consumer"/>
    <s v="United States"/>
    <s v="Houston"/>
    <x v="5"/>
    <n v="77095"/>
    <x v="2"/>
    <x v="1108"/>
    <x v="1"/>
    <x v="9"/>
    <x v="1097"/>
    <n v="0.44400000000000001"/>
    <s v="Low"/>
    <n v="1"/>
    <n v="0.8"/>
    <x v="1"/>
    <x v="3"/>
    <n v="-1.1100000000000001"/>
    <n v="-2.5"/>
    <n v="1"/>
  </r>
  <r>
    <n v="4103"/>
    <s v="US-2017-102288"/>
    <d v="2017-06-19T00:00:00"/>
    <x v="3"/>
    <s v="Q2"/>
    <x v="27"/>
    <d v="2017-06-23T00:00:00"/>
    <s v="Standard Class"/>
    <x v="233"/>
    <x v="233"/>
    <s v="Consumer"/>
    <s v="United States"/>
    <s v="Houston"/>
    <x v="5"/>
    <n v="77095"/>
    <x v="2"/>
    <x v="1264"/>
    <x v="1"/>
    <x v="10"/>
    <x v="1248"/>
    <n v="146.17599999999999"/>
    <s v="High"/>
    <n v="8"/>
    <n v="0.2"/>
    <x v="2"/>
    <x v="2"/>
    <n v="47.507199999999997"/>
    <n v="0.32500000000000001"/>
    <n v="0"/>
  </r>
  <r>
    <n v="4104"/>
    <s v="CA-2017-137456"/>
    <d v="2017-12-21T00:00:00"/>
    <x v="3"/>
    <s v="Q4"/>
    <x v="22"/>
    <d v="2017-12-21T00:00:00"/>
    <s v="Same Day"/>
    <x v="46"/>
    <x v="46"/>
    <s v="Home Office"/>
    <s v="United States"/>
    <s v="Fremont"/>
    <x v="8"/>
    <n v="68025"/>
    <x v="2"/>
    <x v="740"/>
    <x v="0"/>
    <x v="5"/>
    <x v="222"/>
    <n v="15.92"/>
    <s v="Low"/>
    <n v="2"/>
    <n v="0"/>
    <x v="0"/>
    <x v="0"/>
    <n v="7.0048000000000004"/>
    <n v="0.44"/>
    <n v="0"/>
  </r>
  <r>
    <n v="4105"/>
    <s v="US-2017-155999"/>
    <d v="2017-08-07T00:00:00"/>
    <x v="3"/>
    <s v="Q3"/>
    <x v="43"/>
    <d v="2017-08-13T00:00:00"/>
    <s v="Standard Class"/>
    <x v="271"/>
    <x v="271"/>
    <s v="Consumer"/>
    <s v="United States"/>
    <s v="San Diego"/>
    <x v="1"/>
    <n v="92105"/>
    <x v="1"/>
    <x v="884"/>
    <x v="2"/>
    <x v="7"/>
    <x v="878"/>
    <n v="159.96"/>
    <s v="High"/>
    <n v="5"/>
    <n v="0.2"/>
    <x v="2"/>
    <x v="2"/>
    <n v="17.9955"/>
    <n v="0.11249999999999999"/>
    <n v="0"/>
  </r>
  <r>
    <n v="4106"/>
    <s v="US-2017-155999"/>
    <d v="2017-08-07T00:00:00"/>
    <x v="3"/>
    <s v="Q3"/>
    <x v="43"/>
    <d v="2017-08-13T00:00:00"/>
    <s v="Standard Class"/>
    <x v="271"/>
    <x v="271"/>
    <s v="Consumer"/>
    <s v="United States"/>
    <s v="San Diego"/>
    <x v="1"/>
    <n v="92105"/>
    <x v="1"/>
    <x v="480"/>
    <x v="1"/>
    <x v="8"/>
    <x v="481"/>
    <n v="13.76"/>
    <s v="Low"/>
    <n v="2"/>
    <n v="0.2"/>
    <x v="2"/>
    <x v="2"/>
    <n v="4.6440000000000001"/>
    <n v="0.33750000000000002"/>
    <n v="0"/>
  </r>
  <r>
    <n v="4107"/>
    <s v="US-2016-148334"/>
    <d v="2016-08-22T00:00:00"/>
    <x v="0"/>
    <s v="Q3"/>
    <x v="28"/>
    <d v="2016-08-26T00:00:00"/>
    <s v="Standard Class"/>
    <x v="732"/>
    <x v="732"/>
    <s v="Consumer"/>
    <s v="United States"/>
    <s v="Houston"/>
    <x v="5"/>
    <n v="77041"/>
    <x v="2"/>
    <x v="828"/>
    <x v="1"/>
    <x v="8"/>
    <x v="824"/>
    <n v="4.3120000000000003"/>
    <s v="Low"/>
    <n v="2"/>
    <n v="0.8"/>
    <x v="1"/>
    <x v="3"/>
    <n v="-6.8992000000000004"/>
    <n v="-1.6"/>
    <n v="1"/>
  </r>
  <r>
    <n v="4108"/>
    <s v="CA-2015-105599"/>
    <d v="2015-09-07T00:00:00"/>
    <x v="1"/>
    <s v="Q3"/>
    <x v="11"/>
    <d v="2015-09-07T00:00:00"/>
    <s v="Same Day"/>
    <x v="507"/>
    <x v="507"/>
    <s v="Consumer"/>
    <s v="United States"/>
    <s v="New York City"/>
    <x v="15"/>
    <n v="10011"/>
    <x v="3"/>
    <x v="700"/>
    <x v="1"/>
    <x v="4"/>
    <x v="700"/>
    <n v="13.96"/>
    <s v="Low"/>
    <n v="2"/>
    <n v="0"/>
    <x v="0"/>
    <x v="0"/>
    <n v="0.2792"/>
    <n v="0.02"/>
    <n v="0"/>
  </r>
  <r>
    <n v="4109"/>
    <s v="CA-2015-105599"/>
    <d v="2015-09-07T00:00:00"/>
    <x v="1"/>
    <s v="Q3"/>
    <x v="11"/>
    <d v="2015-09-07T00:00:00"/>
    <s v="Same Day"/>
    <x v="507"/>
    <x v="507"/>
    <s v="Consumer"/>
    <s v="United States"/>
    <s v="New York City"/>
    <x v="15"/>
    <n v="10011"/>
    <x v="3"/>
    <x v="1479"/>
    <x v="0"/>
    <x v="3"/>
    <x v="1466"/>
    <n v="27.414000000000001"/>
    <s v="Medium"/>
    <n v="3"/>
    <n v="0.4"/>
    <x v="1"/>
    <x v="7"/>
    <n v="-14.1639"/>
    <n v="-0.51666666666666661"/>
    <n v="1"/>
  </r>
  <r>
    <n v="4110"/>
    <s v="CA-2015-153717"/>
    <d v="2015-12-25T00:00:00"/>
    <x v="1"/>
    <s v="Q4"/>
    <x v="14"/>
    <d v="2016-01-01T00:00:00"/>
    <s v="Standard Class"/>
    <x v="393"/>
    <x v="393"/>
    <s v="Corporate"/>
    <s v="United States"/>
    <s v="Detroit"/>
    <x v="12"/>
    <n v="48227"/>
    <x v="2"/>
    <x v="687"/>
    <x v="2"/>
    <x v="7"/>
    <x v="687"/>
    <n v="73.98"/>
    <s v="Medium"/>
    <n v="2"/>
    <n v="0"/>
    <x v="0"/>
    <x v="0"/>
    <n v="19.974599999999999"/>
    <n v="0.26999999999999996"/>
    <n v="0"/>
  </r>
  <r>
    <n v="4111"/>
    <s v="CA-2015-153717"/>
    <d v="2015-12-25T00:00:00"/>
    <x v="1"/>
    <s v="Q4"/>
    <x v="14"/>
    <d v="2016-01-01T00:00:00"/>
    <s v="Standard Class"/>
    <x v="393"/>
    <x v="393"/>
    <s v="Corporate"/>
    <s v="United States"/>
    <s v="Detroit"/>
    <x v="12"/>
    <n v="48227"/>
    <x v="2"/>
    <x v="1627"/>
    <x v="0"/>
    <x v="0"/>
    <x v="1617"/>
    <n v="160.97999999999999"/>
    <s v="High"/>
    <n v="1"/>
    <n v="0"/>
    <x v="0"/>
    <x v="0"/>
    <n v="20.927399999999999"/>
    <n v="0.13"/>
    <n v="0"/>
  </r>
  <r>
    <n v="4112"/>
    <s v="CA-2015-153717"/>
    <d v="2015-12-25T00:00:00"/>
    <x v="1"/>
    <s v="Q4"/>
    <x v="14"/>
    <d v="2016-01-01T00:00:00"/>
    <s v="Standard Class"/>
    <x v="393"/>
    <x v="393"/>
    <s v="Corporate"/>
    <s v="United States"/>
    <s v="Detroit"/>
    <x v="12"/>
    <n v="48227"/>
    <x v="2"/>
    <x v="1215"/>
    <x v="1"/>
    <x v="10"/>
    <x v="1199"/>
    <n v="17.34"/>
    <s v="Low"/>
    <n v="3"/>
    <n v="0"/>
    <x v="0"/>
    <x v="0"/>
    <n v="8.4966000000000008"/>
    <n v="0.49000000000000005"/>
    <n v="0"/>
  </r>
  <r>
    <n v="4113"/>
    <s v="CA-2015-153717"/>
    <d v="2015-12-25T00:00:00"/>
    <x v="1"/>
    <s v="Q4"/>
    <x v="14"/>
    <d v="2016-01-01T00:00:00"/>
    <s v="Standard Class"/>
    <x v="393"/>
    <x v="393"/>
    <s v="Corporate"/>
    <s v="United States"/>
    <s v="Detroit"/>
    <x v="12"/>
    <n v="48227"/>
    <x v="2"/>
    <x v="836"/>
    <x v="1"/>
    <x v="6"/>
    <x v="831"/>
    <n v="3.28"/>
    <s v="Low"/>
    <n v="1"/>
    <n v="0"/>
    <x v="0"/>
    <x v="0"/>
    <n v="0.95120000000000005"/>
    <n v="0.29000000000000004"/>
    <n v="0"/>
  </r>
  <r>
    <n v="4114"/>
    <s v="CA-2015-116687"/>
    <d v="2015-05-02T00:00:00"/>
    <x v="1"/>
    <s v="Q2"/>
    <x v="33"/>
    <d v="2015-05-07T00:00:00"/>
    <s v="Standard Class"/>
    <x v="544"/>
    <x v="544"/>
    <s v="Corporate"/>
    <s v="United States"/>
    <s v="Houston"/>
    <x v="5"/>
    <n v="77095"/>
    <x v="2"/>
    <x v="1139"/>
    <x v="1"/>
    <x v="2"/>
    <x v="1127"/>
    <n v="8.8559999999999999"/>
    <s v="Low"/>
    <n v="3"/>
    <n v="0.2"/>
    <x v="2"/>
    <x v="2"/>
    <n v="2.9889000000000001"/>
    <n v="0.33750000000000002"/>
    <n v="0"/>
  </r>
  <r>
    <n v="4115"/>
    <s v="CA-2015-116687"/>
    <d v="2015-05-02T00:00:00"/>
    <x v="1"/>
    <s v="Q2"/>
    <x v="33"/>
    <d v="2015-05-07T00:00:00"/>
    <s v="Standard Class"/>
    <x v="544"/>
    <x v="544"/>
    <s v="Corporate"/>
    <s v="United States"/>
    <s v="Houston"/>
    <x v="5"/>
    <n v="77095"/>
    <x v="2"/>
    <x v="984"/>
    <x v="2"/>
    <x v="7"/>
    <x v="977"/>
    <n v="158.376"/>
    <s v="High"/>
    <n v="3"/>
    <n v="0.2"/>
    <x v="2"/>
    <x v="2"/>
    <n v="13.857900000000001"/>
    <n v="8.7500000000000008E-2"/>
    <n v="0"/>
  </r>
  <r>
    <n v="4116"/>
    <s v="CA-2016-163573"/>
    <d v="2016-11-24T00:00:00"/>
    <x v="0"/>
    <s v="Q4"/>
    <x v="0"/>
    <d v="2016-11-27T00:00:00"/>
    <s v="First Class"/>
    <x v="549"/>
    <x v="549"/>
    <s v="Consumer"/>
    <s v="United States"/>
    <s v="Seattle"/>
    <x v="4"/>
    <n v="98105"/>
    <x v="1"/>
    <x v="569"/>
    <x v="1"/>
    <x v="8"/>
    <x v="569"/>
    <n v="1219.96"/>
    <s v="High"/>
    <n v="5"/>
    <n v="0.2"/>
    <x v="2"/>
    <x v="2"/>
    <n v="381.23750000000001"/>
    <n v="0.3125"/>
    <n v="0"/>
  </r>
  <r>
    <n v="4117"/>
    <s v="CA-2015-153416"/>
    <d v="2015-11-24T00:00:00"/>
    <x v="1"/>
    <s v="Q4"/>
    <x v="6"/>
    <d v="2015-11-29T00:00:00"/>
    <s v="Standard Class"/>
    <x v="358"/>
    <x v="358"/>
    <s v="Consumer"/>
    <s v="United States"/>
    <s v="Los Angeles"/>
    <x v="1"/>
    <n v="90036"/>
    <x v="1"/>
    <x v="922"/>
    <x v="1"/>
    <x v="8"/>
    <x v="914"/>
    <n v="3.1680000000000001"/>
    <s v="Low"/>
    <n v="2"/>
    <n v="0.2"/>
    <x v="2"/>
    <x v="2"/>
    <n v="0.99"/>
    <n v="0.3125"/>
    <n v="0"/>
  </r>
  <r>
    <n v="4118"/>
    <s v="CA-2015-153416"/>
    <d v="2015-11-24T00:00:00"/>
    <x v="1"/>
    <s v="Q4"/>
    <x v="6"/>
    <d v="2015-11-29T00:00:00"/>
    <s v="Standard Class"/>
    <x v="358"/>
    <x v="358"/>
    <s v="Consumer"/>
    <s v="United States"/>
    <s v="Los Angeles"/>
    <x v="1"/>
    <n v="90036"/>
    <x v="1"/>
    <x v="510"/>
    <x v="1"/>
    <x v="10"/>
    <x v="510"/>
    <n v="19.440000000000001"/>
    <s v="Low"/>
    <n v="3"/>
    <n v="0"/>
    <x v="0"/>
    <x v="0"/>
    <n v="9.3312000000000008"/>
    <n v="0.48000000000000004"/>
    <n v="0"/>
  </r>
  <r>
    <n v="4119"/>
    <s v="CA-2015-153416"/>
    <d v="2015-11-24T00:00:00"/>
    <x v="1"/>
    <s v="Q4"/>
    <x v="6"/>
    <d v="2015-11-29T00:00:00"/>
    <s v="Standard Class"/>
    <x v="358"/>
    <x v="358"/>
    <s v="Consumer"/>
    <s v="United States"/>
    <s v="Los Angeles"/>
    <x v="1"/>
    <n v="90036"/>
    <x v="1"/>
    <x v="391"/>
    <x v="1"/>
    <x v="4"/>
    <x v="392"/>
    <n v="454.86"/>
    <s v="High"/>
    <n v="7"/>
    <n v="0"/>
    <x v="0"/>
    <x v="0"/>
    <n v="54.583199999999998"/>
    <n v="0.12"/>
    <n v="0"/>
  </r>
  <r>
    <n v="4120"/>
    <s v="CA-2015-153416"/>
    <d v="2015-11-24T00:00:00"/>
    <x v="1"/>
    <s v="Q4"/>
    <x v="6"/>
    <d v="2015-11-29T00:00:00"/>
    <s v="Standard Class"/>
    <x v="358"/>
    <x v="358"/>
    <s v="Consumer"/>
    <s v="United States"/>
    <s v="Los Angeles"/>
    <x v="1"/>
    <n v="90036"/>
    <x v="1"/>
    <x v="276"/>
    <x v="1"/>
    <x v="8"/>
    <x v="276"/>
    <n v="91.391999999999996"/>
    <s v="Medium"/>
    <n v="8"/>
    <n v="0.2"/>
    <x v="2"/>
    <x v="2"/>
    <n v="29.702400000000001"/>
    <n v="0.32500000000000001"/>
    <n v="0"/>
  </r>
  <r>
    <n v="4121"/>
    <s v="CA-2017-117394"/>
    <d v="2017-09-04T00:00:00"/>
    <x v="3"/>
    <s v="Q3"/>
    <x v="15"/>
    <d v="2017-09-10T00:00:00"/>
    <s v="Standard Class"/>
    <x v="462"/>
    <x v="462"/>
    <s v="Consumer"/>
    <s v="United States"/>
    <s v="Philadelphia"/>
    <x v="9"/>
    <n v="19120"/>
    <x v="3"/>
    <x v="1628"/>
    <x v="2"/>
    <x v="11"/>
    <x v="1618"/>
    <n v="19.04"/>
    <s v="Low"/>
    <n v="4"/>
    <n v="0.2"/>
    <x v="2"/>
    <x v="2"/>
    <n v="-1.4279999999999999"/>
    <n v="-7.4999999999999997E-2"/>
    <n v="1"/>
  </r>
  <r>
    <n v="4122"/>
    <s v="CA-2017-133823"/>
    <d v="2017-05-11T00:00:00"/>
    <x v="3"/>
    <s v="Q2"/>
    <x v="24"/>
    <d v="2017-05-12T00:00:00"/>
    <s v="Same Day"/>
    <x v="221"/>
    <x v="221"/>
    <s v="Consumer"/>
    <s v="United States"/>
    <s v="Seattle"/>
    <x v="4"/>
    <n v="98103"/>
    <x v="1"/>
    <x v="910"/>
    <x v="1"/>
    <x v="10"/>
    <x v="902"/>
    <n v="37.44"/>
    <s v="Medium"/>
    <n v="6"/>
    <n v="0"/>
    <x v="0"/>
    <x v="0"/>
    <n v="16.847999999999999"/>
    <n v="0.45"/>
    <n v="0"/>
  </r>
  <r>
    <n v="4123"/>
    <s v="CA-2017-133823"/>
    <d v="2017-05-11T00:00:00"/>
    <x v="3"/>
    <s v="Q2"/>
    <x v="24"/>
    <d v="2017-05-12T00:00:00"/>
    <s v="Same Day"/>
    <x v="221"/>
    <x v="221"/>
    <s v="Consumer"/>
    <s v="United States"/>
    <s v="Seattle"/>
    <x v="4"/>
    <n v="98103"/>
    <x v="1"/>
    <x v="1351"/>
    <x v="1"/>
    <x v="2"/>
    <x v="1337"/>
    <n v="37.590000000000003"/>
    <s v="Medium"/>
    <n v="3"/>
    <n v="0"/>
    <x v="0"/>
    <x v="0"/>
    <n v="17.667300000000001"/>
    <n v="0.47"/>
    <n v="0"/>
  </r>
  <r>
    <n v="4124"/>
    <s v="CA-2017-133823"/>
    <d v="2017-05-11T00:00:00"/>
    <x v="3"/>
    <s v="Q2"/>
    <x v="24"/>
    <d v="2017-05-12T00:00:00"/>
    <s v="Same Day"/>
    <x v="221"/>
    <x v="221"/>
    <s v="Consumer"/>
    <s v="United States"/>
    <s v="Seattle"/>
    <x v="4"/>
    <n v="98103"/>
    <x v="1"/>
    <x v="1526"/>
    <x v="1"/>
    <x v="8"/>
    <x v="1513"/>
    <n v="26.032"/>
    <s v="Medium"/>
    <n v="2"/>
    <n v="0.2"/>
    <x v="2"/>
    <x v="2"/>
    <n v="9.4366000000000003"/>
    <n v="0.36249999999999999"/>
    <n v="0"/>
  </r>
  <r>
    <n v="4125"/>
    <s v="CA-2014-127523"/>
    <d v="2014-05-11T00:00:00"/>
    <x v="2"/>
    <s v="Q2"/>
    <x v="8"/>
    <d v="2014-05-18T00:00:00"/>
    <s v="Standard Class"/>
    <x v="410"/>
    <x v="410"/>
    <s v="Corporate"/>
    <s v="United States"/>
    <s v="Watertown"/>
    <x v="15"/>
    <n v="13601"/>
    <x v="3"/>
    <x v="360"/>
    <x v="1"/>
    <x v="9"/>
    <x v="360"/>
    <n v="35.909999999999997"/>
    <s v="Medium"/>
    <n v="3"/>
    <n v="0"/>
    <x v="0"/>
    <x v="0"/>
    <n v="9.6957000000000004"/>
    <n v="0.27"/>
    <n v="0"/>
  </r>
  <r>
    <n v="4126"/>
    <s v="CA-2017-123239"/>
    <d v="2017-07-27T00:00:00"/>
    <x v="3"/>
    <s v="Q3"/>
    <x v="10"/>
    <d v="2017-07-31T00:00:00"/>
    <s v="Second Class"/>
    <x v="207"/>
    <x v="207"/>
    <s v="Consumer"/>
    <s v="United States"/>
    <s v="Jacksonville"/>
    <x v="2"/>
    <n v="32216"/>
    <x v="0"/>
    <x v="767"/>
    <x v="0"/>
    <x v="5"/>
    <x v="766"/>
    <n v="91.031999999999996"/>
    <s v="Medium"/>
    <n v="3"/>
    <n v="0.2"/>
    <x v="2"/>
    <x v="2"/>
    <n v="-2.2757999999999998"/>
    <n v="-2.4999999999999998E-2"/>
    <n v="1"/>
  </r>
  <r>
    <n v="4127"/>
    <s v="CA-2017-156769"/>
    <d v="2017-05-06T00:00:00"/>
    <x v="3"/>
    <s v="Q2"/>
    <x v="24"/>
    <d v="2017-05-09T00:00:00"/>
    <s v="First Class"/>
    <x v="47"/>
    <x v="47"/>
    <s v="Consumer"/>
    <s v="United States"/>
    <s v="Arlington"/>
    <x v="17"/>
    <n v="22204"/>
    <x v="0"/>
    <x v="1583"/>
    <x v="1"/>
    <x v="6"/>
    <x v="1574"/>
    <n v="54.66"/>
    <s v="Medium"/>
    <n v="6"/>
    <n v="0"/>
    <x v="0"/>
    <x v="0"/>
    <n v="18.037800000000001"/>
    <n v="0.33"/>
    <n v="0"/>
  </r>
  <r>
    <n v="4128"/>
    <s v="CA-2014-127299"/>
    <d v="2014-09-19T00:00:00"/>
    <x v="2"/>
    <s v="Q3"/>
    <x v="30"/>
    <d v="2014-09-24T00:00:00"/>
    <s v="Standard Class"/>
    <x v="252"/>
    <x v="252"/>
    <s v="Consumer"/>
    <s v="United States"/>
    <s v="Charlotte"/>
    <x v="3"/>
    <n v="28205"/>
    <x v="0"/>
    <x v="768"/>
    <x v="1"/>
    <x v="4"/>
    <x v="767"/>
    <n v="67.343999999999994"/>
    <s v="Medium"/>
    <n v="6"/>
    <n v="0.2"/>
    <x v="2"/>
    <x v="2"/>
    <n v="7.5762"/>
    <n v="0.11250000000000002"/>
    <n v="0"/>
  </r>
  <r>
    <n v="4129"/>
    <s v="CA-2014-127299"/>
    <d v="2014-09-19T00:00:00"/>
    <x v="2"/>
    <s v="Q3"/>
    <x v="30"/>
    <d v="2014-09-24T00:00:00"/>
    <s v="Standard Class"/>
    <x v="252"/>
    <x v="252"/>
    <s v="Consumer"/>
    <s v="United States"/>
    <s v="Charlotte"/>
    <x v="3"/>
    <n v="28205"/>
    <x v="0"/>
    <x v="1629"/>
    <x v="2"/>
    <x v="15"/>
    <x v="1619"/>
    <n v="2624.9850000000001"/>
    <s v="High"/>
    <n v="3"/>
    <n v="0.5"/>
    <x v="1"/>
    <x v="1"/>
    <n v="-944.99459999999999"/>
    <n v="-0.36"/>
    <n v="1"/>
  </r>
  <r>
    <n v="4130"/>
    <s v="CA-2015-121272"/>
    <d v="2015-03-29T00:00:00"/>
    <x v="1"/>
    <s v="Q1"/>
    <x v="29"/>
    <d v="2015-04-04T00:00:00"/>
    <s v="Standard Class"/>
    <x v="157"/>
    <x v="157"/>
    <s v="Consumer"/>
    <s v="United States"/>
    <s v="Seattle"/>
    <x v="4"/>
    <n v="98103"/>
    <x v="1"/>
    <x v="1549"/>
    <x v="1"/>
    <x v="9"/>
    <x v="1537"/>
    <n v="73.28"/>
    <s v="Medium"/>
    <n v="4"/>
    <n v="0"/>
    <x v="0"/>
    <x v="0"/>
    <n v="21.251200000000001"/>
    <n v="0.28999999999999998"/>
    <n v="0"/>
  </r>
  <r>
    <n v="4131"/>
    <s v="CA-2014-115336"/>
    <d v="2014-11-18T00:00:00"/>
    <x v="2"/>
    <s v="Q4"/>
    <x v="7"/>
    <d v="2014-11-25T00:00:00"/>
    <s v="Standard Class"/>
    <x v="448"/>
    <x v="448"/>
    <s v="Corporate"/>
    <s v="United States"/>
    <s v="Chicago"/>
    <x v="10"/>
    <n v="60623"/>
    <x v="2"/>
    <x v="497"/>
    <x v="1"/>
    <x v="8"/>
    <x v="497"/>
    <n v="14.48"/>
    <s v="Low"/>
    <n v="5"/>
    <n v="0.8"/>
    <x v="1"/>
    <x v="3"/>
    <n v="-23.891999999999999"/>
    <n v="-1.65"/>
    <n v="1"/>
  </r>
  <r>
    <n v="4132"/>
    <s v="CA-2015-111703"/>
    <d v="2015-07-02T00:00:00"/>
    <x v="1"/>
    <s v="Q3"/>
    <x v="38"/>
    <d v="2015-07-09T00:00:00"/>
    <s v="Standard Class"/>
    <x v="41"/>
    <x v="41"/>
    <s v="Consumer"/>
    <s v="United States"/>
    <s v="Hollywood"/>
    <x v="2"/>
    <n v="33021"/>
    <x v="0"/>
    <x v="811"/>
    <x v="1"/>
    <x v="10"/>
    <x v="33"/>
    <n v="11.952"/>
    <s v="Low"/>
    <n v="3"/>
    <n v="0.2"/>
    <x v="2"/>
    <x v="2"/>
    <n v="4.0338000000000003"/>
    <n v="0.33750000000000002"/>
    <n v="0"/>
  </r>
  <r>
    <n v="4133"/>
    <s v="CA-2015-111703"/>
    <d v="2015-07-02T00:00:00"/>
    <x v="1"/>
    <s v="Q3"/>
    <x v="38"/>
    <d v="2015-07-09T00:00:00"/>
    <s v="Standard Class"/>
    <x v="41"/>
    <x v="41"/>
    <s v="Consumer"/>
    <s v="United States"/>
    <s v="Hollywood"/>
    <x v="2"/>
    <n v="33021"/>
    <x v="0"/>
    <x v="219"/>
    <x v="1"/>
    <x v="10"/>
    <x v="220"/>
    <n v="15.552"/>
    <s v="Low"/>
    <n v="3"/>
    <n v="0.2"/>
    <x v="2"/>
    <x v="2"/>
    <n v="5.6375999999999999"/>
    <n v="0.36249999999999999"/>
    <n v="0"/>
  </r>
  <r>
    <n v="4134"/>
    <s v="CA-2014-128839"/>
    <d v="2014-09-08T00:00:00"/>
    <x v="2"/>
    <s v="Q3"/>
    <x v="30"/>
    <d v="2014-09-13T00:00:00"/>
    <s v="Standard Class"/>
    <x v="74"/>
    <x v="74"/>
    <s v="Consumer"/>
    <s v="United States"/>
    <s v="Chesapeake"/>
    <x v="17"/>
    <n v="23320"/>
    <x v="0"/>
    <x v="659"/>
    <x v="1"/>
    <x v="13"/>
    <x v="659"/>
    <n v="45"/>
    <s v="Medium"/>
    <n v="9"/>
    <n v="0"/>
    <x v="0"/>
    <x v="0"/>
    <n v="21.6"/>
    <n v="0.48000000000000004"/>
    <n v="0"/>
  </r>
  <r>
    <n v="4135"/>
    <s v="CA-2014-128839"/>
    <d v="2014-09-08T00:00:00"/>
    <x v="2"/>
    <s v="Q3"/>
    <x v="30"/>
    <d v="2014-09-13T00:00:00"/>
    <s v="Standard Class"/>
    <x v="74"/>
    <x v="74"/>
    <s v="Consumer"/>
    <s v="United States"/>
    <s v="Chesapeake"/>
    <x v="17"/>
    <n v="23320"/>
    <x v="0"/>
    <x v="380"/>
    <x v="2"/>
    <x v="15"/>
    <x v="381"/>
    <n v="209.97"/>
    <s v="High"/>
    <n v="3"/>
    <n v="0"/>
    <x v="0"/>
    <x v="0"/>
    <n v="90.287099999999995"/>
    <n v="0.43"/>
    <n v="0"/>
  </r>
  <r>
    <n v="4136"/>
    <s v="CA-2017-105914"/>
    <d v="2017-10-02T00:00:00"/>
    <x v="3"/>
    <s v="Q4"/>
    <x v="13"/>
    <d v="2017-10-08T00:00:00"/>
    <s v="Standard Class"/>
    <x v="391"/>
    <x v="391"/>
    <s v="Home Office"/>
    <s v="United States"/>
    <s v="Los Angeles"/>
    <x v="1"/>
    <n v="90036"/>
    <x v="1"/>
    <x v="912"/>
    <x v="1"/>
    <x v="8"/>
    <x v="904"/>
    <n v="112.12"/>
    <s v="Medium"/>
    <n v="5"/>
    <n v="0.2"/>
    <x v="2"/>
    <x v="2"/>
    <n v="42.045000000000002"/>
    <n v="0.375"/>
    <n v="0"/>
  </r>
  <r>
    <n v="4137"/>
    <s v="CA-2017-105914"/>
    <d v="2017-10-02T00:00:00"/>
    <x v="3"/>
    <s v="Q4"/>
    <x v="13"/>
    <d v="2017-10-08T00:00:00"/>
    <s v="Standard Class"/>
    <x v="391"/>
    <x v="391"/>
    <s v="Home Office"/>
    <s v="United States"/>
    <s v="Los Angeles"/>
    <x v="1"/>
    <n v="90036"/>
    <x v="1"/>
    <x v="906"/>
    <x v="1"/>
    <x v="4"/>
    <x v="898"/>
    <n v="1575.14"/>
    <s v="High"/>
    <n v="7"/>
    <n v="0"/>
    <x v="0"/>
    <x v="0"/>
    <n v="204.76820000000001"/>
    <n v="0.13"/>
    <n v="0"/>
  </r>
  <r>
    <n v="4138"/>
    <s v="CA-2017-110926"/>
    <d v="2017-11-19T00:00:00"/>
    <x v="3"/>
    <s v="Q4"/>
    <x v="23"/>
    <d v="2017-11-23T00:00:00"/>
    <s v="Standard Class"/>
    <x v="732"/>
    <x v="732"/>
    <s v="Consumer"/>
    <s v="United States"/>
    <s v="Alexandria"/>
    <x v="17"/>
    <n v="22304"/>
    <x v="0"/>
    <x v="294"/>
    <x v="1"/>
    <x v="13"/>
    <x v="294"/>
    <n v="25.06"/>
    <s v="Medium"/>
    <n v="7"/>
    <n v="0"/>
    <x v="0"/>
    <x v="0"/>
    <n v="12.53"/>
    <n v="0.5"/>
    <n v="0"/>
  </r>
  <r>
    <n v="4139"/>
    <s v="CA-2016-117226"/>
    <d v="2016-12-30T00:00:00"/>
    <x v="0"/>
    <s v="Q4"/>
    <x v="5"/>
    <d v="2017-01-01T00:00:00"/>
    <s v="First Class"/>
    <x v="470"/>
    <x v="470"/>
    <s v="Corporate"/>
    <s v="United States"/>
    <s v="Deer Park"/>
    <x v="5"/>
    <n v="77536"/>
    <x v="2"/>
    <x v="68"/>
    <x v="1"/>
    <x v="8"/>
    <x v="68"/>
    <n v="6.9240000000000004"/>
    <s v="Low"/>
    <n v="6"/>
    <n v="0.8"/>
    <x v="1"/>
    <x v="3"/>
    <n v="-10.385999999999999"/>
    <n v="-1.4999999999999998"/>
    <n v="1"/>
  </r>
  <r>
    <n v="4140"/>
    <s v="CA-2017-127313"/>
    <d v="2017-12-01T00:00:00"/>
    <x v="3"/>
    <s v="Q4"/>
    <x v="22"/>
    <d v="2017-12-04T00:00:00"/>
    <s v="First Class"/>
    <x v="267"/>
    <x v="267"/>
    <s v="Consumer"/>
    <s v="United States"/>
    <s v="Philadelphia"/>
    <x v="9"/>
    <n v="19120"/>
    <x v="3"/>
    <x v="230"/>
    <x v="1"/>
    <x v="4"/>
    <x v="450"/>
    <n v="37.392000000000003"/>
    <s v="Medium"/>
    <n v="3"/>
    <n v="0.2"/>
    <x v="2"/>
    <x v="2"/>
    <n v="2.3370000000000002"/>
    <n v="6.25E-2"/>
    <n v="0"/>
  </r>
  <r>
    <n v="4141"/>
    <s v="CA-2017-127313"/>
    <d v="2017-12-01T00:00:00"/>
    <x v="3"/>
    <s v="Q4"/>
    <x v="22"/>
    <d v="2017-12-04T00:00:00"/>
    <s v="First Class"/>
    <x v="267"/>
    <x v="267"/>
    <s v="Consumer"/>
    <s v="United States"/>
    <s v="Philadelphia"/>
    <x v="9"/>
    <n v="19120"/>
    <x v="3"/>
    <x v="1613"/>
    <x v="0"/>
    <x v="5"/>
    <x v="1604"/>
    <n v="79.12"/>
    <s v="Medium"/>
    <n v="5"/>
    <n v="0.2"/>
    <x v="2"/>
    <x v="2"/>
    <n v="13.846"/>
    <n v="0.17499999999999999"/>
    <n v="0"/>
  </r>
  <r>
    <n v="4142"/>
    <s v="CA-2016-136287"/>
    <d v="2016-06-13T00:00:00"/>
    <x v="0"/>
    <s v="Q2"/>
    <x v="1"/>
    <d v="2016-06-17T00:00:00"/>
    <s v="Standard Class"/>
    <x v="196"/>
    <x v="196"/>
    <s v="Consumer"/>
    <s v="United States"/>
    <s v="Wichita"/>
    <x v="41"/>
    <n v="67212"/>
    <x v="2"/>
    <x v="165"/>
    <x v="1"/>
    <x v="2"/>
    <x v="166"/>
    <n v="18.899999999999999"/>
    <s v="Low"/>
    <n v="3"/>
    <n v="0"/>
    <x v="0"/>
    <x v="0"/>
    <n v="8.6940000000000008"/>
    <n v="0.46000000000000008"/>
    <n v="0"/>
  </r>
  <r>
    <n v="4143"/>
    <s v="US-2014-107699"/>
    <d v="2014-05-19T00:00:00"/>
    <x v="2"/>
    <s v="Q2"/>
    <x v="8"/>
    <d v="2014-05-23T00:00:00"/>
    <s v="Standard Class"/>
    <x v="581"/>
    <x v="581"/>
    <s v="Consumer"/>
    <s v="United States"/>
    <s v="Midland"/>
    <x v="12"/>
    <n v="48640"/>
    <x v="2"/>
    <x v="1206"/>
    <x v="1"/>
    <x v="8"/>
    <x v="1191"/>
    <n v="57.42"/>
    <s v="Medium"/>
    <n v="9"/>
    <n v="0"/>
    <x v="0"/>
    <x v="0"/>
    <n v="26.4132"/>
    <n v="0.45999999999999996"/>
    <n v="0"/>
  </r>
  <r>
    <n v="4144"/>
    <s v="CA-2017-112725"/>
    <d v="2017-01-30T00:00:00"/>
    <x v="3"/>
    <s v="Q1"/>
    <x v="44"/>
    <d v="2017-02-06T00:00:00"/>
    <s v="Standard Class"/>
    <x v="258"/>
    <x v="258"/>
    <s v="Home Office"/>
    <s v="United States"/>
    <s v="San Francisco"/>
    <x v="1"/>
    <n v="94110"/>
    <x v="1"/>
    <x v="853"/>
    <x v="1"/>
    <x v="6"/>
    <x v="846"/>
    <n v="12.74"/>
    <s v="Low"/>
    <n v="7"/>
    <n v="0"/>
    <x v="0"/>
    <x v="0"/>
    <n v="5.7329999999999997"/>
    <n v="0.44999999999999996"/>
    <n v="0"/>
  </r>
  <r>
    <n v="4145"/>
    <s v="CA-2017-112725"/>
    <d v="2017-01-30T00:00:00"/>
    <x v="3"/>
    <s v="Q1"/>
    <x v="44"/>
    <d v="2017-02-06T00:00:00"/>
    <s v="Standard Class"/>
    <x v="258"/>
    <x v="258"/>
    <s v="Home Office"/>
    <s v="United States"/>
    <s v="San Francisco"/>
    <x v="1"/>
    <n v="94110"/>
    <x v="1"/>
    <x v="1630"/>
    <x v="1"/>
    <x v="6"/>
    <x v="1620"/>
    <n v="8.82"/>
    <s v="Low"/>
    <n v="3"/>
    <n v="0"/>
    <x v="0"/>
    <x v="0"/>
    <n v="2.3814000000000002"/>
    <n v="0.27"/>
    <n v="0"/>
  </r>
  <r>
    <n v="4146"/>
    <s v="CA-2017-112725"/>
    <d v="2017-01-30T00:00:00"/>
    <x v="3"/>
    <s v="Q1"/>
    <x v="44"/>
    <d v="2017-02-06T00:00:00"/>
    <s v="Standard Class"/>
    <x v="258"/>
    <x v="258"/>
    <s v="Home Office"/>
    <s v="United States"/>
    <s v="San Francisco"/>
    <x v="1"/>
    <n v="94110"/>
    <x v="1"/>
    <x v="83"/>
    <x v="0"/>
    <x v="1"/>
    <x v="83"/>
    <n v="120.78400000000001"/>
    <s v="Medium"/>
    <n v="1"/>
    <n v="0.2"/>
    <x v="2"/>
    <x v="2"/>
    <n v="-13.588200000000001"/>
    <n v="-0.1125"/>
    <n v="1"/>
  </r>
  <r>
    <n v="4147"/>
    <s v="CA-2015-136196"/>
    <d v="2015-11-28T00:00:00"/>
    <x v="1"/>
    <s v="Q4"/>
    <x v="6"/>
    <d v="2015-12-04T00:00:00"/>
    <s v="Standard Class"/>
    <x v="599"/>
    <x v="599"/>
    <s v="Consumer"/>
    <s v="United States"/>
    <s v="Freeport"/>
    <x v="15"/>
    <n v="11520"/>
    <x v="3"/>
    <x v="216"/>
    <x v="0"/>
    <x v="5"/>
    <x v="217"/>
    <n v="322.58999999999997"/>
    <s v="High"/>
    <n v="3"/>
    <n v="0"/>
    <x v="0"/>
    <x v="0"/>
    <n v="64.518000000000001"/>
    <n v="0.2"/>
    <n v="0"/>
  </r>
  <r>
    <n v="4148"/>
    <s v="CA-2017-106068"/>
    <d v="2017-10-23T00:00:00"/>
    <x v="3"/>
    <s v="Q4"/>
    <x v="13"/>
    <d v="2017-10-28T00:00:00"/>
    <s v="Standard Class"/>
    <x v="713"/>
    <x v="713"/>
    <s v="Consumer"/>
    <s v="United States"/>
    <s v="Austin"/>
    <x v="5"/>
    <n v="78745"/>
    <x v="2"/>
    <x v="1526"/>
    <x v="1"/>
    <x v="8"/>
    <x v="1513"/>
    <n v="9.7620000000000005"/>
    <s v="Low"/>
    <n v="3"/>
    <n v="0.8"/>
    <x v="1"/>
    <x v="3"/>
    <n v="-15.1311"/>
    <n v="-1.5499999999999998"/>
    <n v="1"/>
  </r>
  <r>
    <n v="4149"/>
    <s v="CA-2017-106068"/>
    <d v="2017-10-23T00:00:00"/>
    <x v="3"/>
    <s v="Q4"/>
    <x v="13"/>
    <d v="2017-10-28T00:00:00"/>
    <s v="Standard Class"/>
    <x v="713"/>
    <x v="713"/>
    <s v="Consumer"/>
    <s v="United States"/>
    <s v="Austin"/>
    <x v="5"/>
    <n v="78745"/>
    <x v="2"/>
    <x v="456"/>
    <x v="1"/>
    <x v="4"/>
    <x v="457"/>
    <n v="13.72"/>
    <s v="Low"/>
    <n v="1"/>
    <n v="0.2"/>
    <x v="2"/>
    <x v="2"/>
    <n v="1.2004999999999999"/>
    <n v="8.7499999999999994E-2"/>
    <n v="0"/>
  </r>
  <r>
    <n v="4150"/>
    <s v="CA-2017-106068"/>
    <d v="2017-10-23T00:00:00"/>
    <x v="3"/>
    <s v="Q4"/>
    <x v="13"/>
    <d v="2017-10-28T00:00:00"/>
    <s v="Standard Class"/>
    <x v="713"/>
    <x v="713"/>
    <s v="Consumer"/>
    <s v="United States"/>
    <s v="Austin"/>
    <x v="5"/>
    <n v="78745"/>
    <x v="2"/>
    <x v="1615"/>
    <x v="2"/>
    <x v="11"/>
    <x v="1606"/>
    <n v="55.2"/>
    <s v="Medium"/>
    <n v="1"/>
    <n v="0.2"/>
    <x v="2"/>
    <x v="2"/>
    <n v="-2.0699999999999998"/>
    <n v="-3.7499999999999999E-2"/>
    <n v="1"/>
  </r>
  <r>
    <n v="4151"/>
    <s v="CA-2017-106068"/>
    <d v="2017-10-23T00:00:00"/>
    <x v="3"/>
    <s v="Q4"/>
    <x v="13"/>
    <d v="2017-10-28T00:00:00"/>
    <s v="Standard Class"/>
    <x v="713"/>
    <x v="713"/>
    <s v="Consumer"/>
    <s v="United States"/>
    <s v="Austin"/>
    <x v="5"/>
    <n v="78745"/>
    <x v="2"/>
    <x v="871"/>
    <x v="1"/>
    <x v="4"/>
    <x v="865"/>
    <n v="259.13600000000002"/>
    <s v="High"/>
    <n v="4"/>
    <n v="0.2"/>
    <x v="2"/>
    <x v="2"/>
    <n v="-58.305599999999998"/>
    <n v="-0.22499999999999998"/>
    <n v="1"/>
  </r>
  <r>
    <n v="4152"/>
    <s v="CA-2017-100160"/>
    <d v="2017-09-07T00:00:00"/>
    <x v="3"/>
    <s v="Q3"/>
    <x v="15"/>
    <d v="2017-09-11T00:00:00"/>
    <s v="Standard Class"/>
    <x v="90"/>
    <x v="90"/>
    <s v="Consumer"/>
    <s v="United States"/>
    <s v="Philadelphia"/>
    <x v="9"/>
    <n v="19134"/>
    <x v="3"/>
    <x v="148"/>
    <x v="1"/>
    <x v="2"/>
    <x v="149"/>
    <n v="29.24"/>
    <s v="Medium"/>
    <n v="5"/>
    <n v="0.2"/>
    <x v="2"/>
    <x v="2"/>
    <n v="9.8684999999999992"/>
    <n v="0.33749999999999997"/>
    <n v="0"/>
  </r>
  <r>
    <n v="4153"/>
    <s v="CA-2017-100160"/>
    <d v="2017-09-07T00:00:00"/>
    <x v="3"/>
    <s v="Q3"/>
    <x v="15"/>
    <d v="2017-09-11T00:00:00"/>
    <s v="Standard Class"/>
    <x v="90"/>
    <x v="90"/>
    <s v="Consumer"/>
    <s v="United States"/>
    <s v="Philadelphia"/>
    <x v="9"/>
    <n v="19134"/>
    <x v="3"/>
    <x v="934"/>
    <x v="1"/>
    <x v="10"/>
    <x v="927"/>
    <n v="15.552"/>
    <s v="Low"/>
    <n v="3"/>
    <n v="0.2"/>
    <x v="2"/>
    <x v="2"/>
    <n v="5.4432"/>
    <n v="0.35000000000000003"/>
    <n v="0"/>
  </r>
  <r>
    <n v="4154"/>
    <s v="CA-2017-100160"/>
    <d v="2017-09-07T00:00:00"/>
    <x v="3"/>
    <s v="Q3"/>
    <x v="15"/>
    <d v="2017-09-11T00:00:00"/>
    <s v="Standard Class"/>
    <x v="90"/>
    <x v="90"/>
    <s v="Consumer"/>
    <s v="United States"/>
    <s v="Philadelphia"/>
    <x v="9"/>
    <n v="19134"/>
    <x v="3"/>
    <x v="29"/>
    <x v="1"/>
    <x v="12"/>
    <x v="29"/>
    <n v="4.8959999999999999"/>
    <s v="Low"/>
    <n v="3"/>
    <n v="0.2"/>
    <x v="2"/>
    <x v="2"/>
    <n v="1.6524000000000001"/>
    <n v="0.33750000000000002"/>
    <n v="0"/>
  </r>
  <r>
    <n v="4155"/>
    <s v="CA-2016-139689"/>
    <d v="2016-12-29T00:00:00"/>
    <x v="0"/>
    <s v="Q4"/>
    <x v="5"/>
    <d v="2017-01-03T00:00:00"/>
    <s v="Standard Class"/>
    <x v="172"/>
    <x v="172"/>
    <s v="Corporate"/>
    <s v="United States"/>
    <s v="Bristol"/>
    <x v="18"/>
    <n v="37620"/>
    <x v="0"/>
    <x v="132"/>
    <x v="1"/>
    <x v="8"/>
    <x v="133"/>
    <n v="38.088000000000001"/>
    <s v="Medium"/>
    <n v="4"/>
    <n v="0.7"/>
    <x v="1"/>
    <x v="5"/>
    <n v="-27.9312"/>
    <n v="-0.73333333333333328"/>
    <n v="1"/>
  </r>
  <r>
    <n v="4156"/>
    <s v="CA-2016-139689"/>
    <d v="2016-12-29T00:00:00"/>
    <x v="0"/>
    <s v="Q4"/>
    <x v="5"/>
    <d v="2017-01-03T00:00:00"/>
    <s v="Standard Class"/>
    <x v="172"/>
    <x v="172"/>
    <s v="Corporate"/>
    <s v="United States"/>
    <s v="Bristol"/>
    <x v="18"/>
    <n v="37620"/>
    <x v="0"/>
    <x v="744"/>
    <x v="1"/>
    <x v="8"/>
    <x v="742"/>
    <n v="2.8079999999999998"/>
    <s v="Low"/>
    <n v="3"/>
    <n v="0.7"/>
    <x v="1"/>
    <x v="5"/>
    <n v="-1.9656"/>
    <n v="-0.70000000000000007"/>
    <n v="1"/>
  </r>
  <r>
    <n v="4157"/>
    <s v="CA-2015-101091"/>
    <d v="2015-12-05T00:00:00"/>
    <x v="1"/>
    <s v="Q4"/>
    <x v="14"/>
    <d v="2015-12-09T00:00:00"/>
    <s v="Second Class"/>
    <x v="573"/>
    <x v="573"/>
    <s v="Consumer"/>
    <s v="United States"/>
    <s v="Philadelphia"/>
    <x v="9"/>
    <n v="19140"/>
    <x v="3"/>
    <x v="1048"/>
    <x v="2"/>
    <x v="11"/>
    <x v="1037"/>
    <n v="47.984000000000002"/>
    <s v="Medium"/>
    <n v="2"/>
    <n v="0.2"/>
    <x v="2"/>
    <x v="2"/>
    <n v="0.5998"/>
    <n v="1.2499999999999999E-2"/>
    <n v="0"/>
  </r>
  <r>
    <n v="4158"/>
    <s v="CA-2015-101091"/>
    <d v="2015-12-05T00:00:00"/>
    <x v="1"/>
    <s v="Q4"/>
    <x v="14"/>
    <d v="2015-12-09T00:00:00"/>
    <s v="Second Class"/>
    <x v="573"/>
    <x v="573"/>
    <s v="Consumer"/>
    <s v="United States"/>
    <s v="Philadelphia"/>
    <x v="9"/>
    <n v="19140"/>
    <x v="3"/>
    <x v="497"/>
    <x v="1"/>
    <x v="8"/>
    <x v="497"/>
    <n v="26.064"/>
    <s v="Medium"/>
    <n v="6"/>
    <n v="0.7"/>
    <x v="1"/>
    <x v="5"/>
    <n v="-19.982399999999998"/>
    <n v="-0.76666666666666661"/>
    <n v="1"/>
  </r>
  <r>
    <n v="4159"/>
    <s v="CA-2014-126907"/>
    <d v="2014-11-01T00:00:00"/>
    <x v="2"/>
    <s v="Q4"/>
    <x v="7"/>
    <d v="2014-11-08T00:00:00"/>
    <s v="Standard Class"/>
    <x v="416"/>
    <x v="416"/>
    <s v="Corporate"/>
    <s v="United States"/>
    <s v="Chicago"/>
    <x v="10"/>
    <n v="60610"/>
    <x v="2"/>
    <x v="1221"/>
    <x v="1"/>
    <x v="10"/>
    <x v="1205"/>
    <n v="15.696"/>
    <s v="Low"/>
    <n v="3"/>
    <n v="0.2"/>
    <x v="2"/>
    <x v="2"/>
    <n v="5.1012000000000004"/>
    <n v="0.32500000000000001"/>
    <n v="0"/>
  </r>
  <r>
    <n v="4160"/>
    <s v="US-2016-164588"/>
    <d v="2016-04-16T00:00:00"/>
    <x v="0"/>
    <s v="Q2"/>
    <x v="25"/>
    <d v="2016-04-23T00:00:00"/>
    <s v="Standard Class"/>
    <x v="275"/>
    <x v="275"/>
    <s v="Consumer"/>
    <s v="United States"/>
    <s v="Columbus"/>
    <x v="32"/>
    <n v="31907"/>
    <x v="0"/>
    <x v="18"/>
    <x v="1"/>
    <x v="6"/>
    <x v="18"/>
    <n v="12.84"/>
    <s v="Low"/>
    <n v="3"/>
    <n v="0"/>
    <x v="0"/>
    <x v="0"/>
    <n v="3.7235999999999998"/>
    <n v="0.28999999999999998"/>
    <n v="0"/>
  </r>
  <r>
    <n v="4161"/>
    <s v="CA-2017-115546"/>
    <d v="2017-05-14T00:00:00"/>
    <x v="3"/>
    <s v="Q2"/>
    <x v="24"/>
    <d v="2017-05-18T00:00:00"/>
    <s v="Standard Class"/>
    <x v="733"/>
    <x v="733"/>
    <s v="Consumer"/>
    <s v="United States"/>
    <s v="New York City"/>
    <x v="15"/>
    <n v="10035"/>
    <x v="3"/>
    <x v="1400"/>
    <x v="2"/>
    <x v="7"/>
    <x v="1387"/>
    <n v="539.97"/>
    <s v="High"/>
    <n v="3"/>
    <n v="0"/>
    <x v="0"/>
    <x v="0"/>
    <n v="134.99250000000001"/>
    <n v="0.25"/>
    <n v="0"/>
  </r>
  <r>
    <n v="4162"/>
    <s v="CA-2017-115546"/>
    <d v="2017-05-14T00:00:00"/>
    <x v="3"/>
    <s v="Q2"/>
    <x v="24"/>
    <d v="2017-05-18T00:00:00"/>
    <s v="Standard Class"/>
    <x v="733"/>
    <x v="733"/>
    <s v="Consumer"/>
    <s v="United States"/>
    <s v="New York City"/>
    <x v="15"/>
    <n v="10035"/>
    <x v="3"/>
    <x v="1011"/>
    <x v="1"/>
    <x v="4"/>
    <x v="1003"/>
    <n v="22.58"/>
    <s v="Low"/>
    <n v="2"/>
    <n v="0"/>
    <x v="0"/>
    <x v="0"/>
    <n v="5.8708"/>
    <n v="0.26"/>
    <n v="0"/>
  </r>
  <r>
    <n v="4163"/>
    <s v="CA-2015-163587"/>
    <d v="2015-03-14T00:00:00"/>
    <x v="1"/>
    <s v="Q1"/>
    <x v="29"/>
    <d v="2015-03-18T00:00:00"/>
    <s v="Standard Class"/>
    <x v="212"/>
    <x v="212"/>
    <s v="Consumer"/>
    <s v="United States"/>
    <s v="Dover"/>
    <x v="38"/>
    <n v="3820"/>
    <x v="3"/>
    <x v="617"/>
    <x v="1"/>
    <x v="2"/>
    <x v="617"/>
    <n v="16.52"/>
    <s v="Low"/>
    <n v="4"/>
    <n v="0"/>
    <x v="0"/>
    <x v="0"/>
    <n v="7.5991999999999997"/>
    <n v="0.46"/>
    <n v="0"/>
  </r>
  <r>
    <n v="4164"/>
    <s v="CA-2015-163587"/>
    <d v="2015-03-14T00:00:00"/>
    <x v="1"/>
    <s v="Q1"/>
    <x v="29"/>
    <d v="2015-03-18T00:00:00"/>
    <s v="Standard Class"/>
    <x v="212"/>
    <x v="212"/>
    <s v="Consumer"/>
    <s v="United States"/>
    <s v="Dover"/>
    <x v="38"/>
    <n v="3820"/>
    <x v="3"/>
    <x v="1188"/>
    <x v="1"/>
    <x v="8"/>
    <x v="1174"/>
    <n v="671.94"/>
    <s v="High"/>
    <n v="3"/>
    <n v="0"/>
    <x v="0"/>
    <x v="0"/>
    <n v="315.81180000000001"/>
    <n v="0.47"/>
    <n v="0"/>
  </r>
  <r>
    <n v="4165"/>
    <s v="US-2017-106131"/>
    <d v="2017-01-14T00:00:00"/>
    <x v="3"/>
    <s v="Q1"/>
    <x v="44"/>
    <d v="2017-01-16T00:00:00"/>
    <s v="First Class"/>
    <x v="734"/>
    <x v="734"/>
    <s v="Corporate"/>
    <s v="United States"/>
    <s v="Aurora"/>
    <x v="22"/>
    <n v="80013"/>
    <x v="1"/>
    <x v="25"/>
    <x v="2"/>
    <x v="11"/>
    <x v="25"/>
    <n v="169.06399999999999"/>
    <s v="High"/>
    <n v="7"/>
    <n v="0.2"/>
    <x v="2"/>
    <x v="2"/>
    <n v="-14.793100000000001"/>
    <n v="-8.7500000000000008E-2"/>
    <n v="1"/>
  </r>
  <r>
    <n v="4166"/>
    <s v="US-2017-106131"/>
    <d v="2017-01-14T00:00:00"/>
    <x v="3"/>
    <s v="Q1"/>
    <x v="44"/>
    <d v="2017-01-16T00:00:00"/>
    <s v="First Class"/>
    <x v="734"/>
    <x v="734"/>
    <s v="Corporate"/>
    <s v="United States"/>
    <s v="Aurora"/>
    <x v="22"/>
    <n v="80013"/>
    <x v="1"/>
    <x v="1247"/>
    <x v="1"/>
    <x v="4"/>
    <x v="1231"/>
    <n v="168.624"/>
    <s v="High"/>
    <n v="9"/>
    <n v="0.2"/>
    <x v="2"/>
    <x v="2"/>
    <n v="14.7546"/>
    <n v="8.7500000000000008E-2"/>
    <n v="0"/>
  </r>
  <r>
    <n v="4167"/>
    <s v="CA-2015-160213"/>
    <d v="2015-03-08T00:00:00"/>
    <x v="1"/>
    <s v="Q1"/>
    <x v="29"/>
    <d v="2015-03-13T00:00:00"/>
    <s v="Standard Class"/>
    <x v="255"/>
    <x v="255"/>
    <s v="Corporate"/>
    <s v="United States"/>
    <s v="Long Beach"/>
    <x v="15"/>
    <n v="11561"/>
    <x v="3"/>
    <x v="1465"/>
    <x v="1"/>
    <x v="10"/>
    <x v="1451"/>
    <n v="19.440000000000001"/>
    <s v="Low"/>
    <n v="3"/>
    <n v="0"/>
    <x v="0"/>
    <x v="0"/>
    <n v="9.3312000000000008"/>
    <n v="0.48000000000000004"/>
    <n v="0"/>
  </r>
  <r>
    <n v="4168"/>
    <s v="CA-2014-157924"/>
    <d v="2014-10-11T00:00:00"/>
    <x v="2"/>
    <s v="Q4"/>
    <x v="18"/>
    <d v="2014-10-13T00:00:00"/>
    <s v="First Class"/>
    <x v="66"/>
    <x v="66"/>
    <s v="Consumer"/>
    <s v="United States"/>
    <s v="Pasadena"/>
    <x v="1"/>
    <n v="91104"/>
    <x v="1"/>
    <x v="861"/>
    <x v="1"/>
    <x v="4"/>
    <x v="855"/>
    <n v="31.92"/>
    <s v="Medium"/>
    <n v="4"/>
    <n v="0"/>
    <x v="0"/>
    <x v="0"/>
    <n v="8.2992000000000008"/>
    <n v="0.26"/>
    <n v="0"/>
  </r>
  <r>
    <n v="4169"/>
    <s v="CA-2014-157924"/>
    <d v="2014-10-11T00:00:00"/>
    <x v="2"/>
    <s v="Q4"/>
    <x v="18"/>
    <d v="2014-10-13T00:00:00"/>
    <s v="First Class"/>
    <x v="66"/>
    <x v="66"/>
    <s v="Consumer"/>
    <s v="United States"/>
    <s v="Pasadena"/>
    <x v="1"/>
    <n v="91104"/>
    <x v="1"/>
    <x v="1631"/>
    <x v="0"/>
    <x v="1"/>
    <x v="1621"/>
    <n v="433.56799999999998"/>
    <s v="High"/>
    <n v="2"/>
    <n v="0.2"/>
    <x v="2"/>
    <x v="2"/>
    <n v="-65.035200000000003"/>
    <n v="-0.15000000000000002"/>
    <n v="1"/>
  </r>
  <r>
    <n v="4170"/>
    <s v="CA-2015-100216"/>
    <d v="2015-04-13T00:00:00"/>
    <x v="1"/>
    <s v="Q2"/>
    <x v="19"/>
    <d v="2015-04-14T00:00:00"/>
    <s v="First Class"/>
    <x v="707"/>
    <x v="707"/>
    <s v="Home Office"/>
    <s v="United States"/>
    <s v="Mesa"/>
    <x v="16"/>
    <n v="85204"/>
    <x v="1"/>
    <x v="739"/>
    <x v="1"/>
    <x v="10"/>
    <x v="738"/>
    <n v="31.103999999999999"/>
    <s v="Medium"/>
    <n v="6"/>
    <n v="0.2"/>
    <x v="2"/>
    <x v="2"/>
    <n v="10.8864"/>
    <n v="0.35000000000000003"/>
    <n v="0"/>
  </r>
  <r>
    <n v="4171"/>
    <s v="CA-2015-100216"/>
    <d v="2015-04-13T00:00:00"/>
    <x v="1"/>
    <s v="Q2"/>
    <x v="19"/>
    <d v="2015-04-14T00:00:00"/>
    <s v="First Class"/>
    <x v="707"/>
    <x v="707"/>
    <s v="Home Office"/>
    <s v="United States"/>
    <s v="Mesa"/>
    <x v="16"/>
    <n v="85204"/>
    <x v="1"/>
    <x v="926"/>
    <x v="1"/>
    <x v="10"/>
    <x v="918"/>
    <n v="54.816000000000003"/>
    <s v="Medium"/>
    <n v="3"/>
    <n v="0.2"/>
    <x v="2"/>
    <x v="2"/>
    <n v="17.815200000000001"/>
    <n v="0.32500000000000001"/>
    <n v="0"/>
  </r>
  <r>
    <n v="4172"/>
    <s v="CA-2017-100601"/>
    <d v="2017-11-16T00:00:00"/>
    <x v="3"/>
    <s v="Q4"/>
    <x v="23"/>
    <d v="2017-11-20T00:00:00"/>
    <s v="Standard Class"/>
    <x v="271"/>
    <x v="271"/>
    <s v="Consumer"/>
    <s v="United States"/>
    <s v="Fresno"/>
    <x v="1"/>
    <n v="93727"/>
    <x v="1"/>
    <x v="700"/>
    <x v="1"/>
    <x v="4"/>
    <x v="700"/>
    <n v="48.86"/>
    <s v="Medium"/>
    <n v="7"/>
    <n v="0"/>
    <x v="0"/>
    <x v="0"/>
    <n v="0.97719999999999996"/>
    <n v="0.02"/>
    <n v="0"/>
  </r>
  <r>
    <n v="4173"/>
    <s v="CA-2016-152163"/>
    <d v="2016-07-01T00:00:00"/>
    <x v="0"/>
    <s v="Q3"/>
    <x v="16"/>
    <d v="2016-07-01T00:00:00"/>
    <s v="Same Day"/>
    <x v="282"/>
    <x v="282"/>
    <s v="Consumer"/>
    <s v="United States"/>
    <s v="Columbia"/>
    <x v="20"/>
    <n v="29203"/>
    <x v="0"/>
    <x v="20"/>
    <x v="1"/>
    <x v="8"/>
    <x v="20"/>
    <n v="14.2"/>
    <s v="Low"/>
    <n v="2"/>
    <n v="0"/>
    <x v="0"/>
    <x v="0"/>
    <n v="6.532"/>
    <n v="0.46"/>
    <n v="0"/>
  </r>
  <r>
    <n v="4174"/>
    <s v="CA-2016-152163"/>
    <d v="2016-07-01T00:00:00"/>
    <x v="0"/>
    <s v="Q3"/>
    <x v="16"/>
    <d v="2016-07-01T00:00:00"/>
    <s v="Same Day"/>
    <x v="282"/>
    <x v="282"/>
    <s v="Consumer"/>
    <s v="United States"/>
    <s v="Columbia"/>
    <x v="20"/>
    <n v="29203"/>
    <x v="0"/>
    <x v="739"/>
    <x v="1"/>
    <x v="10"/>
    <x v="738"/>
    <n v="12.96"/>
    <s v="Low"/>
    <n v="2"/>
    <n v="0"/>
    <x v="0"/>
    <x v="0"/>
    <n v="6.2207999999999997"/>
    <n v="0.47999999999999993"/>
    <n v="0"/>
  </r>
  <r>
    <n v="4175"/>
    <s v="CA-2016-152163"/>
    <d v="2016-07-01T00:00:00"/>
    <x v="0"/>
    <s v="Q3"/>
    <x v="16"/>
    <d v="2016-07-01T00:00:00"/>
    <s v="Same Day"/>
    <x v="282"/>
    <x v="282"/>
    <s v="Consumer"/>
    <s v="United States"/>
    <s v="Columbia"/>
    <x v="20"/>
    <n v="29203"/>
    <x v="0"/>
    <x v="705"/>
    <x v="1"/>
    <x v="8"/>
    <x v="705"/>
    <n v="58.34"/>
    <s v="Medium"/>
    <n v="2"/>
    <n v="0"/>
    <x v="0"/>
    <x v="0"/>
    <n v="28.0032"/>
    <n v="0.48"/>
    <n v="0"/>
  </r>
  <r>
    <n v="4176"/>
    <s v="CA-2015-154340"/>
    <d v="2015-11-29T00:00:00"/>
    <x v="1"/>
    <s v="Q4"/>
    <x v="6"/>
    <d v="2015-11-30T00:00:00"/>
    <s v="First Class"/>
    <x v="735"/>
    <x v="735"/>
    <s v="Home Office"/>
    <s v="United States"/>
    <s v="Santa Ana"/>
    <x v="1"/>
    <n v="92704"/>
    <x v="1"/>
    <x v="1473"/>
    <x v="1"/>
    <x v="6"/>
    <x v="1460"/>
    <n v="56.3"/>
    <s v="Medium"/>
    <n v="2"/>
    <n v="0"/>
    <x v="0"/>
    <x v="0"/>
    <n v="15.763999999999999"/>
    <n v="0.28000000000000003"/>
    <n v="0"/>
  </r>
  <r>
    <n v="4177"/>
    <s v="CA-2014-128846"/>
    <d v="2014-04-07T00:00:00"/>
    <x v="2"/>
    <s v="Q2"/>
    <x v="41"/>
    <d v="2014-04-12T00:00:00"/>
    <s v="Standard Class"/>
    <x v="276"/>
    <x v="276"/>
    <s v="Corporate"/>
    <s v="United States"/>
    <s v="Columbia"/>
    <x v="20"/>
    <n v="29203"/>
    <x v="0"/>
    <x v="172"/>
    <x v="2"/>
    <x v="7"/>
    <x v="173"/>
    <n v="629.95000000000005"/>
    <s v="High"/>
    <n v="5"/>
    <n v="0"/>
    <x v="0"/>
    <x v="0"/>
    <n v="163.78700000000001"/>
    <n v="0.26"/>
    <n v="0"/>
  </r>
  <r>
    <n v="4178"/>
    <s v="CA-2014-128846"/>
    <d v="2014-04-07T00:00:00"/>
    <x v="2"/>
    <s v="Q2"/>
    <x v="41"/>
    <d v="2014-04-12T00:00:00"/>
    <s v="Standard Class"/>
    <x v="276"/>
    <x v="276"/>
    <s v="Corporate"/>
    <s v="United States"/>
    <s v="Columbia"/>
    <x v="20"/>
    <n v="29203"/>
    <x v="0"/>
    <x v="839"/>
    <x v="1"/>
    <x v="10"/>
    <x v="833"/>
    <n v="122.97"/>
    <s v="High"/>
    <n v="3"/>
    <n v="0"/>
    <x v="0"/>
    <x v="0"/>
    <n v="60.255299999999998"/>
    <n v="0.49"/>
    <n v="0"/>
  </r>
  <r>
    <n v="4179"/>
    <s v="CA-2016-148593"/>
    <d v="2016-06-16T00:00:00"/>
    <x v="0"/>
    <s v="Q2"/>
    <x v="1"/>
    <d v="2016-06-18T00:00:00"/>
    <s v="Second Class"/>
    <x v="217"/>
    <x v="217"/>
    <s v="Consumer"/>
    <s v="United States"/>
    <s v="Los Angeles"/>
    <x v="1"/>
    <n v="90045"/>
    <x v="1"/>
    <x v="1286"/>
    <x v="1"/>
    <x v="10"/>
    <x v="1272"/>
    <n v="46.35"/>
    <s v="Medium"/>
    <n v="5"/>
    <n v="0"/>
    <x v="0"/>
    <x v="0"/>
    <n v="21.784500000000001"/>
    <n v="0.47000000000000003"/>
    <n v="0"/>
  </r>
  <r>
    <n v="4180"/>
    <s v="US-2017-119039"/>
    <d v="2017-03-06T00:00:00"/>
    <x v="3"/>
    <s v="Q1"/>
    <x v="42"/>
    <d v="2017-03-10T00:00:00"/>
    <s v="Standard Class"/>
    <x v="408"/>
    <x v="408"/>
    <s v="Home Office"/>
    <s v="United States"/>
    <s v="San Francisco"/>
    <x v="1"/>
    <n v="94109"/>
    <x v="1"/>
    <x v="73"/>
    <x v="1"/>
    <x v="8"/>
    <x v="73"/>
    <n v="14.976000000000001"/>
    <s v="Low"/>
    <n v="9"/>
    <n v="0.2"/>
    <x v="2"/>
    <x v="2"/>
    <n v="5.4287999999999998"/>
    <n v="0.36249999999999999"/>
    <n v="0"/>
  </r>
  <r>
    <n v="4181"/>
    <s v="CA-2017-128426"/>
    <d v="2017-10-07T00:00:00"/>
    <x v="3"/>
    <s v="Q4"/>
    <x v="13"/>
    <d v="2017-10-11T00:00:00"/>
    <s v="Standard Class"/>
    <x v="300"/>
    <x v="300"/>
    <s v="Consumer"/>
    <s v="United States"/>
    <s v="Houston"/>
    <x v="5"/>
    <n v="77036"/>
    <x v="2"/>
    <x v="15"/>
    <x v="1"/>
    <x v="8"/>
    <x v="15"/>
    <n v="4.24"/>
    <s v="Low"/>
    <n v="5"/>
    <n v="0.8"/>
    <x v="1"/>
    <x v="3"/>
    <n v="-6.36"/>
    <n v="-1.5"/>
    <n v="1"/>
  </r>
  <r>
    <n v="4182"/>
    <s v="US-2017-136868"/>
    <d v="2017-10-06T00:00:00"/>
    <x v="3"/>
    <s v="Q4"/>
    <x v="13"/>
    <d v="2017-10-12T00:00:00"/>
    <s v="Standard Class"/>
    <x v="736"/>
    <x v="736"/>
    <s v="Home Office"/>
    <s v="United States"/>
    <s v="New York City"/>
    <x v="15"/>
    <n v="10035"/>
    <x v="3"/>
    <x v="1593"/>
    <x v="2"/>
    <x v="11"/>
    <x v="1585"/>
    <n v="319.95999999999998"/>
    <s v="High"/>
    <n v="4"/>
    <n v="0"/>
    <x v="0"/>
    <x v="0"/>
    <n v="115.18559999999999"/>
    <n v="0.36"/>
    <n v="0"/>
  </r>
  <r>
    <n v="4183"/>
    <s v="US-2017-136868"/>
    <d v="2017-10-06T00:00:00"/>
    <x v="3"/>
    <s v="Q4"/>
    <x v="13"/>
    <d v="2017-10-12T00:00:00"/>
    <s v="Standard Class"/>
    <x v="736"/>
    <x v="736"/>
    <s v="Home Office"/>
    <s v="United States"/>
    <s v="New York City"/>
    <x v="15"/>
    <n v="10035"/>
    <x v="3"/>
    <x v="126"/>
    <x v="1"/>
    <x v="10"/>
    <x v="562"/>
    <n v="17.04"/>
    <s v="Low"/>
    <n v="3"/>
    <n v="0"/>
    <x v="0"/>
    <x v="0"/>
    <n v="7.6680000000000001"/>
    <n v="0.45"/>
    <n v="0"/>
  </r>
  <r>
    <n v="4184"/>
    <s v="US-2017-136868"/>
    <d v="2017-10-06T00:00:00"/>
    <x v="3"/>
    <s v="Q4"/>
    <x v="13"/>
    <d v="2017-10-12T00:00:00"/>
    <s v="Standard Class"/>
    <x v="736"/>
    <x v="736"/>
    <s v="Home Office"/>
    <s v="United States"/>
    <s v="New York City"/>
    <x v="15"/>
    <n v="10035"/>
    <x v="3"/>
    <x v="156"/>
    <x v="1"/>
    <x v="4"/>
    <x v="157"/>
    <n v="344.91"/>
    <s v="High"/>
    <n v="3"/>
    <n v="0"/>
    <x v="0"/>
    <x v="0"/>
    <n v="10.347300000000001"/>
    <n v="0.03"/>
    <n v="0"/>
  </r>
  <r>
    <n v="4185"/>
    <s v="CA-2016-143749"/>
    <d v="2016-12-05T00:00:00"/>
    <x v="0"/>
    <s v="Q4"/>
    <x v="5"/>
    <d v="2016-12-07T00:00:00"/>
    <s v="First Class"/>
    <x v="636"/>
    <x v="636"/>
    <s v="Corporate"/>
    <s v="United States"/>
    <s v="Franklin"/>
    <x v="31"/>
    <n v="2038"/>
    <x v="3"/>
    <x v="1632"/>
    <x v="0"/>
    <x v="0"/>
    <x v="1622"/>
    <n v="81.94"/>
    <s v="Medium"/>
    <n v="1"/>
    <n v="0"/>
    <x v="0"/>
    <x v="0"/>
    <n v="20.484999999999999"/>
    <n v="0.25"/>
    <n v="0"/>
  </r>
  <r>
    <n v="4186"/>
    <s v="CA-2016-111493"/>
    <d v="2016-10-21T00:00:00"/>
    <x v="0"/>
    <s v="Q4"/>
    <x v="32"/>
    <d v="2016-10-22T00:00:00"/>
    <s v="First Class"/>
    <x v="380"/>
    <x v="380"/>
    <s v="Consumer"/>
    <s v="United States"/>
    <s v="Baltimore"/>
    <x v="39"/>
    <n v="21215"/>
    <x v="3"/>
    <x v="960"/>
    <x v="2"/>
    <x v="11"/>
    <x v="953"/>
    <n v="98.16"/>
    <s v="Medium"/>
    <n v="6"/>
    <n v="0"/>
    <x v="0"/>
    <x v="0"/>
    <n v="9.8160000000000007"/>
    <n v="0.1"/>
    <n v="0"/>
  </r>
  <r>
    <n v="4187"/>
    <s v="CA-2017-112536"/>
    <d v="2017-05-18T00:00:00"/>
    <x v="3"/>
    <s v="Q2"/>
    <x v="24"/>
    <d v="2017-05-23T00:00:00"/>
    <s v="Standard Class"/>
    <x v="737"/>
    <x v="737"/>
    <s v="Corporate"/>
    <s v="United States"/>
    <s v="Mcallen"/>
    <x v="5"/>
    <n v="78501"/>
    <x v="2"/>
    <x v="696"/>
    <x v="1"/>
    <x v="8"/>
    <x v="696"/>
    <n v="6.8739999999999997"/>
    <s v="Low"/>
    <n v="7"/>
    <n v="0.8"/>
    <x v="1"/>
    <x v="3"/>
    <n v="-10.6547"/>
    <n v="-1.55"/>
    <n v="1"/>
  </r>
  <r>
    <n v="4188"/>
    <s v="CA-2017-112536"/>
    <d v="2017-05-18T00:00:00"/>
    <x v="3"/>
    <s v="Q2"/>
    <x v="24"/>
    <d v="2017-05-23T00:00:00"/>
    <s v="Standard Class"/>
    <x v="737"/>
    <x v="737"/>
    <s v="Corporate"/>
    <s v="United States"/>
    <s v="Mcallen"/>
    <x v="5"/>
    <n v="78501"/>
    <x v="2"/>
    <x v="1230"/>
    <x v="1"/>
    <x v="8"/>
    <x v="1213"/>
    <n v="1.996"/>
    <s v="Low"/>
    <n v="1"/>
    <n v="0.8"/>
    <x v="1"/>
    <x v="3"/>
    <n v="-3.2934000000000001"/>
    <n v="-1.6500000000000001"/>
    <n v="1"/>
  </r>
  <r>
    <n v="4189"/>
    <s v="CA-2017-112536"/>
    <d v="2017-05-18T00:00:00"/>
    <x v="3"/>
    <s v="Q2"/>
    <x v="24"/>
    <d v="2017-05-23T00:00:00"/>
    <s v="Standard Class"/>
    <x v="737"/>
    <x v="737"/>
    <s v="Corporate"/>
    <s v="United States"/>
    <s v="Mcallen"/>
    <x v="5"/>
    <n v="78501"/>
    <x v="2"/>
    <x v="1427"/>
    <x v="1"/>
    <x v="4"/>
    <x v="1415"/>
    <n v="8.9280000000000008"/>
    <s v="Low"/>
    <n v="2"/>
    <n v="0.2"/>
    <x v="2"/>
    <x v="2"/>
    <n v="0.66959999999999997"/>
    <n v="7.4999999999999983E-2"/>
    <n v="0"/>
  </r>
  <r>
    <n v="4190"/>
    <s v="CA-2016-157714"/>
    <d v="2016-09-26T00:00:00"/>
    <x v="0"/>
    <s v="Q3"/>
    <x v="21"/>
    <d v="2016-10-01T00:00:00"/>
    <s v="Second Class"/>
    <x v="728"/>
    <x v="728"/>
    <s v="Corporate"/>
    <s v="United States"/>
    <s v="Iowa City"/>
    <x v="23"/>
    <n v="52240"/>
    <x v="2"/>
    <x v="1633"/>
    <x v="1"/>
    <x v="10"/>
    <x v="1623"/>
    <n v="9.99"/>
    <s v="Low"/>
    <n v="1"/>
    <n v="0"/>
    <x v="0"/>
    <x v="0"/>
    <n v="4.4954999999999998"/>
    <n v="0.44999999999999996"/>
    <n v="0"/>
  </r>
  <r>
    <n v="4191"/>
    <s v="CA-2017-166709"/>
    <d v="2017-11-17T00:00:00"/>
    <x v="3"/>
    <s v="Q4"/>
    <x v="23"/>
    <d v="2017-11-22T00:00:00"/>
    <s v="Standard Class"/>
    <x v="332"/>
    <x v="332"/>
    <s v="Consumer"/>
    <s v="United States"/>
    <s v="Newark"/>
    <x v="13"/>
    <n v="19711"/>
    <x v="3"/>
    <x v="1388"/>
    <x v="2"/>
    <x v="16"/>
    <x v="1374"/>
    <n v="10499.97"/>
    <s v="High"/>
    <n v="3"/>
    <n v="0"/>
    <x v="0"/>
    <x v="0"/>
    <n v="5039.9856"/>
    <n v="0.48000000000000004"/>
    <n v="0"/>
  </r>
  <r>
    <n v="4192"/>
    <s v="CA-2015-129392"/>
    <d v="2015-07-08T00:00:00"/>
    <x v="1"/>
    <s v="Q3"/>
    <x v="38"/>
    <d v="2015-07-08T00:00:00"/>
    <s v="Same Day"/>
    <x v="661"/>
    <x v="661"/>
    <s v="Consumer"/>
    <s v="United States"/>
    <s v="Houston"/>
    <x v="5"/>
    <n v="77070"/>
    <x v="2"/>
    <x v="1634"/>
    <x v="1"/>
    <x v="10"/>
    <x v="1624"/>
    <n v="21.12"/>
    <s v="Low"/>
    <n v="5"/>
    <n v="0.2"/>
    <x v="2"/>
    <x v="2"/>
    <n v="6.6"/>
    <n v="0.31249999999999994"/>
    <n v="0"/>
  </r>
  <r>
    <n v="4193"/>
    <s v="CA-2015-150875"/>
    <d v="2015-11-16T00:00:00"/>
    <x v="1"/>
    <s v="Q4"/>
    <x v="6"/>
    <d v="2015-11-20T00:00:00"/>
    <s v="Standard Class"/>
    <x v="96"/>
    <x v="96"/>
    <s v="Corporate"/>
    <s v="United States"/>
    <s v="Boise"/>
    <x v="45"/>
    <n v="83704"/>
    <x v="1"/>
    <x v="3"/>
    <x v="0"/>
    <x v="3"/>
    <x v="3"/>
    <n v="696.42"/>
    <s v="High"/>
    <n v="2"/>
    <n v="0"/>
    <x v="0"/>
    <x v="0"/>
    <n v="160.17660000000001"/>
    <n v="0.23000000000000004"/>
    <n v="0"/>
  </r>
  <r>
    <n v="4194"/>
    <s v="CA-2015-150875"/>
    <d v="2015-11-16T00:00:00"/>
    <x v="1"/>
    <s v="Q4"/>
    <x v="6"/>
    <d v="2015-11-20T00:00:00"/>
    <s v="Standard Class"/>
    <x v="96"/>
    <x v="96"/>
    <s v="Corporate"/>
    <s v="United States"/>
    <s v="Boise"/>
    <x v="45"/>
    <n v="83704"/>
    <x v="1"/>
    <x v="143"/>
    <x v="2"/>
    <x v="7"/>
    <x v="144"/>
    <n v="304.77600000000001"/>
    <s v="High"/>
    <n v="3"/>
    <n v="0.2"/>
    <x v="2"/>
    <x v="2"/>
    <n v="22.8582"/>
    <n v="7.4999999999999997E-2"/>
    <n v="0"/>
  </r>
  <r>
    <n v="4195"/>
    <s v="CA-2015-154200"/>
    <d v="2015-06-18T00:00:00"/>
    <x v="1"/>
    <s v="Q2"/>
    <x v="40"/>
    <d v="2015-06-22T00:00:00"/>
    <s v="Standard Class"/>
    <x v="696"/>
    <x v="696"/>
    <s v="Consumer"/>
    <s v="United States"/>
    <s v="San Diego"/>
    <x v="1"/>
    <n v="92105"/>
    <x v="1"/>
    <x v="1062"/>
    <x v="1"/>
    <x v="6"/>
    <x v="1051"/>
    <n v="51.98"/>
    <s v="Medium"/>
    <n v="2"/>
    <n v="0"/>
    <x v="0"/>
    <x v="0"/>
    <n v="15.074199999999999"/>
    <n v="0.28999999999999998"/>
    <n v="0"/>
  </r>
  <r>
    <n v="4196"/>
    <s v="CA-2016-124233"/>
    <d v="2016-04-08T00:00:00"/>
    <x v="0"/>
    <s v="Q2"/>
    <x v="25"/>
    <d v="2016-04-14T00:00:00"/>
    <s v="Standard Class"/>
    <x v="242"/>
    <x v="242"/>
    <s v="Consumer"/>
    <s v="United States"/>
    <s v="Los Angeles"/>
    <x v="1"/>
    <n v="90032"/>
    <x v="1"/>
    <x v="627"/>
    <x v="0"/>
    <x v="5"/>
    <x v="627"/>
    <n v="24.7"/>
    <s v="Low"/>
    <n v="5"/>
    <n v="0"/>
    <x v="0"/>
    <x v="0"/>
    <n v="10.374000000000001"/>
    <n v="0.42000000000000004"/>
    <n v="0"/>
  </r>
  <r>
    <n v="4197"/>
    <s v="US-2015-134271"/>
    <d v="2015-04-18T00:00:00"/>
    <x v="1"/>
    <s v="Q2"/>
    <x v="19"/>
    <d v="2015-04-23T00:00:00"/>
    <s v="Second Class"/>
    <x v="288"/>
    <x v="288"/>
    <s v="Consumer"/>
    <s v="United States"/>
    <s v="New York City"/>
    <x v="15"/>
    <n v="10024"/>
    <x v="3"/>
    <x v="676"/>
    <x v="1"/>
    <x v="2"/>
    <x v="676"/>
    <n v="21.93"/>
    <s v="Low"/>
    <n v="3"/>
    <n v="0"/>
    <x v="0"/>
    <x v="0"/>
    <n v="10.3071"/>
    <n v="0.47000000000000003"/>
    <n v="0"/>
  </r>
  <r>
    <n v="4198"/>
    <s v="US-2016-161683"/>
    <d v="2016-12-03T00:00:00"/>
    <x v="0"/>
    <s v="Q4"/>
    <x v="5"/>
    <d v="2016-12-08T00:00:00"/>
    <s v="Standard Class"/>
    <x v="170"/>
    <x v="170"/>
    <s v="Consumer"/>
    <s v="United States"/>
    <s v="Philadelphia"/>
    <x v="9"/>
    <n v="19134"/>
    <x v="3"/>
    <x v="532"/>
    <x v="1"/>
    <x v="9"/>
    <x v="532"/>
    <n v="394.81599999999997"/>
    <s v="High"/>
    <n v="4"/>
    <n v="0.2"/>
    <x v="2"/>
    <x v="2"/>
    <n v="93.768799999999999"/>
    <n v="0.23750000000000002"/>
    <n v="0"/>
  </r>
  <r>
    <n v="4199"/>
    <s v="US-2016-161683"/>
    <d v="2016-12-03T00:00:00"/>
    <x v="0"/>
    <s v="Q4"/>
    <x v="5"/>
    <d v="2016-12-08T00:00:00"/>
    <s v="Standard Class"/>
    <x v="170"/>
    <x v="170"/>
    <s v="Consumer"/>
    <s v="United States"/>
    <s v="Philadelphia"/>
    <x v="9"/>
    <n v="19134"/>
    <x v="3"/>
    <x v="280"/>
    <x v="1"/>
    <x v="8"/>
    <x v="280"/>
    <n v="18.192"/>
    <s v="Low"/>
    <n v="4"/>
    <n v="0.7"/>
    <x v="1"/>
    <x v="5"/>
    <n v="-14.553599999999999"/>
    <n v="-0.79999999999999993"/>
    <n v="1"/>
  </r>
  <r>
    <n v="4200"/>
    <s v="CA-2015-143105"/>
    <d v="2015-12-10T00:00:00"/>
    <x v="1"/>
    <s v="Q4"/>
    <x v="14"/>
    <d v="2015-12-10T00:00:00"/>
    <s v="Same Day"/>
    <x v="15"/>
    <x v="15"/>
    <s v="Home Office"/>
    <s v="United States"/>
    <s v="New York City"/>
    <x v="15"/>
    <n v="10024"/>
    <x v="3"/>
    <x v="676"/>
    <x v="1"/>
    <x v="2"/>
    <x v="676"/>
    <n v="7.31"/>
    <s v="Low"/>
    <n v="1"/>
    <n v="0"/>
    <x v="0"/>
    <x v="0"/>
    <n v="3.4357000000000002"/>
    <n v="0.47000000000000003"/>
    <n v="0"/>
  </r>
  <r>
    <n v="4201"/>
    <s v="CA-2015-143105"/>
    <d v="2015-12-10T00:00:00"/>
    <x v="1"/>
    <s v="Q4"/>
    <x v="14"/>
    <d v="2015-12-10T00:00:00"/>
    <s v="Same Day"/>
    <x v="15"/>
    <x v="15"/>
    <s v="Home Office"/>
    <s v="United States"/>
    <s v="New York City"/>
    <x v="15"/>
    <n v="10024"/>
    <x v="3"/>
    <x v="615"/>
    <x v="2"/>
    <x v="16"/>
    <x v="615"/>
    <n v="799.98400000000004"/>
    <s v="High"/>
    <n v="2"/>
    <n v="0.2"/>
    <x v="2"/>
    <x v="2"/>
    <n v="249.995"/>
    <n v="0.3125"/>
    <n v="0"/>
  </r>
  <r>
    <n v="4202"/>
    <s v="CA-2015-143105"/>
    <d v="2015-12-10T00:00:00"/>
    <x v="1"/>
    <s v="Q4"/>
    <x v="14"/>
    <d v="2015-12-10T00:00:00"/>
    <s v="Same Day"/>
    <x v="15"/>
    <x v="15"/>
    <s v="Home Office"/>
    <s v="United States"/>
    <s v="New York City"/>
    <x v="15"/>
    <n v="10024"/>
    <x v="3"/>
    <x v="320"/>
    <x v="1"/>
    <x v="10"/>
    <x v="320"/>
    <n v="41.28"/>
    <s v="Medium"/>
    <n v="6"/>
    <n v="0"/>
    <x v="0"/>
    <x v="0"/>
    <n v="18.988800000000001"/>
    <n v="0.46"/>
    <n v="0"/>
  </r>
  <r>
    <n v="4203"/>
    <s v="CA-2015-143105"/>
    <d v="2015-12-10T00:00:00"/>
    <x v="1"/>
    <s v="Q4"/>
    <x v="14"/>
    <d v="2015-12-10T00:00:00"/>
    <s v="Same Day"/>
    <x v="15"/>
    <x v="15"/>
    <s v="Home Office"/>
    <s v="United States"/>
    <s v="New York City"/>
    <x v="15"/>
    <n v="10024"/>
    <x v="3"/>
    <x v="145"/>
    <x v="1"/>
    <x v="10"/>
    <x v="146"/>
    <n v="184.66"/>
    <s v="High"/>
    <n v="7"/>
    <n v="0"/>
    <x v="0"/>
    <x v="0"/>
    <n v="84.943600000000004"/>
    <n v="0.46"/>
    <n v="0"/>
  </r>
  <r>
    <n v="4204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32"/>
    <x v="1"/>
    <x v="6"/>
    <x v="32"/>
    <n v="49.25"/>
    <s v="Medium"/>
    <n v="5"/>
    <n v="0"/>
    <x v="0"/>
    <x v="0"/>
    <n v="18.715"/>
    <n v="0.38"/>
    <n v="0"/>
  </r>
  <r>
    <n v="4205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727"/>
    <x v="1"/>
    <x v="10"/>
    <x v="726"/>
    <n v="10.16"/>
    <s v="Low"/>
    <n v="2"/>
    <n v="0"/>
    <x v="0"/>
    <x v="0"/>
    <n v="4.7751999999999999"/>
    <n v="0.47"/>
    <n v="0"/>
  </r>
  <r>
    <n v="4206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1256"/>
    <x v="0"/>
    <x v="5"/>
    <x v="1240"/>
    <n v="14.76"/>
    <s v="Low"/>
    <n v="2"/>
    <n v="0"/>
    <x v="0"/>
    <x v="0"/>
    <n v="4.2804000000000002"/>
    <n v="0.29000000000000004"/>
    <n v="0"/>
  </r>
  <r>
    <n v="4207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822"/>
    <x v="1"/>
    <x v="8"/>
    <x v="818"/>
    <n v="34.08"/>
    <s v="Medium"/>
    <n v="2"/>
    <n v="0"/>
    <x v="0"/>
    <x v="0"/>
    <n v="15.6768"/>
    <n v="0.46"/>
    <n v="0"/>
  </r>
  <r>
    <n v="4208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325"/>
    <x v="0"/>
    <x v="5"/>
    <x v="325"/>
    <n v="17.670000000000002"/>
    <s v="Low"/>
    <n v="3"/>
    <n v="0"/>
    <x v="0"/>
    <x v="0"/>
    <n v="7.7747999999999999"/>
    <n v="0.43999999999999995"/>
    <n v="0"/>
  </r>
  <r>
    <n v="4209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1476"/>
    <x v="0"/>
    <x v="1"/>
    <x v="1463"/>
    <n v="1604.9"/>
    <s v="High"/>
    <n v="5"/>
    <n v="0"/>
    <x v="0"/>
    <x v="0"/>
    <n v="481.47"/>
    <n v="0.3"/>
    <n v="0"/>
  </r>
  <r>
    <n v="4210"/>
    <s v="CA-2014-145387"/>
    <d v="2014-10-31T00:00:00"/>
    <x v="2"/>
    <s v="Q4"/>
    <x v="18"/>
    <d v="2014-11-02T00:00:00"/>
    <s v="Second Class"/>
    <x v="562"/>
    <x v="562"/>
    <s v="Consumer"/>
    <s v="United States"/>
    <s v="Cranston"/>
    <x v="34"/>
    <n v="2920"/>
    <x v="3"/>
    <x v="1258"/>
    <x v="0"/>
    <x v="3"/>
    <x v="1242"/>
    <n v="385.68599999999998"/>
    <s v="High"/>
    <n v="1"/>
    <n v="0.3"/>
    <x v="1"/>
    <x v="4"/>
    <n v="-60.607799999999997"/>
    <n v="-0.15714285714285714"/>
    <n v="1"/>
  </r>
  <r>
    <n v="4211"/>
    <s v="CA-2017-109715"/>
    <d v="2017-12-09T00:00:00"/>
    <x v="3"/>
    <s v="Q4"/>
    <x v="22"/>
    <d v="2017-12-14T00:00:00"/>
    <s v="Standard Class"/>
    <x v="738"/>
    <x v="738"/>
    <s v="Consumer"/>
    <s v="United States"/>
    <s v="Chicago"/>
    <x v="10"/>
    <n v="60623"/>
    <x v="2"/>
    <x v="112"/>
    <x v="1"/>
    <x v="10"/>
    <x v="112"/>
    <n v="15.984"/>
    <s v="Low"/>
    <n v="2"/>
    <n v="0.2"/>
    <x v="2"/>
    <x v="2"/>
    <n v="4.9950000000000001"/>
    <n v="0.3125"/>
    <n v="0"/>
  </r>
  <r>
    <n v="4212"/>
    <s v="CA-2014-166457"/>
    <d v="2014-05-05T00:00:00"/>
    <x v="2"/>
    <s v="Q2"/>
    <x v="8"/>
    <d v="2014-05-09T00:00:00"/>
    <s v="Second Class"/>
    <x v="724"/>
    <x v="724"/>
    <s v="Consumer"/>
    <s v="United States"/>
    <s v="Richmond"/>
    <x v="0"/>
    <n v="40475"/>
    <x v="0"/>
    <x v="1407"/>
    <x v="1"/>
    <x v="10"/>
    <x v="1394"/>
    <n v="9.42"/>
    <s v="Low"/>
    <n v="3"/>
    <n v="0"/>
    <x v="0"/>
    <x v="0"/>
    <n v="4.2389999999999999"/>
    <n v="0.45"/>
    <n v="0"/>
  </r>
  <r>
    <n v="4213"/>
    <s v="CA-2014-166457"/>
    <d v="2014-05-05T00:00:00"/>
    <x v="2"/>
    <s v="Q2"/>
    <x v="8"/>
    <d v="2014-05-09T00:00:00"/>
    <s v="Second Class"/>
    <x v="724"/>
    <x v="724"/>
    <s v="Consumer"/>
    <s v="United States"/>
    <s v="Richmond"/>
    <x v="0"/>
    <n v="40475"/>
    <x v="0"/>
    <x v="279"/>
    <x v="1"/>
    <x v="6"/>
    <x v="279"/>
    <n v="6.56"/>
    <s v="Low"/>
    <n v="2"/>
    <n v="0"/>
    <x v="0"/>
    <x v="0"/>
    <n v="1.9024000000000001"/>
    <n v="0.29000000000000004"/>
    <n v="0"/>
  </r>
  <r>
    <n v="4214"/>
    <s v="CA-2014-166457"/>
    <d v="2014-05-05T00:00:00"/>
    <x v="2"/>
    <s v="Q2"/>
    <x v="8"/>
    <d v="2014-05-09T00:00:00"/>
    <s v="Second Class"/>
    <x v="724"/>
    <x v="724"/>
    <s v="Consumer"/>
    <s v="United States"/>
    <s v="Richmond"/>
    <x v="0"/>
    <n v="40475"/>
    <x v="0"/>
    <x v="1635"/>
    <x v="1"/>
    <x v="10"/>
    <x v="1625"/>
    <n v="24.56"/>
    <s v="Low"/>
    <n v="2"/>
    <n v="0"/>
    <x v="0"/>
    <x v="0"/>
    <n v="11.543200000000001"/>
    <n v="0.47000000000000003"/>
    <n v="0"/>
  </r>
  <r>
    <n v="4215"/>
    <s v="CA-2016-164637"/>
    <d v="2016-03-04T00:00:00"/>
    <x v="0"/>
    <s v="Q1"/>
    <x v="17"/>
    <d v="2016-03-08T00:00:00"/>
    <s v="Standard Class"/>
    <x v="502"/>
    <x v="502"/>
    <s v="Consumer"/>
    <s v="United States"/>
    <s v="Mishawaka"/>
    <x v="14"/>
    <n v="46544"/>
    <x v="2"/>
    <x v="1636"/>
    <x v="1"/>
    <x v="8"/>
    <x v="1626"/>
    <n v="128.4"/>
    <s v="High"/>
    <n v="3"/>
    <n v="0"/>
    <x v="0"/>
    <x v="0"/>
    <n v="64.2"/>
    <n v="0.5"/>
    <n v="0"/>
  </r>
  <r>
    <n v="4216"/>
    <s v="CA-2014-103590"/>
    <d v="2014-11-30T00:00:00"/>
    <x v="2"/>
    <s v="Q4"/>
    <x v="7"/>
    <d v="2014-12-04T00:00:00"/>
    <s v="Standard Class"/>
    <x v="145"/>
    <x v="145"/>
    <s v="Consumer"/>
    <s v="United States"/>
    <s v="Mount Vernon"/>
    <x v="15"/>
    <n v="10550"/>
    <x v="3"/>
    <x v="1637"/>
    <x v="1"/>
    <x v="12"/>
    <x v="1627"/>
    <n v="62.28"/>
    <s v="Medium"/>
    <n v="4"/>
    <n v="0"/>
    <x v="0"/>
    <x v="0"/>
    <n v="29.271599999999999"/>
    <n v="0.47"/>
    <n v="0"/>
  </r>
  <r>
    <n v="4217"/>
    <s v="CA-2015-111234"/>
    <d v="2015-02-18T00:00:00"/>
    <x v="1"/>
    <s v="Q1"/>
    <x v="36"/>
    <d v="2015-02-22T00:00:00"/>
    <s v="Standard Class"/>
    <x v="448"/>
    <x v="448"/>
    <s v="Corporate"/>
    <s v="United States"/>
    <s v="Los Angeles"/>
    <x v="1"/>
    <n v="90004"/>
    <x v="1"/>
    <x v="641"/>
    <x v="1"/>
    <x v="2"/>
    <x v="641"/>
    <n v="9.24"/>
    <s v="Low"/>
    <n v="3"/>
    <n v="0"/>
    <x v="0"/>
    <x v="0"/>
    <n v="4.4352"/>
    <n v="0.48"/>
    <n v="0"/>
  </r>
  <r>
    <n v="4218"/>
    <s v="CA-2017-149881"/>
    <d v="2017-04-01T00:00:00"/>
    <x v="3"/>
    <s v="Q2"/>
    <x v="4"/>
    <d v="2017-04-03T00:00:00"/>
    <s v="First Class"/>
    <x v="714"/>
    <x v="714"/>
    <s v="Corporate"/>
    <s v="United States"/>
    <s v="San Francisco"/>
    <x v="1"/>
    <n v="94110"/>
    <x v="1"/>
    <x v="1638"/>
    <x v="0"/>
    <x v="0"/>
    <x v="1628"/>
    <n v="482.66399999999999"/>
    <s v="High"/>
    <n v="8"/>
    <n v="0.15"/>
    <x v="2"/>
    <x v="2"/>
    <n v="85.176000000000002"/>
    <n v="0.17647058823529413"/>
    <n v="0"/>
  </r>
  <r>
    <n v="4219"/>
    <s v="CA-2017-149881"/>
    <d v="2017-04-01T00:00:00"/>
    <x v="3"/>
    <s v="Q2"/>
    <x v="4"/>
    <d v="2017-04-03T00:00:00"/>
    <s v="First Class"/>
    <x v="714"/>
    <x v="714"/>
    <s v="Corporate"/>
    <s v="United States"/>
    <s v="San Francisco"/>
    <x v="1"/>
    <n v="94110"/>
    <x v="1"/>
    <x v="1497"/>
    <x v="2"/>
    <x v="15"/>
    <x v="1485"/>
    <n v="4799.9840000000004"/>
    <s v="High"/>
    <n v="2"/>
    <n v="0.2"/>
    <x v="2"/>
    <x v="2"/>
    <n v="359.99880000000002"/>
    <n v="7.4999999999999997E-2"/>
    <n v="0"/>
  </r>
  <r>
    <n v="4220"/>
    <s v="CA-2017-134565"/>
    <d v="2017-06-11T00:00:00"/>
    <x v="3"/>
    <s v="Q2"/>
    <x v="27"/>
    <d v="2017-06-13T00:00:00"/>
    <s v="Second Class"/>
    <x v="483"/>
    <x v="483"/>
    <s v="Consumer"/>
    <s v="United States"/>
    <s v="Seattle"/>
    <x v="4"/>
    <n v="98103"/>
    <x v="1"/>
    <x v="274"/>
    <x v="1"/>
    <x v="10"/>
    <x v="274"/>
    <n v="37.94"/>
    <s v="Medium"/>
    <n v="2"/>
    <n v="0"/>
    <x v="0"/>
    <x v="0"/>
    <n v="18.211200000000002"/>
    <n v="0.48000000000000009"/>
    <n v="0"/>
  </r>
  <r>
    <n v="4221"/>
    <s v="CA-2017-134565"/>
    <d v="2017-06-11T00:00:00"/>
    <x v="3"/>
    <s v="Q2"/>
    <x v="27"/>
    <d v="2017-06-13T00:00:00"/>
    <s v="Second Class"/>
    <x v="483"/>
    <x v="483"/>
    <s v="Consumer"/>
    <s v="United States"/>
    <s v="Seattle"/>
    <x v="4"/>
    <n v="98103"/>
    <x v="1"/>
    <x v="733"/>
    <x v="1"/>
    <x v="8"/>
    <x v="732"/>
    <n v="18.288"/>
    <s v="Low"/>
    <n v="6"/>
    <n v="0.2"/>
    <x v="2"/>
    <x v="2"/>
    <n v="6.6294000000000004"/>
    <n v="0.36250000000000004"/>
    <n v="0"/>
  </r>
  <r>
    <n v="4222"/>
    <s v="CA-2017-134565"/>
    <d v="2017-06-11T00:00:00"/>
    <x v="3"/>
    <s v="Q2"/>
    <x v="27"/>
    <d v="2017-06-13T00:00:00"/>
    <s v="Second Class"/>
    <x v="483"/>
    <x v="483"/>
    <s v="Consumer"/>
    <s v="United States"/>
    <s v="Seattle"/>
    <x v="4"/>
    <n v="98103"/>
    <x v="1"/>
    <x v="1639"/>
    <x v="2"/>
    <x v="15"/>
    <x v="1629"/>
    <n v="385.8"/>
    <s v="High"/>
    <n v="5"/>
    <n v="0.2"/>
    <x v="2"/>
    <x v="2"/>
    <n v="130.20750000000001"/>
    <n v="0.33750000000000002"/>
    <n v="0"/>
  </r>
  <r>
    <n v="4223"/>
    <s v="CA-2017-134565"/>
    <d v="2017-06-11T00:00:00"/>
    <x v="3"/>
    <s v="Q2"/>
    <x v="27"/>
    <d v="2017-06-13T00:00:00"/>
    <s v="Second Class"/>
    <x v="483"/>
    <x v="483"/>
    <s v="Consumer"/>
    <s v="United States"/>
    <s v="Seattle"/>
    <x v="4"/>
    <n v="98103"/>
    <x v="1"/>
    <x v="232"/>
    <x v="1"/>
    <x v="4"/>
    <x v="233"/>
    <n v="102.96"/>
    <s v="Medium"/>
    <n v="2"/>
    <n v="0"/>
    <x v="0"/>
    <x v="0"/>
    <n v="1.0296000000000001"/>
    <n v="1.0000000000000002E-2"/>
    <n v="0"/>
  </r>
  <r>
    <n v="4224"/>
    <s v="CA-2017-134565"/>
    <d v="2017-06-11T00:00:00"/>
    <x v="3"/>
    <s v="Q2"/>
    <x v="27"/>
    <d v="2017-06-13T00:00:00"/>
    <s v="Second Class"/>
    <x v="483"/>
    <x v="483"/>
    <s v="Consumer"/>
    <s v="United States"/>
    <s v="Seattle"/>
    <x v="4"/>
    <n v="98103"/>
    <x v="1"/>
    <x v="672"/>
    <x v="0"/>
    <x v="0"/>
    <x v="672"/>
    <n v="174.42"/>
    <s v="High"/>
    <n v="3"/>
    <n v="0"/>
    <x v="0"/>
    <x v="0"/>
    <n v="41.860799999999998"/>
    <n v="0.24"/>
    <n v="0"/>
  </r>
  <r>
    <n v="4225"/>
    <s v="CA-2016-108644"/>
    <d v="2016-09-30T00:00:00"/>
    <x v="0"/>
    <s v="Q3"/>
    <x v="21"/>
    <d v="2016-10-03T00:00:00"/>
    <s v="First Class"/>
    <x v="695"/>
    <x v="695"/>
    <s v="Consumer"/>
    <s v="United States"/>
    <s v="Quincy"/>
    <x v="10"/>
    <n v="62301"/>
    <x v="2"/>
    <x v="185"/>
    <x v="1"/>
    <x v="8"/>
    <x v="186"/>
    <n v="1.964"/>
    <s v="Low"/>
    <n v="2"/>
    <n v="0.8"/>
    <x v="1"/>
    <x v="3"/>
    <n v="-3.2406000000000001"/>
    <n v="-1.6500000000000001"/>
    <n v="1"/>
  </r>
  <r>
    <n v="4226"/>
    <s v="US-2014-102631"/>
    <d v="2014-12-13T00:00:00"/>
    <x v="2"/>
    <s v="Q4"/>
    <x v="20"/>
    <d v="2014-12-17T00:00:00"/>
    <s v="Standard Class"/>
    <x v="225"/>
    <x v="225"/>
    <s v="Corporate"/>
    <s v="United States"/>
    <s v="Chicago"/>
    <x v="10"/>
    <n v="60623"/>
    <x v="2"/>
    <x v="1640"/>
    <x v="0"/>
    <x v="5"/>
    <x v="1630"/>
    <n v="94.427999999999997"/>
    <s v="Medium"/>
    <n v="3"/>
    <n v="0.6"/>
    <x v="1"/>
    <x v="6"/>
    <n v="-42.492600000000003"/>
    <n v="-0.45000000000000007"/>
    <n v="1"/>
  </r>
  <r>
    <n v="4227"/>
    <s v="CA-2017-120327"/>
    <d v="2017-11-11T00:00:00"/>
    <x v="3"/>
    <s v="Q4"/>
    <x v="23"/>
    <d v="2017-11-16T00:00:00"/>
    <s v="Standard Class"/>
    <x v="576"/>
    <x v="576"/>
    <s v="Consumer"/>
    <s v="United States"/>
    <s v="Urbandale"/>
    <x v="23"/>
    <n v="50322"/>
    <x v="2"/>
    <x v="271"/>
    <x v="1"/>
    <x v="13"/>
    <x v="271"/>
    <n v="45.92"/>
    <s v="Medium"/>
    <n v="4"/>
    <n v="0"/>
    <x v="0"/>
    <x v="0"/>
    <n v="21.5824"/>
    <n v="0.47"/>
    <n v="0"/>
  </r>
  <r>
    <n v="4228"/>
    <s v="CA-2015-154970"/>
    <d v="2015-01-05T00:00:00"/>
    <x v="1"/>
    <s v="Q1"/>
    <x v="26"/>
    <d v="2015-01-10T00:00:00"/>
    <s v="Standard Class"/>
    <x v="256"/>
    <x v="256"/>
    <s v="Home Office"/>
    <s v="United States"/>
    <s v="Seattle"/>
    <x v="4"/>
    <n v="98103"/>
    <x v="1"/>
    <x v="389"/>
    <x v="0"/>
    <x v="1"/>
    <x v="390"/>
    <n v="61.584000000000003"/>
    <s v="Medium"/>
    <n v="1"/>
    <n v="0.2"/>
    <x v="2"/>
    <x v="2"/>
    <n v="-6.9282000000000004"/>
    <n v="-0.1125"/>
    <n v="1"/>
  </r>
  <r>
    <n v="4229"/>
    <s v="CA-2016-113803"/>
    <d v="2016-03-24T00:00:00"/>
    <x v="0"/>
    <s v="Q1"/>
    <x v="17"/>
    <d v="2016-03-26T00:00:00"/>
    <s v="First Class"/>
    <x v="500"/>
    <x v="500"/>
    <s v="Corporate"/>
    <s v="United States"/>
    <s v="Richmond"/>
    <x v="14"/>
    <n v="47374"/>
    <x v="2"/>
    <x v="1134"/>
    <x v="1"/>
    <x v="10"/>
    <x v="1122"/>
    <n v="22.48"/>
    <s v="Low"/>
    <n v="1"/>
    <n v="0"/>
    <x v="0"/>
    <x v="0"/>
    <n v="10.3408"/>
    <n v="0.45999999999999996"/>
    <n v="0"/>
  </r>
  <r>
    <n v="4230"/>
    <s v="CA-2017-100223"/>
    <d v="2017-07-05T00:00:00"/>
    <x v="3"/>
    <s v="Q3"/>
    <x v="10"/>
    <d v="2017-07-10T00:00:00"/>
    <s v="Standard Class"/>
    <x v="322"/>
    <x v="322"/>
    <s v="Corporate"/>
    <s v="United States"/>
    <s v="Dallas"/>
    <x v="5"/>
    <n v="75220"/>
    <x v="2"/>
    <x v="737"/>
    <x v="0"/>
    <x v="5"/>
    <x v="736"/>
    <n v="332.02800000000002"/>
    <s v="High"/>
    <n v="9"/>
    <n v="0.6"/>
    <x v="1"/>
    <x v="6"/>
    <n v="-348.62939999999998"/>
    <n v="-1.0499999999999998"/>
    <n v="1"/>
  </r>
  <r>
    <n v="4231"/>
    <s v="CA-2017-100223"/>
    <d v="2017-07-05T00:00:00"/>
    <x v="3"/>
    <s v="Q3"/>
    <x v="10"/>
    <d v="2017-07-10T00:00:00"/>
    <s v="Standard Class"/>
    <x v="322"/>
    <x v="322"/>
    <s v="Corporate"/>
    <s v="United States"/>
    <s v="Dallas"/>
    <x v="5"/>
    <n v="75220"/>
    <x v="2"/>
    <x v="858"/>
    <x v="1"/>
    <x v="8"/>
    <x v="852"/>
    <n v="11.394"/>
    <s v="Low"/>
    <n v="9"/>
    <n v="0.8"/>
    <x v="1"/>
    <x v="3"/>
    <n v="-17.660699999999999"/>
    <n v="-1.5499999999999998"/>
    <n v="1"/>
  </r>
  <r>
    <n v="4232"/>
    <s v="CA-2017-100223"/>
    <d v="2017-07-05T00:00:00"/>
    <x v="3"/>
    <s v="Q3"/>
    <x v="10"/>
    <d v="2017-07-10T00:00:00"/>
    <s v="Standard Class"/>
    <x v="322"/>
    <x v="322"/>
    <s v="Corporate"/>
    <s v="United States"/>
    <s v="Dallas"/>
    <x v="5"/>
    <n v="75220"/>
    <x v="2"/>
    <x v="1641"/>
    <x v="1"/>
    <x v="10"/>
    <x v="1631"/>
    <n v="15.552"/>
    <s v="Low"/>
    <n v="3"/>
    <n v="0.2"/>
    <x v="2"/>
    <x v="2"/>
    <n v="5.6375999999999999"/>
    <n v="0.36249999999999999"/>
    <n v="0"/>
  </r>
  <r>
    <n v="4233"/>
    <s v="CA-2017-100223"/>
    <d v="2017-07-05T00:00:00"/>
    <x v="3"/>
    <s v="Q3"/>
    <x v="10"/>
    <d v="2017-07-10T00:00:00"/>
    <s v="Standard Class"/>
    <x v="322"/>
    <x v="322"/>
    <s v="Corporate"/>
    <s v="United States"/>
    <s v="Dallas"/>
    <x v="5"/>
    <n v="75220"/>
    <x v="2"/>
    <x v="727"/>
    <x v="1"/>
    <x v="10"/>
    <x v="1552"/>
    <n v="31.103999999999999"/>
    <s v="Medium"/>
    <n v="6"/>
    <n v="0.2"/>
    <x v="2"/>
    <x v="2"/>
    <n v="11.2752"/>
    <n v="0.36249999999999999"/>
    <n v="0"/>
  </r>
  <r>
    <n v="4234"/>
    <s v="CA-2017-100223"/>
    <d v="2017-07-05T00:00:00"/>
    <x v="3"/>
    <s v="Q3"/>
    <x v="10"/>
    <d v="2017-07-10T00:00:00"/>
    <s v="Standard Class"/>
    <x v="322"/>
    <x v="322"/>
    <s v="Corporate"/>
    <s v="United States"/>
    <s v="Dallas"/>
    <x v="5"/>
    <n v="75220"/>
    <x v="2"/>
    <x v="351"/>
    <x v="1"/>
    <x v="8"/>
    <x v="351"/>
    <n v="6.3159999999999998"/>
    <s v="Low"/>
    <n v="1"/>
    <n v="0.8"/>
    <x v="1"/>
    <x v="3"/>
    <n v="-10.4214"/>
    <n v="-1.6500000000000001"/>
    <n v="1"/>
  </r>
  <r>
    <n v="4235"/>
    <s v="CA-2014-168823"/>
    <d v="2014-09-21T00:00:00"/>
    <x v="2"/>
    <s v="Q3"/>
    <x v="30"/>
    <d v="2014-09-24T00:00:00"/>
    <s v="First Class"/>
    <x v="15"/>
    <x v="15"/>
    <s v="Home Office"/>
    <s v="United States"/>
    <s v="Philadelphia"/>
    <x v="9"/>
    <n v="19143"/>
    <x v="3"/>
    <x v="204"/>
    <x v="1"/>
    <x v="10"/>
    <x v="205"/>
    <n v="11.352"/>
    <s v="Low"/>
    <n v="3"/>
    <n v="0.2"/>
    <x v="2"/>
    <x v="2"/>
    <n v="4.1151"/>
    <n v="0.36249999999999999"/>
    <n v="0"/>
  </r>
  <r>
    <n v="4236"/>
    <s v="CA-2014-168823"/>
    <d v="2014-09-21T00:00:00"/>
    <x v="2"/>
    <s v="Q3"/>
    <x v="30"/>
    <d v="2014-09-24T00:00:00"/>
    <s v="First Class"/>
    <x v="15"/>
    <x v="15"/>
    <s v="Home Office"/>
    <s v="United States"/>
    <s v="Philadelphia"/>
    <x v="9"/>
    <n v="19143"/>
    <x v="3"/>
    <x v="865"/>
    <x v="1"/>
    <x v="2"/>
    <x v="859"/>
    <n v="20.808"/>
    <s v="Low"/>
    <n v="9"/>
    <n v="0.2"/>
    <x v="2"/>
    <x v="2"/>
    <n v="7.0227000000000004"/>
    <n v="0.33750000000000002"/>
    <n v="0"/>
  </r>
  <r>
    <n v="4237"/>
    <s v="CA-2016-162404"/>
    <d v="2016-07-23T00:00:00"/>
    <x v="0"/>
    <s v="Q3"/>
    <x v="16"/>
    <d v="2016-07-27T00:00:00"/>
    <s v="Standard Class"/>
    <x v="739"/>
    <x v="739"/>
    <s v="Home Office"/>
    <s v="United States"/>
    <s v="Rockford"/>
    <x v="10"/>
    <n v="61107"/>
    <x v="2"/>
    <x v="1395"/>
    <x v="1"/>
    <x v="8"/>
    <x v="1382"/>
    <n v="11.416"/>
    <s v="Low"/>
    <n v="4"/>
    <n v="0.8"/>
    <x v="1"/>
    <x v="3"/>
    <n v="-18.836400000000001"/>
    <n v="-1.6500000000000001"/>
    <n v="1"/>
  </r>
  <r>
    <n v="4238"/>
    <s v="CA-2017-104024"/>
    <d v="2017-08-29T00:00:00"/>
    <x v="3"/>
    <s v="Q3"/>
    <x v="43"/>
    <d v="2017-09-03T00:00:00"/>
    <s v="Second Class"/>
    <x v="550"/>
    <x v="550"/>
    <s v="Corporate"/>
    <s v="United States"/>
    <s v="Philadelphia"/>
    <x v="9"/>
    <n v="19134"/>
    <x v="3"/>
    <x v="1642"/>
    <x v="1"/>
    <x v="6"/>
    <x v="1632"/>
    <n v="9.4079999999999995"/>
    <s v="Low"/>
    <n v="7"/>
    <n v="0.2"/>
    <x v="2"/>
    <x v="2"/>
    <n v="0.7056"/>
    <n v="7.5000000000000011E-2"/>
    <n v="0"/>
  </r>
  <r>
    <n v="4239"/>
    <s v="CA-2017-147144"/>
    <d v="2017-03-26T00:00:00"/>
    <x v="3"/>
    <s v="Q1"/>
    <x v="42"/>
    <d v="2017-03-28T00:00:00"/>
    <s v="First Class"/>
    <x v="595"/>
    <x v="595"/>
    <s v="Home Office"/>
    <s v="United States"/>
    <s v="Seattle"/>
    <x v="4"/>
    <n v="98105"/>
    <x v="1"/>
    <x v="1643"/>
    <x v="1"/>
    <x v="6"/>
    <x v="1633"/>
    <n v="19.829999999999998"/>
    <s v="Low"/>
    <n v="1"/>
    <n v="0"/>
    <x v="0"/>
    <x v="0"/>
    <n v="5.9489999999999998"/>
    <n v="0.30000000000000004"/>
    <n v="0"/>
  </r>
  <r>
    <n v="4240"/>
    <s v="CA-2017-158673"/>
    <d v="2017-12-29T00:00:00"/>
    <x v="3"/>
    <s v="Q4"/>
    <x v="22"/>
    <d v="2018-01-04T00:00:00"/>
    <s v="Standard Class"/>
    <x v="33"/>
    <x v="33"/>
    <s v="Corporate"/>
    <s v="United States"/>
    <s v="Grand Rapids"/>
    <x v="12"/>
    <n v="49505"/>
    <x v="2"/>
    <x v="921"/>
    <x v="1"/>
    <x v="10"/>
    <x v="913"/>
    <n v="209.7"/>
    <s v="High"/>
    <n v="2"/>
    <n v="0"/>
    <x v="0"/>
    <x v="0"/>
    <n v="100.65600000000001"/>
    <n v="0.48000000000000004"/>
    <n v="0"/>
  </r>
  <r>
    <n v="4241"/>
    <s v="CA-2014-133704"/>
    <d v="2014-09-20T00:00:00"/>
    <x v="2"/>
    <s v="Q3"/>
    <x v="30"/>
    <d v="2014-09-26T00:00:00"/>
    <s v="Standard Class"/>
    <x v="671"/>
    <x v="671"/>
    <s v="Home Office"/>
    <s v="United States"/>
    <s v="Los Angeles"/>
    <x v="1"/>
    <n v="90004"/>
    <x v="1"/>
    <x v="1644"/>
    <x v="1"/>
    <x v="9"/>
    <x v="360"/>
    <n v="43.92"/>
    <s v="Medium"/>
    <n v="4"/>
    <n v="0"/>
    <x v="0"/>
    <x v="0"/>
    <n v="11.8584"/>
    <n v="0.26999999999999996"/>
    <n v="0"/>
  </r>
  <r>
    <n v="4242"/>
    <s v="CA-2014-133704"/>
    <d v="2014-09-20T00:00:00"/>
    <x v="2"/>
    <s v="Q3"/>
    <x v="30"/>
    <d v="2014-09-26T00:00:00"/>
    <s v="Standard Class"/>
    <x v="671"/>
    <x v="671"/>
    <s v="Home Office"/>
    <s v="United States"/>
    <s v="Los Angeles"/>
    <x v="1"/>
    <n v="90004"/>
    <x v="1"/>
    <x v="674"/>
    <x v="1"/>
    <x v="8"/>
    <x v="674"/>
    <n v="20.231999999999999"/>
    <s v="Low"/>
    <n v="3"/>
    <n v="0.2"/>
    <x v="2"/>
    <x v="2"/>
    <n v="6.5754000000000001"/>
    <n v="0.32500000000000001"/>
    <n v="0"/>
  </r>
  <r>
    <n v="4243"/>
    <s v="CA-2016-159142"/>
    <d v="2016-04-04T00:00:00"/>
    <x v="0"/>
    <s v="Q2"/>
    <x v="25"/>
    <d v="2016-04-05T00:00:00"/>
    <s v="First Class"/>
    <x v="467"/>
    <x v="467"/>
    <s v="Home Office"/>
    <s v="United States"/>
    <s v="Springfield"/>
    <x v="17"/>
    <n v="22153"/>
    <x v="0"/>
    <x v="140"/>
    <x v="2"/>
    <x v="7"/>
    <x v="141"/>
    <n v="149.97"/>
    <s v="High"/>
    <n v="3"/>
    <n v="0"/>
    <x v="0"/>
    <x v="0"/>
    <n v="5.9988000000000001"/>
    <n v="0.04"/>
    <n v="0"/>
  </r>
  <r>
    <n v="4244"/>
    <s v="CA-2016-159142"/>
    <d v="2016-04-04T00:00:00"/>
    <x v="0"/>
    <s v="Q2"/>
    <x v="25"/>
    <d v="2016-04-05T00:00:00"/>
    <s v="First Class"/>
    <x v="467"/>
    <x v="467"/>
    <s v="Home Office"/>
    <s v="United States"/>
    <s v="Springfield"/>
    <x v="17"/>
    <n v="22153"/>
    <x v="0"/>
    <x v="1286"/>
    <x v="1"/>
    <x v="10"/>
    <x v="1272"/>
    <n v="27.81"/>
    <s v="Medium"/>
    <n v="3"/>
    <n v="0"/>
    <x v="0"/>
    <x v="0"/>
    <n v="13.0707"/>
    <n v="0.47000000000000003"/>
    <n v="0"/>
  </r>
  <r>
    <n v="4245"/>
    <s v="CA-2014-138436"/>
    <d v="2014-03-26T00:00:00"/>
    <x v="2"/>
    <s v="Q1"/>
    <x v="34"/>
    <d v="2014-03-30T00:00:00"/>
    <s v="Standard Class"/>
    <x v="63"/>
    <x v="63"/>
    <s v="Corporate"/>
    <s v="United States"/>
    <s v="Los Angeles"/>
    <x v="1"/>
    <n v="90036"/>
    <x v="1"/>
    <x v="176"/>
    <x v="2"/>
    <x v="11"/>
    <x v="177"/>
    <n v="66.3"/>
    <s v="Medium"/>
    <n v="3"/>
    <n v="0"/>
    <x v="0"/>
    <x v="0"/>
    <n v="8.6189999999999998"/>
    <n v="0.13"/>
    <n v="0"/>
  </r>
  <r>
    <n v="4246"/>
    <s v="CA-2017-117702"/>
    <d v="2017-11-28T00:00:00"/>
    <x v="3"/>
    <s v="Q4"/>
    <x v="23"/>
    <d v="2017-12-04T00:00:00"/>
    <s v="Standard Class"/>
    <x v="60"/>
    <x v="60"/>
    <s v="Home Office"/>
    <s v="United States"/>
    <s v="Baltimore"/>
    <x v="39"/>
    <n v="21215"/>
    <x v="3"/>
    <x v="1199"/>
    <x v="1"/>
    <x v="6"/>
    <x v="1184"/>
    <n v="1.64"/>
    <s v="Low"/>
    <n v="1"/>
    <n v="0"/>
    <x v="0"/>
    <x v="0"/>
    <n v="0.73799999999999999"/>
    <n v="0.45"/>
    <n v="0"/>
  </r>
  <r>
    <n v="4247"/>
    <s v="CA-2017-117702"/>
    <d v="2017-11-28T00:00:00"/>
    <x v="3"/>
    <s v="Q4"/>
    <x v="23"/>
    <d v="2017-12-04T00:00:00"/>
    <s v="Standard Class"/>
    <x v="60"/>
    <x v="60"/>
    <s v="Home Office"/>
    <s v="United States"/>
    <s v="Baltimore"/>
    <x v="39"/>
    <n v="21215"/>
    <x v="3"/>
    <x v="220"/>
    <x v="0"/>
    <x v="5"/>
    <x v="221"/>
    <n v="1049.2"/>
    <s v="High"/>
    <n v="5"/>
    <n v="0"/>
    <x v="0"/>
    <x v="0"/>
    <n v="272.79199999999997"/>
    <n v="0.25999999999999995"/>
    <n v="0"/>
  </r>
  <r>
    <n v="4248"/>
    <s v="CA-2017-117702"/>
    <d v="2017-11-28T00:00:00"/>
    <x v="3"/>
    <s v="Q4"/>
    <x v="23"/>
    <d v="2017-12-04T00:00:00"/>
    <s v="Standard Class"/>
    <x v="60"/>
    <x v="60"/>
    <s v="Home Office"/>
    <s v="United States"/>
    <s v="Baltimore"/>
    <x v="39"/>
    <n v="21215"/>
    <x v="3"/>
    <x v="1006"/>
    <x v="0"/>
    <x v="5"/>
    <x v="998"/>
    <n v="20.9"/>
    <s v="Low"/>
    <n v="5"/>
    <n v="0"/>
    <x v="0"/>
    <x v="0"/>
    <n v="7.524"/>
    <n v="0.36000000000000004"/>
    <n v="0"/>
  </r>
  <r>
    <n v="4249"/>
    <s v="CA-2016-157336"/>
    <d v="2016-12-01T00:00:00"/>
    <x v="0"/>
    <s v="Q4"/>
    <x v="5"/>
    <d v="2016-12-05T00:00:00"/>
    <s v="Second Class"/>
    <x v="81"/>
    <x v="81"/>
    <s v="Consumer"/>
    <s v="United States"/>
    <s v="Fairfield"/>
    <x v="29"/>
    <n v="6824"/>
    <x v="3"/>
    <x v="908"/>
    <x v="1"/>
    <x v="8"/>
    <x v="900"/>
    <n v="88.08"/>
    <s v="Medium"/>
    <n v="6"/>
    <n v="0"/>
    <x v="0"/>
    <x v="0"/>
    <n v="40.516800000000003"/>
    <n v="0.46000000000000008"/>
    <n v="0"/>
  </r>
  <r>
    <n v="4250"/>
    <s v="CA-2016-157336"/>
    <d v="2016-12-01T00:00:00"/>
    <x v="0"/>
    <s v="Q4"/>
    <x v="5"/>
    <d v="2016-12-05T00:00:00"/>
    <s v="Second Class"/>
    <x v="81"/>
    <x v="81"/>
    <s v="Consumer"/>
    <s v="United States"/>
    <s v="Fairfield"/>
    <x v="29"/>
    <n v="6824"/>
    <x v="3"/>
    <x v="499"/>
    <x v="0"/>
    <x v="1"/>
    <x v="499"/>
    <n v="751.92"/>
    <s v="High"/>
    <n v="4"/>
    <n v="0"/>
    <x v="0"/>
    <x v="0"/>
    <n v="150.38399999999999"/>
    <n v="0.19999999999999998"/>
    <n v="0"/>
  </r>
  <r>
    <n v="4251"/>
    <s v="CA-2014-168130"/>
    <d v="2014-09-19T00:00:00"/>
    <x v="2"/>
    <s v="Q3"/>
    <x v="30"/>
    <d v="2014-09-19T00:00:00"/>
    <s v="Same Day"/>
    <x v="740"/>
    <x v="740"/>
    <s v="Corporate"/>
    <s v="United States"/>
    <s v="New York City"/>
    <x v="15"/>
    <n v="10011"/>
    <x v="3"/>
    <x v="1153"/>
    <x v="0"/>
    <x v="1"/>
    <x v="1141"/>
    <n v="887.10299999999995"/>
    <s v="High"/>
    <n v="7"/>
    <n v="0.1"/>
    <x v="3"/>
    <x v="8"/>
    <n v="177.42060000000001"/>
    <n v="0.2"/>
    <n v="0"/>
  </r>
  <r>
    <n v="4252"/>
    <s v="CA-2015-155068"/>
    <d v="2015-10-23T00:00:00"/>
    <x v="1"/>
    <s v="Q4"/>
    <x v="2"/>
    <d v="2015-10-23T00:00:00"/>
    <s v="Same Day"/>
    <x v="267"/>
    <x v="267"/>
    <s v="Consumer"/>
    <s v="United States"/>
    <s v="Lakeland"/>
    <x v="2"/>
    <n v="33801"/>
    <x v="0"/>
    <x v="1136"/>
    <x v="2"/>
    <x v="7"/>
    <x v="1124"/>
    <n v="55.944000000000003"/>
    <s v="Medium"/>
    <n v="7"/>
    <n v="0.2"/>
    <x v="2"/>
    <x v="2"/>
    <n v="-13.2867"/>
    <n v="-0.23749999999999999"/>
    <n v="1"/>
  </r>
  <r>
    <n v="4253"/>
    <s v="CA-2015-155068"/>
    <d v="2015-10-23T00:00:00"/>
    <x v="1"/>
    <s v="Q4"/>
    <x v="2"/>
    <d v="2015-10-23T00:00:00"/>
    <s v="Same Day"/>
    <x v="267"/>
    <x v="267"/>
    <s v="Consumer"/>
    <s v="United States"/>
    <s v="Lakeland"/>
    <x v="2"/>
    <n v="33801"/>
    <x v="0"/>
    <x v="158"/>
    <x v="1"/>
    <x v="6"/>
    <x v="159"/>
    <n v="10.688000000000001"/>
    <s v="Low"/>
    <n v="2"/>
    <n v="0.2"/>
    <x v="2"/>
    <x v="2"/>
    <n v="2.2711999999999999"/>
    <n v="0.21249999999999997"/>
    <n v="0"/>
  </r>
  <r>
    <n v="4254"/>
    <s v="CA-2015-155068"/>
    <d v="2015-10-23T00:00:00"/>
    <x v="1"/>
    <s v="Q4"/>
    <x v="2"/>
    <d v="2015-10-23T00:00:00"/>
    <s v="Same Day"/>
    <x v="267"/>
    <x v="267"/>
    <s v="Consumer"/>
    <s v="United States"/>
    <s v="Lakeland"/>
    <x v="2"/>
    <n v="33801"/>
    <x v="0"/>
    <x v="1179"/>
    <x v="2"/>
    <x v="7"/>
    <x v="1165"/>
    <n v="11.824"/>
    <s v="Low"/>
    <n v="2"/>
    <n v="0.2"/>
    <x v="2"/>
    <x v="2"/>
    <n v="1.0346"/>
    <n v="8.7499999999999994E-2"/>
    <n v="0"/>
  </r>
  <r>
    <n v="4255"/>
    <s v="CA-2017-163160"/>
    <d v="2017-10-13T00:00:00"/>
    <x v="3"/>
    <s v="Q4"/>
    <x v="13"/>
    <d v="2017-10-16T00:00:00"/>
    <s v="First Class"/>
    <x v="59"/>
    <x v="59"/>
    <s v="Consumer"/>
    <s v="United States"/>
    <s v="Freeport"/>
    <x v="10"/>
    <n v="61032"/>
    <x v="2"/>
    <x v="813"/>
    <x v="1"/>
    <x v="10"/>
    <x v="33"/>
    <n v="63.311999999999998"/>
    <s v="Medium"/>
    <n v="3"/>
    <n v="0.2"/>
    <x v="2"/>
    <x v="2"/>
    <n v="20.5764"/>
    <n v="0.32500000000000001"/>
    <n v="0"/>
  </r>
  <r>
    <n v="4256"/>
    <s v="CA-2017-163160"/>
    <d v="2017-10-13T00:00:00"/>
    <x v="3"/>
    <s v="Q4"/>
    <x v="13"/>
    <d v="2017-10-16T00:00:00"/>
    <s v="First Class"/>
    <x v="59"/>
    <x v="59"/>
    <s v="Consumer"/>
    <s v="United States"/>
    <s v="Freeport"/>
    <x v="10"/>
    <n v="61032"/>
    <x v="2"/>
    <x v="261"/>
    <x v="1"/>
    <x v="8"/>
    <x v="261"/>
    <n v="96.784000000000006"/>
    <s v="Medium"/>
    <n v="4"/>
    <n v="0.8"/>
    <x v="1"/>
    <x v="3"/>
    <n v="-145.17599999999999"/>
    <n v="-1.4999999999999998"/>
    <n v="1"/>
  </r>
  <r>
    <n v="4257"/>
    <s v="CA-2017-163160"/>
    <d v="2017-10-13T00:00:00"/>
    <x v="3"/>
    <s v="Q4"/>
    <x v="13"/>
    <d v="2017-10-16T00:00:00"/>
    <s v="First Class"/>
    <x v="59"/>
    <x v="59"/>
    <s v="Consumer"/>
    <s v="United States"/>
    <s v="Freeport"/>
    <x v="10"/>
    <n v="61032"/>
    <x v="2"/>
    <x v="698"/>
    <x v="0"/>
    <x v="5"/>
    <x v="698"/>
    <n v="10.476000000000001"/>
    <s v="Low"/>
    <n v="3"/>
    <n v="0.6"/>
    <x v="1"/>
    <x v="6"/>
    <n v="-6.8094000000000001"/>
    <n v="-0.64999999999999991"/>
    <n v="1"/>
  </r>
  <r>
    <n v="4258"/>
    <s v="CA-2015-101924"/>
    <d v="2015-09-04T00:00:00"/>
    <x v="1"/>
    <s v="Q3"/>
    <x v="11"/>
    <d v="2015-09-09T00:00:00"/>
    <s v="Standard Class"/>
    <x v="10"/>
    <x v="10"/>
    <s v="Corporate"/>
    <s v="United States"/>
    <s v="Medford"/>
    <x v="21"/>
    <n v="97504"/>
    <x v="1"/>
    <x v="1526"/>
    <x v="1"/>
    <x v="8"/>
    <x v="1513"/>
    <n v="9.7620000000000005"/>
    <s v="Low"/>
    <n v="2"/>
    <n v="0.7"/>
    <x v="1"/>
    <x v="5"/>
    <n v="-6.8334000000000001"/>
    <n v="-0.7"/>
    <n v="1"/>
  </r>
  <r>
    <n v="4259"/>
    <s v="CA-2016-124793"/>
    <d v="2016-03-14T00:00:00"/>
    <x v="0"/>
    <s v="Q1"/>
    <x v="17"/>
    <d v="2016-03-16T00:00:00"/>
    <s v="First Class"/>
    <x v="152"/>
    <x v="152"/>
    <s v="Corporate"/>
    <s v="United States"/>
    <s v="Seattle"/>
    <x v="4"/>
    <n v="98103"/>
    <x v="1"/>
    <x v="812"/>
    <x v="0"/>
    <x v="1"/>
    <x v="809"/>
    <n v="196.78399999999999"/>
    <s v="High"/>
    <n v="2"/>
    <n v="0.2"/>
    <x v="2"/>
    <x v="2"/>
    <n v="-22.138200000000001"/>
    <n v="-0.11250000000000002"/>
    <n v="1"/>
  </r>
  <r>
    <n v="4260"/>
    <s v="CA-2017-118367"/>
    <d v="2017-10-28T00:00:00"/>
    <x v="3"/>
    <s v="Q4"/>
    <x v="13"/>
    <d v="2017-11-02T00:00:00"/>
    <s v="Second Class"/>
    <x v="628"/>
    <x v="628"/>
    <s v="Corporate"/>
    <s v="United States"/>
    <s v="New York City"/>
    <x v="15"/>
    <n v="10035"/>
    <x v="3"/>
    <x v="244"/>
    <x v="1"/>
    <x v="12"/>
    <x v="245"/>
    <n v="47.98"/>
    <s v="Medium"/>
    <n v="2"/>
    <n v="0"/>
    <x v="0"/>
    <x v="0"/>
    <n v="23.99"/>
    <n v="0.5"/>
    <n v="0"/>
  </r>
  <r>
    <n v="4261"/>
    <s v="CA-2017-164819"/>
    <d v="2017-10-15T00:00:00"/>
    <x v="3"/>
    <s v="Q4"/>
    <x v="13"/>
    <d v="2017-10-19T00:00:00"/>
    <s v="Second Class"/>
    <x v="602"/>
    <x v="602"/>
    <s v="Corporate"/>
    <s v="United States"/>
    <s v="Fairfield"/>
    <x v="29"/>
    <n v="6824"/>
    <x v="3"/>
    <x v="709"/>
    <x v="1"/>
    <x v="2"/>
    <x v="708"/>
    <n v="13.05"/>
    <s v="Low"/>
    <n v="5"/>
    <n v="0"/>
    <x v="0"/>
    <x v="0"/>
    <n v="6.0030000000000001"/>
    <n v="0.45999999999999996"/>
    <n v="0"/>
  </r>
  <r>
    <n v="4262"/>
    <s v="CA-2017-158344"/>
    <d v="2017-08-07T00:00:00"/>
    <x v="3"/>
    <s v="Q3"/>
    <x v="43"/>
    <d v="2017-08-11T00:00:00"/>
    <s v="Standard Class"/>
    <x v="693"/>
    <x v="693"/>
    <s v="Consumer"/>
    <s v="United States"/>
    <s v="Moorhead"/>
    <x v="11"/>
    <n v="56560"/>
    <x v="2"/>
    <x v="1097"/>
    <x v="2"/>
    <x v="11"/>
    <x v="1087"/>
    <n v="63.96"/>
    <s v="Medium"/>
    <n v="4"/>
    <n v="0"/>
    <x v="0"/>
    <x v="0"/>
    <n v="19.8276"/>
    <n v="0.31"/>
    <n v="0"/>
  </r>
  <r>
    <n v="4263"/>
    <s v="CA-2017-123351"/>
    <d v="2017-09-21T00:00:00"/>
    <x v="3"/>
    <s v="Q3"/>
    <x v="15"/>
    <d v="2017-09-25T00:00:00"/>
    <s v="Standard Class"/>
    <x v="409"/>
    <x v="409"/>
    <s v="Consumer"/>
    <s v="United States"/>
    <s v="Columbus"/>
    <x v="32"/>
    <n v="31907"/>
    <x v="0"/>
    <x v="1429"/>
    <x v="1"/>
    <x v="9"/>
    <x v="1417"/>
    <n v="80.48"/>
    <s v="Medium"/>
    <n v="1"/>
    <n v="0"/>
    <x v="0"/>
    <x v="0"/>
    <n v="24.143999999999998"/>
    <n v="0.3"/>
    <n v="0"/>
  </r>
  <r>
    <n v="4264"/>
    <s v="CA-2017-110429"/>
    <d v="2017-11-03T00:00:00"/>
    <x v="3"/>
    <s v="Q4"/>
    <x v="23"/>
    <d v="2017-11-08T00:00:00"/>
    <s v="Standard Class"/>
    <x v="661"/>
    <x v="661"/>
    <s v="Consumer"/>
    <s v="United States"/>
    <s v="Philadelphia"/>
    <x v="9"/>
    <n v="19143"/>
    <x v="3"/>
    <x v="1645"/>
    <x v="1"/>
    <x v="8"/>
    <x v="1634"/>
    <n v="11.673"/>
    <s v="Low"/>
    <n v="3"/>
    <n v="0.7"/>
    <x v="1"/>
    <x v="5"/>
    <n v="-7.782"/>
    <n v="-0.66666666666666663"/>
    <n v="1"/>
  </r>
  <r>
    <n v="4265"/>
    <s v="US-2016-131611"/>
    <d v="2016-11-05T00:00:00"/>
    <x v="0"/>
    <s v="Q4"/>
    <x v="0"/>
    <d v="2016-11-09T00:00:00"/>
    <s v="Standard Class"/>
    <x v="212"/>
    <x v="212"/>
    <s v="Consumer"/>
    <s v="United States"/>
    <s v="Houston"/>
    <x v="5"/>
    <n v="77036"/>
    <x v="2"/>
    <x v="584"/>
    <x v="0"/>
    <x v="3"/>
    <x v="584"/>
    <n v="863.12800000000004"/>
    <s v="High"/>
    <n v="8"/>
    <n v="0.3"/>
    <x v="1"/>
    <x v="4"/>
    <n v="-160.29519999999999"/>
    <n v="-0.18571428571428569"/>
    <n v="1"/>
  </r>
  <r>
    <n v="4266"/>
    <s v="US-2016-131611"/>
    <d v="2016-11-05T00:00:00"/>
    <x v="0"/>
    <s v="Q4"/>
    <x v="0"/>
    <d v="2016-11-09T00:00:00"/>
    <s v="Standard Class"/>
    <x v="212"/>
    <x v="212"/>
    <s v="Consumer"/>
    <s v="United States"/>
    <s v="Houston"/>
    <x v="5"/>
    <n v="77036"/>
    <x v="2"/>
    <x v="990"/>
    <x v="1"/>
    <x v="8"/>
    <x v="305"/>
    <n v="3.5640000000000001"/>
    <s v="Low"/>
    <n v="3"/>
    <n v="0.8"/>
    <x v="1"/>
    <x v="3"/>
    <n v="-6.2370000000000001"/>
    <n v="-1.75"/>
    <n v="1"/>
  </r>
  <r>
    <n v="4267"/>
    <s v="US-2016-131611"/>
    <d v="2016-11-05T00:00:00"/>
    <x v="0"/>
    <s v="Q4"/>
    <x v="0"/>
    <d v="2016-11-09T00:00:00"/>
    <s v="Standard Class"/>
    <x v="212"/>
    <x v="212"/>
    <s v="Consumer"/>
    <s v="United States"/>
    <s v="Houston"/>
    <x v="5"/>
    <n v="77036"/>
    <x v="2"/>
    <x v="1333"/>
    <x v="0"/>
    <x v="0"/>
    <x v="1318"/>
    <n v="956.66480000000001"/>
    <s v="High"/>
    <n v="7"/>
    <n v="0.32"/>
    <x v="1"/>
    <x v="7"/>
    <n v="-225.0976"/>
    <n v="-0.23529411764705882"/>
    <n v="1"/>
  </r>
  <r>
    <n v="4268"/>
    <s v="US-2016-131611"/>
    <d v="2016-11-05T00:00:00"/>
    <x v="0"/>
    <s v="Q4"/>
    <x v="0"/>
    <d v="2016-11-09T00:00:00"/>
    <s v="Standard Class"/>
    <x v="212"/>
    <x v="212"/>
    <s v="Consumer"/>
    <s v="United States"/>
    <s v="Houston"/>
    <x v="5"/>
    <n v="77036"/>
    <x v="2"/>
    <x v="542"/>
    <x v="1"/>
    <x v="8"/>
    <x v="542"/>
    <n v="12.587999999999999"/>
    <s v="Low"/>
    <n v="3"/>
    <n v="0.8"/>
    <x v="1"/>
    <x v="3"/>
    <n v="-20.140799999999999"/>
    <n v="-1.6"/>
    <n v="1"/>
  </r>
  <r>
    <n v="4269"/>
    <s v="US-2016-131611"/>
    <d v="2016-11-05T00:00:00"/>
    <x v="0"/>
    <s v="Q4"/>
    <x v="0"/>
    <d v="2016-11-09T00:00:00"/>
    <s v="Standard Class"/>
    <x v="212"/>
    <x v="212"/>
    <s v="Consumer"/>
    <s v="United States"/>
    <s v="Houston"/>
    <x v="5"/>
    <n v="77036"/>
    <x v="2"/>
    <x v="1482"/>
    <x v="2"/>
    <x v="11"/>
    <x v="1469"/>
    <n v="171.96"/>
    <s v="High"/>
    <n v="5"/>
    <n v="0.2"/>
    <x v="2"/>
    <x v="2"/>
    <n v="45.139499999999998"/>
    <n v="0.26249999999999996"/>
    <n v="0"/>
  </r>
  <r>
    <n v="4270"/>
    <s v="US-2017-124821"/>
    <d v="2017-06-25T00:00:00"/>
    <x v="3"/>
    <s v="Q2"/>
    <x v="27"/>
    <d v="2017-06-29T00:00:00"/>
    <s v="Second Class"/>
    <x v="562"/>
    <x v="562"/>
    <s v="Consumer"/>
    <s v="United States"/>
    <s v="Seattle"/>
    <x v="4"/>
    <n v="98115"/>
    <x v="1"/>
    <x v="562"/>
    <x v="0"/>
    <x v="3"/>
    <x v="561"/>
    <n v="871.4"/>
    <s v="High"/>
    <n v="4"/>
    <n v="0"/>
    <x v="0"/>
    <x v="0"/>
    <n v="148.13800000000001"/>
    <n v="0.17"/>
    <n v="0"/>
  </r>
  <r>
    <n v="4271"/>
    <s v="CA-2015-166975"/>
    <d v="2015-11-26T00:00:00"/>
    <x v="1"/>
    <s v="Q4"/>
    <x v="6"/>
    <d v="2015-11-30T00:00:00"/>
    <s v="Standard Class"/>
    <x v="741"/>
    <x v="741"/>
    <s v="Corporate"/>
    <s v="United States"/>
    <s v="Jackson"/>
    <x v="18"/>
    <n v="38301"/>
    <x v="0"/>
    <x v="1640"/>
    <x v="0"/>
    <x v="5"/>
    <x v="1630"/>
    <n v="692.47199999999998"/>
    <s v="High"/>
    <n v="11"/>
    <n v="0.2"/>
    <x v="2"/>
    <x v="2"/>
    <n v="190.4298"/>
    <n v="0.27500000000000002"/>
    <n v="0"/>
  </r>
  <r>
    <n v="4272"/>
    <s v="CA-2016-123806"/>
    <d v="2016-11-24T00:00:00"/>
    <x v="0"/>
    <s v="Q4"/>
    <x v="0"/>
    <d v="2016-11-27T00:00:00"/>
    <s v="Second Class"/>
    <x v="156"/>
    <x v="156"/>
    <s v="Corporate"/>
    <s v="United States"/>
    <s v="Baltimore"/>
    <x v="39"/>
    <n v="21215"/>
    <x v="3"/>
    <x v="689"/>
    <x v="0"/>
    <x v="5"/>
    <x v="689"/>
    <n v="207.76"/>
    <s v="High"/>
    <n v="4"/>
    <n v="0"/>
    <x v="0"/>
    <x v="0"/>
    <n v="85.181600000000003"/>
    <n v="0.41000000000000003"/>
    <n v="0"/>
  </r>
  <r>
    <n v="4273"/>
    <s v="US-2017-158505"/>
    <d v="2017-07-21T00:00:00"/>
    <x v="3"/>
    <s v="Q3"/>
    <x v="10"/>
    <d v="2017-07-21T00:00:00"/>
    <s v="Same Day"/>
    <x v="227"/>
    <x v="227"/>
    <s v="Consumer"/>
    <s v="United States"/>
    <s v="Murray"/>
    <x v="7"/>
    <n v="84107"/>
    <x v="1"/>
    <x v="1557"/>
    <x v="2"/>
    <x v="7"/>
    <x v="1546"/>
    <n v="71.927999999999997"/>
    <s v="Medium"/>
    <n v="9"/>
    <n v="0.2"/>
    <x v="2"/>
    <x v="2"/>
    <n v="6.2937000000000003"/>
    <n v="8.7500000000000008E-2"/>
    <n v="0"/>
  </r>
  <r>
    <n v="4274"/>
    <s v="US-2017-158505"/>
    <d v="2017-07-21T00:00:00"/>
    <x v="3"/>
    <s v="Q3"/>
    <x v="10"/>
    <d v="2017-07-21T00:00:00"/>
    <s v="Same Day"/>
    <x v="227"/>
    <x v="227"/>
    <s v="Consumer"/>
    <s v="United States"/>
    <s v="Murray"/>
    <x v="7"/>
    <n v="84107"/>
    <x v="1"/>
    <x v="1062"/>
    <x v="1"/>
    <x v="6"/>
    <x v="1051"/>
    <n v="25.99"/>
    <s v="Medium"/>
    <n v="1"/>
    <n v="0"/>
    <x v="0"/>
    <x v="0"/>
    <n v="7.5370999999999997"/>
    <n v="0.28999999999999998"/>
    <n v="0"/>
  </r>
  <r>
    <n v="4275"/>
    <s v="CA-2015-142692"/>
    <d v="2015-10-23T00:00:00"/>
    <x v="1"/>
    <s v="Q4"/>
    <x v="2"/>
    <d v="2015-10-28T00:00:00"/>
    <s v="Standard Class"/>
    <x v="122"/>
    <x v="122"/>
    <s v="Corporate"/>
    <s v="United States"/>
    <s v="Seattle"/>
    <x v="4"/>
    <n v="98105"/>
    <x v="1"/>
    <x v="307"/>
    <x v="1"/>
    <x v="8"/>
    <x v="307"/>
    <n v="3.5920000000000001"/>
    <s v="Low"/>
    <n v="1"/>
    <n v="0.2"/>
    <x v="2"/>
    <x v="2"/>
    <n v="1.1225000000000001"/>
    <n v="0.3125"/>
    <n v="0"/>
  </r>
  <r>
    <n v="4276"/>
    <s v="CA-2015-123456"/>
    <d v="2015-07-09T00:00:00"/>
    <x v="1"/>
    <s v="Q3"/>
    <x v="38"/>
    <d v="2015-07-13T00:00:00"/>
    <s v="Standard Class"/>
    <x v="634"/>
    <x v="634"/>
    <s v="Corporate"/>
    <s v="United States"/>
    <s v="Dallas"/>
    <x v="5"/>
    <n v="75220"/>
    <x v="2"/>
    <x v="166"/>
    <x v="1"/>
    <x v="9"/>
    <x v="167"/>
    <n v="48.631999999999998"/>
    <s v="Medium"/>
    <n v="2"/>
    <n v="0.8"/>
    <x v="1"/>
    <x v="3"/>
    <n v="-121.58"/>
    <n v="-2.5"/>
    <n v="1"/>
  </r>
  <r>
    <n v="4277"/>
    <s v="CA-2017-151358"/>
    <d v="2017-08-18T00:00:00"/>
    <x v="3"/>
    <s v="Q3"/>
    <x v="43"/>
    <d v="2017-08-22T00:00:00"/>
    <s v="Standard Class"/>
    <x v="376"/>
    <x v="376"/>
    <s v="Home Office"/>
    <s v="United States"/>
    <s v="Seattle"/>
    <x v="4"/>
    <n v="98105"/>
    <x v="1"/>
    <x v="765"/>
    <x v="1"/>
    <x v="4"/>
    <x v="764"/>
    <n v="323.10000000000002"/>
    <s v="High"/>
    <n v="2"/>
    <n v="0"/>
    <x v="0"/>
    <x v="0"/>
    <n v="61.389000000000003"/>
    <n v="0.19"/>
    <n v="0"/>
  </r>
  <r>
    <n v="4278"/>
    <s v="US-2016-107440"/>
    <d v="2016-04-16T00:00:00"/>
    <x v="0"/>
    <s v="Q2"/>
    <x v="25"/>
    <d v="2016-04-20T00:00:00"/>
    <s v="Standard Class"/>
    <x v="740"/>
    <x v="740"/>
    <s v="Corporate"/>
    <s v="United States"/>
    <s v="Lakewood"/>
    <x v="30"/>
    <n v="8701"/>
    <x v="3"/>
    <x v="1646"/>
    <x v="2"/>
    <x v="15"/>
    <x v="1635"/>
    <n v="9099.93"/>
    <s v="High"/>
    <n v="7"/>
    <n v="0"/>
    <x v="0"/>
    <x v="0"/>
    <n v="2365.9818"/>
    <n v="0.26"/>
    <n v="0"/>
  </r>
  <r>
    <n v="4279"/>
    <s v="US-2016-107440"/>
    <d v="2016-04-16T00:00:00"/>
    <x v="0"/>
    <s v="Q2"/>
    <x v="25"/>
    <d v="2016-04-20T00:00:00"/>
    <s v="Standard Class"/>
    <x v="740"/>
    <x v="740"/>
    <s v="Corporate"/>
    <s v="United States"/>
    <s v="Lakewood"/>
    <x v="30"/>
    <n v="8701"/>
    <x v="3"/>
    <x v="1467"/>
    <x v="0"/>
    <x v="5"/>
    <x v="1454"/>
    <n v="9.9600000000000009"/>
    <s v="Low"/>
    <n v="2"/>
    <n v="0"/>
    <x v="0"/>
    <x v="0"/>
    <n v="3.2867999999999999"/>
    <n v="0.32999999999999996"/>
    <n v="0"/>
  </r>
  <r>
    <n v="4280"/>
    <s v="US-2016-107440"/>
    <d v="2016-04-16T00:00:00"/>
    <x v="0"/>
    <s v="Q2"/>
    <x v="25"/>
    <d v="2016-04-20T00:00:00"/>
    <s v="Standard Class"/>
    <x v="740"/>
    <x v="740"/>
    <s v="Corporate"/>
    <s v="United States"/>
    <s v="Lakewood"/>
    <x v="30"/>
    <n v="8701"/>
    <x v="3"/>
    <x v="881"/>
    <x v="1"/>
    <x v="8"/>
    <x v="875"/>
    <n v="25.3"/>
    <s v="Medium"/>
    <n v="5"/>
    <n v="0"/>
    <x v="0"/>
    <x v="0"/>
    <n v="11.891"/>
    <n v="0.47"/>
    <n v="0"/>
  </r>
  <r>
    <n v="4281"/>
    <s v="CA-2014-166989"/>
    <d v="2014-11-14T00:00:00"/>
    <x v="2"/>
    <s v="Q4"/>
    <x v="7"/>
    <d v="2014-11-18T00:00:00"/>
    <s v="Standard Class"/>
    <x v="84"/>
    <x v="84"/>
    <s v="Home Office"/>
    <s v="United States"/>
    <s v="New York City"/>
    <x v="15"/>
    <n v="10011"/>
    <x v="3"/>
    <x v="252"/>
    <x v="1"/>
    <x v="10"/>
    <x v="253"/>
    <n v="11.36"/>
    <s v="Low"/>
    <n v="2"/>
    <n v="0"/>
    <x v="0"/>
    <x v="0"/>
    <n v="5.2256"/>
    <n v="0.46"/>
    <n v="0"/>
  </r>
  <r>
    <n v="4282"/>
    <s v="CA-2014-166989"/>
    <d v="2014-11-14T00:00:00"/>
    <x v="2"/>
    <s v="Q4"/>
    <x v="7"/>
    <d v="2014-11-18T00:00:00"/>
    <s v="Standard Class"/>
    <x v="84"/>
    <x v="84"/>
    <s v="Home Office"/>
    <s v="United States"/>
    <s v="New York City"/>
    <x v="15"/>
    <n v="10011"/>
    <x v="3"/>
    <x v="1464"/>
    <x v="0"/>
    <x v="1"/>
    <x v="1450"/>
    <n v="69.263999999999996"/>
    <s v="Medium"/>
    <n v="2"/>
    <n v="0.1"/>
    <x v="3"/>
    <x v="8"/>
    <n v="14.622400000000001"/>
    <n v="0.21111111111111114"/>
    <n v="0"/>
  </r>
  <r>
    <n v="4283"/>
    <s v="CA-2014-103100"/>
    <d v="2014-12-20T00:00:00"/>
    <x v="2"/>
    <s v="Q4"/>
    <x v="20"/>
    <d v="2014-12-23T00:00:00"/>
    <s v="First Class"/>
    <x v="455"/>
    <x v="455"/>
    <s v="Consumer"/>
    <s v="United States"/>
    <s v="Indianapolis"/>
    <x v="14"/>
    <n v="46203"/>
    <x v="2"/>
    <x v="1647"/>
    <x v="1"/>
    <x v="2"/>
    <x v="1636"/>
    <n v="3.69"/>
    <s v="Low"/>
    <n v="1"/>
    <n v="0"/>
    <x v="0"/>
    <x v="0"/>
    <n v="1.7343"/>
    <n v="0.47"/>
    <n v="0"/>
  </r>
  <r>
    <n v="4284"/>
    <s v="CA-2014-103100"/>
    <d v="2014-12-20T00:00:00"/>
    <x v="2"/>
    <s v="Q4"/>
    <x v="20"/>
    <d v="2014-12-23T00:00:00"/>
    <s v="First Class"/>
    <x v="455"/>
    <x v="455"/>
    <s v="Consumer"/>
    <s v="United States"/>
    <s v="Indianapolis"/>
    <x v="14"/>
    <n v="46203"/>
    <x v="2"/>
    <x v="1498"/>
    <x v="1"/>
    <x v="8"/>
    <x v="1486"/>
    <n v="1103.97"/>
    <s v="High"/>
    <n v="3"/>
    <n v="0"/>
    <x v="0"/>
    <x v="0"/>
    <n v="496.78649999999999"/>
    <n v="0.44999999999999996"/>
    <n v="0"/>
  </r>
  <r>
    <n v="4285"/>
    <s v="CA-2015-105690"/>
    <d v="2015-11-21T00:00:00"/>
    <x v="1"/>
    <s v="Q4"/>
    <x v="6"/>
    <d v="2015-11-26T00:00:00"/>
    <s v="Second Class"/>
    <x v="662"/>
    <x v="662"/>
    <s v="Corporate"/>
    <s v="United States"/>
    <s v="Port Arthur"/>
    <x v="5"/>
    <n v="77642"/>
    <x v="2"/>
    <x v="1103"/>
    <x v="0"/>
    <x v="0"/>
    <x v="1092"/>
    <n v="246.1328"/>
    <s v="High"/>
    <n v="2"/>
    <n v="0.32"/>
    <x v="1"/>
    <x v="7"/>
    <n v="-76.011600000000001"/>
    <n v="-0.30882352941176472"/>
    <n v="1"/>
  </r>
  <r>
    <n v="4286"/>
    <s v="CA-2015-105690"/>
    <d v="2015-11-21T00:00:00"/>
    <x v="1"/>
    <s v="Q4"/>
    <x v="6"/>
    <d v="2015-11-26T00:00:00"/>
    <s v="Second Class"/>
    <x v="662"/>
    <x v="662"/>
    <s v="Corporate"/>
    <s v="United States"/>
    <s v="Port Arthur"/>
    <x v="5"/>
    <n v="77642"/>
    <x v="2"/>
    <x v="2"/>
    <x v="1"/>
    <x v="2"/>
    <x v="2"/>
    <n v="11.696"/>
    <s v="Low"/>
    <n v="2"/>
    <n v="0.2"/>
    <x v="2"/>
    <x v="2"/>
    <n v="3.9474"/>
    <n v="0.33750000000000002"/>
    <n v="0"/>
  </r>
  <r>
    <n v="4287"/>
    <s v="CA-2015-105690"/>
    <d v="2015-11-21T00:00:00"/>
    <x v="1"/>
    <s v="Q4"/>
    <x v="6"/>
    <d v="2015-11-26T00:00:00"/>
    <s v="Second Class"/>
    <x v="662"/>
    <x v="662"/>
    <s v="Corporate"/>
    <s v="United States"/>
    <s v="Port Arthur"/>
    <x v="5"/>
    <n v="77642"/>
    <x v="2"/>
    <x v="1572"/>
    <x v="2"/>
    <x v="16"/>
    <x v="1563"/>
    <n v="439.99200000000002"/>
    <s v="High"/>
    <n v="1"/>
    <n v="0.2"/>
    <x v="2"/>
    <x v="2"/>
    <n v="164.99700000000001"/>
    <n v="0.375"/>
    <n v="0"/>
  </r>
  <r>
    <n v="4288"/>
    <s v="CA-2017-127516"/>
    <d v="2017-12-28T00:00:00"/>
    <x v="3"/>
    <s v="Q4"/>
    <x v="22"/>
    <d v="2018-01-03T00:00:00"/>
    <s v="Standard Class"/>
    <x v="382"/>
    <x v="382"/>
    <s v="Home Office"/>
    <s v="United States"/>
    <s v="Nashville"/>
    <x v="18"/>
    <n v="37211"/>
    <x v="0"/>
    <x v="459"/>
    <x v="1"/>
    <x v="4"/>
    <x v="460"/>
    <n v="64.784000000000006"/>
    <s v="Medium"/>
    <n v="1"/>
    <n v="0.2"/>
    <x v="2"/>
    <x v="2"/>
    <n v="-12.956799999999999"/>
    <n v="-0.19999999999999998"/>
    <n v="1"/>
  </r>
  <r>
    <n v="4289"/>
    <s v="US-2015-117184"/>
    <d v="2015-05-17T00:00:00"/>
    <x v="1"/>
    <s v="Q2"/>
    <x v="33"/>
    <d v="2015-05-21T00:00:00"/>
    <s v="Standard Class"/>
    <x v="21"/>
    <x v="21"/>
    <s v="Corporate"/>
    <s v="United States"/>
    <s v="Houston"/>
    <x v="5"/>
    <n v="77095"/>
    <x v="2"/>
    <x v="1197"/>
    <x v="1"/>
    <x v="8"/>
    <x v="1182"/>
    <n v="33.28"/>
    <s v="Medium"/>
    <n v="5"/>
    <n v="0.8"/>
    <x v="1"/>
    <x v="3"/>
    <n v="-49.92"/>
    <n v="-1.5"/>
    <n v="1"/>
  </r>
  <r>
    <n v="4290"/>
    <s v="US-2015-117184"/>
    <d v="2015-05-17T00:00:00"/>
    <x v="1"/>
    <s v="Q2"/>
    <x v="33"/>
    <d v="2015-05-21T00:00:00"/>
    <s v="Standard Class"/>
    <x v="21"/>
    <x v="21"/>
    <s v="Corporate"/>
    <s v="United States"/>
    <s v="Houston"/>
    <x v="5"/>
    <n v="77095"/>
    <x v="2"/>
    <x v="707"/>
    <x v="1"/>
    <x v="10"/>
    <x v="706"/>
    <n v="14.087999999999999"/>
    <s v="Low"/>
    <n v="3"/>
    <n v="0.2"/>
    <x v="2"/>
    <x v="2"/>
    <n v="4.9307999999999996"/>
    <n v="0.35"/>
    <n v="0"/>
  </r>
  <r>
    <n v="4291"/>
    <s v="CA-2017-102407"/>
    <d v="2017-12-09T00:00:00"/>
    <x v="3"/>
    <s v="Q4"/>
    <x v="22"/>
    <d v="2017-12-13T00:00:00"/>
    <s v="Second Class"/>
    <x v="401"/>
    <x v="401"/>
    <s v="Home Office"/>
    <s v="United States"/>
    <s v="Los Angeles"/>
    <x v="1"/>
    <n v="90004"/>
    <x v="1"/>
    <x v="311"/>
    <x v="1"/>
    <x v="6"/>
    <x v="311"/>
    <n v="11.16"/>
    <s v="Low"/>
    <n v="2"/>
    <n v="0"/>
    <x v="0"/>
    <x v="0"/>
    <n v="2.79"/>
    <n v="0.25"/>
    <n v="0"/>
  </r>
  <r>
    <n v="4292"/>
    <s v="CA-2017-102407"/>
    <d v="2017-12-09T00:00:00"/>
    <x v="3"/>
    <s v="Q4"/>
    <x v="22"/>
    <d v="2017-12-13T00:00:00"/>
    <s v="Second Class"/>
    <x v="401"/>
    <x v="401"/>
    <s v="Home Office"/>
    <s v="United States"/>
    <s v="Los Angeles"/>
    <x v="1"/>
    <n v="90004"/>
    <x v="1"/>
    <x v="209"/>
    <x v="0"/>
    <x v="3"/>
    <x v="210"/>
    <n v="896.32799999999997"/>
    <s v="High"/>
    <n v="9"/>
    <n v="0.2"/>
    <x v="2"/>
    <x v="2"/>
    <n v="22.408200000000001"/>
    <n v="2.5000000000000001E-2"/>
    <n v="0"/>
  </r>
  <r>
    <n v="4293"/>
    <s v="CA-2017-102407"/>
    <d v="2017-12-09T00:00:00"/>
    <x v="3"/>
    <s v="Q4"/>
    <x v="22"/>
    <d v="2017-12-13T00:00:00"/>
    <s v="Second Class"/>
    <x v="401"/>
    <x v="401"/>
    <s v="Home Office"/>
    <s v="United States"/>
    <s v="Los Angeles"/>
    <x v="1"/>
    <n v="90004"/>
    <x v="1"/>
    <x v="1141"/>
    <x v="1"/>
    <x v="9"/>
    <x v="1129"/>
    <n v="189"/>
    <s v="High"/>
    <n v="1"/>
    <n v="0"/>
    <x v="0"/>
    <x v="0"/>
    <n v="68.040000000000006"/>
    <n v="0.36000000000000004"/>
    <n v="0"/>
  </r>
  <r>
    <n v="4294"/>
    <s v="CA-2017-130967"/>
    <d v="2017-03-10T00:00:00"/>
    <x v="3"/>
    <s v="Q1"/>
    <x v="42"/>
    <d v="2017-03-16T00:00:00"/>
    <s v="Standard Class"/>
    <x v="12"/>
    <x v="12"/>
    <s v="Consumer"/>
    <s v="United States"/>
    <s v="Philadelphia"/>
    <x v="9"/>
    <n v="19140"/>
    <x v="3"/>
    <x v="173"/>
    <x v="2"/>
    <x v="7"/>
    <x v="174"/>
    <n v="53.981999999999999"/>
    <s v="Medium"/>
    <n v="3"/>
    <n v="0.4"/>
    <x v="1"/>
    <x v="7"/>
    <n v="-10.7964"/>
    <n v="-0.2"/>
    <n v="1"/>
  </r>
  <r>
    <n v="4295"/>
    <s v="CA-2017-101581"/>
    <d v="2017-10-22T00:00:00"/>
    <x v="3"/>
    <s v="Q4"/>
    <x v="13"/>
    <d v="2017-10-27T00:00:00"/>
    <s v="Standard Class"/>
    <x v="694"/>
    <x v="694"/>
    <s v="Corporate"/>
    <s v="United States"/>
    <s v="Redmond"/>
    <x v="21"/>
    <n v="97756"/>
    <x v="1"/>
    <x v="223"/>
    <x v="0"/>
    <x v="3"/>
    <x v="224"/>
    <n v="177.22499999999999"/>
    <s v="High"/>
    <n v="5"/>
    <n v="0.5"/>
    <x v="1"/>
    <x v="1"/>
    <n v="-120.51300000000001"/>
    <n v="-0.68"/>
    <n v="1"/>
  </r>
  <r>
    <n v="4296"/>
    <s v="CA-2017-169124"/>
    <d v="2017-07-03T00:00:00"/>
    <x v="3"/>
    <s v="Q3"/>
    <x v="10"/>
    <d v="2017-07-10T00:00:00"/>
    <s v="Standard Class"/>
    <x v="93"/>
    <x v="93"/>
    <s v="Consumer"/>
    <s v="United States"/>
    <s v="Citrus Heights"/>
    <x v="1"/>
    <n v="95610"/>
    <x v="1"/>
    <x v="1618"/>
    <x v="0"/>
    <x v="5"/>
    <x v="1609"/>
    <n v="129.38999999999999"/>
    <s v="High"/>
    <n v="3"/>
    <n v="0"/>
    <x v="0"/>
    <x v="0"/>
    <n v="54.343800000000002"/>
    <n v="0.42000000000000004"/>
    <n v="0"/>
  </r>
  <r>
    <n v="4297"/>
    <s v="CA-2017-117261"/>
    <d v="2017-09-04T00:00:00"/>
    <x v="3"/>
    <s v="Q3"/>
    <x v="15"/>
    <d v="2017-09-10T00:00:00"/>
    <s v="Standard Class"/>
    <x v="260"/>
    <x v="260"/>
    <s v="Corporate"/>
    <s v="United States"/>
    <s v="Los Angeles"/>
    <x v="1"/>
    <n v="90032"/>
    <x v="1"/>
    <x v="1033"/>
    <x v="1"/>
    <x v="4"/>
    <x v="1024"/>
    <n v="54.32"/>
    <s v="Medium"/>
    <n v="4"/>
    <n v="0"/>
    <x v="0"/>
    <x v="0"/>
    <n v="0.54320000000000002"/>
    <n v="0.01"/>
    <n v="0"/>
  </r>
  <r>
    <n v="4298"/>
    <s v="CA-2017-129021"/>
    <d v="2017-08-23T00:00:00"/>
    <x v="3"/>
    <s v="Q3"/>
    <x v="43"/>
    <d v="2017-08-26T00:00:00"/>
    <s v="Second Class"/>
    <x v="138"/>
    <x v="138"/>
    <s v="Consumer"/>
    <s v="United States"/>
    <s v="Tallahassee"/>
    <x v="2"/>
    <n v="32303"/>
    <x v="0"/>
    <x v="1461"/>
    <x v="2"/>
    <x v="7"/>
    <x v="1447"/>
    <n v="4367.8959999999997"/>
    <s v="High"/>
    <n v="13"/>
    <n v="0.2"/>
    <x v="2"/>
    <x v="2"/>
    <n v="327.59219999999999"/>
    <n v="7.4999999999999997E-2"/>
    <n v="0"/>
  </r>
  <r>
    <n v="4299"/>
    <s v="CA-2017-129021"/>
    <d v="2017-08-23T00:00:00"/>
    <x v="3"/>
    <s v="Q3"/>
    <x v="43"/>
    <d v="2017-08-26T00:00:00"/>
    <s v="Second Class"/>
    <x v="138"/>
    <x v="138"/>
    <s v="Consumer"/>
    <s v="United States"/>
    <s v="Tallahassee"/>
    <x v="2"/>
    <n v="32303"/>
    <x v="0"/>
    <x v="1174"/>
    <x v="1"/>
    <x v="10"/>
    <x v="1160"/>
    <n v="49.567999999999998"/>
    <s v="Medium"/>
    <n v="2"/>
    <n v="0.2"/>
    <x v="2"/>
    <x v="2"/>
    <n v="15.49"/>
    <n v="0.3125"/>
    <n v="0"/>
  </r>
  <r>
    <n v="4300"/>
    <s v="CA-2017-129021"/>
    <d v="2017-08-23T00:00:00"/>
    <x v="3"/>
    <s v="Q3"/>
    <x v="43"/>
    <d v="2017-08-26T00:00:00"/>
    <s v="Second Class"/>
    <x v="138"/>
    <x v="138"/>
    <s v="Consumer"/>
    <s v="United States"/>
    <s v="Tallahassee"/>
    <x v="2"/>
    <n v="32303"/>
    <x v="0"/>
    <x v="731"/>
    <x v="1"/>
    <x v="9"/>
    <x v="730"/>
    <n v="161.376"/>
    <s v="High"/>
    <n v="6"/>
    <n v="0.2"/>
    <x v="2"/>
    <x v="2"/>
    <n v="12.103199999999999"/>
    <n v="7.4999999999999997E-2"/>
    <n v="0"/>
  </r>
  <r>
    <n v="4301"/>
    <s v="CA-2017-129021"/>
    <d v="2017-08-23T00:00:00"/>
    <x v="3"/>
    <s v="Q3"/>
    <x v="43"/>
    <d v="2017-08-26T00:00:00"/>
    <s v="Second Class"/>
    <x v="138"/>
    <x v="138"/>
    <s v="Consumer"/>
    <s v="United States"/>
    <s v="Tallahassee"/>
    <x v="2"/>
    <n v="32303"/>
    <x v="0"/>
    <x v="852"/>
    <x v="0"/>
    <x v="5"/>
    <x v="845"/>
    <n v="2.7839999999999998"/>
    <s v="Low"/>
    <n v="2"/>
    <n v="0.2"/>
    <x v="2"/>
    <x v="2"/>
    <n v="0.41760000000000003"/>
    <n v="0.15000000000000002"/>
    <n v="0"/>
  </r>
  <r>
    <n v="4302"/>
    <s v="CA-2017-129021"/>
    <d v="2017-08-23T00:00:00"/>
    <x v="3"/>
    <s v="Q3"/>
    <x v="43"/>
    <d v="2017-08-26T00:00:00"/>
    <s v="Second Class"/>
    <x v="138"/>
    <x v="138"/>
    <s v="Consumer"/>
    <s v="United States"/>
    <s v="Tallahassee"/>
    <x v="2"/>
    <n v="32303"/>
    <x v="0"/>
    <x v="834"/>
    <x v="1"/>
    <x v="10"/>
    <x v="829"/>
    <n v="8.7200000000000006"/>
    <s v="Low"/>
    <n v="5"/>
    <n v="0.2"/>
    <x v="2"/>
    <x v="2"/>
    <n v="2.9430000000000001"/>
    <n v="0.33749999999999997"/>
    <n v="0"/>
  </r>
  <r>
    <n v="4303"/>
    <s v="CA-2014-123253"/>
    <d v="2014-08-22T00:00:00"/>
    <x v="2"/>
    <s v="Q3"/>
    <x v="9"/>
    <d v="2014-08-25T00:00:00"/>
    <s v="Second Class"/>
    <x v="368"/>
    <x v="368"/>
    <s v="Home Office"/>
    <s v="United States"/>
    <s v="Lakewood"/>
    <x v="24"/>
    <n v="44107"/>
    <x v="3"/>
    <x v="282"/>
    <x v="1"/>
    <x v="6"/>
    <x v="282"/>
    <n v="3.9119999999999999"/>
    <s v="Low"/>
    <n v="1"/>
    <n v="0.2"/>
    <x v="2"/>
    <x v="2"/>
    <n v="1.0268999999999999"/>
    <n v="0.26250000000000001"/>
    <n v="0"/>
  </r>
  <r>
    <n v="4304"/>
    <s v="CA-2016-121601"/>
    <d v="2016-10-04T00:00:00"/>
    <x v="0"/>
    <s v="Q4"/>
    <x v="32"/>
    <d v="2016-10-04T00:00:00"/>
    <s v="Same Day"/>
    <x v="373"/>
    <x v="373"/>
    <s v="Consumer"/>
    <s v="United States"/>
    <s v="The Colony"/>
    <x v="5"/>
    <n v="75056"/>
    <x v="2"/>
    <x v="761"/>
    <x v="1"/>
    <x v="12"/>
    <x v="760"/>
    <n v="59.752000000000002"/>
    <s v="Medium"/>
    <n v="7"/>
    <n v="0.2"/>
    <x v="2"/>
    <x v="2"/>
    <n v="19.4194"/>
    <n v="0.32499999999999996"/>
    <n v="0"/>
  </r>
  <r>
    <n v="4305"/>
    <s v="CA-2014-162278"/>
    <d v="2014-10-26T00:00:00"/>
    <x v="2"/>
    <s v="Q4"/>
    <x v="18"/>
    <d v="2014-10-30T00:00:00"/>
    <s v="Second Class"/>
    <x v="738"/>
    <x v="738"/>
    <s v="Consumer"/>
    <s v="United States"/>
    <s v="Seattle"/>
    <x v="4"/>
    <n v="98105"/>
    <x v="1"/>
    <x v="468"/>
    <x v="0"/>
    <x v="5"/>
    <x v="469"/>
    <n v="63.92"/>
    <s v="Medium"/>
    <n v="4"/>
    <n v="0"/>
    <x v="0"/>
    <x v="0"/>
    <n v="3.1960000000000002"/>
    <n v="0.05"/>
    <n v="0"/>
  </r>
  <r>
    <n v="4306"/>
    <s v="CA-2014-162278"/>
    <d v="2014-10-26T00:00:00"/>
    <x v="2"/>
    <s v="Q4"/>
    <x v="18"/>
    <d v="2014-10-30T00:00:00"/>
    <s v="Second Class"/>
    <x v="738"/>
    <x v="738"/>
    <s v="Consumer"/>
    <s v="United States"/>
    <s v="Seattle"/>
    <x v="4"/>
    <n v="98105"/>
    <x v="1"/>
    <x v="1485"/>
    <x v="2"/>
    <x v="7"/>
    <x v="1472"/>
    <n v="383.96"/>
    <s v="High"/>
    <n v="5"/>
    <n v="0.2"/>
    <x v="2"/>
    <x v="2"/>
    <n v="38.396000000000001"/>
    <n v="0.1"/>
    <n v="0"/>
  </r>
  <r>
    <n v="4307"/>
    <s v="CA-2016-161095"/>
    <d v="2016-06-28T00:00:00"/>
    <x v="0"/>
    <s v="Q2"/>
    <x v="1"/>
    <d v="2016-06-28T00:00:00"/>
    <s v="Same Day"/>
    <x v="294"/>
    <x v="294"/>
    <s v="Corporate"/>
    <s v="United States"/>
    <s v="Los Angeles"/>
    <x v="1"/>
    <n v="90032"/>
    <x v="1"/>
    <x v="507"/>
    <x v="1"/>
    <x v="8"/>
    <x v="507"/>
    <n v="7.7519999999999998"/>
    <s v="Low"/>
    <n v="3"/>
    <n v="0.2"/>
    <x v="2"/>
    <x v="2"/>
    <n v="2.8100999999999998"/>
    <n v="0.36249999999999999"/>
    <n v="0"/>
  </r>
  <r>
    <n v="4308"/>
    <s v="CA-2016-161095"/>
    <d v="2016-06-28T00:00:00"/>
    <x v="0"/>
    <s v="Q2"/>
    <x v="1"/>
    <d v="2016-06-28T00:00:00"/>
    <s v="Same Day"/>
    <x v="294"/>
    <x v="294"/>
    <s v="Corporate"/>
    <s v="United States"/>
    <s v="Los Angeles"/>
    <x v="1"/>
    <n v="90032"/>
    <x v="1"/>
    <x v="301"/>
    <x v="1"/>
    <x v="8"/>
    <x v="301"/>
    <n v="33.567999999999998"/>
    <s v="Medium"/>
    <n v="2"/>
    <n v="0.2"/>
    <x v="2"/>
    <x v="2"/>
    <n v="11.748799999999999"/>
    <n v="0.35"/>
    <n v="0"/>
  </r>
  <r>
    <n v="4309"/>
    <s v="CA-2014-125829"/>
    <d v="2014-11-04T00:00:00"/>
    <x v="2"/>
    <s v="Q4"/>
    <x v="7"/>
    <d v="2014-11-11T00:00:00"/>
    <s v="Standard Class"/>
    <x v="576"/>
    <x v="576"/>
    <s v="Consumer"/>
    <s v="United States"/>
    <s v="Los Angeles"/>
    <x v="1"/>
    <n v="90045"/>
    <x v="1"/>
    <x v="1270"/>
    <x v="2"/>
    <x v="7"/>
    <x v="1255"/>
    <n v="666.34400000000005"/>
    <s v="High"/>
    <n v="7"/>
    <n v="0.2"/>
    <x v="2"/>
    <x v="2"/>
    <n v="66.634399999999999"/>
    <n v="9.9999999999999992E-2"/>
    <n v="0"/>
  </r>
  <r>
    <n v="4310"/>
    <s v="CA-2014-125829"/>
    <d v="2014-11-04T00:00:00"/>
    <x v="2"/>
    <s v="Q4"/>
    <x v="7"/>
    <d v="2014-11-11T00:00:00"/>
    <s v="Standard Class"/>
    <x v="576"/>
    <x v="576"/>
    <s v="Consumer"/>
    <s v="United States"/>
    <s v="Los Angeles"/>
    <x v="1"/>
    <n v="90045"/>
    <x v="1"/>
    <x v="363"/>
    <x v="0"/>
    <x v="3"/>
    <x v="363"/>
    <n v="573.72799999999995"/>
    <s v="High"/>
    <n v="4"/>
    <n v="0.2"/>
    <x v="2"/>
    <x v="2"/>
    <n v="-64.544399999999996"/>
    <n v="-0.1125"/>
    <n v="1"/>
  </r>
  <r>
    <n v="4311"/>
    <s v="CA-2014-125829"/>
    <d v="2014-11-04T00:00:00"/>
    <x v="2"/>
    <s v="Q4"/>
    <x v="7"/>
    <d v="2014-11-11T00:00:00"/>
    <s v="Standard Class"/>
    <x v="576"/>
    <x v="576"/>
    <s v="Consumer"/>
    <s v="United States"/>
    <s v="Los Angeles"/>
    <x v="1"/>
    <n v="90045"/>
    <x v="1"/>
    <x v="624"/>
    <x v="1"/>
    <x v="8"/>
    <x v="624"/>
    <n v="21.936"/>
    <s v="Low"/>
    <n v="3"/>
    <n v="0.2"/>
    <x v="2"/>
    <x v="2"/>
    <n v="8.2260000000000009"/>
    <n v="0.37500000000000006"/>
    <n v="0"/>
  </r>
  <r>
    <n v="4312"/>
    <s v="CA-2014-125829"/>
    <d v="2014-11-04T00:00:00"/>
    <x v="2"/>
    <s v="Q4"/>
    <x v="7"/>
    <d v="2014-11-11T00:00:00"/>
    <s v="Standard Class"/>
    <x v="576"/>
    <x v="576"/>
    <s v="Consumer"/>
    <s v="United States"/>
    <s v="Los Angeles"/>
    <x v="1"/>
    <n v="90045"/>
    <x v="1"/>
    <x v="1396"/>
    <x v="1"/>
    <x v="10"/>
    <x v="1383"/>
    <n v="19.440000000000001"/>
    <s v="Low"/>
    <n v="3"/>
    <n v="0"/>
    <x v="0"/>
    <x v="0"/>
    <n v="9.3312000000000008"/>
    <n v="0.48000000000000004"/>
    <n v="0"/>
  </r>
  <r>
    <n v="4313"/>
    <s v="CA-2014-125829"/>
    <d v="2014-11-04T00:00:00"/>
    <x v="2"/>
    <s v="Q4"/>
    <x v="7"/>
    <d v="2014-11-11T00:00:00"/>
    <s v="Standard Class"/>
    <x v="576"/>
    <x v="576"/>
    <s v="Consumer"/>
    <s v="United States"/>
    <s v="Los Angeles"/>
    <x v="1"/>
    <n v="90045"/>
    <x v="1"/>
    <x v="1648"/>
    <x v="2"/>
    <x v="15"/>
    <x v="1637"/>
    <n v="447.96800000000002"/>
    <s v="High"/>
    <n v="4"/>
    <n v="0.2"/>
    <x v="2"/>
    <x v="2"/>
    <n v="139.99"/>
    <n v="0.3125"/>
    <n v="0"/>
  </r>
  <r>
    <n v="4314"/>
    <s v="CA-2014-123127"/>
    <d v="2014-09-08T00:00:00"/>
    <x v="2"/>
    <s v="Q3"/>
    <x v="30"/>
    <d v="2014-09-12T00:00:00"/>
    <s v="Standard Class"/>
    <x v="407"/>
    <x v="407"/>
    <s v="Corporate"/>
    <s v="United States"/>
    <s v="Long Beach"/>
    <x v="15"/>
    <n v="11561"/>
    <x v="3"/>
    <x v="1612"/>
    <x v="1"/>
    <x v="9"/>
    <x v="1603"/>
    <n v="16.78"/>
    <s v="Low"/>
    <n v="2"/>
    <n v="0"/>
    <x v="0"/>
    <x v="0"/>
    <n v="4.1950000000000003"/>
    <n v="0.25"/>
    <n v="0"/>
  </r>
  <r>
    <n v="4315"/>
    <s v="CA-2015-115945"/>
    <d v="2015-06-25T00:00:00"/>
    <x v="1"/>
    <s v="Q2"/>
    <x v="40"/>
    <d v="2015-07-01T00:00:00"/>
    <s v="Standard Class"/>
    <x v="269"/>
    <x v="269"/>
    <s v="Consumer"/>
    <s v="United States"/>
    <s v="Los Angeles"/>
    <x v="1"/>
    <n v="90045"/>
    <x v="1"/>
    <x v="1554"/>
    <x v="1"/>
    <x v="6"/>
    <x v="772"/>
    <n v="20.96"/>
    <s v="Low"/>
    <n v="2"/>
    <n v="0"/>
    <x v="0"/>
    <x v="0"/>
    <n v="5.24"/>
    <n v="0.25"/>
    <n v="0"/>
  </r>
  <r>
    <n v="4316"/>
    <s v="CA-2015-115945"/>
    <d v="2015-06-25T00:00:00"/>
    <x v="1"/>
    <s v="Q2"/>
    <x v="40"/>
    <d v="2015-07-01T00:00:00"/>
    <s v="Standard Class"/>
    <x v="269"/>
    <x v="269"/>
    <s v="Consumer"/>
    <s v="United States"/>
    <s v="Los Angeles"/>
    <x v="1"/>
    <n v="90045"/>
    <x v="1"/>
    <x v="805"/>
    <x v="1"/>
    <x v="8"/>
    <x v="803"/>
    <n v="88.751999999999995"/>
    <s v="Medium"/>
    <n v="3"/>
    <n v="0.2"/>
    <x v="2"/>
    <x v="2"/>
    <n v="27.734999999999999"/>
    <n v="0.3125"/>
    <n v="0"/>
  </r>
  <r>
    <n v="4317"/>
    <s v="CA-2015-115945"/>
    <d v="2015-06-25T00:00:00"/>
    <x v="1"/>
    <s v="Q2"/>
    <x v="40"/>
    <d v="2015-07-01T00:00:00"/>
    <s v="Standard Class"/>
    <x v="269"/>
    <x v="269"/>
    <s v="Consumer"/>
    <s v="United States"/>
    <s v="Los Angeles"/>
    <x v="1"/>
    <n v="90045"/>
    <x v="1"/>
    <x v="537"/>
    <x v="1"/>
    <x v="4"/>
    <x v="537"/>
    <n v="304.23"/>
    <s v="High"/>
    <n v="3"/>
    <n v="0"/>
    <x v="0"/>
    <x v="0"/>
    <n v="9.1268999999999991"/>
    <n v="2.9999999999999995E-2"/>
    <n v="0"/>
  </r>
  <r>
    <n v="4318"/>
    <s v="CA-2015-136735"/>
    <d v="2015-07-26T00:00:00"/>
    <x v="1"/>
    <s v="Q3"/>
    <x v="38"/>
    <d v="2015-08-02T00:00:00"/>
    <s v="Standard Class"/>
    <x v="66"/>
    <x v="66"/>
    <s v="Consumer"/>
    <s v="United States"/>
    <s v="San Francisco"/>
    <x v="1"/>
    <n v="94110"/>
    <x v="1"/>
    <x v="556"/>
    <x v="1"/>
    <x v="12"/>
    <x v="555"/>
    <n v="167.86"/>
    <s v="High"/>
    <n v="2"/>
    <n v="0"/>
    <x v="0"/>
    <x v="0"/>
    <n v="78.894199999999998"/>
    <n v="0.47"/>
    <n v="0"/>
  </r>
  <r>
    <n v="4319"/>
    <s v="US-2017-136189"/>
    <d v="2017-12-07T00:00:00"/>
    <x v="3"/>
    <s v="Q4"/>
    <x v="22"/>
    <d v="2017-12-11T00:00:00"/>
    <s v="Standard Class"/>
    <x v="290"/>
    <x v="290"/>
    <s v="Consumer"/>
    <s v="United States"/>
    <s v="Richmond"/>
    <x v="17"/>
    <n v="23223"/>
    <x v="0"/>
    <x v="1649"/>
    <x v="0"/>
    <x v="5"/>
    <x v="1638"/>
    <n v="82.38"/>
    <s v="Medium"/>
    <n v="6"/>
    <n v="0"/>
    <x v="0"/>
    <x v="0"/>
    <n v="25.537800000000001"/>
    <n v="0.31000000000000005"/>
    <n v="0"/>
  </r>
  <r>
    <n v="4320"/>
    <s v="CA-2014-152345"/>
    <d v="2014-12-29T00:00:00"/>
    <x v="2"/>
    <s v="Q4"/>
    <x v="20"/>
    <d v="2015-01-03T00:00:00"/>
    <s v="Second Class"/>
    <x v="461"/>
    <x v="461"/>
    <s v="Consumer"/>
    <s v="United States"/>
    <s v="Albuquerque"/>
    <x v="27"/>
    <n v="87105"/>
    <x v="1"/>
    <x v="1136"/>
    <x v="2"/>
    <x v="7"/>
    <x v="1124"/>
    <n v="23.975999999999999"/>
    <s v="Low"/>
    <n v="3"/>
    <n v="0.2"/>
    <x v="2"/>
    <x v="2"/>
    <n v="-5.6943000000000001"/>
    <n v="-0.23750000000000002"/>
    <n v="1"/>
  </r>
  <r>
    <n v="4321"/>
    <s v="CA-2014-152345"/>
    <d v="2014-12-29T00:00:00"/>
    <x v="2"/>
    <s v="Q4"/>
    <x v="20"/>
    <d v="2015-01-03T00:00:00"/>
    <s v="Second Class"/>
    <x v="461"/>
    <x v="461"/>
    <s v="Consumer"/>
    <s v="United States"/>
    <s v="Albuquerque"/>
    <x v="27"/>
    <n v="87105"/>
    <x v="1"/>
    <x v="1291"/>
    <x v="1"/>
    <x v="4"/>
    <x v="1277"/>
    <n v="33.29"/>
    <s v="Medium"/>
    <n v="1"/>
    <n v="0"/>
    <x v="0"/>
    <x v="0"/>
    <n v="7.9896000000000003"/>
    <n v="0.24000000000000002"/>
    <n v="0"/>
  </r>
  <r>
    <n v="4322"/>
    <s v="US-2015-147662"/>
    <d v="2015-02-14T00:00:00"/>
    <x v="1"/>
    <s v="Q1"/>
    <x v="36"/>
    <d v="2015-02-19T00:00:00"/>
    <s v="Standard Class"/>
    <x v="41"/>
    <x v="41"/>
    <s v="Consumer"/>
    <s v="United States"/>
    <s v="Akron"/>
    <x v="24"/>
    <n v="44312"/>
    <x v="3"/>
    <x v="444"/>
    <x v="1"/>
    <x v="8"/>
    <x v="444"/>
    <n v="14.952"/>
    <s v="Low"/>
    <n v="2"/>
    <n v="0.7"/>
    <x v="1"/>
    <x v="5"/>
    <n v="-11.961600000000001"/>
    <n v="-0.8"/>
    <n v="1"/>
  </r>
  <r>
    <n v="4323"/>
    <s v="US-2015-147662"/>
    <d v="2015-02-14T00:00:00"/>
    <x v="1"/>
    <s v="Q1"/>
    <x v="36"/>
    <d v="2015-02-19T00:00:00"/>
    <s v="Standard Class"/>
    <x v="41"/>
    <x v="41"/>
    <s v="Consumer"/>
    <s v="United States"/>
    <s v="Akron"/>
    <x v="24"/>
    <n v="44312"/>
    <x v="3"/>
    <x v="1400"/>
    <x v="2"/>
    <x v="7"/>
    <x v="1387"/>
    <n v="323.98200000000003"/>
    <s v="High"/>
    <n v="3"/>
    <n v="0.4"/>
    <x v="1"/>
    <x v="7"/>
    <n v="-80.995500000000007"/>
    <n v="-0.25"/>
    <n v="1"/>
  </r>
  <r>
    <n v="4324"/>
    <s v="US-2015-147662"/>
    <d v="2015-02-14T00:00:00"/>
    <x v="1"/>
    <s v="Q1"/>
    <x v="36"/>
    <d v="2015-02-19T00:00:00"/>
    <s v="Standard Class"/>
    <x v="41"/>
    <x v="41"/>
    <s v="Consumer"/>
    <s v="United States"/>
    <s v="Akron"/>
    <x v="24"/>
    <n v="44312"/>
    <x v="3"/>
    <x v="315"/>
    <x v="1"/>
    <x v="8"/>
    <x v="315"/>
    <n v="2.286"/>
    <s v="Low"/>
    <n v="2"/>
    <n v="0.7"/>
    <x v="1"/>
    <x v="5"/>
    <n v="-1.6763999999999999"/>
    <n v="-0.73333333333333328"/>
    <n v="1"/>
  </r>
  <r>
    <n v="4325"/>
    <s v="US-2015-147662"/>
    <d v="2015-02-14T00:00:00"/>
    <x v="1"/>
    <s v="Q1"/>
    <x v="36"/>
    <d v="2015-02-19T00:00:00"/>
    <s v="Standard Class"/>
    <x v="41"/>
    <x v="41"/>
    <s v="Consumer"/>
    <s v="United States"/>
    <s v="Akron"/>
    <x v="24"/>
    <n v="44312"/>
    <x v="3"/>
    <x v="879"/>
    <x v="1"/>
    <x v="6"/>
    <x v="873"/>
    <n v="14.352"/>
    <s v="Low"/>
    <n v="3"/>
    <n v="0.2"/>
    <x v="2"/>
    <x v="2"/>
    <n v="0.89700000000000002"/>
    <n v="6.25E-2"/>
    <n v="0"/>
  </r>
  <r>
    <n v="4326"/>
    <s v="US-2015-147662"/>
    <d v="2015-02-14T00:00:00"/>
    <x v="1"/>
    <s v="Q1"/>
    <x v="36"/>
    <d v="2015-02-19T00:00:00"/>
    <s v="Standard Class"/>
    <x v="41"/>
    <x v="41"/>
    <s v="Consumer"/>
    <s v="United States"/>
    <s v="Akron"/>
    <x v="24"/>
    <n v="44312"/>
    <x v="3"/>
    <x v="1048"/>
    <x v="2"/>
    <x v="11"/>
    <x v="1037"/>
    <n v="71.975999999999999"/>
    <s v="Medium"/>
    <n v="3"/>
    <n v="0.2"/>
    <x v="2"/>
    <x v="2"/>
    <n v="0.89970000000000006"/>
    <n v="1.2500000000000001E-2"/>
    <n v="0"/>
  </r>
  <r>
    <n v="4327"/>
    <s v="CA-2016-153346"/>
    <d v="2016-01-25T00:00:00"/>
    <x v="0"/>
    <s v="Q1"/>
    <x v="12"/>
    <d v="2016-01-27T00:00:00"/>
    <s v="First Class"/>
    <x v="422"/>
    <x v="422"/>
    <s v="Corporate"/>
    <s v="United States"/>
    <s v="Plainfield"/>
    <x v="30"/>
    <n v="7060"/>
    <x v="3"/>
    <x v="1320"/>
    <x v="1"/>
    <x v="6"/>
    <x v="1306"/>
    <n v="9.2100000000000009"/>
    <s v="Low"/>
    <n v="3"/>
    <n v="0"/>
    <x v="0"/>
    <x v="0"/>
    <n v="2.3025000000000002"/>
    <n v="0.25"/>
    <n v="0"/>
  </r>
  <r>
    <n v="4328"/>
    <s v="CA-2016-153346"/>
    <d v="2016-01-25T00:00:00"/>
    <x v="0"/>
    <s v="Q1"/>
    <x v="12"/>
    <d v="2016-01-27T00:00:00"/>
    <s v="First Class"/>
    <x v="422"/>
    <x v="422"/>
    <s v="Corporate"/>
    <s v="United States"/>
    <s v="Plainfield"/>
    <x v="30"/>
    <n v="7060"/>
    <x v="3"/>
    <x v="1552"/>
    <x v="1"/>
    <x v="10"/>
    <x v="1540"/>
    <n v="18"/>
    <s v="Low"/>
    <n v="5"/>
    <n v="0"/>
    <x v="0"/>
    <x v="0"/>
    <n v="8.2799999999999994"/>
    <n v="0.45999999999999996"/>
    <n v="0"/>
  </r>
  <r>
    <n v="4329"/>
    <s v="CA-2017-118360"/>
    <d v="2017-04-01T00:00:00"/>
    <x v="3"/>
    <s v="Q2"/>
    <x v="4"/>
    <d v="2017-04-07T00:00:00"/>
    <s v="Standard Class"/>
    <x v="547"/>
    <x v="547"/>
    <s v="Consumer"/>
    <s v="United States"/>
    <s v="New York City"/>
    <x v="15"/>
    <n v="10011"/>
    <x v="3"/>
    <x v="1446"/>
    <x v="1"/>
    <x v="10"/>
    <x v="1433"/>
    <n v="42.93"/>
    <s v="Medium"/>
    <n v="9"/>
    <n v="0"/>
    <x v="0"/>
    <x v="0"/>
    <n v="19.3185"/>
    <n v="0.45"/>
    <n v="0"/>
  </r>
  <r>
    <n v="4330"/>
    <s v="CA-2017-149853"/>
    <d v="2017-10-03T00:00:00"/>
    <x v="3"/>
    <s v="Q4"/>
    <x v="13"/>
    <d v="2017-10-09T00:00:00"/>
    <s v="Standard Class"/>
    <x v="138"/>
    <x v="138"/>
    <s v="Consumer"/>
    <s v="United States"/>
    <s v="Hialeah"/>
    <x v="2"/>
    <n v="33012"/>
    <x v="0"/>
    <x v="1650"/>
    <x v="1"/>
    <x v="10"/>
    <x v="1639"/>
    <n v="15.552"/>
    <s v="Low"/>
    <n v="3"/>
    <n v="0.2"/>
    <x v="2"/>
    <x v="2"/>
    <n v="5.4432"/>
    <n v="0.35000000000000003"/>
    <n v="0"/>
  </r>
  <r>
    <n v="4331"/>
    <s v="CA-2017-149853"/>
    <d v="2017-10-03T00:00:00"/>
    <x v="3"/>
    <s v="Q4"/>
    <x v="13"/>
    <d v="2017-10-09T00:00:00"/>
    <s v="Standard Class"/>
    <x v="138"/>
    <x v="138"/>
    <s v="Consumer"/>
    <s v="United States"/>
    <s v="Hialeah"/>
    <x v="2"/>
    <n v="33012"/>
    <x v="0"/>
    <x v="566"/>
    <x v="1"/>
    <x v="9"/>
    <x v="566"/>
    <n v="17.920000000000002"/>
    <s v="Low"/>
    <n v="5"/>
    <n v="0.2"/>
    <x v="2"/>
    <x v="2"/>
    <n v="1.1200000000000001"/>
    <n v="6.25E-2"/>
    <n v="0"/>
  </r>
  <r>
    <n v="4332"/>
    <s v="CA-2017-107909"/>
    <d v="2017-09-01T00:00:00"/>
    <x v="3"/>
    <s v="Q3"/>
    <x v="15"/>
    <d v="2017-09-06T00:00:00"/>
    <s v="Standard Class"/>
    <x v="286"/>
    <x v="286"/>
    <s v="Consumer"/>
    <s v="United States"/>
    <s v="Redmond"/>
    <x v="4"/>
    <n v="98052"/>
    <x v="1"/>
    <x v="84"/>
    <x v="2"/>
    <x v="11"/>
    <x v="84"/>
    <n v="19.989999999999998"/>
    <s v="Low"/>
    <n v="1"/>
    <n v="0"/>
    <x v="0"/>
    <x v="0"/>
    <n v="6.7965999999999998"/>
    <n v="0.34"/>
    <n v="0"/>
  </r>
  <r>
    <n v="4333"/>
    <s v="CA-2017-107909"/>
    <d v="2017-09-01T00:00:00"/>
    <x v="3"/>
    <s v="Q3"/>
    <x v="15"/>
    <d v="2017-09-06T00:00:00"/>
    <s v="Standard Class"/>
    <x v="286"/>
    <x v="286"/>
    <s v="Consumer"/>
    <s v="United States"/>
    <s v="Redmond"/>
    <x v="4"/>
    <n v="98052"/>
    <x v="1"/>
    <x v="1547"/>
    <x v="1"/>
    <x v="8"/>
    <x v="1535"/>
    <n v="22.92"/>
    <s v="Low"/>
    <n v="5"/>
    <n v="0.2"/>
    <x v="2"/>
    <x v="2"/>
    <n v="8.0220000000000002"/>
    <n v="0.35"/>
    <n v="0"/>
  </r>
  <r>
    <n v="4334"/>
    <s v="CA-2015-112375"/>
    <d v="2015-12-21T00:00:00"/>
    <x v="1"/>
    <s v="Q4"/>
    <x v="14"/>
    <d v="2015-12-27T00:00:00"/>
    <s v="Standard Class"/>
    <x v="742"/>
    <x v="742"/>
    <s v="Consumer"/>
    <s v="United States"/>
    <s v="Daytona Beach"/>
    <x v="2"/>
    <n v="32114"/>
    <x v="0"/>
    <x v="1651"/>
    <x v="2"/>
    <x v="11"/>
    <x v="1640"/>
    <n v="50.88"/>
    <s v="Medium"/>
    <n v="6"/>
    <n v="0.2"/>
    <x v="2"/>
    <x v="2"/>
    <n v="14.628"/>
    <n v="0.28749999999999998"/>
    <n v="0"/>
  </r>
  <r>
    <n v="4335"/>
    <s v="CA-2015-112375"/>
    <d v="2015-12-21T00:00:00"/>
    <x v="1"/>
    <s v="Q4"/>
    <x v="14"/>
    <d v="2015-12-27T00:00:00"/>
    <s v="Standard Class"/>
    <x v="742"/>
    <x v="742"/>
    <s v="Consumer"/>
    <s v="United States"/>
    <s v="Daytona Beach"/>
    <x v="2"/>
    <n v="32114"/>
    <x v="0"/>
    <x v="830"/>
    <x v="1"/>
    <x v="12"/>
    <x v="825"/>
    <n v="27.312000000000001"/>
    <s v="Medium"/>
    <n v="2"/>
    <n v="0.2"/>
    <x v="2"/>
    <x v="2"/>
    <n v="9.2178000000000004"/>
    <n v="0.33750000000000002"/>
    <n v="0"/>
  </r>
  <r>
    <n v="4336"/>
    <s v="CA-2015-154795"/>
    <d v="2015-12-20T00:00:00"/>
    <x v="1"/>
    <s v="Q4"/>
    <x v="14"/>
    <d v="2015-12-24T00:00:00"/>
    <s v="Standard Class"/>
    <x v="47"/>
    <x v="47"/>
    <s v="Consumer"/>
    <s v="United States"/>
    <s v="Bullhead City"/>
    <x v="16"/>
    <n v="86442"/>
    <x v="1"/>
    <x v="1652"/>
    <x v="1"/>
    <x v="12"/>
    <x v="1641"/>
    <n v="7.92"/>
    <s v="Low"/>
    <n v="1"/>
    <n v="0.2"/>
    <x v="2"/>
    <x v="2"/>
    <n v="2.7719999999999998"/>
    <n v="0.35"/>
    <n v="0"/>
  </r>
  <r>
    <n v="4337"/>
    <s v="CA-2015-154795"/>
    <d v="2015-12-20T00:00:00"/>
    <x v="1"/>
    <s v="Q4"/>
    <x v="14"/>
    <d v="2015-12-24T00:00:00"/>
    <s v="Standard Class"/>
    <x v="47"/>
    <x v="47"/>
    <s v="Consumer"/>
    <s v="United States"/>
    <s v="Bullhead City"/>
    <x v="16"/>
    <n v="86442"/>
    <x v="1"/>
    <x v="1104"/>
    <x v="0"/>
    <x v="5"/>
    <x v="1093"/>
    <n v="14.368"/>
    <s v="Low"/>
    <n v="2"/>
    <n v="0.2"/>
    <x v="2"/>
    <x v="2"/>
    <n v="3.9512"/>
    <n v="0.27500000000000002"/>
    <n v="0"/>
  </r>
  <r>
    <n v="4338"/>
    <s v="CA-2015-125234"/>
    <d v="2015-11-27T00:00:00"/>
    <x v="1"/>
    <s v="Q4"/>
    <x v="6"/>
    <d v="2015-12-01T00:00:00"/>
    <s v="Standard Class"/>
    <x v="17"/>
    <x v="17"/>
    <s v="Home Office"/>
    <s v="United States"/>
    <s v="Los Angeles"/>
    <x v="1"/>
    <n v="90049"/>
    <x v="1"/>
    <x v="357"/>
    <x v="2"/>
    <x v="11"/>
    <x v="357"/>
    <n v="107.97"/>
    <s v="Medium"/>
    <n v="3"/>
    <n v="0"/>
    <x v="0"/>
    <x v="0"/>
    <n v="22.6737"/>
    <n v="0.21"/>
    <n v="0"/>
  </r>
  <r>
    <n v="4339"/>
    <s v="CA-2015-125234"/>
    <d v="2015-11-27T00:00:00"/>
    <x v="1"/>
    <s v="Q4"/>
    <x v="6"/>
    <d v="2015-12-01T00:00:00"/>
    <s v="Standard Class"/>
    <x v="17"/>
    <x v="17"/>
    <s v="Home Office"/>
    <s v="United States"/>
    <s v="Los Angeles"/>
    <x v="1"/>
    <n v="90049"/>
    <x v="1"/>
    <x v="67"/>
    <x v="1"/>
    <x v="10"/>
    <x v="67"/>
    <n v="113.82"/>
    <s v="Medium"/>
    <n v="3"/>
    <n v="0"/>
    <x v="0"/>
    <x v="0"/>
    <n v="53.495399999999997"/>
    <n v="0.47"/>
    <n v="0"/>
  </r>
  <r>
    <n v="4340"/>
    <s v="CA-2017-133501"/>
    <d v="2017-08-27T00:00:00"/>
    <x v="3"/>
    <s v="Q3"/>
    <x v="43"/>
    <d v="2017-09-01T00:00:00"/>
    <s v="Standard Class"/>
    <x v="729"/>
    <x v="729"/>
    <s v="Consumer"/>
    <s v="United States"/>
    <s v="Franklin"/>
    <x v="18"/>
    <n v="37064"/>
    <x v="0"/>
    <x v="974"/>
    <x v="1"/>
    <x v="10"/>
    <x v="968"/>
    <n v="5.1840000000000002"/>
    <s v="Low"/>
    <n v="1"/>
    <n v="0.2"/>
    <x v="2"/>
    <x v="2"/>
    <n v="1.8144"/>
    <n v="0.35"/>
    <n v="0"/>
  </r>
  <r>
    <n v="4341"/>
    <s v="US-2014-129609"/>
    <d v="2014-03-22T00:00:00"/>
    <x v="2"/>
    <s v="Q1"/>
    <x v="34"/>
    <d v="2014-03-22T00:00:00"/>
    <s v="Same Day"/>
    <x v="718"/>
    <x v="718"/>
    <s v="Consumer"/>
    <s v="United States"/>
    <s v="Portage"/>
    <x v="14"/>
    <n v="46368"/>
    <x v="2"/>
    <x v="359"/>
    <x v="1"/>
    <x v="6"/>
    <x v="359"/>
    <n v="16.28"/>
    <s v="Low"/>
    <n v="2"/>
    <n v="0"/>
    <x v="0"/>
    <x v="0"/>
    <n v="6.5119999999999996"/>
    <n v="0.39999999999999997"/>
    <n v="0"/>
  </r>
  <r>
    <n v="4342"/>
    <s v="CA-2017-130309"/>
    <d v="2017-12-17T00:00:00"/>
    <x v="3"/>
    <s v="Q4"/>
    <x v="22"/>
    <d v="2017-12-21T00:00:00"/>
    <s v="Standard Class"/>
    <x v="673"/>
    <x v="673"/>
    <s v="Consumer"/>
    <s v="United States"/>
    <s v="Arlington"/>
    <x v="17"/>
    <n v="22204"/>
    <x v="0"/>
    <x v="245"/>
    <x v="1"/>
    <x v="4"/>
    <x v="246"/>
    <n v="544.38"/>
    <s v="High"/>
    <n v="3"/>
    <n v="0"/>
    <x v="0"/>
    <x v="0"/>
    <n v="157.87020000000001"/>
    <n v="0.29000000000000004"/>
    <n v="0"/>
  </r>
  <r>
    <n v="4343"/>
    <s v="CA-2017-105410"/>
    <d v="2017-03-19T00:00:00"/>
    <x v="3"/>
    <s v="Q1"/>
    <x v="42"/>
    <d v="2017-03-22T00:00:00"/>
    <s v="First Class"/>
    <x v="444"/>
    <x v="444"/>
    <s v="Consumer"/>
    <s v="United States"/>
    <s v="San Francisco"/>
    <x v="1"/>
    <n v="94110"/>
    <x v="1"/>
    <x v="925"/>
    <x v="1"/>
    <x v="8"/>
    <x v="917"/>
    <n v="19.824000000000002"/>
    <s v="Low"/>
    <n v="6"/>
    <n v="0.2"/>
    <x v="2"/>
    <x v="2"/>
    <n v="6.6905999999999999"/>
    <n v="0.33749999999999997"/>
    <n v="0"/>
  </r>
  <r>
    <n v="4344"/>
    <s v="CA-2017-105410"/>
    <d v="2017-03-19T00:00:00"/>
    <x v="3"/>
    <s v="Q1"/>
    <x v="42"/>
    <d v="2017-03-22T00:00:00"/>
    <s v="First Class"/>
    <x v="444"/>
    <x v="444"/>
    <s v="Consumer"/>
    <s v="United States"/>
    <s v="San Francisco"/>
    <x v="1"/>
    <n v="94110"/>
    <x v="1"/>
    <x v="1075"/>
    <x v="2"/>
    <x v="7"/>
    <x v="1065"/>
    <n v="657.50400000000002"/>
    <s v="High"/>
    <n v="6"/>
    <n v="0.2"/>
    <x v="2"/>
    <x v="2"/>
    <n v="-131.5008"/>
    <n v="-0.19999999999999998"/>
    <n v="1"/>
  </r>
  <r>
    <n v="4345"/>
    <s v="CA-2017-105410"/>
    <d v="2017-03-19T00:00:00"/>
    <x v="3"/>
    <s v="Q1"/>
    <x v="42"/>
    <d v="2017-03-22T00:00:00"/>
    <s v="First Class"/>
    <x v="444"/>
    <x v="444"/>
    <s v="Consumer"/>
    <s v="United States"/>
    <s v="San Francisco"/>
    <x v="1"/>
    <n v="94110"/>
    <x v="1"/>
    <x v="100"/>
    <x v="2"/>
    <x v="11"/>
    <x v="100"/>
    <n v="99.54"/>
    <s v="Medium"/>
    <n v="2"/>
    <n v="0"/>
    <x v="0"/>
    <x v="0"/>
    <n v="10.949400000000001"/>
    <n v="0.11"/>
    <n v="0"/>
  </r>
  <r>
    <n v="4346"/>
    <s v="CA-2017-105410"/>
    <d v="2017-03-19T00:00:00"/>
    <x v="3"/>
    <s v="Q1"/>
    <x v="42"/>
    <d v="2017-03-22T00:00:00"/>
    <s v="First Class"/>
    <x v="444"/>
    <x v="444"/>
    <s v="Consumer"/>
    <s v="United States"/>
    <s v="San Francisco"/>
    <x v="1"/>
    <n v="94110"/>
    <x v="1"/>
    <x v="1135"/>
    <x v="2"/>
    <x v="11"/>
    <x v="1123"/>
    <n v="199.96"/>
    <s v="High"/>
    <n v="4"/>
    <n v="0"/>
    <x v="0"/>
    <x v="0"/>
    <n v="85.982799999999997"/>
    <n v="0.43"/>
    <n v="0"/>
  </r>
  <r>
    <n v="4347"/>
    <s v="CA-2016-120355"/>
    <d v="2016-09-18T00:00:00"/>
    <x v="0"/>
    <s v="Q3"/>
    <x v="21"/>
    <d v="2016-09-25T00:00:00"/>
    <s v="Standard Class"/>
    <x v="570"/>
    <x v="570"/>
    <s v="Consumer"/>
    <s v="United States"/>
    <s v="New Rochelle"/>
    <x v="15"/>
    <n v="10801"/>
    <x v="3"/>
    <x v="654"/>
    <x v="0"/>
    <x v="1"/>
    <x v="654"/>
    <n v="631.78200000000004"/>
    <s v="High"/>
    <n v="2"/>
    <n v="0.1"/>
    <x v="3"/>
    <x v="8"/>
    <n v="140.39599999999999"/>
    <n v="0.22222222222222218"/>
    <n v="0"/>
  </r>
  <r>
    <n v="4348"/>
    <s v="CA-2016-120355"/>
    <d v="2016-09-18T00:00:00"/>
    <x v="0"/>
    <s v="Q3"/>
    <x v="21"/>
    <d v="2016-09-25T00:00:00"/>
    <s v="Standard Class"/>
    <x v="570"/>
    <x v="570"/>
    <s v="Consumer"/>
    <s v="United States"/>
    <s v="New Rochelle"/>
    <x v="15"/>
    <n v="10801"/>
    <x v="3"/>
    <x v="1653"/>
    <x v="0"/>
    <x v="5"/>
    <x v="1642"/>
    <n v="60.72"/>
    <s v="Medium"/>
    <n v="3"/>
    <n v="0"/>
    <x v="0"/>
    <x v="0"/>
    <n v="26.1096"/>
    <n v="0.43"/>
    <n v="0"/>
  </r>
  <r>
    <n v="4349"/>
    <s v="CA-2017-169894"/>
    <d v="2017-11-24T00:00:00"/>
    <x v="3"/>
    <s v="Q4"/>
    <x v="23"/>
    <d v="2017-11-29T00:00:00"/>
    <s v="Second Class"/>
    <x v="597"/>
    <x v="597"/>
    <s v="Consumer"/>
    <s v="United States"/>
    <s v="Mesa"/>
    <x v="16"/>
    <n v="85204"/>
    <x v="1"/>
    <x v="655"/>
    <x v="1"/>
    <x v="8"/>
    <x v="655"/>
    <n v="20.724"/>
    <s v="Low"/>
    <n v="2"/>
    <n v="0.7"/>
    <x v="1"/>
    <x v="5"/>
    <n v="-15.1976"/>
    <n v="-0.73333333333333328"/>
    <n v="1"/>
  </r>
  <r>
    <n v="4350"/>
    <s v="CA-2017-169894"/>
    <d v="2017-11-24T00:00:00"/>
    <x v="3"/>
    <s v="Q4"/>
    <x v="23"/>
    <d v="2017-11-29T00:00:00"/>
    <s v="Second Class"/>
    <x v="597"/>
    <x v="597"/>
    <s v="Consumer"/>
    <s v="United States"/>
    <s v="Mesa"/>
    <x v="16"/>
    <n v="85204"/>
    <x v="1"/>
    <x v="391"/>
    <x v="1"/>
    <x v="4"/>
    <x v="392"/>
    <n v="415.87200000000001"/>
    <s v="High"/>
    <n v="8"/>
    <n v="0.2"/>
    <x v="2"/>
    <x v="2"/>
    <n v="-41.587200000000003"/>
    <n v="-0.1"/>
    <n v="1"/>
  </r>
  <r>
    <n v="4351"/>
    <s v="US-2017-100482"/>
    <d v="2017-04-11T00:00:00"/>
    <x v="3"/>
    <s v="Q2"/>
    <x v="4"/>
    <d v="2017-04-15T00:00:00"/>
    <s v="Standard Class"/>
    <x v="691"/>
    <x v="691"/>
    <s v="Consumer"/>
    <s v="United States"/>
    <s v="Lancaster"/>
    <x v="24"/>
    <n v="43130"/>
    <x v="3"/>
    <x v="470"/>
    <x v="1"/>
    <x v="4"/>
    <x v="471"/>
    <n v="16.768000000000001"/>
    <s v="Low"/>
    <n v="2"/>
    <n v="0.2"/>
    <x v="2"/>
    <x v="2"/>
    <n v="1.4672000000000001"/>
    <n v="8.7499999999999994E-2"/>
    <n v="0"/>
  </r>
  <r>
    <n v="4352"/>
    <s v="US-2017-100482"/>
    <d v="2017-04-11T00:00:00"/>
    <x v="3"/>
    <s v="Q2"/>
    <x v="4"/>
    <d v="2017-04-15T00:00:00"/>
    <s v="Standard Class"/>
    <x v="691"/>
    <x v="691"/>
    <s v="Consumer"/>
    <s v="United States"/>
    <s v="Lancaster"/>
    <x v="24"/>
    <n v="43130"/>
    <x v="3"/>
    <x v="658"/>
    <x v="2"/>
    <x v="11"/>
    <x v="658"/>
    <n v="27.12"/>
    <s v="Medium"/>
    <n v="2"/>
    <n v="0.2"/>
    <x v="2"/>
    <x v="2"/>
    <n v="-4.7460000000000004"/>
    <n v="-0.17500000000000002"/>
    <n v="1"/>
  </r>
  <r>
    <n v="4353"/>
    <s v="CA-2017-107748"/>
    <d v="2017-12-10T00:00:00"/>
    <x v="3"/>
    <s v="Q4"/>
    <x v="22"/>
    <d v="2017-12-12T00:00:00"/>
    <s v="Second Class"/>
    <x v="743"/>
    <x v="743"/>
    <s v="Consumer"/>
    <s v="United States"/>
    <s v="Stockton"/>
    <x v="1"/>
    <n v="95207"/>
    <x v="1"/>
    <x v="1620"/>
    <x v="2"/>
    <x v="7"/>
    <x v="1611"/>
    <n v="95.84"/>
    <s v="Medium"/>
    <n v="4"/>
    <n v="0.2"/>
    <x v="2"/>
    <x v="2"/>
    <n v="34.741999999999997"/>
    <n v="0.36249999999999993"/>
    <n v="0"/>
  </r>
  <r>
    <n v="4354"/>
    <s v="CA-2017-107748"/>
    <d v="2017-12-10T00:00:00"/>
    <x v="3"/>
    <s v="Q4"/>
    <x v="22"/>
    <d v="2017-12-12T00:00:00"/>
    <s v="Second Class"/>
    <x v="743"/>
    <x v="743"/>
    <s v="Consumer"/>
    <s v="United States"/>
    <s v="Stockton"/>
    <x v="1"/>
    <n v="95207"/>
    <x v="1"/>
    <x v="510"/>
    <x v="1"/>
    <x v="10"/>
    <x v="510"/>
    <n v="12.96"/>
    <s v="Low"/>
    <n v="2"/>
    <n v="0"/>
    <x v="0"/>
    <x v="0"/>
    <n v="6.2207999999999997"/>
    <n v="0.47999999999999993"/>
    <n v="0"/>
  </r>
  <r>
    <n v="4355"/>
    <s v="CA-2017-153654"/>
    <d v="2017-11-24T00:00:00"/>
    <x v="3"/>
    <s v="Q4"/>
    <x v="23"/>
    <d v="2017-11-26T00:00:00"/>
    <s v="Second Class"/>
    <x v="550"/>
    <x v="550"/>
    <s v="Corporate"/>
    <s v="United States"/>
    <s v="Asheville"/>
    <x v="3"/>
    <n v="28806"/>
    <x v="0"/>
    <x v="741"/>
    <x v="1"/>
    <x v="8"/>
    <x v="739"/>
    <n v="19.007999999999999"/>
    <s v="Low"/>
    <n v="8"/>
    <n v="0.7"/>
    <x v="1"/>
    <x v="5"/>
    <n v="-12.672000000000001"/>
    <n v="-0.66666666666666674"/>
    <n v="1"/>
  </r>
  <r>
    <n v="4356"/>
    <s v="CA-2015-155600"/>
    <d v="2015-12-04T00:00:00"/>
    <x v="1"/>
    <s v="Q4"/>
    <x v="14"/>
    <d v="2015-12-07T00:00:00"/>
    <s v="Second Class"/>
    <x v="197"/>
    <x v="197"/>
    <s v="Consumer"/>
    <s v="United States"/>
    <s v="Clarksville"/>
    <x v="18"/>
    <n v="37042"/>
    <x v="0"/>
    <x v="692"/>
    <x v="1"/>
    <x v="8"/>
    <x v="692"/>
    <n v="1598.058"/>
    <s v="High"/>
    <n v="7"/>
    <n v="0.7"/>
    <x v="1"/>
    <x v="5"/>
    <n v="-1065.3720000000001"/>
    <n v="-0.66666666666666674"/>
    <n v="1"/>
  </r>
  <r>
    <n v="4357"/>
    <s v="CA-2015-155600"/>
    <d v="2015-12-04T00:00:00"/>
    <x v="1"/>
    <s v="Q4"/>
    <x v="14"/>
    <d v="2015-12-07T00:00:00"/>
    <s v="Second Class"/>
    <x v="197"/>
    <x v="197"/>
    <s v="Consumer"/>
    <s v="United States"/>
    <s v="Clarksville"/>
    <x v="18"/>
    <n v="37042"/>
    <x v="0"/>
    <x v="684"/>
    <x v="1"/>
    <x v="6"/>
    <x v="684"/>
    <n v="36.96"/>
    <s v="Medium"/>
    <n v="4"/>
    <n v="0.2"/>
    <x v="2"/>
    <x v="2"/>
    <n v="12.012"/>
    <n v="0.32500000000000001"/>
    <n v="0"/>
  </r>
  <r>
    <n v="4358"/>
    <s v="CA-2017-162565"/>
    <d v="2017-12-11T00:00:00"/>
    <x v="3"/>
    <s v="Q4"/>
    <x v="22"/>
    <d v="2017-12-11T00:00:00"/>
    <s v="Same Day"/>
    <x v="625"/>
    <x v="625"/>
    <s v="Consumer"/>
    <s v="United States"/>
    <s v="Aurora"/>
    <x v="10"/>
    <n v="60505"/>
    <x v="2"/>
    <x v="289"/>
    <x v="1"/>
    <x v="10"/>
    <x v="289"/>
    <n v="10.368"/>
    <s v="Low"/>
    <n v="2"/>
    <n v="0.2"/>
    <x v="2"/>
    <x v="2"/>
    <n v="3.6288"/>
    <n v="0.35"/>
    <n v="0"/>
  </r>
  <r>
    <n v="4359"/>
    <s v="CA-2017-162565"/>
    <d v="2017-12-11T00:00:00"/>
    <x v="3"/>
    <s v="Q4"/>
    <x v="22"/>
    <d v="2017-12-11T00:00:00"/>
    <s v="Same Day"/>
    <x v="625"/>
    <x v="625"/>
    <s v="Consumer"/>
    <s v="United States"/>
    <s v="Aurora"/>
    <x v="10"/>
    <n v="60505"/>
    <x v="2"/>
    <x v="622"/>
    <x v="0"/>
    <x v="5"/>
    <x v="622"/>
    <n v="77.72"/>
    <s v="Medium"/>
    <n v="1"/>
    <n v="0.6"/>
    <x v="1"/>
    <x v="6"/>
    <n v="-66.061999999999998"/>
    <n v="-0.85"/>
    <n v="1"/>
  </r>
  <r>
    <n v="4360"/>
    <s v="CA-2017-162565"/>
    <d v="2017-12-11T00:00:00"/>
    <x v="3"/>
    <s v="Q4"/>
    <x v="22"/>
    <d v="2017-12-11T00:00:00"/>
    <s v="Same Day"/>
    <x v="625"/>
    <x v="625"/>
    <s v="Consumer"/>
    <s v="United States"/>
    <s v="Aurora"/>
    <x v="10"/>
    <n v="60505"/>
    <x v="2"/>
    <x v="873"/>
    <x v="0"/>
    <x v="1"/>
    <x v="867"/>
    <n v="520.46400000000006"/>
    <s v="High"/>
    <n v="2"/>
    <n v="0.3"/>
    <x v="1"/>
    <x v="4"/>
    <n v="-14.8704"/>
    <n v="-2.8571428571428567E-2"/>
    <n v="1"/>
  </r>
  <r>
    <n v="4361"/>
    <s v="CA-2016-127642"/>
    <d v="2016-05-21T00:00:00"/>
    <x v="0"/>
    <s v="Q2"/>
    <x v="35"/>
    <d v="2016-05-23T00:00:00"/>
    <s v="First Class"/>
    <x v="291"/>
    <x v="291"/>
    <s v="Corporate"/>
    <s v="United States"/>
    <s v="Warwick"/>
    <x v="34"/>
    <n v="2886"/>
    <x v="3"/>
    <x v="1654"/>
    <x v="1"/>
    <x v="10"/>
    <x v="33"/>
    <n v="111.96"/>
    <s v="Medium"/>
    <n v="2"/>
    <n v="0"/>
    <x v="0"/>
    <x v="0"/>
    <n v="54.860399999999998"/>
    <n v="0.49"/>
    <n v="0"/>
  </r>
  <r>
    <n v="4362"/>
    <s v="US-2017-163195"/>
    <d v="2017-02-17T00:00:00"/>
    <x v="3"/>
    <s v="Q1"/>
    <x v="31"/>
    <d v="2017-02-21T00:00:00"/>
    <s v="Second Class"/>
    <x v="328"/>
    <x v="328"/>
    <s v="Consumer"/>
    <s v="United States"/>
    <s v="Lafayette"/>
    <x v="28"/>
    <n v="70506"/>
    <x v="0"/>
    <x v="119"/>
    <x v="2"/>
    <x v="7"/>
    <x v="119"/>
    <n v="29.16"/>
    <s v="Medium"/>
    <n v="3"/>
    <n v="0"/>
    <x v="0"/>
    <x v="0"/>
    <n v="8.4564000000000004"/>
    <n v="0.29000000000000004"/>
    <n v="0"/>
  </r>
  <r>
    <n v="4363"/>
    <s v="CA-2017-111332"/>
    <d v="2017-05-20T00:00:00"/>
    <x v="3"/>
    <s v="Q2"/>
    <x v="24"/>
    <d v="2017-05-22T00:00:00"/>
    <s v="Second Class"/>
    <x v="396"/>
    <x v="396"/>
    <s v="Consumer"/>
    <s v="United States"/>
    <s v="Fargo"/>
    <x v="46"/>
    <n v="58103"/>
    <x v="2"/>
    <x v="399"/>
    <x v="1"/>
    <x v="6"/>
    <x v="400"/>
    <n v="131.94"/>
    <s v="High"/>
    <n v="3"/>
    <n v="0"/>
    <x v="0"/>
    <x v="0"/>
    <n v="35.623800000000003"/>
    <n v="0.27"/>
    <n v="0"/>
  </r>
  <r>
    <n v="4364"/>
    <s v="CA-2017-111332"/>
    <d v="2017-05-20T00:00:00"/>
    <x v="3"/>
    <s v="Q2"/>
    <x v="24"/>
    <d v="2017-05-22T00:00:00"/>
    <s v="Second Class"/>
    <x v="396"/>
    <x v="396"/>
    <s v="Consumer"/>
    <s v="United States"/>
    <s v="Fargo"/>
    <x v="46"/>
    <n v="58103"/>
    <x v="2"/>
    <x v="313"/>
    <x v="1"/>
    <x v="6"/>
    <x v="313"/>
    <n v="25.92"/>
    <s v="Medium"/>
    <n v="4"/>
    <n v="0"/>
    <x v="0"/>
    <x v="0"/>
    <n v="8.2943999999999996"/>
    <n v="0.31999999999999995"/>
    <n v="0"/>
  </r>
  <r>
    <n v="4365"/>
    <s v="CA-2017-111332"/>
    <d v="2017-05-20T00:00:00"/>
    <x v="3"/>
    <s v="Q2"/>
    <x v="24"/>
    <d v="2017-05-22T00:00:00"/>
    <s v="Second Class"/>
    <x v="396"/>
    <x v="396"/>
    <s v="Consumer"/>
    <s v="United States"/>
    <s v="Fargo"/>
    <x v="46"/>
    <n v="58103"/>
    <x v="2"/>
    <x v="718"/>
    <x v="1"/>
    <x v="4"/>
    <x v="717"/>
    <n v="704.76"/>
    <s v="High"/>
    <n v="4"/>
    <n v="0"/>
    <x v="0"/>
    <x v="0"/>
    <n v="162.09479999999999"/>
    <n v="0.22999999999999998"/>
    <n v="0"/>
  </r>
  <r>
    <n v="4366"/>
    <s v="CA-2017-111332"/>
    <d v="2017-05-20T00:00:00"/>
    <x v="3"/>
    <s v="Q2"/>
    <x v="24"/>
    <d v="2017-05-22T00:00:00"/>
    <s v="Second Class"/>
    <x v="396"/>
    <x v="396"/>
    <s v="Consumer"/>
    <s v="United States"/>
    <s v="Fargo"/>
    <x v="46"/>
    <n v="58103"/>
    <x v="2"/>
    <x v="1099"/>
    <x v="1"/>
    <x v="13"/>
    <x v="128"/>
    <n v="7.41"/>
    <s v="Low"/>
    <n v="3"/>
    <n v="0"/>
    <x v="0"/>
    <x v="0"/>
    <n v="3.4826999999999999"/>
    <n v="0.47"/>
    <n v="0"/>
  </r>
  <r>
    <n v="4367"/>
    <s v="CA-2017-111332"/>
    <d v="2017-05-20T00:00:00"/>
    <x v="3"/>
    <s v="Q2"/>
    <x v="24"/>
    <d v="2017-05-22T00:00:00"/>
    <s v="Second Class"/>
    <x v="396"/>
    <x v="396"/>
    <s v="Consumer"/>
    <s v="United States"/>
    <s v="Fargo"/>
    <x v="46"/>
    <n v="58103"/>
    <x v="2"/>
    <x v="1539"/>
    <x v="1"/>
    <x v="6"/>
    <x v="1527"/>
    <n v="21.5"/>
    <s v="Low"/>
    <n v="10"/>
    <n v="0"/>
    <x v="0"/>
    <x v="0"/>
    <n v="7.0949999999999998"/>
    <n v="0.33"/>
    <n v="0"/>
  </r>
  <r>
    <n v="4368"/>
    <s v="CA-2017-117044"/>
    <d v="2017-09-11T00:00:00"/>
    <x v="3"/>
    <s v="Q3"/>
    <x v="15"/>
    <d v="2017-09-13T00:00:00"/>
    <s v="Second Class"/>
    <x v="66"/>
    <x v="66"/>
    <s v="Consumer"/>
    <s v="United States"/>
    <s v="Chicago"/>
    <x v="10"/>
    <n v="60623"/>
    <x v="2"/>
    <x v="1321"/>
    <x v="1"/>
    <x v="13"/>
    <x v="1307"/>
    <n v="10.528"/>
    <s v="Low"/>
    <n v="4"/>
    <n v="0.2"/>
    <x v="2"/>
    <x v="2"/>
    <n v="3.29"/>
    <n v="0.3125"/>
    <n v="0"/>
  </r>
  <r>
    <n v="4369"/>
    <s v="CA-2017-117044"/>
    <d v="2017-09-11T00:00:00"/>
    <x v="3"/>
    <s v="Q3"/>
    <x v="15"/>
    <d v="2017-09-13T00:00:00"/>
    <s v="Second Class"/>
    <x v="66"/>
    <x v="66"/>
    <s v="Consumer"/>
    <s v="United States"/>
    <s v="Chicago"/>
    <x v="10"/>
    <n v="60623"/>
    <x v="2"/>
    <x v="630"/>
    <x v="1"/>
    <x v="10"/>
    <x v="630"/>
    <n v="20.544"/>
    <s v="Low"/>
    <n v="6"/>
    <n v="0.2"/>
    <x v="2"/>
    <x v="2"/>
    <n v="6.42"/>
    <n v="0.3125"/>
    <n v="0"/>
  </r>
  <r>
    <n v="4370"/>
    <s v="US-2016-165078"/>
    <d v="2016-11-05T00:00:00"/>
    <x v="0"/>
    <s v="Q4"/>
    <x v="0"/>
    <d v="2016-11-10T00:00:00"/>
    <s v="Standard Class"/>
    <x v="671"/>
    <x v="671"/>
    <s v="Home Office"/>
    <s v="United States"/>
    <s v="Lawrence"/>
    <x v="14"/>
    <n v="46226"/>
    <x v="2"/>
    <x v="542"/>
    <x v="1"/>
    <x v="8"/>
    <x v="542"/>
    <n v="104.9"/>
    <s v="Medium"/>
    <n v="5"/>
    <n v="0"/>
    <x v="0"/>
    <x v="0"/>
    <n v="50.351999999999997"/>
    <n v="0.47999999999999993"/>
    <n v="0"/>
  </r>
  <r>
    <n v="4371"/>
    <s v="US-2016-165078"/>
    <d v="2016-11-05T00:00:00"/>
    <x v="0"/>
    <s v="Q4"/>
    <x v="0"/>
    <d v="2016-11-10T00:00:00"/>
    <s v="Standard Class"/>
    <x v="671"/>
    <x v="671"/>
    <s v="Home Office"/>
    <s v="United States"/>
    <s v="Lawrence"/>
    <x v="14"/>
    <n v="46226"/>
    <x v="2"/>
    <x v="1571"/>
    <x v="1"/>
    <x v="6"/>
    <x v="1562"/>
    <n v="39.68"/>
    <s v="Medium"/>
    <n v="2"/>
    <n v="0"/>
    <x v="0"/>
    <x v="0"/>
    <n v="16.268799999999999"/>
    <n v="0.41"/>
    <n v="0"/>
  </r>
  <r>
    <n v="4372"/>
    <s v="US-2016-165078"/>
    <d v="2016-11-05T00:00:00"/>
    <x v="0"/>
    <s v="Q4"/>
    <x v="0"/>
    <d v="2016-11-10T00:00:00"/>
    <s v="Standard Class"/>
    <x v="671"/>
    <x v="671"/>
    <s v="Home Office"/>
    <s v="United States"/>
    <s v="Lawrence"/>
    <x v="14"/>
    <n v="46226"/>
    <x v="2"/>
    <x v="1655"/>
    <x v="1"/>
    <x v="2"/>
    <x v="1643"/>
    <n v="51.75"/>
    <s v="Medium"/>
    <n v="5"/>
    <n v="0"/>
    <x v="0"/>
    <x v="0"/>
    <n v="24.84"/>
    <n v="0.48"/>
    <n v="0"/>
  </r>
  <r>
    <n v="4373"/>
    <s v="US-2017-169320"/>
    <d v="2017-07-23T00:00:00"/>
    <x v="3"/>
    <s v="Q3"/>
    <x v="10"/>
    <d v="2017-07-25T00:00:00"/>
    <s v="Second Class"/>
    <x v="23"/>
    <x v="23"/>
    <s v="Consumer"/>
    <s v="United States"/>
    <s v="Elkhart"/>
    <x v="14"/>
    <n v="46514"/>
    <x v="2"/>
    <x v="241"/>
    <x v="1"/>
    <x v="6"/>
    <x v="242"/>
    <n v="11.68"/>
    <s v="Low"/>
    <n v="2"/>
    <n v="0"/>
    <x v="0"/>
    <x v="0"/>
    <n v="5.4896000000000003"/>
    <n v="0.47000000000000003"/>
    <n v="0"/>
  </r>
  <r>
    <n v="4374"/>
    <s v="US-2017-169320"/>
    <d v="2017-07-23T00:00:00"/>
    <x v="3"/>
    <s v="Q3"/>
    <x v="10"/>
    <d v="2017-07-25T00:00:00"/>
    <s v="Second Class"/>
    <x v="23"/>
    <x v="23"/>
    <s v="Consumer"/>
    <s v="United States"/>
    <s v="Elkhart"/>
    <x v="14"/>
    <n v="46514"/>
    <x v="2"/>
    <x v="1365"/>
    <x v="2"/>
    <x v="11"/>
    <x v="1548"/>
    <n v="159.75"/>
    <s v="High"/>
    <n v="5"/>
    <n v="0"/>
    <x v="0"/>
    <x v="0"/>
    <n v="11.182499999999999"/>
    <n v="6.9999999999999993E-2"/>
    <n v="0"/>
  </r>
  <r>
    <n v="4375"/>
    <s v="CA-2016-158575"/>
    <d v="2016-11-18T00:00:00"/>
    <x v="0"/>
    <s v="Q4"/>
    <x v="0"/>
    <d v="2016-11-24T00:00:00"/>
    <s v="Standard Class"/>
    <x v="115"/>
    <x v="115"/>
    <s v="Corporate"/>
    <s v="United States"/>
    <s v="Kent"/>
    <x v="24"/>
    <n v="44240"/>
    <x v="3"/>
    <x v="1656"/>
    <x v="1"/>
    <x v="9"/>
    <x v="1644"/>
    <n v="103.968"/>
    <s v="Medium"/>
    <n v="6"/>
    <n v="0.2"/>
    <x v="2"/>
    <x v="2"/>
    <n v="16.8948"/>
    <n v="0.16250000000000001"/>
    <n v="0"/>
  </r>
  <r>
    <n v="4376"/>
    <s v="CA-2014-166954"/>
    <d v="2014-04-25T00:00:00"/>
    <x v="2"/>
    <s v="Q2"/>
    <x v="41"/>
    <d v="2014-04-30T00:00:00"/>
    <s v="Standard Class"/>
    <x v="457"/>
    <x v="457"/>
    <s v="Home Office"/>
    <s v="United States"/>
    <s v="San Gabriel"/>
    <x v="1"/>
    <n v="91776"/>
    <x v="1"/>
    <x v="71"/>
    <x v="0"/>
    <x v="5"/>
    <x v="71"/>
    <n v="303.25"/>
    <s v="High"/>
    <n v="5"/>
    <n v="0"/>
    <x v="0"/>
    <x v="0"/>
    <n v="63.682499999999997"/>
    <n v="0.21"/>
    <n v="0"/>
  </r>
  <r>
    <n v="4377"/>
    <s v="CA-2014-166954"/>
    <d v="2014-04-25T00:00:00"/>
    <x v="2"/>
    <s v="Q2"/>
    <x v="41"/>
    <d v="2014-04-30T00:00:00"/>
    <s v="Standard Class"/>
    <x v="457"/>
    <x v="457"/>
    <s v="Home Office"/>
    <s v="United States"/>
    <s v="San Gabriel"/>
    <x v="1"/>
    <n v="91776"/>
    <x v="1"/>
    <x v="1284"/>
    <x v="1"/>
    <x v="9"/>
    <x v="1269"/>
    <n v="270.72000000000003"/>
    <s v="High"/>
    <n v="3"/>
    <n v="0"/>
    <x v="0"/>
    <x v="0"/>
    <n v="78.508799999999994"/>
    <n v="0.28999999999999992"/>
    <n v="0"/>
  </r>
  <r>
    <n v="4378"/>
    <s v="CA-2014-166954"/>
    <d v="2014-04-25T00:00:00"/>
    <x v="2"/>
    <s v="Q2"/>
    <x v="41"/>
    <d v="2014-04-30T00:00:00"/>
    <s v="Standard Class"/>
    <x v="457"/>
    <x v="457"/>
    <s v="Home Office"/>
    <s v="United States"/>
    <s v="San Gabriel"/>
    <x v="1"/>
    <n v="91776"/>
    <x v="1"/>
    <x v="873"/>
    <x v="0"/>
    <x v="1"/>
    <x v="867"/>
    <n v="1487.04"/>
    <s v="High"/>
    <n v="5"/>
    <n v="0.2"/>
    <x v="2"/>
    <x v="2"/>
    <n v="148.70400000000001"/>
    <n v="0.1"/>
    <n v="0"/>
  </r>
  <r>
    <n v="4379"/>
    <s v="CA-2015-140830"/>
    <d v="2015-11-30T00:00:00"/>
    <x v="1"/>
    <s v="Q4"/>
    <x v="6"/>
    <d v="2015-12-02T00:00:00"/>
    <s v="Second Class"/>
    <x v="28"/>
    <x v="28"/>
    <s v="Home Office"/>
    <s v="United States"/>
    <s v="Henderson"/>
    <x v="0"/>
    <n v="42420"/>
    <x v="0"/>
    <x v="755"/>
    <x v="1"/>
    <x v="12"/>
    <x v="753"/>
    <n v="17.48"/>
    <s v="Low"/>
    <n v="2"/>
    <n v="0"/>
    <x v="0"/>
    <x v="0"/>
    <n v="8.2156000000000002"/>
    <n v="0.47000000000000003"/>
    <n v="0"/>
  </r>
  <r>
    <n v="4380"/>
    <s v="CA-2015-140830"/>
    <d v="2015-11-30T00:00:00"/>
    <x v="1"/>
    <s v="Q4"/>
    <x v="6"/>
    <d v="2015-12-02T00:00:00"/>
    <s v="Second Class"/>
    <x v="28"/>
    <x v="28"/>
    <s v="Home Office"/>
    <s v="United States"/>
    <s v="Henderson"/>
    <x v="0"/>
    <n v="42420"/>
    <x v="0"/>
    <x v="842"/>
    <x v="1"/>
    <x v="12"/>
    <x v="836"/>
    <n v="71.88"/>
    <s v="Medium"/>
    <n v="2"/>
    <n v="0"/>
    <x v="0"/>
    <x v="0"/>
    <n v="32.345999999999997"/>
    <n v="0.44999999999999996"/>
    <n v="0"/>
  </r>
  <r>
    <n v="4381"/>
    <s v="CA-2015-152891"/>
    <d v="2015-10-25T00:00:00"/>
    <x v="1"/>
    <s v="Q4"/>
    <x v="2"/>
    <d v="2015-10-30T00:00:00"/>
    <s v="Standard Class"/>
    <x v="577"/>
    <x v="577"/>
    <s v="Consumer"/>
    <s v="United States"/>
    <s v="San Francisco"/>
    <x v="1"/>
    <n v="94110"/>
    <x v="1"/>
    <x v="626"/>
    <x v="1"/>
    <x v="6"/>
    <x v="626"/>
    <n v="60.45"/>
    <s v="Medium"/>
    <n v="3"/>
    <n v="0"/>
    <x v="0"/>
    <x v="0"/>
    <n v="16.3215"/>
    <n v="0.27"/>
    <n v="0"/>
  </r>
  <r>
    <n v="4382"/>
    <s v="CA-2015-152891"/>
    <d v="2015-10-25T00:00:00"/>
    <x v="1"/>
    <s v="Q4"/>
    <x v="2"/>
    <d v="2015-10-30T00:00:00"/>
    <s v="Standard Class"/>
    <x v="577"/>
    <x v="577"/>
    <s v="Consumer"/>
    <s v="United States"/>
    <s v="San Francisco"/>
    <x v="1"/>
    <n v="94110"/>
    <x v="1"/>
    <x v="438"/>
    <x v="0"/>
    <x v="3"/>
    <x v="438"/>
    <n v="253.17599999999999"/>
    <s v="High"/>
    <n v="3"/>
    <n v="0.2"/>
    <x v="2"/>
    <x v="2"/>
    <n v="-31.646999999999998"/>
    <n v="-0.125"/>
    <n v="1"/>
  </r>
  <r>
    <n v="4383"/>
    <s v="US-2015-122784"/>
    <d v="2015-07-20T00:00:00"/>
    <x v="1"/>
    <s v="Q3"/>
    <x v="38"/>
    <d v="2015-07-27T00:00:00"/>
    <s v="Standard Class"/>
    <x v="154"/>
    <x v="154"/>
    <s v="Consumer"/>
    <s v="United States"/>
    <s v="Highland Park"/>
    <x v="10"/>
    <n v="60035"/>
    <x v="2"/>
    <x v="614"/>
    <x v="1"/>
    <x v="8"/>
    <x v="614"/>
    <n v="2.88"/>
    <s v="Low"/>
    <n v="5"/>
    <n v="0.8"/>
    <x v="1"/>
    <x v="3"/>
    <n v="-4.4640000000000004"/>
    <n v="-1.5500000000000003"/>
    <n v="1"/>
  </r>
  <r>
    <n v="4384"/>
    <s v="US-2015-122784"/>
    <d v="2015-07-20T00:00:00"/>
    <x v="1"/>
    <s v="Q3"/>
    <x v="38"/>
    <d v="2015-07-27T00:00:00"/>
    <s v="Standard Class"/>
    <x v="154"/>
    <x v="154"/>
    <s v="Consumer"/>
    <s v="United States"/>
    <s v="Highland Park"/>
    <x v="10"/>
    <n v="60035"/>
    <x v="2"/>
    <x v="1657"/>
    <x v="0"/>
    <x v="0"/>
    <x v="1645"/>
    <n v="384.94400000000002"/>
    <s v="High"/>
    <n v="4"/>
    <n v="0.3"/>
    <x v="1"/>
    <x v="4"/>
    <n v="-126.4816"/>
    <n v="-0.32857142857142857"/>
    <n v="1"/>
  </r>
  <r>
    <n v="4385"/>
    <s v="US-2015-122784"/>
    <d v="2015-07-20T00:00:00"/>
    <x v="1"/>
    <s v="Q3"/>
    <x v="38"/>
    <d v="2015-07-27T00:00:00"/>
    <s v="Standard Class"/>
    <x v="154"/>
    <x v="154"/>
    <s v="Consumer"/>
    <s v="United States"/>
    <s v="Highland Park"/>
    <x v="10"/>
    <n v="60035"/>
    <x v="2"/>
    <x v="664"/>
    <x v="2"/>
    <x v="7"/>
    <x v="664"/>
    <n v="153.584"/>
    <s v="High"/>
    <n v="2"/>
    <n v="0.2"/>
    <x v="2"/>
    <x v="2"/>
    <n v="13.438599999999999"/>
    <n v="8.7499999999999994E-2"/>
    <n v="0"/>
  </r>
  <r>
    <n v="4386"/>
    <s v="US-2015-122784"/>
    <d v="2015-07-20T00:00:00"/>
    <x v="1"/>
    <s v="Q3"/>
    <x v="38"/>
    <d v="2015-07-27T00:00:00"/>
    <s v="Standard Class"/>
    <x v="154"/>
    <x v="154"/>
    <s v="Consumer"/>
    <s v="United States"/>
    <s v="Highland Park"/>
    <x v="10"/>
    <n v="60035"/>
    <x v="2"/>
    <x v="37"/>
    <x v="0"/>
    <x v="0"/>
    <x v="37"/>
    <n v="913.43"/>
    <s v="High"/>
    <n v="5"/>
    <n v="0.3"/>
    <x v="1"/>
    <x v="4"/>
    <n v="-52.195999999999998"/>
    <n v="-5.7142857142857141E-2"/>
    <n v="1"/>
  </r>
  <r>
    <n v="4387"/>
    <s v="CA-2016-156811"/>
    <d v="2016-10-27T00:00:00"/>
    <x v="0"/>
    <s v="Q4"/>
    <x v="32"/>
    <d v="2016-11-02T00:00:00"/>
    <s v="Standard Class"/>
    <x v="162"/>
    <x v="162"/>
    <s v="Corporate"/>
    <s v="United States"/>
    <s v="San Francisco"/>
    <x v="1"/>
    <n v="94122"/>
    <x v="1"/>
    <x v="1644"/>
    <x v="1"/>
    <x v="9"/>
    <x v="360"/>
    <n v="43.92"/>
    <s v="Medium"/>
    <n v="4"/>
    <n v="0"/>
    <x v="0"/>
    <x v="0"/>
    <n v="11.8584"/>
    <n v="0.26999999999999996"/>
    <n v="0"/>
  </r>
  <r>
    <n v="4388"/>
    <s v="CA-2016-156811"/>
    <d v="2016-10-27T00:00:00"/>
    <x v="0"/>
    <s v="Q4"/>
    <x v="32"/>
    <d v="2016-11-02T00:00:00"/>
    <s v="Standard Class"/>
    <x v="162"/>
    <x v="162"/>
    <s v="Corporate"/>
    <s v="United States"/>
    <s v="San Francisco"/>
    <x v="1"/>
    <n v="94122"/>
    <x v="1"/>
    <x v="1124"/>
    <x v="1"/>
    <x v="8"/>
    <x v="1112"/>
    <n v="25.032"/>
    <s v="Medium"/>
    <n v="3"/>
    <n v="0.2"/>
    <x v="2"/>
    <x v="2"/>
    <n v="7.8224999999999998"/>
    <n v="0.3125"/>
    <n v="0"/>
  </r>
  <r>
    <n v="4389"/>
    <s v="CA-2017-111556"/>
    <d v="2017-11-20T00:00:00"/>
    <x v="3"/>
    <s v="Q4"/>
    <x v="23"/>
    <d v="2017-11-22T00:00:00"/>
    <s v="First Class"/>
    <x v="303"/>
    <x v="303"/>
    <s v="Consumer"/>
    <s v="United States"/>
    <s v="New York City"/>
    <x v="15"/>
    <n v="10035"/>
    <x v="3"/>
    <x v="652"/>
    <x v="1"/>
    <x v="10"/>
    <x v="652"/>
    <n v="46.76"/>
    <s v="Medium"/>
    <n v="7"/>
    <n v="0"/>
    <x v="0"/>
    <x v="0"/>
    <n v="22.444800000000001"/>
    <n v="0.48000000000000004"/>
    <n v="0"/>
  </r>
  <r>
    <n v="4390"/>
    <s v="CA-2017-111556"/>
    <d v="2017-11-20T00:00:00"/>
    <x v="3"/>
    <s v="Q4"/>
    <x v="23"/>
    <d v="2017-11-22T00:00:00"/>
    <s v="First Class"/>
    <x v="303"/>
    <x v="303"/>
    <s v="Consumer"/>
    <s v="United States"/>
    <s v="New York City"/>
    <x v="15"/>
    <n v="10035"/>
    <x v="3"/>
    <x v="1121"/>
    <x v="0"/>
    <x v="0"/>
    <x v="1109"/>
    <n v="183.96799999999999"/>
    <s v="High"/>
    <n v="2"/>
    <n v="0.2"/>
    <x v="2"/>
    <x v="2"/>
    <n v="-25.2956"/>
    <n v="-0.13750000000000001"/>
    <n v="1"/>
  </r>
  <r>
    <n v="4391"/>
    <s v="CA-2017-111556"/>
    <d v="2017-11-20T00:00:00"/>
    <x v="3"/>
    <s v="Q4"/>
    <x v="23"/>
    <d v="2017-11-22T00:00:00"/>
    <s v="First Class"/>
    <x v="303"/>
    <x v="303"/>
    <s v="Consumer"/>
    <s v="United States"/>
    <s v="New York City"/>
    <x v="15"/>
    <n v="10035"/>
    <x v="3"/>
    <x v="1461"/>
    <x v="2"/>
    <x v="7"/>
    <x v="1447"/>
    <n v="1259.97"/>
    <s v="High"/>
    <n v="3"/>
    <n v="0"/>
    <x v="0"/>
    <x v="0"/>
    <n v="327.59219999999999"/>
    <n v="0.26"/>
    <n v="0"/>
  </r>
  <r>
    <n v="4392"/>
    <s v="CA-2017-111556"/>
    <d v="2017-11-20T00:00:00"/>
    <x v="3"/>
    <s v="Q4"/>
    <x v="23"/>
    <d v="2017-11-22T00:00:00"/>
    <s v="First Class"/>
    <x v="303"/>
    <x v="303"/>
    <s v="Consumer"/>
    <s v="United States"/>
    <s v="New York City"/>
    <x v="15"/>
    <n v="10035"/>
    <x v="3"/>
    <x v="1243"/>
    <x v="1"/>
    <x v="6"/>
    <x v="1226"/>
    <n v="68.97"/>
    <s v="Medium"/>
    <n v="3"/>
    <n v="0"/>
    <x v="0"/>
    <x v="0"/>
    <n v="19.311599999999999"/>
    <n v="0.27999999999999997"/>
    <n v="0"/>
  </r>
  <r>
    <n v="4393"/>
    <s v="CA-2016-108868"/>
    <d v="2016-09-08T00:00:00"/>
    <x v="0"/>
    <s v="Q3"/>
    <x v="21"/>
    <d v="2016-09-12T00:00:00"/>
    <s v="Standard Class"/>
    <x v="10"/>
    <x v="10"/>
    <s v="Corporate"/>
    <s v="United States"/>
    <s v="Dallas"/>
    <x v="5"/>
    <n v="75081"/>
    <x v="2"/>
    <x v="399"/>
    <x v="1"/>
    <x v="6"/>
    <x v="400"/>
    <n v="70.367999999999995"/>
    <s v="Medium"/>
    <n v="2"/>
    <n v="0.2"/>
    <x v="2"/>
    <x v="2"/>
    <n v="6.1571999999999996"/>
    <n v="8.7499999999999994E-2"/>
    <n v="0"/>
  </r>
  <r>
    <n v="4394"/>
    <s v="CA-2016-108868"/>
    <d v="2016-09-08T00:00:00"/>
    <x v="0"/>
    <s v="Q3"/>
    <x v="21"/>
    <d v="2016-09-12T00:00:00"/>
    <s v="Standard Class"/>
    <x v="10"/>
    <x v="10"/>
    <s v="Corporate"/>
    <s v="United States"/>
    <s v="Dallas"/>
    <x v="5"/>
    <n v="75081"/>
    <x v="2"/>
    <x v="1250"/>
    <x v="2"/>
    <x v="7"/>
    <x v="1234"/>
    <n v="59.96"/>
    <s v="Medium"/>
    <n v="5"/>
    <n v="0.2"/>
    <x v="2"/>
    <x v="2"/>
    <n v="21.735499999999998"/>
    <n v="0.36249999999999999"/>
    <n v="0"/>
  </r>
  <r>
    <n v="4395"/>
    <s v="CA-2014-142965"/>
    <d v="2014-07-20T00:00:00"/>
    <x v="2"/>
    <s v="Q3"/>
    <x v="39"/>
    <d v="2014-07-20T00:00:00"/>
    <s v="Same Day"/>
    <x v="573"/>
    <x v="573"/>
    <s v="Consumer"/>
    <s v="United States"/>
    <s v="Springfield"/>
    <x v="24"/>
    <n v="45503"/>
    <x v="3"/>
    <x v="571"/>
    <x v="1"/>
    <x v="4"/>
    <x v="571"/>
    <n v="25.984000000000002"/>
    <s v="Medium"/>
    <n v="1"/>
    <n v="0.2"/>
    <x v="2"/>
    <x v="2"/>
    <n v="-5.1967999999999996"/>
    <n v="-0.19999999999999998"/>
    <n v="1"/>
  </r>
  <r>
    <n v="4396"/>
    <s v="CA-2014-142965"/>
    <d v="2014-07-20T00:00:00"/>
    <x v="2"/>
    <s v="Q3"/>
    <x v="39"/>
    <d v="2014-07-20T00:00:00"/>
    <s v="Same Day"/>
    <x v="573"/>
    <x v="573"/>
    <s v="Consumer"/>
    <s v="United States"/>
    <s v="Springfield"/>
    <x v="24"/>
    <n v="45503"/>
    <x v="3"/>
    <x v="999"/>
    <x v="1"/>
    <x v="8"/>
    <x v="991"/>
    <n v="27.36"/>
    <s v="Medium"/>
    <n v="3"/>
    <n v="0.7"/>
    <x v="1"/>
    <x v="5"/>
    <n v="-21.888000000000002"/>
    <n v="-0.8"/>
    <n v="1"/>
  </r>
  <r>
    <n v="4397"/>
    <s v="CA-2016-148740"/>
    <d v="2016-11-15T00:00:00"/>
    <x v="0"/>
    <s v="Q4"/>
    <x v="0"/>
    <d v="2016-11-19T00:00:00"/>
    <s v="Standard Class"/>
    <x v="706"/>
    <x v="706"/>
    <s v="Corporate"/>
    <s v="United States"/>
    <s v="San Diego"/>
    <x v="1"/>
    <n v="92024"/>
    <x v="1"/>
    <x v="944"/>
    <x v="2"/>
    <x v="7"/>
    <x v="937"/>
    <n v="361.37599999999998"/>
    <s v="High"/>
    <n v="2"/>
    <n v="0.2"/>
    <x v="2"/>
    <x v="2"/>
    <n v="27.103200000000001"/>
    <n v="7.5000000000000011E-2"/>
    <n v="0"/>
  </r>
  <r>
    <n v="4398"/>
    <s v="US-2014-138758"/>
    <d v="2014-07-07T00:00:00"/>
    <x v="2"/>
    <s v="Q3"/>
    <x v="39"/>
    <d v="2014-07-11T00:00:00"/>
    <s v="Standard Class"/>
    <x v="252"/>
    <x v="252"/>
    <s v="Consumer"/>
    <s v="United States"/>
    <s v="Philadelphia"/>
    <x v="9"/>
    <n v="19120"/>
    <x v="3"/>
    <x v="812"/>
    <x v="0"/>
    <x v="1"/>
    <x v="809"/>
    <n v="172.18600000000001"/>
    <s v="High"/>
    <n v="2"/>
    <n v="0.3"/>
    <x v="1"/>
    <x v="4"/>
    <n v="-46.736199999999997"/>
    <n v="-0.27142857142857141"/>
    <n v="1"/>
  </r>
  <r>
    <n v="4399"/>
    <s v="US-2014-138758"/>
    <d v="2014-07-07T00:00:00"/>
    <x v="2"/>
    <s v="Q3"/>
    <x v="39"/>
    <d v="2014-07-11T00:00:00"/>
    <s v="Standard Class"/>
    <x v="252"/>
    <x v="252"/>
    <s v="Consumer"/>
    <s v="United States"/>
    <s v="Philadelphia"/>
    <x v="9"/>
    <n v="19120"/>
    <x v="3"/>
    <x v="484"/>
    <x v="0"/>
    <x v="5"/>
    <x v="484"/>
    <n v="69.007999999999996"/>
    <s v="Medium"/>
    <n v="2"/>
    <n v="0.2"/>
    <x v="2"/>
    <x v="2"/>
    <n v="12.0764"/>
    <n v="0.17500000000000002"/>
    <n v="0"/>
  </r>
  <r>
    <n v="4400"/>
    <s v="CA-2016-131737"/>
    <d v="2016-03-17T00:00:00"/>
    <x v="0"/>
    <s v="Q1"/>
    <x v="17"/>
    <d v="2016-03-17T00:00:00"/>
    <s v="Same Day"/>
    <x v="47"/>
    <x v="47"/>
    <s v="Consumer"/>
    <s v="United States"/>
    <s v="Columbia"/>
    <x v="39"/>
    <n v="21044"/>
    <x v="3"/>
    <x v="889"/>
    <x v="1"/>
    <x v="12"/>
    <x v="882"/>
    <n v="199.9"/>
    <s v="High"/>
    <n v="5"/>
    <n v="0"/>
    <x v="0"/>
    <x v="0"/>
    <n v="89.954999999999998"/>
    <n v="0.44999999999999996"/>
    <n v="0"/>
  </r>
  <r>
    <n v="4401"/>
    <s v="CA-2016-131737"/>
    <d v="2016-03-17T00:00:00"/>
    <x v="0"/>
    <s v="Q1"/>
    <x v="17"/>
    <d v="2016-03-17T00:00:00"/>
    <s v="Same Day"/>
    <x v="47"/>
    <x v="47"/>
    <s v="Consumer"/>
    <s v="United States"/>
    <s v="Columbia"/>
    <x v="39"/>
    <n v="21044"/>
    <x v="3"/>
    <x v="227"/>
    <x v="1"/>
    <x v="9"/>
    <x v="228"/>
    <n v="901.95"/>
    <s v="High"/>
    <n v="3"/>
    <n v="0"/>
    <x v="0"/>
    <x v="0"/>
    <n v="297.64350000000002"/>
    <n v="0.33"/>
    <n v="0"/>
  </r>
  <r>
    <n v="4402"/>
    <s v="CA-2016-131737"/>
    <d v="2016-03-17T00:00:00"/>
    <x v="0"/>
    <s v="Q1"/>
    <x v="17"/>
    <d v="2016-03-17T00:00:00"/>
    <s v="Same Day"/>
    <x v="47"/>
    <x v="47"/>
    <s v="Consumer"/>
    <s v="United States"/>
    <s v="Columbia"/>
    <x v="39"/>
    <n v="21044"/>
    <x v="3"/>
    <x v="622"/>
    <x v="0"/>
    <x v="5"/>
    <x v="622"/>
    <n v="971.5"/>
    <s v="High"/>
    <n v="5"/>
    <n v="0"/>
    <x v="0"/>
    <x v="0"/>
    <n v="252.59"/>
    <n v="0.26"/>
    <n v="0"/>
  </r>
  <r>
    <n v="4403"/>
    <s v="CA-2016-114538"/>
    <d v="2016-12-26T00:00:00"/>
    <x v="0"/>
    <s v="Q4"/>
    <x v="5"/>
    <d v="2016-12-27T00:00:00"/>
    <s v="First Class"/>
    <x v="116"/>
    <x v="116"/>
    <s v="Consumer"/>
    <s v="United States"/>
    <s v="Colorado Springs"/>
    <x v="22"/>
    <n v="80906"/>
    <x v="1"/>
    <x v="1658"/>
    <x v="1"/>
    <x v="6"/>
    <x v="1646"/>
    <n v="11.327999999999999"/>
    <s v="Low"/>
    <n v="2"/>
    <n v="0.2"/>
    <x v="2"/>
    <x v="2"/>
    <n v="2.5488"/>
    <n v="0.22500000000000001"/>
    <n v="0"/>
  </r>
  <r>
    <n v="4404"/>
    <s v="CA-2014-127936"/>
    <d v="2014-09-02T00:00:00"/>
    <x v="2"/>
    <s v="Q3"/>
    <x v="30"/>
    <d v="2014-09-04T00:00:00"/>
    <s v="First Class"/>
    <x v="52"/>
    <x v="52"/>
    <s v="Consumer"/>
    <s v="United States"/>
    <s v="New York City"/>
    <x v="15"/>
    <n v="10009"/>
    <x v="3"/>
    <x v="1658"/>
    <x v="1"/>
    <x v="6"/>
    <x v="1646"/>
    <n v="21.24"/>
    <s v="Low"/>
    <n v="3"/>
    <n v="0"/>
    <x v="0"/>
    <x v="0"/>
    <n v="8.0711999999999993"/>
    <n v="0.38"/>
    <n v="0"/>
  </r>
  <r>
    <n v="4405"/>
    <s v="CA-2015-164336"/>
    <d v="2015-07-05T00:00:00"/>
    <x v="1"/>
    <s v="Q3"/>
    <x v="38"/>
    <d v="2015-07-10T00:00:00"/>
    <s v="Standard Class"/>
    <x v="596"/>
    <x v="596"/>
    <s v="Consumer"/>
    <s v="United States"/>
    <s v="Philadelphia"/>
    <x v="9"/>
    <n v="19140"/>
    <x v="3"/>
    <x v="174"/>
    <x v="2"/>
    <x v="11"/>
    <x v="175"/>
    <n v="34.799999999999997"/>
    <s v="Medium"/>
    <n v="3"/>
    <n v="0.2"/>
    <x v="2"/>
    <x v="2"/>
    <n v="2.1749999999999998"/>
    <n v="6.25E-2"/>
    <n v="0"/>
  </r>
  <r>
    <n v="4406"/>
    <s v="CA-2015-164336"/>
    <d v="2015-07-05T00:00:00"/>
    <x v="1"/>
    <s v="Q3"/>
    <x v="38"/>
    <d v="2015-07-10T00:00:00"/>
    <s v="Standard Class"/>
    <x v="596"/>
    <x v="596"/>
    <s v="Consumer"/>
    <s v="United States"/>
    <s v="Philadelphia"/>
    <x v="9"/>
    <n v="19140"/>
    <x v="3"/>
    <x v="720"/>
    <x v="1"/>
    <x v="4"/>
    <x v="719"/>
    <n v="38.975999999999999"/>
    <s v="Medium"/>
    <n v="3"/>
    <n v="0.2"/>
    <x v="2"/>
    <x v="2"/>
    <n v="-2.4359999999999999"/>
    <n v="-6.25E-2"/>
    <n v="1"/>
  </r>
  <r>
    <n v="4407"/>
    <s v="CA-2016-100041"/>
    <d v="2016-11-20T00:00:00"/>
    <x v="0"/>
    <s v="Q4"/>
    <x v="0"/>
    <d v="2016-11-25T00:00:00"/>
    <s v="Standard Class"/>
    <x v="541"/>
    <x v="541"/>
    <s v="Corporate"/>
    <s v="United States"/>
    <s v="Columbus"/>
    <x v="14"/>
    <n v="47201"/>
    <x v="2"/>
    <x v="702"/>
    <x v="1"/>
    <x v="10"/>
    <x v="702"/>
    <n v="9.08"/>
    <s v="Low"/>
    <n v="2"/>
    <n v="0"/>
    <x v="0"/>
    <x v="0"/>
    <n v="4.0860000000000003"/>
    <n v="0.45"/>
    <n v="0"/>
  </r>
  <r>
    <n v="4408"/>
    <s v="CA-2016-100041"/>
    <d v="2016-11-20T00:00:00"/>
    <x v="0"/>
    <s v="Q4"/>
    <x v="0"/>
    <d v="2016-11-25T00:00:00"/>
    <s v="Standard Class"/>
    <x v="541"/>
    <x v="541"/>
    <s v="Corporate"/>
    <s v="United States"/>
    <s v="Columbus"/>
    <x v="14"/>
    <n v="47201"/>
    <x v="2"/>
    <x v="976"/>
    <x v="1"/>
    <x v="10"/>
    <x v="970"/>
    <n v="314.55"/>
    <s v="High"/>
    <n v="3"/>
    <n v="0"/>
    <x v="0"/>
    <x v="0"/>
    <n v="150.98400000000001"/>
    <n v="0.48000000000000004"/>
    <n v="0"/>
  </r>
  <r>
    <n v="4409"/>
    <s v="CA-2016-100041"/>
    <d v="2016-11-20T00:00:00"/>
    <x v="0"/>
    <s v="Q4"/>
    <x v="0"/>
    <d v="2016-11-25T00:00:00"/>
    <s v="Standard Class"/>
    <x v="541"/>
    <x v="541"/>
    <s v="Corporate"/>
    <s v="United States"/>
    <s v="Columbus"/>
    <x v="14"/>
    <n v="47201"/>
    <x v="2"/>
    <x v="185"/>
    <x v="1"/>
    <x v="8"/>
    <x v="186"/>
    <n v="4.91"/>
    <s v="Low"/>
    <n v="1"/>
    <n v="0"/>
    <x v="0"/>
    <x v="0"/>
    <n v="2.3077000000000001"/>
    <n v="0.47000000000000003"/>
    <n v="0"/>
  </r>
  <r>
    <n v="4410"/>
    <s v="US-2014-154879"/>
    <d v="2014-05-06T00:00:00"/>
    <x v="2"/>
    <s v="Q2"/>
    <x v="8"/>
    <d v="2014-05-11T00:00:00"/>
    <s v="Standard Class"/>
    <x v="17"/>
    <x v="17"/>
    <s v="Home Office"/>
    <s v="United States"/>
    <s v="Los Angeles"/>
    <x v="1"/>
    <n v="90004"/>
    <x v="1"/>
    <x v="865"/>
    <x v="1"/>
    <x v="2"/>
    <x v="859"/>
    <n v="5.78"/>
    <s v="Low"/>
    <n v="2"/>
    <n v="0"/>
    <x v="0"/>
    <x v="0"/>
    <n v="2.7166000000000001"/>
    <n v="0.47000000000000003"/>
    <n v="0"/>
  </r>
  <r>
    <n v="4411"/>
    <s v="US-2014-154879"/>
    <d v="2014-05-06T00:00:00"/>
    <x v="2"/>
    <s v="Q2"/>
    <x v="8"/>
    <d v="2014-05-11T00:00:00"/>
    <s v="Standard Class"/>
    <x v="17"/>
    <x v="17"/>
    <s v="Home Office"/>
    <s v="United States"/>
    <s v="Los Angeles"/>
    <x v="1"/>
    <n v="90004"/>
    <x v="1"/>
    <x v="646"/>
    <x v="1"/>
    <x v="6"/>
    <x v="646"/>
    <n v="107.94"/>
    <s v="Medium"/>
    <n v="6"/>
    <n v="0"/>
    <x v="0"/>
    <x v="0"/>
    <n v="30.223199999999999"/>
    <n v="0.27999999999999997"/>
    <n v="0"/>
  </r>
  <r>
    <n v="4412"/>
    <s v="CA-2014-130624"/>
    <d v="2014-06-21T00:00:00"/>
    <x v="2"/>
    <s v="Q2"/>
    <x v="3"/>
    <d v="2014-06-24T00:00:00"/>
    <s v="First Class"/>
    <x v="509"/>
    <x v="509"/>
    <s v="Consumer"/>
    <s v="United States"/>
    <s v="New York City"/>
    <x v="15"/>
    <n v="10024"/>
    <x v="3"/>
    <x v="1254"/>
    <x v="1"/>
    <x v="10"/>
    <x v="1238"/>
    <n v="19.649999999999999"/>
    <s v="Low"/>
    <n v="3"/>
    <n v="0"/>
    <x v="0"/>
    <x v="0"/>
    <n v="9.0389999999999997"/>
    <n v="0.46"/>
    <n v="0"/>
  </r>
  <r>
    <n v="4413"/>
    <s v="CA-2014-130624"/>
    <d v="2014-06-21T00:00:00"/>
    <x v="2"/>
    <s v="Q2"/>
    <x v="3"/>
    <d v="2014-06-24T00:00:00"/>
    <s v="First Class"/>
    <x v="509"/>
    <x v="509"/>
    <s v="Consumer"/>
    <s v="United States"/>
    <s v="New York City"/>
    <x v="15"/>
    <n v="10024"/>
    <x v="3"/>
    <x v="517"/>
    <x v="2"/>
    <x v="7"/>
    <x v="517"/>
    <n v="617.97"/>
    <s v="High"/>
    <n v="3"/>
    <n v="0"/>
    <x v="0"/>
    <x v="0"/>
    <n v="160.6722"/>
    <n v="0.26"/>
    <n v="0"/>
  </r>
  <r>
    <n v="4414"/>
    <s v="CA-2014-130624"/>
    <d v="2014-06-21T00:00:00"/>
    <x v="2"/>
    <s v="Q2"/>
    <x v="3"/>
    <d v="2014-06-24T00:00:00"/>
    <s v="First Class"/>
    <x v="509"/>
    <x v="509"/>
    <s v="Consumer"/>
    <s v="United States"/>
    <s v="New York City"/>
    <x v="15"/>
    <n v="10024"/>
    <x v="3"/>
    <x v="941"/>
    <x v="1"/>
    <x v="9"/>
    <x v="934"/>
    <n v="59.7"/>
    <s v="Medium"/>
    <n v="3"/>
    <n v="0"/>
    <x v="0"/>
    <x v="0"/>
    <n v="26.864999999999998"/>
    <n v="0.44999999999999996"/>
    <n v="0"/>
  </r>
  <r>
    <n v="4415"/>
    <s v="CA-2017-132339"/>
    <d v="2017-08-19T00:00:00"/>
    <x v="3"/>
    <s v="Q3"/>
    <x v="43"/>
    <d v="2017-08-23T00:00:00"/>
    <s v="Standard Class"/>
    <x v="80"/>
    <x v="80"/>
    <s v="Corporate"/>
    <s v="United States"/>
    <s v="Lawrence"/>
    <x v="31"/>
    <n v="1841"/>
    <x v="3"/>
    <x v="760"/>
    <x v="1"/>
    <x v="8"/>
    <x v="758"/>
    <n v="387.99"/>
    <s v="High"/>
    <n v="1"/>
    <n v="0"/>
    <x v="0"/>
    <x v="0"/>
    <n v="182.3553"/>
    <n v="0.47"/>
    <n v="0"/>
  </r>
  <r>
    <n v="4416"/>
    <s v="CA-2014-153983"/>
    <d v="2014-11-29T00:00:00"/>
    <x v="2"/>
    <s v="Q4"/>
    <x v="7"/>
    <d v="2014-12-06T00:00:00"/>
    <s v="Standard Class"/>
    <x v="117"/>
    <x v="117"/>
    <s v="Consumer"/>
    <s v="United States"/>
    <s v="San Francisco"/>
    <x v="1"/>
    <n v="94122"/>
    <x v="1"/>
    <x v="907"/>
    <x v="2"/>
    <x v="7"/>
    <x v="899"/>
    <n v="575.91999999999996"/>
    <s v="High"/>
    <n v="2"/>
    <n v="0.2"/>
    <x v="2"/>
    <x v="2"/>
    <n v="71.989999999999995"/>
    <n v="0.125"/>
    <n v="0"/>
  </r>
  <r>
    <n v="4417"/>
    <s v="CA-2014-153983"/>
    <d v="2014-11-29T00:00:00"/>
    <x v="2"/>
    <s v="Q4"/>
    <x v="7"/>
    <d v="2014-12-06T00:00:00"/>
    <s v="Standard Class"/>
    <x v="117"/>
    <x v="117"/>
    <s v="Consumer"/>
    <s v="United States"/>
    <s v="San Francisco"/>
    <x v="1"/>
    <n v="94122"/>
    <x v="1"/>
    <x v="829"/>
    <x v="1"/>
    <x v="13"/>
    <x v="128"/>
    <n v="30.4"/>
    <s v="Medium"/>
    <n v="5"/>
    <n v="0"/>
    <x v="0"/>
    <x v="0"/>
    <n v="15.2"/>
    <n v="0.5"/>
    <n v="0"/>
  </r>
  <r>
    <n v="4418"/>
    <s v="CA-2017-112900"/>
    <d v="2017-04-09T00:00:00"/>
    <x v="3"/>
    <s v="Q2"/>
    <x v="4"/>
    <d v="2017-04-12T00:00:00"/>
    <s v="Second Class"/>
    <x v="107"/>
    <x v="107"/>
    <s v="Consumer"/>
    <s v="United States"/>
    <s v="Detroit"/>
    <x v="12"/>
    <n v="48205"/>
    <x v="2"/>
    <x v="979"/>
    <x v="1"/>
    <x v="8"/>
    <x v="972"/>
    <n v="478.24"/>
    <s v="High"/>
    <n v="8"/>
    <n v="0"/>
    <x v="0"/>
    <x v="0"/>
    <n v="219.99039999999999"/>
    <n v="0.45999999999999996"/>
    <n v="0"/>
  </r>
  <r>
    <n v="4419"/>
    <s v="CA-2014-160157"/>
    <d v="2014-12-20T00:00:00"/>
    <x v="2"/>
    <s v="Q4"/>
    <x v="20"/>
    <d v="2014-12-27T00:00:00"/>
    <s v="Standard Class"/>
    <x v="708"/>
    <x v="708"/>
    <s v="Consumer"/>
    <s v="United States"/>
    <s v="Hamilton"/>
    <x v="24"/>
    <n v="45011"/>
    <x v="3"/>
    <x v="124"/>
    <x v="0"/>
    <x v="5"/>
    <x v="125"/>
    <n v="190.84800000000001"/>
    <s v="High"/>
    <n v="3"/>
    <n v="0.2"/>
    <x v="2"/>
    <x v="2"/>
    <n v="-21.470400000000001"/>
    <n v="-0.1125"/>
    <n v="1"/>
  </r>
  <r>
    <n v="4420"/>
    <s v="CA-2014-139633"/>
    <d v="2014-12-17T00:00:00"/>
    <x v="2"/>
    <s v="Q4"/>
    <x v="20"/>
    <d v="2014-12-24T00:00:00"/>
    <s v="Standard Class"/>
    <x v="685"/>
    <x v="685"/>
    <s v="Consumer"/>
    <s v="United States"/>
    <s v="Columbus"/>
    <x v="24"/>
    <n v="43229"/>
    <x v="3"/>
    <x v="1203"/>
    <x v="1"/>
    <x v="8"/>
    <x v="1188"/>
    <n v="5.484"/>
    <s v="Low"/>
    <n v="4"/>
    <n v="0.7"/>
    <x v="1"/>
    <x v="5"/>
    <n v="-4.0216000000000003"/>
    <n v="-0.73333333333333339"/>
    <n v="1"/>
  </r>
  <r>
    <n v="4421"/>
    <s v="CA-2015-163090"/>
    <d v="2015-11-17T00:00:00"/>
    <x v="1"/>
    <s v="Q4"/>
    <x v="6"/>
    <d v="2015-11-21T00:00:00"/>
    <s v="Second Class"/>
    <x v="348"/>
    <x v="348"/>
    <s v="Consumer"/>
    <s v="United States"/>
    <s v="Chicago"/>
    <x v="10"/>
    <n v="60610"/>
    <x v="2"/>
    <x v="682"/>
    <x v="1"/>
    <x v="14"/>
    <x v="682"/>
    <n v="40.92"/>
    <s v="Medium"/>
    <n v="5"/>
    <n v="0.2"/>
    <x v="2"/>
    <x v="2"/>
    <n v="3.069"/>
    <n v="7.4999999999999997E-2"/>
    <n v="0"/>
  </r>
  <r>
    <n v="4422"/>
    <s v="CA-2014-117016"/>
    <d v="2014-03-04T00:00:00"/>
    <x v="2"/>
    <s v="Q1"/>
    <x v="34"/>
    <d v="2014-03-09T00:00:00"/>
    <s v="Standard Class"/>
    <x v="183"/>
    <x v="183"/>
    <s v="Consumer"/>
    <s v="United States"/>
    <s v="Margate"/>
    <x v="2"/>
    <n v="33063"/>
    <x v="0"/>
    <x v="313"/>
    <x v="1"/>
    <x v="6"/>
    <x v="313"/>
    <n v="15.552"/>
    <s v="Low"/>
    <n v="3"/>
    <n v="0.2"/>
    <x v="2"/>
    <x v="2"/>
    <n v="2.3328000000000002"/>
    <n v="0.15000000000000002"/>
    <n v="0"/>
  </r>
  <r>
    <n v="4423"/>
    <s v="CA-2017-159464"/>
    <d v="2017-05-18T00:00:00"/>
    <x v="3"/>
    <s v="Q2"/>
    <x v="24"/>
    <d v="2017-05-19T00:00:00"/>
    <s v="First Class"/>
    <x v="422"/>
    <x v="422"/>
    <s v="Corporate"/>
    <s v="United States"/>
    <s v="Sandy Springs"/>
    <x v="32"/>
    <n v="30328"/>
    <x v="0"/>
    <x v="22"/>
    <x v="1"/>
    <x v="9"/>
    <x v="22"/>
    <n v="17.239999999999998"/>
    <s v="Low"/>
    <n v="2"/>
    <n v="0"/>
    <x v="0"/>
    <x v="0"/>
    <n v="4.4824000000000002"/>
    <n v="0.26"/>
    <n v="0"/>
  </r>
  <r>
    <n v="4424"/>
    <s v="CA-2017-159464"/>
    <d v="2017-05-18T00:00:00"/>
    <x v="3"/>
    <s v="Q2"/>
    <x v="24"/>
    <d v="2017-05-19T00:00:00"/>
    <s v="First Class"/>
    <x v="422"/>
    <x v="422"/>
    <s v="Corporate"/>
    <s v="United States"/>
    <s v="Sandy Springs"/>
    <x v="32"/>
    <n v="30328"/>
    <x v="0"/>
    <x v="1659"/>
    <x v="0"/>
    <x v="0"/>
    <x v="1647"/>
    <n v="302.94"/>
    <s v="High"/>
    <n v="3"/>
    <n v="0"/>
    <x v="0"/>
    <x v="0"/>
    <n v="75.734999999999999"/>
    <n v="0.25"/>
    <n v="0"/>
  </r>
  <r>
    <n v="4425"/>
    <s v="CA-2017-159464"/>
    <d v="2017-05-18T00:00:00"/>
    <x v="3"/>
    <s v="Q2"/>
    <x v="24"/>
    <d v="2017-05-19T00:00:00"/>
    <s v="First Class"/>
    <x v="422"/>
    <x v="422"/>
    <s v="Corporate"/>
    <s v="United States"/>
    <s v="Sandy Springs"/>
    <x v="32"/>
    <n v="30328"/>
    <x v="0"/>
    <x v="1091"/>
    <x v="2"/>
    <x v="7"/>
    <x v="1081"/>
    <n v="34.75"/>
    <s v="Medium"/>
    <n v="5"/>
    <n v="0"/>
    <x v="0"/>
    <x v="0"/>
    <n v="15.637499999999999"/>
    <n v="0.44999999999999996"/>
    <n v="0"/>
  </r>
  <r>
    <n v="4426"/>
    <s v="CA-2017-159464"/>
    <d v="2017-05-18T00:00:00"/>
    <x v="3"/>
    <s v="Q2"/>
    <x v="24"/>
    <d v="2017-05-19T00:00:00"/>
    <s v="First Class"/>
    <x v="422"/>
    <x v="422"/>
    <s v="Corporate"/>
    <s v="United States"/>
    <s v="Sandy Springs"/>
    <x v="32"/>
    <n v="30328"/>
    <x v="0"/>
    <x v="412"/>
    <x v="1"/>
    <x v="8"/>
    <x v="412"/>
    <n v="113.94"/>
    <s v="Medium"/>
    <n v="6"/>
    <n v="0"/>
    <x v="0"/>
    <x v="0"/>
    <n v="54.691200000000002"/>
    <n v="0.48000000000000004"/>
    <n v="0"/>
  </r>
  <r>
    <n v="4427"/>
    <s v="CA-2017-159464"/>
    <d v="2017-05-18T00:00:00"/>
    <x v="3"/>
    <s v="Q2"/>
    <x v="24"/>
    <d v="2017-05-19T00:00:00"/>
    <s v="First Class"/>
    <x v="422"/>
    <x v="422"/>
    <s v="Corporate"/>
    <s v="United States"/>
    <s v="Sandy Springs"/>
    <x v="32"/>
    <n v="30328"/>
    <x v="0"/>
    <x v="1480"/>
    <x v="2"/>
    <x v="7"/>
    <x v="1467"/>
    <n v="55.98"/>
    <s v="Medium"/>
    <n v="2"/>
    <n v="0"/>
    <x v="0"/>
    <x v="0"/>
    <n v="15.6744"/>
    <n v="0.28000000000000003"/>
    <n v="0"/>
  </r>
  <r>
    <n v="4428"/>
    <s v="US-2017-103226"/>
    <d v="2017-09-22T00:00:00"/>
    <x v="3"/>
    <s v="Q3"/>
    <x v="15"/>
    <d v="2017-09-28T00:00:00"/>
    <s v="Standard Class"/>
    <x v="694"/>
    <x v="694"/>
    <s v="Corporate"/>
    <s v="United States"/>
    <s v="Albuquerque"/>
    <x v="27"/>
    <n v="87105"/>
    <x v="1"/>
    <x v="187"/>
    <x v="1"/>
    <x v="10"/>
    <x v="188"/>
    <n v="27.18"/>
    <s v="Medium"/>
    <n v="3"/>
    <n v="0"/>
    <x v="0"/>
    <x v="0"/>
    <n v="12.231"/>
    <n v="0.45"/>
    <n v="0"/>
  </r>
  <r>
    <n v="4429"/>
    <s v="CA-2017-119452"/>
    <d v="2017-03-21T00:00:00"/>
    <x v="3"/>
    <s v="Q1"/>
    <x v="42"/>
    <d v="2017-03-27T00:00:00"/>
    <s v="Standard Class"/>
    <x v="52"/>
    <x v="52"/>
    <s v="Consumer"/>
    <s v="United States"/>
    <s v="Tulsa"/>
    <x v="26"/>
    <n v="74133"/>
    <x v="2"/>
    <x v="1496"/>
    <x v="0"/>
    <x v="1"/>
    <x v="1484"/>
    <n v="1805.88"/>
    <s v="High"/>
    <n v="6"/>
    <n v="0"/>
    <x v="0"/>
    <x v="0"/>
    <n v="523.70519999999999"/>
    <n v="0.28999999999999998"/>
    <n v="0"/>
  </r>
  <r>
    <n v="4430"/>
    <s v="CA-2017-147725"/>
    <d v="2017-09-14T00:00:00"/>
    <x v="3"/>
    <s v="Q3"/>
    <x v="15"/>
    <d v="2017-09-14T00:00:00"/>
    <s v="Same Day"/>
    <x v="299"/>
    <x v="299"/>
    <s v="Consumer"/>
    <s v="United States"/>
    <s v="Orange"/>
    <x v="30"/>
    <n v="7050"/>
    <x v="3"/>
    <x v="1559"/>
    <x v="1"/>
    <x v="6"/>
    <x v="1549"/>
    <n v="70.95"/>
    <s v="Medium"/>
    <n v="3"/>
    <n v="0"/>
    <x v="0"/>
    <x v="0"/>
    <n v="18.446999999999999"/>
    <n v="0.25999999999999995"/>
    <n v="0"/>
  </r>
  <r>
    <n v="4431"/>
    <s v="CA-2016-168893"/>
    <d v="2016-11-03T00:00:00"/>
    <x v="0"/>
    <s v="Q4"/>
    <x v="0"/>
    <d v="2016-11-08T00:00:00"/>
    <s v="Second Class"/>
    <x v="275"/>
    <x v="275"/>
    <s v="Consumer"/>
    <s v="United States"/>
    <s v="Henderson"/>
    <x v="0"/>
    <n v="42420"/>
    <x v="0"/>
    <x v="659"/>
    <x v="1"/>
    <x v="13"/>
    <x v="659"/>
    <n v="20"/>
    <s v="Low"/>
    <n v="4"/>
    <n v="0"/>
    <x v="0"/>
    <x v="0"/>
    <n v="9.6"/>
    <n v="0.48"/>
    <n v="0"/>
  </r>
  <r>
    <n v="4432"/>
    <s v="CA-2016-168893"/>
    <d v="2016-11-03T00:00:00"/>
    <x v="0"/>
    <s v="Q4"/>
    <x v="0"/>
    <d v="2016-11-08T00:00:00"/>
    <s v="Second Class"/>
    <x v="275"/>
    <x v="275"/>
    <s v="Consumer"/>
    <s v="United States"/>
    <s v="Henderson"/>
    <x v="0"/>
    <n v="42420"/>
    <x v="0"/>
    <x v="1596"/>
    <x v="1"/>
    <x v="6"/>
    <x v="1588"/>
    <n v="7.98"/>
    <s v="Low"/>
    <n v="3"/>
    <n v="0"/>
    <x v="0"/>
    <x v="0"/>
    <n v="2.0748000000000002"/>
    <n v="0.26"/>
    <n v="0"/>
  </r>
  <r>
    <n v="4433"/>
    <s v="CA-2016-168893"/>
    <d v="2016-11-03T00:00:00"/>
    <x v="0"/>
    <s v="Q4"/>
    <x v="0"/>
    <d v="2016-11-08T00:00:00"/>
    <s v="Second Class"/>
    <x v="275"/>
    <x v="275"/>
    <s v="Consumer"/>
    <s v="United States"/>
    <s v="Henderson"/>
    <x v="0"/>
    <n v="42420"/>
    <x v="0"/>
    <x v="763"/>
    <x v="0"/>
    <x v="5"/>
    <x v="762"/>
    <n v="24.1"/>
    <s v="Low"/>
    <n v="5"/>
    <n v="0"/>
    <x v="0"/>
    <x v="0"/>
    <n v="9.1579999999999995"/>
    <n v="0.37999999999999995"/>
    <n v="0"/>
  </r>
  <r>
    <n v="4434"/>
    <s v="CA-2016-168893"/>
    <d v="2016-11-03T00:00:00"/>
    <x v="0"/>
    <s v="Q4"/>
    <x v="0"/>
    <d v="2016-11-08T00:00:00"/>
    <s v="Second Class"/>
    <x v="275"/>
    <x v="275"/>
    <s v="Consumer"/>
    <s v="United States"/>
    <s v="Henderson"/>
    <x v="0"/>
    <n v="42420"/>
    <x v="0"/>
    <x v="1452"/>
    <x v="1"/>
    <x v="6"/>
    <x v="1438"/>
    <n v="8.75"/>
    <s v="Low"/>
    <n v="1"/>
    <n v="0"/>
    <x v="0"/>
    <x v="0"/>
    <n v="2.625"/>
    <n v="0.3"/>
    <n v="0"/>
  </r>
  <r>
    <n v="4435"/>
    <s v="CA-2016-168893"/>
    <d v="2016-11-03T00:00:00"/>
    <x v="0"/>
    <s v="Q4"/>
    <x v="0"/>
    <d v="2016-11-08T00:00:00"/>
    <s v="Second Class"/>
    <x v="275"/>
    <x v="275"/>
    <s v="Consumer"/>
    <s v="United States"/>
    <s v="Henderson"/>
    <x v="0"/>
    <n v="42420"/>
    <x v="0"/>
    <x v="1660"/>
    <x v="0"/>
    <x v="3"/>
    <x v="1648"/>
    <n v="842.94"/>
    <s v="High"/>
    <n v="3"/>
    <n v="0"/>
    <x v="0"/>
    <x v="0"/>
    <n v="160.15860000000001"/>
    <n v="0.19"/>
    <n v="0"/>
  </r>
  <r>
    <n v="4436"/>
    <s v="CA-2016-163398"/>
    <d v="2016-05-03T00:00:00"/>
    <x v="0"/>
    <s v="Q2"/>
    <x v="35"/>
    <d v="2016-05-08T00:00:00"/>
    <s v="Standard Class"/>
    <x v="558"/>
    <x v="558"/>
    <s v="Consumer"/>
    <s v="United States"/>
    <s v="Chicago"/>
    <x v="10"/>
    <n v="60653"/>
    <x v="2"/>
    <x v="634"/>
    <x v="1"/>
    <x v="8"/>
    <x v="634"/>
    <n v="2.1819999999999999"/>
    <s v="Low"/>
    <n v="1"/>
    <n v="0.8"/>
    <x v="1"/>
    <x v="3"/>
    <n v="-3.6002999999999998"/>
    <n v="-1.65"/>
    <n v="1"/>
  </r>
  <r>
    <n v="4437"/>
    <s v="CA-2016-163398"/>
    <d v="2016-05-03T00:00:00"/>
    <x v="0"/>
    <s v="Q2"/>
    <x v="35"/>
    <d v="2016-05-08T00:00:00"/>
    <s v="Standard Class"/>
    <x v="558"/>
    <x v="558"/>
    <s v="Consumer"/>
    <s v="United States"/>
    <s v="Chicago"/>
    <x v="10"/>
    <n v="60653"/>
    <x v="2"/>
    <x v="1661"/>
    <x v="1"/>
    <x v="6"/>
    <x v="1649"/>
    <n v="27.384"/>
    <s v="Medium"/>
    <n v="7"/>
    <n v="0.2"/>
    <x v="2"/>
    <x v="2"/>
    <n v="2.7383999999999999"/>
    <n v="9.9999999999999992E-2"/>
    <n v="0"/>
  </r>
  <r>
    <n v="4438"/>
    <s v="CA-2016-163398"/>
    <d v="2016-05-03T00:00:00"/>
    <x v="0"/>
    <s v="Q2"/>
    <x v="35"/>
    <d v="2016-05-08T00:00:00"/>
    <s v="Standard Class"/>
    <x v="558"/>
    <x v="558"/>
    <s v="Consumer"/>
    <s v="United States"/>
    <s v="Chicago"/>
    <x v="10"/>
    <n v="60653"/>
    <x v="2"/>
    <x v="1324"/>
    <x v="1"/>
    <x v="9"/>
    <x v="1311"/>
    <n v="26.405999999999999"/>
    <s v="Medium"/>
    <n v="3"/>
    <n v="0.8"/>
    <x v="1"/>
    <x v="3"/>
    <n v="-71.296199999999999"/>
    <n v="-2.7"/>
    <n v="1"/>
  </r>
  <r>
    <n v="4439"/>
    <s v="CA-2016-162726"/>
    <d v="2016-12-27T00:00:00"/>
    <x v="0"/>
    <s v="Q4"/>
    <x v="5"/>
    <d v="2017-01-02T00:00:00"/>
    <s v="Standard Class"/>
    <x v="363"/>
    <x v="363"/>
    <s v="Consumer"/>
    <s v="United States"/>
    <s v="Port Arthur"/>
    <x v="5"/>
    <n v="77642"/>
    <x v="2"/>
    <x v="1193"/>
    <x v="1"/>
    <x v="10"/>
    <x v="1178"/>
    <n v="10.368"/>
    <s v="Low"/>
    <n v="2"/>
    <n v="0.2"/>
    <x v="2"/>
    <x v="2"/>
    <n v="3.6288"/>
    <n v="0.35"/>
    <n v="0"/>
  </r>
  <r>
    <n v="4440"/>
    <s v="CA-2016-162726"/>
    <d v="2016-12-27T00:00:00"/>
    <x v="0"/>
    <s v="Q4"/>
    <x v="5"/>
    <d v="2017-01-02T00:00:00"/>
    <s v="Standard Class"/>
    <x v="363"/>
    <x v="363"/>
    <s v="Consumer"/>
    <s v="United States"/>
    <s v="Port Arthur"/>
    <x v="5"/>
    <n v="77642"/>
    <x v="2"/>
    <x v="956"/>
    <x v="1"/>
    <x v="10"/>
    <x v="949"/>
    <n v="23.68"/>
    <s v="Low"/>
    <n v="4"/>
    <n v="0.2"/>
    <x v="2"/>
    <x v="2"/>
    <n v="7.4"/>
    <n v="0.3125"/>
    <n v="0"/>
  </r>
  <r>
    <n v="4441"/>
    <s v="US-2016-111290"/>
    <d v="2016-07-22T00:00:00"/>
    <x v="0"/>
    <s v="Q3"/>
    <x v="16"/>
    <d v="2016-07-26T00:00:00"/>
    <s v="Standard Class"/>
    <x v="589"/>
    <x v="589"/>
    <s v="Consumer"/>
    <s v="United States"/>
    <s v="Westland"/>
    <x v="12"/>
    <n v="48185"/>
    <x v="2"/>
    <x v="989"/>
    <x v="2"/>
    <x v="11"/>
    <x v="982"/>
    <n v="109.95"/>
    <s v="Medium"/>
    <n v="1"/>
    <n v="0"/>
    <x v="0"/>
    <x v="0"/>
    <n v="36.283499999999997"/>
    <n v="0.32999999999999996"/>
    <n v="0"/>
  </r>
  <r>
    <n v="4442"/>
    <s v="US-2016-111290"/>
    <d v="2016-07-22T00:00:00"/>
    <x v="0"/>
    <s v="Q3"/>
    <x v="16"/>
    <d v="2016-07-26T00:00:00"/>
    <s v="Standard Class"/>
    <x v="589"/>
    <x v="589"/>
    <s v="Consumer"/>
    <s v="United States"/>
    <s v="Westland"/>
    <x v="12"/>
    <n v="48185"/>
    <x v="2"/>
    <x v="1662"/>
    <x v="1"/>
    <x v="4"/>
    <x v="1650"/>
    <n v="965.85"/>
    <s v="High"/>
    <n v="5"/>
    <n v="0"/>
    <x v="0"/>
    <x v="0"/>
    <n v="135.21899999999999"/>
    <n v="0.13999999999999999"/>
    <n v="0"/>
  </r>
  <r>
    <n v="4443"/>
    <s v="US-2016-111290"/>
    <d v="2016-07-22T00:00:00"/>
    <x v="0"/>
    <s v="Q3"/>
    <x v="16"/>
    <d v="2016-07-26T00:00:00"/>
    <s v="Standard Class"/>
    <x v="589"/>
    <x v="589"/>
    <s v="Consumer"/>
    <s v="United States"/>
    <s v="Westland"/>
    <x v="12"/>
    <n v="48185"/>
    <x v="2"/>
    <x v="1663"/>
    <x v="1"/>
    <x v="6"/>
    <x v="1651"/>
    <n v="29.2"/>
    <s v="Medium"/>
    <n v="5"/>
    <n v="0"/>
    <x v="0"/>
    <x v="0"/>
    <n v="10.512"/>
    <n v="0.36000000000000004"/>
    <n v="0"/>
  </r>
  <r>
    <n v="4444"/>
    <s v="US-2016-111290"/>
    <d v="2016-07-22T00:00:00"/>
    <x v="0"/>
    <s v="Q3"/>
    <x v="16"/>
    <d v="2016-07-26T00:00:00"/>
    <s v="Standard Class"/>
    <x v="589"/>
    <x v="589"/>
    <s v="Consumer"/>
    <s v="United States"/>
    <s v="Westland"/>
    <x v="12"/>
    <n v="48185"/>
    <x v="2"/>
    <x v="1009"/>
    <x v="1"/>
    <x v="10"/>
    <x v="1001"/>
    <n v="32.4"/>
    <s v="Medium"/>
    <n v="5"/>
    <n v="0"/>
    <x v="0"/>
    <x v="0"/>
    <n v="15.552"/>
    <n v="0.48"/>
    <n v="0"/>
  </r>
  <r>
    <n v="4445"/>
    <s v="US-2014-147704"/>
    <d v="2014-11-16T00:00:00"/>
    <x v="2"/>
    <s v="Q4"/>
    <x v="7"/>
    <d v="2014-11-21T00:00:00"/>
    <s v="Standard Class"/>
    <x v="256"/>
    <x v="256"/>
    <s v="Home Office"/>
    <s v="United States"/>
    <s v="Bloomington"/>
    <x v="14"/>
    <n v="47401"/>
    <x v="2"/>
    <x v="1358"/>
    <x v="1"/>
    <x v="12"/>
    <x v="1344"/>
    <n v="78.349999999999994"/>
    <s v="Medium"/>
    <n v="5"/>
    <n v="0"/>
    <x v="0"/>
    <x v="0"/>
    <n v="36.8245"/>
    <n v="0.47000000000000003"/>
    <n v="0"/>
  </r>
  <r>
    <n v="4446"/>
    <s v="US-2014-147704"/>
    <d v="2014-11-16T00:00:00"/>
    <x v="2"/>
    <s v="Q4"/>
    <x v="7"/>
    <d v="2014-11-21T00:00:00"/>
    <s v="Standard Class"/>
    <x v="256"/>
    <x v="256"/>
    <s v="Home Office"/>
    <s v="United States"/>
    <s v="Bloomington"/>
    <x v="14"/>
    <n v="47401"/>
    <x v="2"/>
    <x v="1436"/>
    <x v="1"/>
    <x v="10"/>
    <x v="1424"/>
    <n v="31.68"/>
    <s v="Medium"/>
    <n v="6"/>
    <n v="0"/>
    <x v="0"/>
    <x v="0"/>
    <n v="14.256"/>
    <n v="0.45"/>
    <n v="0"/>
  </r>
  <r>
    <n v="4447"/>
    <s v="US-2014-147704"/>
    <d v="2014-11-16T00:00:00"/>
    <x v="2"/>
    <s v="Q4"/>
    <x v="7"/>
    <d v="2014-11-21T00:00:00"/>
    <s v="Standard Class"/>
    <x v="256"/>
    <x v="256"/>
    <s v="Home Office"/>
    <s v="United States"/>
    <s v="Bloomington"/>
    <x v="14"/>
    <n v="47401"/>
    <x v="2"/>
    <x v="24"/>
    <x v="1"/>
    <x v="8"/>
    <x v="24"/>
    <n v="29.12"/>
    <s v="Medium"/>
    <n v="4"/>
    <n v="0"/>
    <x v="0"/>
    <x v="0"/>
    <n v="14.268800000000001"/>
    <n v="0.49"/>
    <n v="0"/>
  </r>
  <r>
    <n v="4448"/>
    <s v="US-2014-147704"/>
    <d v="2014-11-16T00:00:00"/>
    <x v="2"/>
    <s v="Q4"/>
    <x v="7"/>
    <d v="2014-11-21T00:00:00"/>
    <s v="Standard Class"/>
    <x v="256"/>
    <x v="256"/>
    <s v="Home Office"/>
    <s v="United States"/>
    <s v="Bloomington"/>
    <x v="14"/>
    <n v="47401"/>
    <x v="2"/>
    <x v="298"/>
    <x v="1"/>
    <x v="4"/>
    <x v="298"/>
    <n v="169.45"/>
    <s v="High"/>
    <n v="5"/>
    <n v="0"/>
    <x v="0"/>
    <x v="0"/>
    <n v="42.362499999999997"/>
    <n v="0.25"/>
    <n v="0"/>
  </r>
  <r>
    <n v="4449"/>
    <s v="CA-2015-121965"/>
    <d v="2015-06-19T00:00:00"/>
    <x v="1"/>
    <s v="Q2"/>
    <x v="40"/>
    <d v="2015-06-23T00:00:00"/>
    <s v="Standard Class"/>
    <x v="109"/>
    <x v="109"/>
    <s v="Consumer"/>
    <s v="United States"/>
    <s v="Los Angeles"/>
    <x v="1"/>
    <n v="90032"/>
    <x v="1"/>
    <x v="545"/>
    <x v="0"/>
    <x v="5"/>
    <x v="545"/>
    <n v="12.56"/>
    <s v="Low"/>
    <n v="2"/>
    <n v="0"/>
    <x v="0"/>
    <x v="0"/>
    <n v="4.0191999999999997"/>
    <n v="0.31999999999999995"/>
    <n v="0"/>
  </r>
  <r>
    <n v="4450"/>
    <s v="CA-2015-121965"/>
    <d v="2015-06-19T00:00:00"/>
    <x v="1"/>
    <s v="Q2"/>
    <x v="40"/>
    <d v="2015-06-23T00:00:00"/>
    <s v="Standard Class"/>
    <x v="109"/>
    <x v="109"/>
    <s v="Consumer"/>
    <s v="United States"/>
    <s v="Los Angeles"/>
    <x v="1"/>
    <n v="90032"/>
    <x v="1"/>
    <x v="1114"/>
    <x v="1"/>
    <x v="10"/>
    <x v="1103"/>
    <n v="6.48"/>
    <s v="Low"/>
    <n v="1"/>
    <n v="0"/>
    <x v="0"/>
    <x v="0"/>
    <n v="3.1103999999999998"/>
    <n v="0.47999999999999993"/>
    <n v="0"/>
  </r>
  <r>
    <n v="4451"/>
    <s v="CA-2015-121965"/>
    <d v="2015-06-19T00:00:00"/>
    <x v="1"/>
    <s v="Q2"/>
    <x v="40"/>
    <d v="2015-06-23T00:00:00"/>
    <s v="Standard Class"/>
    <x v="109"/>
    <x v="109"/>
    <s v="Consumer"/>
    <s v="United States"/>
    <s v="Los Angeles"/>
    <x v="1"/>
    <n v="90032"/>
    <x v="1"/>
    <x v="633"/>
    <x v="1"/>
    <x v="12"/>
    <x v="633"/>
    <n v="186.69"/>
    <s v="High"/>
    <n v="3"/>
    <n v="0"/>
    <x v="0"/>
    <x v="0"/>
    <n v="87.744299999999996"/>
    <n v="0.47"/>
    <n v="0"/>
  </r>
  <r>
    <n v="4452"/>
    <s v="CA-2016-147137"/>
    <d v="2016-07-04T00:00:00"/>
    <x v="0"/>
    <s v="Q3"/>
    <x v="16"/>
    <d v="2016-07-06T00:00:00"/>
    <s v="First Class"/>
    <x v="731"/>
    <x v="731"/>
    <s v="Consumer"/>
    <s v="United States"/>
    <s v="San Francisco"/>
    <x v="1"/>
    <n v="94109"/>
    <x v="1"/>
    <x v="534"/>
    <x v="0"/>
    <x v="5"/>
    <x v="534"/>
    <n v="25.4"/>
    <s v="Medium"/>
    <n v="5"/>
    <n v="0"/>
    <x v="0"/>
    <x v="0"/>
    <n v="8.6359999999999992"/>
    <n v="0.33999999999999997"/>
    <n v="0"/>
  </r>
  <r>
    <n v="4453"/>
    <s v="CA-2016-147137"/>
    <d v="2016-07-04T00:00:00"/>
    <x v="0"/>
    <s v="Q3"/>
    <x v="16"/>
    <d v="2016-07-06T00:00:00"/>
    <s v="First Class"/>
    <x v="731"/>
    <x v="731"/>
    <s v="Consumer"/>
    <s v="United States"/>
    <s v="San Francisco"/>
    <x v="1"/>
    <n v="94109"/>
    <x v="1"/>
    <x v="1664"/>
    <x v="1"/>
    <x v="12"/>
    <x v="1652"/>
    <n v="43.96"/>
    <s v="Medium"/>
    <n v="2"/>
    <n v="0"/>
    <x v="0"/>
    <x v="0"/>
    <n v="20.661200000000001"/>
    <n v="0.47000000000000003"/>
    <n v="0"/>
  </r>
  <r>
    <n v="4454"/>
    <s v="CA-2016-147137"/>
    <d v="2016-07-04T00:00:00"/>
    <x v="0"/>
    <s v="Q3"/>
    <x v="16"/>
    <d v="2016-07-06T00:00:00"/>
    <s v="First Class"/>
    <x v="731"/>
    <x v="731"/>
    <s v="Consumer"/>
    <s v="United States"/>
    <s v="San Francisco"/>
    <x v="1"/>
    <n v="94109"/>
    <x v="1"/>
    <x v="789"/>
    <x v="0"/>
    <x v="0"/>
    <x v="787"/>
    <n v="1279.165"/>
    <s v="High"/>
    <n v="5"/>
    <n v="0.15"/>
    <x v="2"/>
    <x v="2"/>
    <n v="225.73500000000001"/>
    <n v="0.17647058823529413"/>
    <n v="0"/>
  </r>
  <r>
    <n v="4455"/>
    <s v="CA-2016-147137"/>
    <d v="2016-07-04T00:00:00"/>
    <x v="0"/>
    <s v="Q3"/>
    <x v="16"/>
    <d v="2016-07-06T00:00:00"/>
    <s v="First Class"/>
    <x v="731"/>
    <x v="731"/>
    <s v="Consumer"/>
    <s v="United States"/>
    <s v="San Francisco"/>
    <x v="1"/>
    <n v="94109"/>
    <x v="1"/>
    <x v="700"/>
    <x v="1"/>
    <x v="4"/>
    <x v="700"/>
    <n v="27.92"/>
    <s v="Medium"/>
    <n v="4"/>
    <n v="0"/>
    <x v="0"/>
    <x v="0"/>
    <n v="0.55840000000000001"/>
    <n v="0.02"/>
    <n v="0"/>
  </r>
  <r>
    <n v="4456"/>
    <s v="US-2015-146745"/>
    <d v="2015-09-03T00:00:00"/>
    <x v="1"/>
    <s v="Q3"/>
    <x v="11"/>
    <d v="2015-09-08T00:00:00"/>
    <s v="Standard Class"/>
    <x v="357"/>
    <x v="357"/>
    <s v="Home Office"/>
    <s v="United States"/>
    <s v="San Francisco"/>
    <x v="1"/>
    <n v="94110"/>
    <x v="1"/>
    <x v="394"/>
    <x v="0"/>
    <x v="1"/>
    <x v="395"/>
    <n v="129.56800000000001"/>
    <s v="High"/>
    <n v="2"/>
    <n v="0.2"/>
    <x v="2"/>
    <x v="2"/>
    <n v="-12.956799999999999"/>
    <n v="-9.9999999999999992E-2"/>
    <n v="1"/>
  </r>
  <r>
    <n v="4457"/>
    <s v="US-2015-146745"/>
    <d v="2015-09-03T00:00:00"/>
    <x v="1"/>
    <s v="Q3"/>
    <x v="11"/>
    <d v="2015-09-08T00:00:00"/>
    <s v="Standard Class"/>
    <x v="357"/>
    <x v="357"/>
    <s v="Home Office"/>
    <s v="United States"/>
    <s v="San Francisco"/>
    <x v="1"/>
    <n v="94110"/>
    <x v="1"/>
    <x v="122"/>
    <x v="1"/>
    <x v="8"/>
    <x v="122"/>
    <n v="6.3680000000000003"/>
    <s v="Low"/>
    <n v="2"/>
    <n v="0.2"/>
    <x v="2"/>
    <x v="2"/>
    <n v="2.1492"/>
    <n v="0.33749999999999997"/>
    <n v="0"/>
  </r>
  <r>
    <n v="4458"/>
    <s v="CA-2017-115175"/>
    <d v="2017-08-07T00:00:00"/>
    <x v="3"/>
    <s v="Q3"/>
    <x v="43"/>
    <d v="2017-08-12T00:00:00"/>
    <s v="Standard Class"/>
    <x v="430"/>
    <x v="430"/>
    <s v="Consumer"/>
    <s v="United States"/>
    <s v="San Jose"/>
    <x v="1"/>
    <n v="95123"/>
    <x v="1"/>
    <x v="1184"/>
    <x v="1"/>
    <x v="10"/>
    <x v="1170"/>
    <n v="244.55"/>
    <s v="High"/>
    <n v="5"/>
    <n v="0"/>
    <x v="0"/>
    <x v="0"/>
    <n v="114.9385"/>
    <n v="0.47"/>
    <n v="0"/>
  </r>
  <r>
    <n v="4459"/>
    <s v="CA-2017-105851"/>
    <d v="2017-03-13T00:00:00"/>
    <x v="3"/>
    <s v="Q1"/>
    <x v="42"/>
    <d v="2017-03-20T00:00:00"/>
    <s v="Standard Class"/>
    <x v="339"/>
    <x v="339"/>
    <s v="Consumer"/>
    <s v="United States"/>
    <s v="Denver"/>
    <x v="22"/>
    <n v="80219"/>
    <x v="1"/>
    <x v="465"/>
    <x v="1"/>
    <x v="14"/>
    <x v="466"/>
    <n v="1332.4960000000001"/>
    <s v="High"/>
    <n v="2"/>
    <n v="0.2"/>
    <x v="2"/>
    <x v="2"/>
    <n v="-299.8116"/>
    <n v="-0.22499999999999998"/>
    <n v="1"/>
  </r>
  <r>
    <n v="4460"/>
    <s v="US-2017-125717"/>
    <d v="2017-09-28T00:00:00"/>
    <x v="3"/>
    <s v="Q3"/>
    <x v="15"/>
    <d v="2017-10-01T00:00:00"/>
    <s v="First Class"/>
    <x v="284"/>
    <x v="284"/>
    <s v="Home Office"/>
    <s v="United States"/>
    <s v="Aurora"/>
    <x v="22"/>
    <n v="80013"/>
    <x v="1"/>
    <x v="514"/>
    <x v="0"/>
    <x v="5"/>
    <x v="514"/>
    <n v="32.776000000000003"/>
    <s v="Medium"/>
    <n v="1"/>
    <n v="0.2"/>
    <x v="2"/>
    <x v="2"/>
    <n v="3.2776000000000001"/>
    <n v="9.9999999999999992E-2"/>
    <n v="0"/>
  </r>
  <r>
    <n v="4461"/>
    <s v="US-2017-125717"/>
    <d v="2017-09-28T00:00:00"/>
    <x v="3"/>
    <s v="Q3"/>
    <x v="15"/>
    <d v="2017-10-01T00:00:00"/>
    <s v="First Class"/>
    <x v="284"/>
    <x v="284"/>
    <s v="Home Office"/>
    <s v="United States"/>
    <s v="Aurora"/>
    <x v="22"/>
    <n v="80013"/>
    <x v="1"/>
    <x v="196"/>
    <x v="1"/>
    <x v="4"/>
    <x v="197"/>
    <n v="147.184"/>
    <s v="High"/>
    <n v="2"/>
    <n v="0.2"/>
    <x v="2"/>
    <x v="2"/>
    <n v="-29.436800000000002"/>
    <n v="-0.2"/>
    <n v="1"/>
  </r>
  <r>
    <n v="4462"/>
    <s v="US-2017-125717"/>
    <d v="2017-09-28T00:00:00"/>
    <x v="3"/>
    <s v="Q3"/>
    <x v="15"/>
    <d v="2017-10-01T00:00:00"/>
    <s v="First Class"/>
    <x v="284"/>
    <x v="284"/>
    <s v="Home Office"/>
    <s v="United States"/>
    <s v="Aurora"/>
    <x v="22"/>
    <n v="80013"/>
    <x v="1"/>
    <x v="151"/>
    <x v="2"/>
    <x v="11"/>
    <x v="152"/>
    <n v="54.384"/>
    <s v="Medium"/>
    <n v="2"/>
    <n v="0.2"/>
    <x v="2"/>
    <x v="2"/>
    <n v="1.3595999999999999"/>
    <n v="2.4999999999999998E-2"/>
    <n v="0"/>
  </r>
  <r>
    <n v="4463"/>
    <s v="US-2017-125717"/>
    <d v="2017-09-28T00:00:00"/>
    <x v="3"/>
    <s v="Q3"/>
    <x v="15"/>
    <d v="2017-10-01T00:00:00"/>
    <s v="First Class"/>
    <x v="284"/>
    <x v="284"/>
    <s v="Home Office"/>
    <s v="United States"/>
    <s v="Aurora"/>
    <x v="22"/>
    <n v="80013"/>
    <x v="1"/>
    <x v="1242"/>
    <x v="1"/>
    <x v="8"/>
    <x v="1225"/>
    <n v="76.775999999999996"/>
    <s v="Medium"/>
    <n v="4"/>
    <n v="0.7"/>
    <x v="1"/>
    <x v="5"/>
    <n v="-58.861600000000003"/>
    <n v="-0.76666666666666672"/>
    <n v="1"/>
  </r>
  <r>
    <n v="4464"/>
    <s v="US-2017-125717"/>
    <d v="2017-09-28T00:00:00"/>
    <x v="3"/>
    <s v="Q3"/>
    <x v="15"/>
    <d v="2017-10-01T00:00:00"/>
    <s v="First Class"/>
    <x v="284"/>
    <x v="284"/>
    <s v="Home Office"/>
    <s v="United States"/>
    <s v="Aurora"/>
    <x v="22"/>
    <n v="80013"/>
    <x v="1"/>
    <x v="1665"/>
    <x v="1"/>
    <x v="10"/>
    <x v="1653"/>
    <n v="14.352"/>
    <s v="Low"/>
    <n v="3"/>
    <n v="0.2"/>
    <x v="2"/>
    <x v="2"/>
    <n v="5.2026000000000003"/>
    <n v="0.36249999999999999"/>
    <n v="0"/>
  </r>
  <r>
    <n v="4465"/>
    <s v="US-2017-125717"/>
    <d v="2017-09-28T00:00:00"/>
    <x v="3"/>
    <s v="Q3"/>
    <x v="15"/>
    <d v="2017-10-01T00:00:00"/>
    <s v="First Class"/>
    <x v="284"/>
    <x v="284"/>
    <s v="Home Office"/>
    <s v="United States"/>
    <s v="Aurora"/>
    <x v="22"/>
    <n v="80013"/>
    <x v="1"/>
    <x v="164"/>
    <x v="1"/>
    <x v="9"/>
    <x v="165"/>
    <n v="209.792"/>
    <s v="High"/>
    <n v="2"/>
    <n v="0.2"/>
    <x v="2"/>
    <x v="2"/>
    <n v="26.224"/>
    <n v="0.125"/>
    <n v="0"/>
  </r>
  <r>
    <n v="4466"/>
    <s v="CA-2015-163895"/>
    <d v="2015-08-07T00:00:00"/>
    <x v="1"/>
    <s v="Q3"/>
    <x v="37"/>
    <d v="2015-08-11T00:00:00"/>
    <s v="Standard Class"/>
    <x v="374"/>
    <x v="374"/>
    <s v="Corporate"/>
    <s v="United States"/>
    <s v="Boise"/>
    <x v="45"/>
    <n v="83704"/>
    <x v="1"/>
    <x v="925"/>
    <x v="1"/>
    <x v="8"/>
    <x v="917"/>
    <n v="3.3039999999999998"/>
    <s v="Low"/>
    <n v="1"/>
    <n v="0.2"/>
    <x v="2"/>
    <x v="2"/>
    <n v="1.1151"/>
    <n v="0.33750000000000002"/>
    <n v="0"/>
  </r>
  <r>
    <n v="4467"/>
    <s v="CA-2017-168641"/>
    <d v="2017-11-24T00:00:00"/>
    <x v="3"/>
    <s v="Q4"/>
    <x v="23"/>
    <d v="2017-12-01T00:00:00"/>
    <s v="Standard Class"/>
    <x v="567"/>
    <x v="567"/>
    <s v="Consumer"/>
    <s v="United States"/>
    <s v="New York City"/>
    <x v="15"/>
    <n v="10035"/>
    <x v="3"/>
    <x v="853"/>
    <x v="1"/>
    <x v="6"/>
    <x v="846"/>
    <n v="16.38"/>
    <s v="Low"/>
    <n v="9"/>
    <n v="0"/>
    <x v="0"/>
    <x v="0"/>
    <n v="7.3710000000000004"/>
    <n v="0.45000000000000007"/>
    <n v="0"/>
  </r>
  <r>
    <n v="4468"/>
    <s v="CA-2017-168641"/>
    <d v="2017-11-24T00:00:00"/>
    <x v="3"/>
    <s v="Q4"/>
    <x v="23"/>
    <d v="2017-12-01T00:00:00"/>
    <s v="Standard Class"/>
    <x v="567"/>
    <x v="567"/>
    <s v="Consumer"/>
    <s v="United States"/>
    <s v="New York City"/>
    <x v="15"/>
    <n v="10035"/>
    <x v="3"/>
    <x v="970"/>
    <x v="1"/>
    <x v="12"/>
    <x v="964"/>
    <n v="167.96"/>
    <s v="High"/>
    <n v="2"/>
    <n v="0"/>
    <x v="0"/>
    <x v="0"/>
    <n v="78.941199999999995"/>
    <n v="0.47"/>
    <n v="0"/>
  </r>
  <r>
    <n v="4469"/>
    <s v="CA-2017-168641"/>
    <d v="2017-11-24T00:00:00"/>
    <x v="3"/>
    <s v="Q4"/>
    <x v="23"/>
    <d v="2017-12-01T00:00:00"/>
    <s v="Standard Class"/>
    <x v="567"/>
    <x v="567"/>
    <s v="Consumer"/>
    <s v="United States"/>
    <s v="New York City"/>
    <x v="15"/>
    <n v="10035"/>
    <x v="3"/>
    <x v="1333"/>
    <x v="0"/>
    <x v="0"/>
    <x v="1318"/>
    <n v="321.56799999999998"/>
    <s v="High"/>
    <n v="2"/>
    <n v="0.2"/>
    <x v="2"/>
    <x v="2"/>
    <n v="-16.078399999999998"/>
    <n v="-4.9999999999999996E-2"/>
    <n v="1"/>
  </r>
  <r>
    <n v="4470"/>
    <s v="CA-2017-168641"/>
    <d v="2017-11-24T00:00:00"/>
    <x v="3"/>
    <s v="Q4"/>
    <x v="23"/>
    <d v="2017-12-01T00:00:00"/>
    <s v="Standard Class"/>
    <x v="567"/>
    <x v="567"/>
    <s v="Consumer"/>
    <s v="United States"/>
    <s v="New York City"/>
    <x v="15"/>
    <n v="10035"/>
    <x v="3"/>
    <x v="1193"/>
    <x v="1"/>
    <x v="10"/>
    <x v="1178"/>
    <n v="12.96"/>
    <s v="Low"/>
    <n v="2"/>
    <n v="0"/>
    <x v="0"/>
    <x v="0"/>
    <n v="6.2207999999999997"/>
    <n v="0.47999999999999993"/>
    <n v="0"/>
  </r>
  <r>
    <n v="4471"/>
    <s v="CA-2017-156895"/>
    <d v="2017-05-08T00:00:00"/>
    <x v="3"/>
    <s v="Q2"/>
    <x v="24"/>
    <d v="2017-05-12T00:00:00"/>
    <s v="Standard Class"/>
    <x v="137"/>
    <x v="137"/>
    <s v="Corporate"/>
    <s v="United States"/>
    <s v="Philadelphia"/>
    <x v="9"/>
    <n v="19140"/>
    <x v="3"/>
    <x v="1534"/>
    <x v="0"/>
    <x v="1"/>
    <x v="1522"/>
    <n v="128.05799999999999"/>
    <s v="High"/>
    <n v="3"/>
    <n v="0.3"/>
    <x v="1"/>
    <x v="4"/>
    <n v="-23.7822"/>
    <n v="-0.18571428571428572"/>
    <n v="1"/>
  </r>
  <r>
    <n v="4472"/>
    <s v="CA-2017-121300"/>
    <d v="2017-09-29T00:00:00"/>
    <x v="3"/>
    <s v="Q3"/>
    <x v="15"/>
    <d v="2017-09-29T00:00:00"/>
    <s v="Same Day"/>
    <x v="67"/>
    <x v="67"/>
    <s v="Home Office"/>
    <s v="United States"/>
    <s v="Mentor"/>
    <x v="24"/>
    <n v="44060"/>
    <x v="3"/>
    <x v="1209"/>
    <x v="0"/>
    <x v="1"/>
    <x v="1194"/>
    <n v="63.686"/>
    <s v="Medium"/>
    <n v="1"/>
    <n v="0.3"/>
    <x v="1"/>
    <x v="4"/>
    <n v="-15.4666"/>
    <n v="-0.24285714285714285"/>
    <n v="1"/>
  </r>
  <r>
    <n v="4473"/>
    <s v="CA-2017-121300"/>
    <d v="2017-09-29T00:00:00"/>
    <x v="3"/>
    <s v="Q3"/>
    <x v="15"/>
    <d v="2017-09-29T00:00:00"/>
    <s v="Same Day"/>
    <x v="67"/>
    <x v="67"/>
    <s v="Home Office"/>
    <s v="United States"/>
    <s v="Mentor"/>
    <x v="24"/>
    <n v="44060"/>
    <x v="3"/>
    <x v="409"/>
    <x v="2"/>
    <x v="11"/>
    <x v="409"/>
    <n v="239.976"/>
    <s v="High"/>
    <n v="3"/>
    <n v="0.2"/>
    <x v="2"/>
    <x v="2"/>
    <n v="65.993399999999994"/>
    <n v="0.27499999999999997"/>
    <n v="0"/>
  </r>
  <r>
    <n v="4474"/>
    <s v="CA-2017-121300"/>
    <d v="2017-09-29T00:00:00"/>
    <x v="3"/>
    <s v="Q3"/>
    <x v="15"/>
    <d v="2017-09-29T00:00:00"/>
    <s v="Same Day"/>
    <x v="67"/>
    <x v="67"/>
    <s v="Home Office"/>
    <s v="United States"/>
    <s v="Mentor"/>
    <x v="24"/>
    <n v="44060"/>
    <x v="3"/>
    <x v="1666"/>
    <x v="0"/>
    <x v="3"/>
    <x v="1654"/>
    <n v="344.22"/>
    <s v="High"/>
    <n v="2"/>
    <n v="0.4"/>
    <x v="1"/>
    <x v="7"/>
    <n v="-189.321"/>
    <n v="-0.54999999999999993"/>
    <n v="1"/>
  </r>
  <r>
    <n v="4475"/>
    <s v="CA-2017-121300"/>
    <d v="2017-09-29T00:00:00"/>
    <x v="3"/>
    <s v="Q3"/>
    <x v="15"/>
    <d v="2017-09-29T00:00:00"/>
    <s v="Same Day"/>
    <x v="67"/>
    <x v="67"/>
    <s v="Home Office"/>
    <s v="United States"/>
    <s v="Mentor"/>
    <x v="24"/>
    <n v="44060"/>
    <x v="3"/>
    <x v="1290"/>
    <x v="1"/>
    <x v="10"/>
    <x v="1276"/>
    <n v="15.552"/>
    <s v="Low"/>
    <n v="3"/>
    <n v="0.2"/>
    <x v="2"/>
    <x v="2"/>
    <n v="5.4432"/>
    <n v="0.35000000000000003"/>
    <n v="0"/>
  </r>
  <r>
    <n v="4476"/>
    <s v="CA-2017-121300"/>
    <d v="2017-09-29T00:00:00"/>
    <x v="3"/>
    <s v="Q3"/>
    <x v="15"/>
    <d v="2017-09-29T00:00:00"/>
    <s v="Same Day"/>
    <x v="67"/>
    <x v="67"/>
    <s v="Home Office"/>
    <s v="United States"/>
    <s v="Mentor"/>
    <x v="24"/>
    <n v="44060"/>
    <x v="3"/>
    <x v="1494"/>
    <x v="0"/>
    <x v="5"/>
    <x v="1482"/>
    <n v="21.248000000000001"/>
    <s v="Low"/>
    <n v="4"/>
    <n v="0.2"/>
    <x v="2"/>
    <x v="2"/>
    <n v="7.4367999999999999"/>
    <n v="0.35"/>
    <n v="0"/>
  </r>
  <r>
    <n v="4477"/>
    <s v="CA-2017-121300"/>
    <d v="2017-09-29T00:00:00"/>
    <x v="3"/>
    <s v="Q3"/>
    <x v="15"/>
    <d v="2017-09-29T00:00:00"/>
    <s v="Same Day"/>
    <x v="67"/>
    <x v="67"/>
    <s v="Home Office"/>
    <s v="United States"/>
    <s v="Mentor"/>
    <x v="24"/>
    <n v="44060"/>
    <x v="3"/>
    <x v="1610"/>
    <x v="1"/>
    <x v="10"/>
    <x v="1601"/>
    <n v="8.4480000000000004"/>
    <s v="Low"/>
    <n v="2"/>
    <n v="0.2"/>
    <x v="2"/>
    <x v="2"/>
    <n v="2.64"/>
    <n v="0.3125"/>
    <n v="0"/>
  </r>
  <r>
    <n v="4478"/>
    <s v="CA-2017-130211"/>
    <d v="2017-10-22T00:00:00"/>
    <x v="3"/>
    <s v="Q4"/>
    <x v="13"/>
    <d v="2017-10-22T00:00:00"/>
    <s v="Same Day"/>
    <x v="379"/>
    <x v="379"/>
    <s v="Consumer"/>
    <s v="United States"/>
    <s v="Lawton"/>
    <x v="26"/>
    <n v="73505"/>
    <x v="2"/>
    <x v="1667"/>
    <x v="1"/>
    <x v="4"/>
    <x v="1655"/>
    <n v="333.09"/>
    <s v="High"/>
    <n v="3"/>
    <n v="0"/>
    <x v="0"/>
    <x v="0"/>
    <n v="23.316299999999998"/>
    <n v="7.0000000000000007E-2"/>
    <n v="0"/>
  </r>
  <r>
    <n v="4479"/>
    <s v="CA-2017-130211"/>
    <d v="2017-10-22T00:00:00"/>
    <x v="3"/>
    <s v="Q4"/>
    <x v="13"/>
    <d v="2017-10-22T00:00:00"/>
    <s v="Same Day"/>
    <x v="379"/>
    <x v="379"/>
    <s v="Consumer"/>
    <s v="United States"/>
    <s v="Lawton"/>
    <x v="26"/>
    <n v="73505"/>
    <x v="2"/>
    <x v="209"/>
    <x v="0"/>
    <x v="3"/>
    <x v="210"/>
    <n v="248.98"/>
    <s v="High"/>
    <n v="2"/>
    <n v="0"/>
    <x v="0"/>
    <x v="0"/>
    <n v="54.775599999999997"/>
    <n v="0.22"/>
    <n v="0"/>
  </r>
  <r>
    <n v="4480"/>
    <s v="CA-2014-147235"/>
    <d v="2014-03-24T00:00:00"/>
    <x v="2"/>
    <s v="Q1"/>
    <x v="34"/>
    <d v="2014-03-28T00:00:00"/>
    <s v="Standard Class"/>
    <x v="303"/>
    <x v="303"/>
    <s v="Consumer"/>
    <s v="United States"/>
    <s v="New York City"/>
    <x v="15"/>
    <n v="10024"/>
    <x v="3"/>
    <x v="1668"/>
    <x v="1"/>
    <x v="10"/>
    <x v="1656"/>
    <n v="24.9"/>
    <s v="Medium"/>
    <n v="5"/>
    <n v="0"/>
    <x v="0"/>
    <x v="0"/>
    <n v="11.702999999999999"/>
    <n v="0.47000000000000003"/>
    <n v="0"/>
  </r>
  <r>
    <n v="4481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845"/>
    <x v="1"/>
    <x v="13"/>
    <x v="839"/>
    <n v="15.26"/>
    <s v="Low"/>
    <n v="7"/>
    <n v="0"/>
    <x v="0"/>
    <x v="0"/>
    <n v="5.0358000000000001"/>
    <n v="0.33"/>
    <n v="0"/>
  </r>
  <r>
    <n v="4482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1656"/>
    <x v="1"/>
    <x v="9"/>
    <x v="1644"/>
    <n v="43.32"/>
    <s v="Medium"/>
    <n v="2"/>
    <n v="0"/>
    <x v="0"/>
    <x v="0"/>
    <n v="14.2956"/>
    <n v="0.33"/>
    <n v="0"/>
  </r>
  <r>
    <n v="4483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109"/>
    <x v="1"/>
    <x v="8"/>
    <x v="109"/>
    <n v="43.584000000000003"/>
    <s v="Medium"/>
    <n v="12"/>
    <n v="0.2"/>
    <x v="2"/>
    <x v="2"/>
    <n v="15.799200000000001"/>
    <n v="0.36249999999999999"/>
    <n v="0"/>
  </r>
  <r>
    <n v="4484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1669"/>
    <x v="1"/>
    <x v="10"/>
    <x v="1657"/>
    <n v="116.28"/>
    <s v="Medium"/>
    <n v="3"/>
    <n v="0"/>
    <x v="0"/>
    <x v="0"/>
    <n v="56.977200000000003"/>
    <n v="0.49000000000000005"/>
    <n v="0"/>
  </r>
  <r>
    <n v="4485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699"/>
    <x v="1"/>
    <x v="8"/>
    <x v="699"/>
    <n v="9.2959999999999994"/>
    <s v="Low"/>
    <n v="2"/>
    <n v="0.2"/>
    <x v="2"/>
    <x v="2"/>
    <n v="3.0211999999999999"/>
    <n v="0.32500000000000001"/>
    <n v="0"/>
  </r>
  <r>
    <n v="4486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1231"/>
    <x v="1"/>
    <x v="10"/>
    <x v="1270"/>
    <n v="19.440000000000001"/>
    <s v="Low"/>
    <n v="3"/>
    <n v="0"/>
    <x v="0"/>
    <x v="0"/>
    <n v="9.3312000000000008"/>
    <n v="0.48000000000000004"/>
    <n v="0"/>
  </r>
  <r>
    <n v="4487"/>
    <s v="CA-2016-109365"/>
    <d v="2016-11-03T00:00:00"/>
    <x v="0"/>
    <s v="Q4"/>
    <x v="0"/>
    <d v="2016-11-08T00:00:00"/>
    <s v="Standard Class"/>
    <x v="190"/>
    <x v="190"/>
    <s v="Consumer"/>
    <s v="United States"/>
    <s v="Los Angeles"/>
    <x v="1"/>
    <n v="90049"/>
    <x v="1"/>
    <x v="1078"/>
    <x v="1"/>
    <x v="10"/>
    <x v="1068"/>
    <n v="314.55"/>
    <s v="High"/>
    <n v="3"/>
    <n v="0"/>
    <x v="0"/>
    <x v="0"/>
    <n v="150.98400000000001"/>
    <n v="0.48000000000000004"/>
    <n v="0"/>
  </r>
  <r>
    <n v="4488"/>
    <s v="CA-2015-162621"/>
    <d v="2015-09-05T00:00:00"/>
    <x v="1"/>
    <s v="Q3"/>
    <x v="11"/>
    <d v="2015-09-11T00:00:00"/>
    <s v="Standard Class"/>
    <x v="402"/>
    <x v="402"/>
    <s v="Home Office"/>
    <s v="United States"/>
    <s v="Houston"/>
    <x v="5"/>
    <n v="77036"/>
    <x v="2"/>
    <x v="1526"/>
    <x v="1"/>
    <x v="8"/>
    <x v="1513"/>
    <n v="16.27"/>
    <s v="Low"/>
    <n v="5"/>
    <n v="0.8"/>
    <x v="1"/>
    <x v="3"/>
    <n v="-25.218499999999999"/>
    <n v="-1.55"/>
    <n v="1"/>
  </r>
  <r>
    <n v="4489"/>
    <s v="CA-2015-162621"/>
    <d v="2015-09-05T00:00:00"/>
    <x v="1"/>
    <s v="Q3"/>
    <x v="11"/>
    <d v="2015-09-11T00:00:00"/>
    <s v="Standard Class"/>
    <x v="402"/>
    <x v="402"/>
    <s v="Home Office"/>
    <s v="United States"/>
    <s v="Houston"/>
    <x v="5"/>
    <n v="77036"/>
    <x v="2"/>
    <x v="1511"/>
    <x v="1"/>
    <x v="14"/>
    <x v="1498"/>
    <n v="69.12"/>
    <s v="Medium"/>
    <n v="9"/>
    <n v="0.2"/>
    <x v="2"/>
    <x v="2"/>
    <n v="-14.688000000000001"/>
    <n v="-0.21249999999999999"/>
    <n v="1"/>
  </r>
  <r>
    <n v="4490"/>
    <s v="CA-2015-162621"/>
    <d v="2015-09-05T00:00:00"/>
    <x v="1"/>
    <s v="Q3"/>
    <x v="11"/>
    <d v="2015-09-11T00:00:00"/>
    <s v="Standard Class"/>
    <x v="402"/>
    <x v="402"/>
    <s v="Home Office"/>
    <s v="United States"/>
    <s v="Houston"/>
    <x v="5"/>
    <n v="77036"/>
    <x v="2"/>
    <x v="985"/>
    <x v="1"/>
    <x v="8"/>
    <x v="978"/>
    <n v="4.47"/>
    <s v="Low"/>
    <n v="3"/>
    <n v="0.8"/>
    <x v="1"/>
    <x v="3"/>
    <n v="-7.8224999999999998"/>
    <n v="-1.75"/>
    <n v="1"/>
  </r>
  <r>
    <n v="4491"/>
    <s v="CA-2017-105921"/>
    <d v="2017-08-14T00:00:00"/>
    <x v="3"/>
    <s v="Q3"/>
    <x v="43"/>
    <d v="2017-08-21T00:00:00"/>
    <s v="Standard Class"/>
    <x v="49"/>
    <x v="49"/>
    <s v="Consumer"/>
    <s v="United States"/>
    <s v="Los Angeles"/>
    <x v="1"/>
    <n v="90032"/>
    <x v="1"/>
    <x v="616"/>
    <x v="0"/>
    <x v="3"/>
    <x v="616"/>
    <n v="418.29599999999999"/>
    <s v="High"/>
    <n v="3"/>
    <n v="0.2"/>
    <x v="2"/>
    <x v="2"/>
    <n v="5.2286999999999999"/>
    <n v="1.2500000000000001E-2"/>
    <n v="0"/>
  </r>
  <r>
    <n v="4492"/>
    <s v="CA-2014-150798"/>
    <d v="2014-12-01T00:00:00"/>
    <x v="2"/>
    <s v="Q4"/>
    <x v="20"/>
    <d v="2014-12-03T00:00:00"/>
    <s v="Second Class"/>
    <x v="300"/>
    <x v="300"/>
    <s v="Consumer"/>
    <s v="United States"/>
    <s v="Columbus"/>
    <x v="24"/>
    <n v="43229"/>
    <x v="3"/>
    <x v="1572"/>
    <x v="2"/>
    <x v="16"/>
    <x v="1563"/>
    <n v="659.98800000000006"/>
    <s v="High"/>
    <n v="2"/>
    <n v="0.4"/>
    <x v="1"/>
    <x v="7"/>
    <n v="109.998"/>
    <n v="0.16666666666666666"/>
    <n v="0"/>
  </r>
  <r>
    <n v="4493"/>
    <s v="CA-2014-150798"/>
    <d v="2014-12-01T00:00:00"/>
    <x v="2"/>
    <s v="Q4"/>
    <x v="20"/>
    <d v="2014-12-03T00:00:00"/>
    <s v="Second Class"/>
    <x v="300"/>
    <x v="300"/>
    <s v="Consumer"/>
    <s v="United States"/>
    <s v="Columbus"/>
    <x v="24"/>
    <n v="43229"/>
    <x v="3"/>
    <x v="534"/>
    <x v="0"/>
    <x v="5"/>
    <x v="534"/>
    <n v="8.1280000000000001"/>
    <s v="Low"/>
    <n v="2"/>
    <n v="0.2"/>
    <x v="2"/>
    <x v="2"/>
    <n v="1.4224000000000001"/>
    <n v="0.17500000000000002"/>
    <n v="0"/>
  </r>
  <r>
    <n v="4494"/>
    <s v="CA-2014-150798"/>
    <d v="2014-12-01T00:00:00"/>
    <x v="2"/>
    <s v="Q4"/>
    <x v="20"/>
    <d v="2014-12-03T00:00:00"/>
    <s v="Second Class"/>
    <x v="300"/>
    <x v="300"/>
    <s v="Consumer"/>
    <s v="United States"/>
    <s v="Columbus"/>
    <x v="24"/>
    <n v="43229"/>
    <x v="3"/>
    <x v="1193"/>
    <x v="1"/>
    <x v="10"/>
    <x v="1178"/>
    <n v="36.287999999999997"/>
    <s v="Medium"/>
    <n v="7"/>
    <n v="0.2"/>
    <x v="2"/>
    <x v="2"/>
    <n v="12.700799999999999"/>
    <n v="0.35000000000000003"/>
    <n v="0"/>
  </r>
  <r>
    <n v="4495"/>
    <s v="CA-2014-150798"/>
    <d v="2014-12-01T00:00:00"/>
    <x v="2"/>
    <s v="Q4"/>
    <x v="20"/>
    <d v="2014-12-03T00:00:00"/>
    <s v="Second Class"/>
    <x v="300"/>
    <x v="300"/>
    <s v="Consumer"/>
    <s v="United States"/>
    <s v="Columbus"/>
    <x v="24"/>
    <n v="43229"/>
    <x v="3"/>
    <x v="377"/>
    <x v="0"/>
    <x v="1"/>
    <x v="378"/>
    <n v="909.72"/>
    <s v="High"/>
    <n v="6"/>
    <n v="0.3"/>
    <x v="1"/>
    <x v="4"/>
    <n v="-51.984000000000002"/>
    <n v="-5.7142857142857141E-2"/>
    <n v="1"/>
  </r>
  <r>
    <n v="4496"/>
    <s v="CA-2017-112753"/>
    <d v="2017-06-18T00:00:00"/>
    <x v="3"/>
    <s v="Q2"/>
    <x v="27"/>
    <d v="2017-06-23T00:00:00"/>
    <s v="Standard Class"/>
    <x v="113"/>
    <x v="113"/>
    <s v="Consumer"/>
    <s v="United States"/>
    <s v="Los Angeles"/>
    <x v="1"/>
    <n v="90032"/>
    <x v="1"/>
    <x v="574"/>
    <x v="0"/>
    <x v="0"/>
    <x v="574"/>
    <n v="917.92349999999999"/>
    <s v="High"/>
    <n v="9"/>
    <n v="0.15"/>
    <x v="2"/>
    <x v="2"/>
    <n v="75.593699999999998"/>
    <n v="8.2352941176470587E-2"/>
    <n v="0"/>
  </r>
  <r>
    <n v="4497"/>
    <s v="CA-2017-112753"/>
    <d v="2017-06-18T00:00:00"/>
    <x v="3"/>
    <s v="Q2"/>
    <x v="27"/>
    <d v="2017-06-23T00:00:00"/>
    <s v="Standard Class"/>
    <x v="113"/>
    <x v="113"/>
    <s v="Consumer"/>
    <s v="United States"/>
    <s v="Los Angeles"/>
    <x v="1"/>
    <n v="90032"/>
    <x v="1"/>
    <x v="329"/>
    <x v="1"/>
    <x v="10"/>
    <x v="329"/>
    <n v="38.880000000000003"/>
    <s v="Medium"/>
    <n v="6"/>
    <n v="0"/>
    <x v="0"/>
    <x v="0"/>
    <n v="19.051200000000001"/>
    <n v="0.49"/>
    <n v="0"/>
  </r>
  <r>
    <n v="4498"/>
    <s v="CA-2017-155075"/>
    <d v="2017-12-02T00:00:00"/>
    <x v="3"/>
    <s v="Q4"/>
    <x v="22"/>
    <d v="2017-12-09T00:00:00"/>
    <s v="Standard Class"/>
    <x v="543"/>
    <x v="543"/>
    <s v="Consumer"/>
    <s v="United States"/>
    <s v="Philadelphia"/>
    <x v="9"/>
    <n v="19140"/>
    <x v="3"/>
    <x v="115"/>
    <x v="1"/>
    <x v="8"/>
    <x v="115"/>
    <n v="631.17600000000004"/>
    <s v="High"/>
    <n v="4"/>
    <n v="0.7"/>
    <x v="1"/>
    <x v="5"/>
    <n v="-462.86239999999998"/>
    <n v="-0.73333333333333328"/>
    <n v="1"/>
  </r>
  <r>
    <n v="4499"/>
    <s v="CA-2014-103401"/>
    <d v="2014-11-21T00:00:00"/>
    <x v="2"/>
    <s v="Q4"/>
    <x v="7"/>
    <d v="2014-11-26T00:00:00"/>
    <s v="Standard Class"/>
    <x v="744"/>
    <x v="744"/>
    <s v="Corporate"/>
    <s v="United States"/>
    <s v="San Francisco"/>
    <x v="1"/>
    <n v="94110"/>
    <x v="1"/>
    <x v="1165"/>
    <x v="1"/>
    <x v="10"/>
    <x v="1152"/>
    <n v="12.96"/>
    <s v="Low"/>
    <n v="2"/>
    <n v="0"/>
    <x v="0"/>
    <x v="0"/>
    <n v="6.2207999999999997"/>
    <n v="0.47999999999999993"/>
    <n v="0"/>
  </r>
  <r>
    <n v="4500"/>
    <s v="CA-2016-124814"/>
    <d v="2016-04-10T00:00:00"/>
    <x v="0"/>
    <s v="Q2"/>
    <x v="25"/>
    <d v="2016-04-16T00:00:00"/>
    <s v="Standard Class"/>
    <x v="524"/>
    <x v="524"/>
    <s v="Corporate"/>
    <s v="United States"/>
    <s v="Bakersfield"/>
    <x v="1"/>
    <n v="93309"/>
    <x v="1"/>
    <x v="1290"/>
    <x v="1"/>
    <x v="10"/>
    <x v="1276"/>
    <n v="12.96"/>
    <s v="Low"/>
    <n v="2"/>
    <n v="0"/>
    <x v="0"/>
    <x v="0"/>
    <n v="6.2207999999999997"/>
    <n v="0.47999999999999993"/>
    <n v="0"/>
  </r>
  <r>
    <n v="4501"/>
    <s v="CA-2016-124814"/>
    <d v="2016-04-10T00:00:00"/>
    <x v="0"/>
    <s v="Q2"/>
    <x v="25"/>
    <d v="2016-04-16T00:00:00"/>
    <s v="Standard Class"/>
    <x v="524"/>
    <x v="524"/>
    <s v="Corporate"/>
    <s v="United States"/>
    <s v="Bakersfield"/>
    <x v="1"/>
    <n v="93309"/>
    <x v="1"/>
    <x v="1458"/>
    <x v="1"/>
    <x v="8"/>
    <x v="1444"/>
    <n v="23.2"/>
    <s v="Low"/>
    <n v="5"/>
    <n v="0.2"/>
    <x v="2"/>
    <x v="2"/>
    <n v="8.1199999999999992"/>
    <n v="0.35"/>
    <n v="0"/>
  </r>
  <r>
    <n v="4502"/>
    <s v="CA-2014-116757"/>
    <d v="2014-06-30T00:00:00"/>
    <x v="2"/>
    <s v="Q2"/>
    <x v="3"/>
    <d v="2014-07-04T00:00:00"/>
    <s v="Standard Class"/>
    <x v="99"/>
    <x v="99"/>
    <s v="Corporate"/>
    <s v="United States"/>
    <s v="Houston"/>
    <x v="5"/>
    <n v="77095"/>
    <x v="2"/>
    <x v="510"/>
    <x v="1"/>
    <x v="10"/>
    <x v="510"/>
    <n v="25.92"/>
    <s v="Medium"/>
    <n v="5"/>
    <n v="0.2"/>
    <x v="2"/>
    <x v="2"/>
    <n v="9.0719999999999992"/>
    <n v="0.34999999999999992"/>
    <n v="0"/>
  </r>
  <r>
    <n v="4503"/>
    <s v="CA-2014-116757"/>
    <d v="2014-06-30T00:00:00"/>
    <x v="2"/>
    <s v="Q2"/>
    <x v="3"/>
    <d v="2014-07-04T00:00:00"/>
    <s v="Standard Class"/>
    <x v="99"/>
    <x v="99"/>
    <s v="Corporate"/>
    <s v="United States"/>
    <s v="Houston"/>
    <x v="5"/>
    <n v="77095"/>
    <x v="2"/>
    <x v="462"/>
    <x v="1"/>
    <x v="13"/>
    <x v="128"/>
    <n v="21.312000000000001"/>
    <s v="Low"/>
    <n v="6"/>
    <n v="0.2"/>
    <x v="2"/>
    <x v="2"/>
    <n v="7.1928000000000001"/>
    <n v="0.33749999999999997"/>
    <n v="0"/>
  </r>
  <r>
    <n v="4504"/>
    <s v="US-2014-138247"/>
    <d v="2014-12-24T00:00:00"/>
    <x v="2"/>
    <s v="Q4"/>
    <x v="20"/>
    <d v="2014-12-29T00:00:00"/>
    <s v="Standard Class"/>
    <x v="408"/>
    <x v="408"/>
    <s v="Home Office"/>
    <s v="United States"/>
    <s v="Los Angeles"/>
    <x v="1"/>
    <n v="90045"/>
    <x v="1"/>
    <x v="1670"/>
    <x v="2"/>
    <x v="7"/>
    <x v="1658"/>
    <n v="173.65600000000001"/>
    <s v="High"/>
    <n v="7"/>
    <n v="0.2"/>
    <x v="2"/>
    <x v="2"/>
    <n v="17.365600000000001"/>
    <n v="0.1"/>
    <n v="0"/>
  </r>
  <r>
    <n v="4505"/>
    <s v="US-2014-138247"/>
    <d v="2014-12-24T00:00:00"/>
    <x v="2"/>
    <s v="Q4"/>
    <x v="20"/>
    <d v="2014-12-29T00:00:00"/>
    <s v="Standard Class"/>
    <x v="408"/>
    <x v="408"/>
    <s v="Home Office"/>
    <s v="United States"/>
    <s v="Los Angeles"/>
    <x v="1"/>
    <n v="90045"/>
    <x v="1"/>
    <x v="1107"/>
    <x v="1"/>
    <x v="9"/>
    <x v="1096"/>
    <n v="361.96"/>
    <s v="High"/>
    <n v="2"/>
    <n v="0"/>
    <x v="0"/>
    <x v="0"/>
    <n v="101.3488"/>
    <n v="0.28000000000000003"/>
    <n v="0"/>
  </r>
  <r>
    <n v="4506"/>
    <s v="US-2014-138247"/>
    <d v="2014-12-24T00:00:00"/>
    <x v="2"/>
    <s v="Q4"/>
    <x v="20"/>
    <d v="2014-12-29T00:00:00"/>
    <s v="Standard Class"/>
    <x v="408"/>
    <x v="408"/>
    <s v="Home Office"/>
    <s v="United States"/>
    <s v="Los Angeles"/>
    <x v="1"/>
    <n v="90045"/>
    <x v="1"/>
    <x v="341"/>
    <x v="2"/>
    <x v="11"/>
    <x v="341"/>
    <n v="62.85"/>
    <s v="Medium"/>
    <n v="3"/>
    <n v="0"/>
    <x v="0"/>
    <x v="0"/>
    <n v="13.198499999999999"/>
    <n v="0.21"/>
    <n v="0"/>
  </r>
  <r>
    <n v="4507"/>
    <s v="US-2014-138247"/>
    <d v="2014-12-24T00:00:00"/>
    <x v="2"/>
    <s v="Q4"/>
    <x v="20"/>
    <d v="2014-12-29T00:00:00"/>
    <s v="Standard Class"/>
    <x v="408"/>
    <x v="408"/>
    <s v="Home Office"/>
    <s v="United States"/>
    <s v="Los Angeles"/>
    <x v="1"/>
    <n v="90045"/>
    <x v="1"/>
    <x v="638"/>
    <x v="2"/>
    <x v="7"/>
    <x v="638"/>
    <n v="818.37599999999998"/>
    <s v="High"/>
    <n v="3"/>
    <n v="0.2"/>
    <x v="2"/>
    <x v="2"/>
    <n v="51.148499999999999"/>
    <n v="6.25E-2"/>
    <n v="0"/>
  </r>
  <r>
    <n v="4508"/>
    <s v="US-2014-138247"/>
    <d v="2014-12-24T00:00:00"/>
    <x v="2"/>
    <s v="Q4"/>
    <x v="20"/>
    <d v="2014-12-29T00:00:00"/>
    <s v="Standard Class"/>
    <x v="408"/>
    <x v="408"/>
    <s v="Home Office"/>
    <s v="United States"/>
    <s v="Los Angeles"/>
    <x v="1"/>
    <n v="90045"/>
    <x v="1"/>
    <x v="1512"/>
    <x v="1"/>
    <x v="4"/>
    <x v="1499"/>
    <n v="20.34"/>
    <s v="Low"/>
    <n v="1"/>
    <n v="0"/>
    <x v="0"/>
    <x v="0"/>
    <n v="0.2034"/>
    <n v="0.01"/>
    <n v="0"/>
  </r>
  <r>
    <n v="4509"/>
    <s v="US-2014-138247"/>
    <d v="2014-12-24T00:00:00"/>
    <x v="2"/>
    <s v="Q4"/>
    <x v="20"/>
    <d v="2014-12-29T00:00:00"/>
    <s v="Standard Class"/>
    <x v="408"/>
    <x v="408"/>
    <s v="Home Office"/>
    <s v="United States"/>
    <s v="Los Angeles"/>
    <x v="1"/>
    <n v="90045"/>
    <x v="1"/>
    <x v="928"/>
    <x v="0"/>
    <x v="5"/>
    <x v="921"/>
    <n v="23.99"/>
    <s v="Low"/>
    <n v="1"/>
    <n v="0"/>
    <x v="0"/>
    <x v="0"/>
    <n v="5.5176999999999996"/>
    <n v="0.23"/>
    <n v="0"/>
  </r>
  <r>
    <n v="4510"/>
    <s v="CA-2017-167003"/>
    <d v="2017-05-23T00:00:00"/>
    <x v="3"/>
    <s v="Q2"/>
    <x v="24"/>
    <d v="2017-05-29T00:00:00"/>
    <s v="Standard Class"/>
    <x v="745"/>
    <x v="745"/>
    <s v="Consumer"/>
    <s v="United States"/>
    <s v="Los Angeles"/>
    <x v="1"/>
    <n v="90036"/>
    <x v="1"/>
    <x v="719"/>
    <x v="0"/>
    <x v="3"/>
    <x v="718"/>
    <n v="171.28800000000001"/>
    <s v="High"/>
    <n v="3"/>
    <n v="0.2"/>
    <x v="2"/>
    <x v="2"/>
    <n v="-6.4233000000000002"/>
    <n v="-3.7499999999999999E-2"/>
    <n v="1"/>
  </r>
  <r>
    <n v="4511"/>
    <s v="CA-2016-119935"/>
    <d v="2016-11-10T00:00:00"/>
    <x v="0"/>
    <s v="Q4"/>
    <x v="0"/>
    <d v="2016-11-14T00:00:00"/>
    <s v="Standard Class"/>
    <x v="366"/>
    <x v="366"/>
    <s v="Corporate"/>
    <s v="United States"/>
    <s v="Springfield"/>
    <x v="25"/>
    <n v="65807"/>
    <x v="2"/>
    <x v="1608"/>
    <x v="0"/>
    <x v="5"/>
    <x v="1599"/>
    <n v="37.299999999999997"/>
    <s v="Medium"/>
    <n v="2"/>
    <n v="0"/>
    <x v="0"/>
    <x v="0"/>
    <n v="17.158000000000001"/>
    <n v="0.46000000000000008"/>
    <n v="0"/>
  </r>
  <r>
    <n v="4512"/>
    <s v="CA-2016-119935"/>
    <d v="2016-11-10T00:00:00"/>
    <x v="0"/>
    <s v="Q4"/>
    <x v="0"/>
    <d v="2016-11-14T00:00:00"/>
    <s v="Standard Class"/>
    <x v="366"/>
    <x v="366"/>
    <s v="Corporate"/>
    <s v="United States"/>
    <s v="Springfield"/>
    <x v="25"/>
    <n v="65807"/>
    <x v="2"/>
    <x v="800"/>
    <x v="1"/>
    <x v="8"/>
    <x v="798"/>
    <n v="81.96"/>
    <s v="Medium"/>
    <n v="2"/>
    <n v="0"/>
    <x v="0"/>
    <x v="0"/>
    <n v="39.340800000000002"/>
    <n v="0.48000000000000004"/>
    <n v="0"/>
  </r>
  <r>
    <n v="4513"/>
    <s v="CA-2016-118969"/>
    <d v="2016-10-02T00:00:00"/>
    <x v="0"/>
    <s v="Q4"/>
    <x v="32"/>
    <d v="2016-10-03T00:00:00"/>
    <s v="First Class"/>
    <x v="431"/>
    <x v="431"/>
    <s v="Consumer"/>
    <s v="United States"/>
    <s v="Phoenix"/>
    <x v="16"/>
    <n v="85023"/>
    <x v="1"/>
    <x v="471"/>
    <x v="1"/>
    <x v="8"/>
    <x v="472"/>
    <n v="54.792000000000002"/>
    <s v="Medium"/>
    <n v="6"/>
    <n v="0.7"/>
    <x v="1"/>
    <x v="5"/>
    <n v="-40.180799999999998"/>
    <n v="-0.73333333333333328"/>
    <n v="1"/>
  </r>
  <r>
    <n v="4514"/>
    <s v="CA-2016-145240"/>
    <d v="2016-09-06T00:00:00"/>
    <x v="0"/>
    <s v="Q3"/>
    <x v="21"/>
    <d v="2016-09-08T00:00:00"/>
    <s v="First Class"/>
    <x v="696"/>
    <x v="696"/>
    <s v="Consumer"/>
    <s v="United States"/>
    <s v="Houston"/>
    <x v="5"/>
    <n v="77070"/>
    <x v="2"/>
    <x v="146"/>
    <x v="1"/>
    <x v="4"/>
    <x v="147"/>
    <n v="10.784000000000001"/>
    <s v="Low"/>
    <n v="1"/>
    <n v="0.2"/>
    <x v="2"/>
    <x v="2"/>
    <n v="0.80879999999999996"/>
    <n v="7.4999999999999997E-2"/>
    <n v="0"/>
  </r>
  <r>
    <n v="4515"/>
    <s v="CA-2016-120873"/>
    <d v="2016-10-27T00:00:00"/>
    <x v="0"/>
    <s v="Q4"/>
    <x v="32"/>
    <d v="2016-11-01T00:00:00"/>
    <s v="Second Class"/>
    <x v="572"/>
    <x v="572"/>
    <s v="Consumer"/>
    <s v="United States"/>
    <s v="Hampton"/>
    <x v="17"/>
    <n v="23666"/>
    <x v="0"/>
    <x v="1003"/>
    <x v="0"/>
    <x v="1"/>
    <x v="995"/>
    <n v="290.98"/>
    <s v="High"/>
    <n v="1"/>
    <n v="0"/>
    <x v="0"/>
    <x v="0"/>
    <n v="75.654799999999994"/>
    <n v="0.25999999999999995"/>
    <n v="0"/>
  </r>
  <r>
    <n v="4516"/>
    <s v="US-2017-111920"/>
    <d v="2017-10-22T00:00:00"/>
    <x v="3"/>
    <s v="Q4"/>
    <x v="13"/>
    <d v="2017-10-26T00:00:00"/>
    <s v="Standard Class"/>
    <x v="28"/>
    <x v="28"/>
    <s v="Home Office"/>
    <s v="United States"/>
    <s v="Tulsa"/>
    <x v="26"/>
    <n v="74133"/>
    <x v="2"/>
    <x v="1583"/>
    <x v="1"/>
    <x v="6"/>
    <x v="1574"/>
    <n v="36.44"/>
    <s v="Medium"/>
    <n v="4"/>
    <n v="0"/>
    <x v="0"/>
    <x v="0"/>
    <n v="12.0252"/>
    <n v="0.33"/>
    <n v="0"/>
  </r>
  <r>
    <n v="4517"/>
    <s v="US-2016-128678"/>
    <d v="2016-09-15T00:00:00"/>
    <x v="0"/>
    <s v="Q3"/>
    <x v="21"/>
    <d v="2016-09-20T00:00:00"/>
    <s v="Standard Class"/>
    <x v="262"/>
    <x v="262"/>
    <s v="Consumer"/>
    <s v="United States"/>
    <s v="Seattle"/>
    <x v="4"/>
    <n v="98105"/>
    <x v="1"/>
    <x v="1671"/>
    <x v="1"/>
    <x v="10"/>
    <x v="1659"/>
    <n v="21.4"/>
    <s v="Low"/>
    <n v="5"/>
    <n v="0"/>
    <x v="0"/>
    <x v="0"/>
    <n v="10.058"/>
    <n v="0.47000000000000003"/>
    <n v="0"/>
  </r>
  <r>
    <n v="4518"/>
    <s v="US-2016-128678"/>
    <d v="2016-09-15T00:00:00"/>
    <x v="0"/>
    <s v="Q3"/>
    <x v="21"/>
    <d v="2016-09-20T00:00:00"/>
    <s v="Standard Class"/>
    <x v="262"/>
    <x v="262"/>
    <s v="Consumer"/>
    <s v="United States"/>
    <s v="Seattle"/>
    <x v="4"/>
    <n v="98105"/>
    <x v="1"/>
    <x v="530"/>
    <x v="1"/>
    <x v="8"/>
    <x v="530"/>
    <n v="48.664000000000001"/>
    <s v="Medium"/>
    <n v="7"/>
    <n v="0.2"/>
    <x v="2"/>
    <x v="2"/>
    <n v="15.815799999999999"/>
    <n v="0.32499999999999996"/>
    <n v="0"/>
  </r>
  <r>
    <n v="4519"/>
    <s v="CA-2016-101385"/>
    <d v="2016-09-25T00:00:00"/>
    <x v="0"/>
    <s v="Q3"/>
    <x v="21"/>
    <d v="2016-10-01T00:00:00"/>
    <s v="Standard Class"/>
    <x v="493"/>
    <x v="493"/>
    <s v="Consumer"/>
    <s v="United States"/>
    <s v="San Francisco"/>
    <x v="1"/>
    <n v="94109"/>
    <x v="1"/>
    <x v="154"/>
    <x v="1"/>
    <x v="6"/>
    <x v="155"/>
    <n v="16.559999999999999"/>
    <s v="Low"/>
    <n v="4"/>
    <n v="0"/>
    <x v="0"/>
    <x v="0"/>
    <n v="6.9551999999999996"/>
    <n v="0.42"/>
    <n v="0"/>
  </r>
  <r>
    <n v="4520"/>
    <s v="CA-2017-107167"/>
    <d v="2017-06-10T00:00:00"/>
    <x v="3"/>
    <s v="Q2"/>
    <x v="27"/>
    <d v="2017-06-14T00:00:00"/>
    <s v="Standard Class"/>
    <x v="540"/>
    <x v="540"/>
    <s v="Corporate"/>
    <s v="United States"/>
    <s v="Jacksonville"/>
    <x v="2"/>
    <n v="32216"/>
    <x v="0"/>
    <x v="1672"/>
    <x v="1"/>
    <x v="4"/>
    <x v="1660"/>
    <n v="1347.52"/>
    <s v="High"/>
    <n v="8"/>
    <n v="0.2"/>
    <x v="2"/>
    <x v="2"/>
    <n v="84.22"/>
    <n v="6.25E-2"/>
    <n v="0"/>
  </r>
  <r>
    <n v="4521"/>
    <s v="CA-2014-109491"/>
    <d v="2014-02-20T00:00:00"/>
    <x v="2"/>
    <s v="Q1"/>
    <x v="45"/>
    <d v="2014-02-26T00:00:00"/>
    <s v="Standard Class"/>
    <x v="18"/>
    <x v="18"/>
    <s v="Corporate"/>
    <s v="United States"/>
    <s v="Richmond"/>
    <x v="14"/>
    <n v="47374"/>
    <x v="2"/>
    <x v="1196"/>
    <x v="2"/>
    <x v="11"/>
    <x v="1181"/>
    <n v="62.31"/>
    <s v="Medium"/>
    <n v="3"/>
    <n v="0"/>
    <x v="0"/>
    <x v="0"/>
    <n v="22.4316"/>
    <n v="0.36"/>
    <n v="0"/>
  </r>
  <r>
    <n v="4522"/>
    <s v="CA-2014-109491"/>
    <d v="2014-02-20T00:00:00"/>
    <x v="2"/>
    <s v="Q1"/>
    <x v="45"/>
    <d v="2014-02-26T00:00:00"/>
    <s v="Standard Class"/>
    <x v="18"/>
    <x v="18"/>
    <s v="Corporate"/>
    <s v="United States"/>
    <s v="Richmond"/>
    <x v="14"/>
    <n v="47374"/>
    <x v="2"/>
    <x v="534"/>
    <x v="0"/>
    <x v="5"/>
    <x v="534"/>
    <n v="20.32"/>
    <s v="Low"/>
    <n v="4"/>
    <n v="0"/>
    <x v="0"/>
    <x v="0"/>
    <n v="6.9088000000000003"/>
    <n v="0.34"/>
    <n v="0"/>
  </r>
  <r>
    <n v="4523"/>
    <s v="CA-2017-105445"/>
    <d v="2017-02-20T00:00:00"/>
    <x v="3"/>
    <s v="Q1"/>
    <x v="31"/>
    <d v="2017-02-25T00:00:00"/>
    <s v="Second Class"/>
    <x v="162"/>
    <x v="162"/>
    <s v="Corporate"/>
    <s v="United States"/>
    <s v="Louisville"/>
    <x v="22"/>
    <n v="80027"/>
    <x v="1"/>
    <x v="1328"/>
    <x v="1"/>
    <x v="13"/>
    <x v="128"/>
    <n v="9.4320000000000004"/>
    <s v="Low"/>
    <n v="3"/>
    <n v="0.2"/>
    <x v="2"/>
    <x v="2"/>
    <n v="3.0653999999999999"/>
    <n v="0.32499999999999996"/>
    <n v="0"/>
  </r>
  <r>
    <n v="4524"/>
    <s v="CA-2014-107454"/>
    <d v="2014-11-02T00:00:00"/>
    <x v="2"/>
    <s v="Q4"/>
    <x v="7"/>
    <d v="2014-11-06T00:00:00"/>
    <s v="Standard Class"/>
    <x v="742"/>
    <x v="742"/>
    <s v="Consumer"/>
    <s v="United States"/>
    <s v="New York City"/>
    <x v="15"/>
    <n v="10024"/>
    <x v="3"/>
    <x v="639"/>
    <x v="1"/>
    <x v="2"/>
    <x v="639"/>
    <n v="34.86"/>
    <s v="Medium"/>
    <n v="7"/>
    <n v="0"/>
    <x v="0"/>
    <x v="0"/>
    <n v="16.035599999999999"/>
    <n v="0.45999999999999996"/>
    <n v="0"/>
  </r>
  <r>
    <n v="4525"/>
    <s v="CA-2014-107454"/>
    <d v="2014-11-02T00:00:00"/>
    <x v="2"/>
    <s v="Q4"/>
    <x v="7"/>
    <d v="2014-11-06T00:00:00"/>
    <s v="Standard Class"/>
    <x v="742"/>
    <x v="742"/>
    <s v="Consumer"/>
    <s v="United States"/>
    <s v="New York City"/>
    <x v="15"/>
    <n v="10024"/>
    <x v="3"/>
    <x v="943"/>
    <x v="0"/>
    <x v="5"/>
    <x v="936"/>
    <n v="89.34"/>
    <s v="Medium"/>
    <n v="6"/>
    <n v="0"/>
    <x v="0"/>
    <x v="0"/>
    <n v="24.1218"/>
    <n v="0.27"/>
    <n v="0"/>
  </r>
  <r>
    <n v="4526"/>
    <s v="US-2017-105046"/>
    <d v="2017-07-17T00:00:00"/>
    <x v="3"/>
    <s v="Q3"/>
    <x v="10"/>
    <d v="2017-07-23T00:00:00"/>
    <s v="Standard Class"/>
    <x v="336"/>
    <x v="336"/>
    <s v="Home Office"/>
    <s v="United States"/>
    <s v="Rome"/>
    <x v="15"/>
    <n v="13440"/>
    <x v="3"/>
    <x v="149"/>
    <x v="2"/>
    <x v="7"/>
    <x v="150"/>
    <n v="269.98"/>
    <s v="High"/>
    <n v="2"/>
    <n v="0"/>
    <x v="0"/>
    <x v="0"/>
    <n v="67.495000000000005"/>
    <n v="0.25"/>
    <n v="0"/>
  </r>
  <r>
    <n v="4527"/>
    <s v="US-2017-105046"/>
    <d v="2017-07-17T00:00:00"/>
    <x v="3"/>
    <s v="Q3"/>
    <x v="10"/>
    <d v="2017-07-23T00:00:00"/>
    <s v="Standard Class"/>
    <x v="336"/>
    <x v="336"/>
    <s v="Home Office"/>
    <s v="United States"/>
    <s v="Rome"/>
    <x v="15"/>
    <n v="13440"/>
    <x v="3"/>
    <x v="1673"/>
    <x v="1"/>
    <x v="10"/>
    <x v="1661"/>
    <n v="99.9"/>
    <s v="Medium"/>
    <n v="5"/>
    <n v="0"/>
    <x v="0"/>
    <x v="0"/>
    <n v="47.951999999999998"/>
    <n v="0.48"/>
    <n v="0"/>
  </r>
  <r>
    <n v="4528"/>
    <s v="US-2017-105046"/>
    <d v="2017-07-17T00:00:00"/>
    <x v="3"/>
    <s v="Q3"/>
    <x v="10"/>
    <d v="2017-07-23T00:00:00"/>
    <s v="Standard Class"/>
    <x v="336"/>
    <x v="336"/>
    <s v="Home Office"/>
    <s v="United States"/>
    <s v="Rome"/>
    <x v="15"/>
    <n v="13440"/>
    <x v="3"/>
    <x v="28"/>
    <x v="0"/>
    <x v="5"/>
    <x v="1310"/>
    <n v="39.08"/>
    <s v="Medium"/>
    <n v="4"/>
    <n v="0"/>
    <x v="0"/>
    <x v="0"/>
    <n v="14.4596"/>
    <n v="0.37"/>
    <n v="0"/>
  </r>
  <r>
    <n v="4529"/>
    <s v="CA-2017-152856"/>
    <d v="2017-09-08T00:00:00"/>
    <x v="3"/>
    <s v="Q3"/>
    <x v="15"/>
    <d v="2017-09-10T00:00:00"/>
    <s v="Second Class"/>
    <x v="276"/>
    <x v="276"/>
    <s v="Corporate"/>
    <s v="United States"/>
    <s v="Marion"/>
    <x v="24"/>
    <n v="43302"/>
    <x v="3"/>
    <x v="1312"/>
    <x v="2"/>
    <x v="11"/>
    <x v="1298"/>
    <n v="116.83199999999999"/>
    <s v="Medium"/>
    <n v="4"/>
    <n v="0.2"/>
    <x v="2"/>
    <x v="2"/>
    <n v="33.589199999999998"/>
    <n v="0.28749999999999998"/>
    <n v="0"/>
  </r>
  <r>
    <n v="4530"/>
    <s v="CA-2016-134691"/>
    <d v="2016-11-14T00:00:00"/>
    <x v="0"/>
    <s v="Q4"/>
    <x v="0"/>
    <d v="2016-11-18T00:00:00"/>
    <s v="Standard Class"/>
    <x v="110"/>
    <x v="110"/>
    <s v="Consumer"/>
    <s v="United States"/>
    <s v="Houston"/>
    <x v="5"/>
    <n v="77041"/>
    <x v="2"/>
    <x v="1212"/>
    <x v="1"/>
    <x v="8"/>
    <x v="1197"/>
    <n v="2.2959999999999998"/>
    <s v="Low"/>
    <n v="2"/>
    <n v="0.8"/>
    <x v="1"/>
    <x v="3"/>
    <n v="-3.9032"/>
    <n v="-1.7000000000000002"/>
    <n v="1"/>
  </r>
  <r>
    <n v="4531"/>
    <s v="CA-2016-118759"/>
    <d v="2016-11-14T00:00:00"/>
    <x v="0"/>
    <s v="Q4"/>
    <x v="0"/>
    <d v="2016-11-17T00:00:00"/>
    <s v="First Class"/>
    <x v="93"/>
    <x v="93"/>
    <s v="Consumer"/>
    <s v="United States"/>
    <s v="New York City"/>
    <x v="15"/>
    <n v="10009"/>
    <x v="3"/>
    <x v="629"/>
    <x v="0"/>
    <x v="1"/>
    <x v="629"/>
    <n v="408.00599999999997"/>
    <s v="High"/>
    <n v="2"/>
    <n v="0.1"/>
    <x v="3"/>
    <x v="8"/>
    <n v="72.534400000000005"/>
    <n v="0.17777777777777781"/>
    <n v="0"/>
  </r>
  <r>
    <n v="4532"/>
    <s v="CA-2016-118759"/>
    <d v="2016-11-14T00:00:00"/>
    <x v="0"/>
    <s v="Q4"/>
    <x v="0"/>
    <d v="2016-11-17T00:00:00"/>
    <s v="First Class"/>
    <x v="93"/>
    <x v="93"/>
    <s v="Consumer"/>
    <s v="United States"/>
    <s v="New York City"/>
    <x v="15"/>
    <n v="10009"/>
    <x v="3"/>
    <x v="146"/>
    <x v="1"/>
    <x v="4"/>
    <x v="147"/>
    <n v="40.44"/>
    <s v="Medium"/>
    <n v="3"/>
    <n v="0"/>
    <x v="0"/>
    <x v="0"/>
    <n v="10.5144"/>
    <n v="0.26"/>
    <n v="0"/>
  </r>
  <r>
    <n v="4533"/>
    <s v="CA-2014-140403"/>
    <d v="2014-10-10T00:00:00"/>
    <x v="2"/>
    <s v="Q4"/>
    <x v="18"/>
    <d v="2014-10-10T00:00:00"/>
    <s v="Same Day"/>
    <x v="184"/>
    <x v="184"/>
    <s v="Home Office"/>
    <s v="United States"/>
    <s v="Manteca"/>
    <x v="1"/>
    <n v="95336"/>
    <x v="1"/>
    <x v="23"/>
    <x v="0"/>
    <x v="1"/>
    <x v="23"/>
    <n v="122.352"/>
    <s v="Medium"/>
    <n v="3"/>
    <n v="0.2"/>
    <x v="2"/>
    <x v="2"/>
    <n v="13.7646"/>
    <n v="0.11249999999999999"/>
    <n v="0"/>
  </r>
  <r>
    <n v="4534"/>
    <s v="CA-2014-140403"/>
    <d v="2014-10-10T00:00:00"/>
    <x v="2"/>
    <s v="Q4"/>
    <x v="18"/>
    <d v="2014-10-10T00:00:00"/>
    <s v="Same Day"/>
    <x v="184"/>
    <x v="184"/>
    <s v="Home Office"/>
    <s v="United States"/>
    <s v="Manteca"/>
    <x v="1"/>
    <n v="95336"/>
    <x v="1"/>
    <x v="588"/>
    <x v="1"/>
    <x v="12"/>
    <x v="588"/>
    <n v="15.28"/>
    <s v="Low"/>
    <n v="2"/>
    <n v="0"/>
    <x v="0"/>
    <x v="0"/>
    <n v="7.4871999999999996"/>
    <n v="0.49"/>
    <n v="0"/>
  </r>
  <r>
    <n v="4535"/>
    <s v="CA-2015-163104"/>
    <d v="2015-03-19T00:00:00"/>
    <x v="1"/>
    <s v="Q1"/>
    <x v="29"/>
    <d v="2015-03-26T00:00:00"/>
    <s v="Standard Class"/>
    <x v="305"/>
    <x v="305"/>
    <s v="Corporate"/>
    <s v="United States"/>
    <s v="Los Angeles"/>
    <x v="1"/>
    <n v="90004"/>
    <x v="1"/>
    <x v="358"/>
    <x v="1"/>
    <x v="10"/>
    <x v="358"/>
    <n v="11.96"/>
    <s v="Low"/>
    <n v="2"/>
    <n v="0"/>
    <x v="0"/>
    <x v="0"/>
    <n v="5.8604000000000003"/>
    <n v="0.49"/>
    <n v="0"/>
  </r>
  <r>
    <n v="4536"/>
    <s v="CA-2017-138464"/>
    <d v="2017-07-08T00:00:00"/>
    <x v="3"/>
    <s v="Q3"/>
    <x v="10"/>
    <d v="2017-07-12T00:00:00"/>
    <s v="Standard Class"/>
    <x v="665"/>
    <x v="665"/>
    <s v="Home Office"/>
    <s v="United States"/>
    <s v="Seattle"/>
    <x v="4"/>
    <n v="98115"/>
    <x v="1"/>
    <x v="1226"/>
    <x v="0"/>
    <x v="5"/>
    <x v="1210"/>
    <n v="15.84"/>
    <s v="Low"/>
    <n v="3"/>
    <n v="0"/>
    <x v="0"/>
    <x v="0"/>
    <n v="4.9104000000000001"/>
    <n v="0.31"/>
    <n v="0"/>
  </r>
  <r>
    <n v="4537"/>
    <s v="CA-2017-138464"/>
    <d v="2017-07-08T00:00:00"/>
    <x v="3"/>
    <s v="Q3"/>
    <x v="10"/>
    <d v="2017-07-12T00:00:00"/>
    <s v="Standard Class"/>
    <x v="665"/>
    <x v="665"/>
    <s v="Home Office"/>
    <s v="United States"/>
    <s v="Seattle"/>
    <x v="4"/>
    <n v="98115"/>
    <x v="1"/>
    <x v="379"/>
    <x v="1"/>
    <x v="8"/>
    <x v="380"/>
    <n v="86.376000000000005"/>
    <s v="Medium"/>
    <n v="3"/>
    <n v="0.2"/>
    <x v="2"/>
    <x v="2"/>
    <n v="30.2316"/>
    <n v="0.35"/>
    <n v="0"/>
  </r>
  <r>
    <n v="4538"/>
    <s v="CA-2017-138464"/>
    <d v="2017-07-08T00:00:00"/>
    <x v="3"/>
    <s v="Q3"/>
    <x v="10"/>
    <d v="2017-07-12T00:00:00"/>
    <s v="Standard Class"/>
    <x v="665"/>
    <x v="665"/>
    <s v="Home Office"/>
    <s v="United States"/>
    <s v="Seattle"/>
    <x v="4"/>
    <n v="98115"/>
    <x v="1"/>
    <x v="487"/>
    <x v="1"/>
    <x v="6"/>
    <x v="487"/>
    <n v="18.239999999999998"/>
    <s v="Low"/>
    <n v="3"/>
    <n v="0"/>
    <x v="0"/>
    <x v="0"/>
    <n v="6.2016"/>
    <n v="0.34"/>
    <n v="0"/>
  </r>
  <r>
    <n v="4539"/>
    <s v="CA-2017-138464"/>
    <d v="2017-07-08T00:00:00"/>
    <x v="3"/>
    <s v="Q3"/>
    <x v="10"/>
    <d v="2017-07-12T00:00:00"/>
    <s v="Standard Class"/>
    <x v="665"/>
    <x v="665"/>
    <s v="Home Office"/>
    <s v="United States"/>
    <s v="Seattle"/>
    <x v="4"/>
    <n v="98115"/>
    <x v="1"/>
    <x v="346"/>
    <x v="1"/>
    <x v="6"/>
    <x v="346"/>
    <n v="13.12"/>
    <s v="Low"/>
    <n v="4"/>
    <n v="0"/>
    <x v="0"/>
    <x v="0"/>
    <n v="4.3296000000000001"/>
    <n v="0.33"/>
    <n v="0"/>
  </r>
  <r>
    <n v="4540"/>
    <s v="CA-2015-104129"/>
    <d v="2015-02-27T00:00:00"/>
    <x v="1"/>
    <s v="Q1"/>
    <x v="36"/>
    <d v="2015-03-02T00:00:00"/>
    <s v="Standard Class"/>
    <x v="20"/>
    <x v="20"/>
    <s v="Corporate"/>
    <s v="United States"/>
    <s v="Providence"/>
    <x v="34"/>
    <n v="2908"/>
    <x v="3"/>
    <x v="509"/>
    <x v="2"/>
    <x v="7"/>
    <x v="509"/>
    <n v="105.98"/>
    <s v="Medium"/>
    <n v="2"/>
    <n v="0"/>
    <x v="0"/>
    <x v="0"/>
    <n v="1.0598000000000001"/>
    <n v="0.01"/>
    <n v="0"/>
  </r>
  <r>
    <n v="4541"/>
    <s v="CA-2015-104129"/>
    <d v="2015-02-27T00:00:00"/>
    <x v="1"/>
    <s v="Q1"/>
    <x v="36"/>
    <d v="2015-03-02T00:00:00"/>
    <s v="Standard Class"/>
    <x v="20"/>
    <x v="20"/>
    <s v="Corporate"/>
    <s v="United States"/>
    <s v="Providence"/>
    <x v="34"/>
    <n v="2908"/>
    <x v="3"/>
    <x v="1529"/>
    <x v="0"/>
    <x v="3"/>
    <x v="1516"/>
    <n v="493.92"/>
    <s v="High"/>
    <n v="7"/>
    <n v="0.3"/>
    <x v="1"/>
    <x v="4"/>
    <n v="-28.224"/>
    <n v="-5.7142857142857141E-2"/>
    <n v="1"/>
  </r>
  <r>
    <n v="4542"/>
    <s v="US-2017-132206"/>
    <d v="2017-06-16T00:00:00"/>
    <x v="3"/>
    <s v="Q2"/>
    <x v="27"/>
    <d v="2017-06-21T00:00:00"/>
    <s v="Standard Class"/>
    <x v="149"/>
    <x v="149"/>
    <s v="Corporate"/>
    <s v="United States"/>
    <s v="Chicago"/>
    <x v="10"/>
    <n v="60653"/>
    <x v="2"/>
    <x v="15"/>
    <x v="1"/>
    <x v="8"/>
    <x v="15"/>
    <n v="5.9359999999999999"/>
    <s v="Low"/>
    <n v="7"/>
    <n v="0.8"/>
    <x v="1"/>
    <x v="3"/>
    <n v="-8.9039999999999999"/>
    <n v="-1.5"/>
    <n v="1"/>
  </r>
  <r>
    <n v="4543"/>
    <s v="CA-2017-113474"/>
    <d v="2017-03-30T00:00:00"/>
    <x v="3"/>
    <s v="Q1"/>
    <x v="42"/>
    <d v="2017-03-31T00:00:00"/>
    <s v="First Class"/>
    <x v="746"/>
    <x v="746"/>
    <s v="Consumer"/>
    <s v="United States"/>
    <s v="Oklahoma City"/>
    <x v="26"/>
    <n v="73120"/>
    <x v="2"/>
    <x v="1674"/>
    <x v="1"/>
    <x v="12"/>
    <x v="1662"/>
    <n v="325.86"/>
    <s v="High"/>
    <n v="2"/>
    <n v="0"/>
    <x v="0"/>
    <x v="0"/>
    <n v="149.8956"/>
    <n v="0.45999999999999996"/>
    <n v="0"/>
  </r>
  <r>
    <n v="4544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212"/>
    <x v="0"/>
    <x v="1"/>
    <x v="213"/>
    <n v="383.60700000000003"/>
    <s v="High"/>
    <n v="9"/>
    <n v="0.3"/>
    <x v="1"/>
    <x v="4"/>
    <n v="-5.4801000000000002"/>
    <n v="-1.4285714285714285E-2"/>
    <n v="1"/>
  </r>
  <r>
    <n v="4545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918"/>
    <x v="2"/>
    <x v="7"/>
    <x v="910"/>
    <n v="148.47999999999999"/>
    <s v="High"/>
    <n v="2"/>
    <n v="0.2"/>
    <x v="2"/>
    <x v="2"/>
    <n v="16.704000000000001"/>
    <n v="0.11250000000000002"/>
    <n v="0"/>
  </r>
  <r>
    <n v="4546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1485"/>
    <x v="2"/>
    <x v="7"/>
    <x v="1472"/>
    <n v="537.54399999999998"/>
    <s v="High"/>
    <n v="7"/>
    <n v="0.2"/>
    <x v="2"/>
    <x v="2"/>
    <n v="53.754399999999997"/>
    <n v="9.9999999999999992E-2"/>
    <n v="0"/>
  </r>
  <r>
    <n v="4547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308"/>
    <x v="1"/>
    <x v="8"/>
    <x v="308"/>
    <n v="1.9279999999999999"/>
    <s v="Low"/>
    <n v="2"/>
    <n v="0.8"/>
    <x v="1"/>
    <x v="3"/>
    <n v="-2.9883999999999999"/>
    <n v="-1.55"/>
    <n v="1"/>
  </r>
  <r>
    <n v="4548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649"/>
    <x v="1"/>
    <x v="6"/>
    <x v="649"/>
    <n v="6.9119999999999999"/>
    <s v="Low"/>
    <n v="3"/>
    <n v="0.2"/>
    <x v="2"/>
    <x v="2"/>
    <n v="0.69120000000000004"/>
    <n v="0.1"/>
    <n v="0"/>
  </r>
  <r>
    <n v="4549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275"/>
    <x v="0"/>
    <x v="5"/>
    <x v="275"/>
    <n v="7.76"/>
    <s v="Low"/>
    <n v="1"/>
    <n v="0.6"/>
    <x v="1"/>
    <x v="6"/>
    <n v="-2.1339999999999999"/>
    <n v="-0.27499999999999997"/>
    <n v="1"/>
  </r>
  <r>
    <n v="4550"/>
    <s v="CA-2015-126557"/>
    <d v="2015-07-12T00:00:00"/>
    <x v="1"/>
    <s v="Q3"/>
    <x v="38"/>
    <d v="2015-07-17T00:00:00"/>
    <s v="Second Class"/>
    <x v="210"/>
    <x v="210"/>
    <s v="Consumer"/>
    <s v="United States"/>
    <s v="Chicago"/>
    <x v="10"/>
    <n v="60610"/>
    <x v="2"/>
    <x v="517"/>
    <x v="2"/>
    <x v="7"/>
    <x v="517"/>
    <n v="659.16800000000001"/>
    <s v="High"/>
    <n v="4"/>
    <n v="0.2"/>
    <x v="2"/>
    <x v="2"/>
    <n v="49.437600000000003"/>
    <n v="7.5000000000000011E-2"/>
    <n v="0"/>
  </r>
  <r>
    <n v="4551"/>
    <s v="US-2017-107636"/>
    <d v="2017-04-30T00:00:00"/>
    <x v="3"/>
    <s v="Q2"/>
    <x v="4"/>
    <d v="2017-05-02T00:00:00"/>
    <s v="First Class"/>
    <x v="392"/>
    <x v="392"/>
    <s v="Consumer"/>
    <s v="United States"/>
    <s v="Manchester"/>
    <x v="29"/>
    <n v="6040"/>
    <x v="3"/>
    <x v="1675"/>
    <x v="1"/>
    <x v="2"/>
    <x v="1663"/>
    <n v="5.76"/>
    <s v="Low"/>
    <n v="2"/>
    <n v="0"/>
    <x v="0"/>
    <x v="0"/>
    <n v="2.8224"/>
    <n v="0.49000000000000005"/>
    <n v="0"/>
  </r>
  <r>
    <n v="4552"/>
    <s v="US-2014-165862"/>
    <d v="2014-07-13T00:00:00"/>
    <x v="2"/>
    <s v="Q3"/>
    <x v="39"/>
    <d v="2014-07-17T00:00:00"/>
    <s v="Standard Class"/>
    <x v="136"/>
    <x v="136"/>
    <s v="Corporate"/>
    <s v="United States"/>
    <s v="Los Angeles"/>
    <x v="1"/>
    <n v="90049"/>
    <x v="1"/>
    <x v="1213"/>
    <x v="0"/>
    <x v="3"/>
    <x v="1198"/>
    <n v="351.21600000000001"/>
    <s v="High"/>
    <n v="3"/>
    <n v="0.2"/>
    <x v="2"/>
    <x v="2"/>
    <n v="4.3902000000000001"/>
    <n v="1.2500000000000001E-2"/>
    <n v="0"/>
  </r>
  <r>
    <n v="4553"/>
    <s v="US-2014-106334"/>
    <d v="2014-12-27T00:00:00"/>
    <x v="2"/>
    <s v="Q4"/>
    <x v="20"/>
    <d v="2015-01-02T00:00:00"/>
    <s v="Standard Class"/>
    <x v="223"/>
    <x v="223"/>
    <s v="Consumer"/>
    <s v="United States"/>
    <s v="San Francisco"/>
    <x v="1"/>
    <n v="94122"/>
    <x v="1"/>
    <x v="370"/>
    <x v="0"/>
    <x v="1"/>
    <x v="371"/>
    <n v="230.28"/>
    <s v="High"/>
    <n v="3"/>
    <n v="0.2"/>
    <x v="2"/>
    <x v="2"/>
    <n v="23.027999999999999"/>
    <n v="9.9999999999999992E-2"/>
    <n v="0"/>
  </r>
  <r>
    <n v="4554"/>
    <s v="US-2014-106334"/>
    <d v="2014-12-27T00:00:00"/>
    <x v="2"/>
    <s v="Q4"/>
    <x v="20"/>
    <d v="2015-01-02T00:00:00"/>
    <s v="Standard Class"/>
    <x v="223"/>
    <x v="223"/>
    <s v="Consumer"/>
    <s v="United States"/>
    <s v="San Francisco"/>
    <x v="1"/>
    <n v="94122"/>
    <x v="1"/>
    <x v="630"/>
    <x v="1"/>
    <x v="10"/>
    <x v="630"/>
    <n v="12.84"/>
    <s v="Low"/>
    <n v="3"/>
    <n v="0"/>
    <x v="0"/>
    <x v="0"/>
    <n v="5.7779999999999996"/>
    <n v="0.44999999999999996"/>
    <n v="0"/>
  </r>
  <r>
    <n v="4555"/>
    <s v="CA-2016-101448"/>
    <d v="2016-02-27T00:00:00"/>
    <x v="0"/>
    <s v="Q1"/>
    <x v="47"/>
    <d v="2016-03-01T00:00:00"/>
    <s v="Second Class"/>
    <x v="518"/>
    <x v="518"/>
    <s v="Consumer"/>
    <s v="United States"/>
    <s v="La Crosse"/>
    <x v="6"/>
    <n v="54601"/>
    <x v="2"/>
    <x v="92"/>
    <x v="1"/>
    <x v="8"/>
    <x v="92"/>
    <n v="56.82"/>
    <s v="Medium"/>
    <n v="3"/>
    <n v="0"/>
    <x v="0"/>
    <x v="0"/>
    <n v="28.41"/>
    <n v="0.5"/>
    <n v="0"/>
  </r>
  <r>
    <n v="4556"/>
    <s v="CA-2015-130218"/>
    <d v="2015-03-23T00:00:00"/>
    <x v="1"/>
    <s v="Q1"/>
    <x v="29"/>
    <d v="2015-03-26T00:00:00"/>
    <s v="First Class"/>
    <x v="495"/>
    <x v="495"/>
    <s v="Consumer"/>
    <s v="United States"/>
    <s v="Florence"/>
    <x v="20"/>
    <n v="29501"/>
    <x v="0"/>
    <x v="550"/>
    <x v="1"/>
    <x v="13"/>
    <x v="128"/>
    <n v="31.56"/>
    <s v="Medium"/>
    <n v="4"/>
    <n v="0"/>
    <x v="0"/>
    <x v="0"/>
    <n v="14.202"/>
    <n v="0.45"/>
    <n v="0"/>
  </r>
  <r>
    <n v="4557"/>
    <s v="CA-2015-130218"/>
    <d v="2015-03-23T00:00:00"/>
    <x v="1"/>
    <s v="Q1"/>
    <x v="29"/>
    <d v="2015-03-26T00:00:00"/>
    <s v="First Class"/>
    <x v="495"/>
    <x v="495"/>
    <s v="Consumer"/>
    <s v="United States"/>
    <s v="Florence"/>
    <x v="20"/>
    <n v="29501"/>
    <x v="0"/>
    <x v="700"/>
    <x v="1"/>
    <x v="4"/>
    <x v="700"/>
    <n v="27.92"/>
    <s v="Medium"/>
    <n v="4"/>
    <n v="0"/>
    <x v="0"/>
    <x v="0"/>
    <n v="0.55840000000000001"/>
    <n v="0.02"/>
    <n v="0"/>
  </r>
  <r>
    <n v="4558"/>
    <s v="US-2017-117331"/>
    <d v="2017-10-21T00:00:00"/>
    <x v="3"/>
    <s v="Q4"/>
    <x v="13"/>
    <d v="2017-10-28T00:00:00"/>
    <s v="Standard Class"/>
    <x v="444"/>
    <x v="444"/>
    <s v="Consumer"/>
    <s v="United States"/>
    <s v="Glendale"/>
    <x v="16"/>
    <n v="85301"/>
    <x v="1"/>
    <x v="697"/>
    <x v="1"/>
    <x v="8"/>
    <x v="697"/>
    <n v="8.5589999999999993"/>
    <s v="Low"/>
    <n v="1"/>
    <n v="0.7"/>
    <x v="1"/>
    <x v="5"/>
    <n v="-6.5618999999999996"/>
    <n v="-0.76666666666666672"/>
    <n v="1"/>
  </r>
  <r>
    <n v="4559"/>
    <s v="CA-2014-127383"/>
    <d v="2014-12-31T00:00:00"/>
    <x v="2"/>
    <s v="Q4"/>
    <x v="20"/>
    <d v="2015-01-05T00:00:00"/>
    <s v="Standard Class"/>
    <x v="698"/>
    <x v="698"/>
    <s v="Corporate"/>
    <s v="United States"/>
    <s v="El Paso"/>
    <x v="5"/>
    <n v="79907"/>
    <x v="2"/>
    <x v="1503"/>
    <x v="1"/>
    <x v="12"/>
    <x v="153"/>
    <n v="49.567999999999998"/>
    <s v="Medium"/>
    <n v="2"/>
    <n v="0.2"/>
    <x v="2"/>
    <x v="2"/>
    <n v="17.968399999999999"/>
    <n v="0.36249999999999999"/>
    <n v="0"/>
  </r>
  <r>
    <n v="4560"/>
    <s v="CA-2014-110219"/>
    <d v="2014-05-05T00:00:00"/>
    <x v="2"/>
    <s v="Q2"/>
    <x v="8"/>
    <d v="2014-05-08T00:00:00"/>
    <s v="First Class"/>
    <x v="12"/>
    <x v="12"/>
    <s v="Consumer"/>
    <s v="United States"/>
    <s v="San Antonio"/>
    <x v="5"/>
    <n v="78207"/>
    <x v="2"/>
    <x v="64"/>
    <x v="0"/>
    <x v="1"/>
    <x v="64"/>
    <n v="127.869"/>
    <s v="High"/>
    <n v="3"/>
    <n v="0.3"/>
    <x v="1"/>
    <x v="4"/>
    <n v="-9.1334999999999997"/>
    <n v="-7.1428571428571425E-2"/>
    <n v="1"/>
  </r>
  <r>
    <n v="4561"/>
    <s v="CA-2015-118871"/>
    <d v="2015-12-04T00:00:00"/>
    <x v="1"/>
    <s v="Q4"/>
    <x v="14"/>
    <d v="2015-12-09T00:00:00"/>
    <s v="Second Class"/>
    <x v="447"/>
    <x v="447"/>
    <s v="Corporate"/>
    <s v="United States"/>
    <s v="Los Angeles"/>
    <x v="1"/>
    <n v="90049"/>
    <x v="1"/>
    <x v="231"/>
    <x v="1"/>
    <x v="12"/>
    <x v="232"/>
    <n v="271.44"/>
    <s v="High"/>
    <n v="3"/>
    <n v="0"/>
    <x v="0"/>
    <x v="0"/>
    <n v="122.148"/>
    <n v="0.45"/>
    <n v="0"/>
  </r>
  <r>
    <n v="4562"/>
    <s v="CA-2015-118871"/>
    <d v="2015-12-04T00:00:00"/>
    <x v="1"/>
    <s v="Q4"/>
    <x v="14"/>
    <d v="2015-12-09T00:00:00"/>
    <s v="Second Class"/>
    <x v="447"/>
    <x v="447"/>
    <s v="Corporate"/>
    <s v="United States"/>
    <s v="Los Angeles"/>
    <x v="1"/>
    <n v="90049"/>
    <x v="1"/>
    <x v="1676"/>
    <x v="2"/>
    <x v="7"/>
    <x v="1664"/>
    <n v="110.352"/>
    <s v="Medium"/>
    <n v="3"/>
    <n v="0.2"/>
    <x v="2"/>
    <x v="2"/>
    <n v="8.2764000000000006"/>
    <n v="7.4999999999999997E-2"/>
    <n v="0"/>
  </r>
  <r>
    <n v="4563"/>
    <s v="CA-2015-118871"/>
    <d v="2015-12-04T00:00:00"/>
    <x v="1"/>
    <s v="Q4"/>
    <x v="14"/>
    <d v="2015-12-09T00:00:00"/>
    <s v="Second Class"/>
    <x v="447"/>
    <x v="447"/>
    <s v="Corporate"/>
    <s v="United States"/>
    <s v="Los Angeles"/>
    <x v="1"/>
    <n v="90049"/>
    <x v="1"/>
    <x v="1677"/>
    <x v="0"/>
    <x v="5"/>
    <x v="1665"/>
    <n v="36.4"/>
    <s v="Medium"/>
    <n v="5"/>
    <n v="0"/>
    <x v="0"/>
    <x v="0"/>
    <n v="13.832000000000001"/>
    <n v="0.38000000000000006"/>
    <n v="0"/>
  </r>
  <r>
    <n v="4564"/>
    <s v="CA-2017-129490"/>
    <d v="2017-09-26T00:00:00"/>
    <x v="3"/>
    <s v="Q3"/>
    <x v="15"/>
    <d v="2017-09-30T00:00:00"/>
    <s v="Standard Class"/>
    <x v="319"/>
    <x v="319"/>
    <s v="Home Office"/>
    <s v="United States"/>
    <s v="Miramar"/>
    <x v="2"/>
    <n v="33023"/>
    <x v="0"/>
    <x v="1585"/>
    <x v="0"/>
    <x v="1"/>
    <x v="1576"/>
    <n v="419.13600000000002"/>
    <s v="High"/>
    <n v="4"/>
    <n v="0.2"/>
    <x v="2"/>
    <x v="2"/>
    <n v="-57.6312"/>
    <n v="-0.13749999999999998"/>
    <n v="1"/>
  </r>
  <r>
    <n v="4565"/>
    <s v="CA-2014-101175"/>
    <d v="2014-12-09T00:00:00"/>
    <x v="2"/>
    <s v="Q4"/>
    <x v="20"/>
    <d v="2014-12-14T00:00:00"/>
    <s v="Standard Class"/>
    <x v="678"/>
    <x v="678"/>
    <s v="Corporate"/>
    <s v="United States"/>
    <s v="Mesa"/>
    <x v="16"/>
    <n v="85204"/>
    <x v="1"/>
    <x v="1018"/>
    <x v="1"/>
    <x v="4"/>
    <x v="1009"/>
    <n v="100.70399999999999"/>
    <s v="Medium"/>
    <n v="6"/>
    <n v="0.2"/>
    <x v="2"/>
    <x v="2"/>
    <n v="-1.2587999999999999"/>
    <n v="-1.2500000000000001E-2"/>
    <n v="1"/>
  </r>
  <r>
    <n v="4566"/>
    <s v="US-2017-149510"/>
    <d v="2017-12-03T00:00:00"/>
    <x v="3"/>
    <s v="Q4"/>
    <x v="22"/>
    <d v="2017-12-10T00:00:00"/>
    <s v="Standard Class"/>
    <x v="430"/>
    <x v="430"/>
    <s v="Consumer"/>
    <s v="United States"/>
    <s v="Fayetteville"/>
    <x v="3"/>
    <n v="28314"/>
    <x v="0"/>
    <x v="551"/>
    <x v="1"/>
    <x v="9"/>
    <x v="550"/>
    <n v="45.216000000000001"/>
    <s v="Medium"/>
    <n v="3"/>
    <n v="0.2"/>
    <x v="2"/>
    <x v="2"/>
    <n v="4.5216000000000003"/>
    <n v="0.1"/>
    <n v="0"/>
  </r>
  <r>
    <n v="4567"/>
    <s v="US-2017-149510"/>
    <d v="2017-12-03T00:00:00"/>
    <x v="3"/>
    <s v="Q4"/>
    <x v="22"/>
    <d v="2017-12-10T00:00:00"/>
    <s v="Standard Class"/>
    <x v="430"/>
    <x v="430"/>
    <s v="Consumer"/>
    <s v="United States"/>
    <s v="Fayetteville"/>
    <x v="3"/>
    <n v="28314"/>
    <x v="0"/>
    <x v="1399"/>
    <x v="1"/>
    <x v="8"/>
    <x v="1386"/>
    <n v="28.782"/>
    <s v="Medium"/>
    <n v="6"/>
    <n v="0.7"/>
    <x v="1"/>
    <x v="5"/>
    <n v="-21.1068"/>
    <n v="-0.73333333333333328"/>
    <n v="1"/>
  </r>
  <r>
    <n v="4568"/>
    <s v="US-2017-149510"/>
    <d v="2017-12-03T00:00:00"/>
    <x v="3"/>
    <s v="Q4"/>
    <x v="22"/>
    <d v="2017-12-10T00:00:00"/>
    <s v="Standard Class"/>
    <x v="430"/>
    <x v="430"/>
    <s v="Consumer"/>
    <s v="United States"/>
    <s v="Fayetteville"/>
    <x v="3"/>
    <n v="28314"/>
    <x v="0"/>
    <x v="827"/>
    <x v="1"/>
    <x v="10"/>
    <x v="823"/>
    <n v="24.448"/>
    <s v="Low"/>
    <n v="4"/>
    <n v="0.2"/>
    <x v="2"/>
    <x v="2"/>
    <n v="8.8623999999999992"/>
    <n v="0.36249999999999993"/>
    <n v="0"/>
  </r>
  <r>
    <n v="4569"/>
    <s v="CA-2015-111990"/>
    <d v="2015-11-08T00:00:00"/>
    <x v="1"/>
    <s v="Q4"/>
    <x v="6"/>
    <d v="2015-11-13T00:00:00"/>
    <s v="Standard Class"/>
    <x v="551"/>
    <x v="551"/>
    <s v="Consumer"/>
    <s v="United States"/>
    <s v="Houston"/>
    <x v="5"/>
    <n v="77095"/>
    <x v="2"/>
    <x v="44"/>
    <x v="1"/>
    <x v="8"/>
    <x v="44"/>
    <n v="10.476000000000001"/>
    <s v="Low"/>
    <n v="6"/>
    <n v="0.8"/>
    <x v="1"/>
    <x v="3"/>
    <n v="-17.285399999999999"/>
    <n v="-1.6499999999999997"/>
    <n v="1"/>
  </r>
  <r>
    <n v="4570"/>
    <s v="CA-2014-169460"/>
    <d v="2014-04-19T00:00:00"/>
    <x v="2"/>
    <s v="Q2"/>
    <x v="41"/>
    <d v="2014-04-21T00:00:00"/>
    <s v="Second Class"/>
    <x v="376"/>
    <x v="376"/>
    <s v="Home Office"/>
    <s v="United States"/>
    <s v="San Jose"/>
    <x v="1"/>
    <n v="95123"/>
    <x v="1"/>
    <x v="216"/>
    <x v="0"/>
    <x v="5"/>
    <x v="1579"/>
    <n v="76.14"/>
    <s v="Medium"/>
    <n v="3"/>
    <n v="0"/>
    <x v="0"/>
    <x v="0"/>
    <n v="26.649000000000001"/>
    <n v="0.35000000000000003"/>
    <n v="0"/>
  </r>
  <r>
    <n v="4571"/>
    <s v="US-2015-152128"/>
    <d v="2015-05-25T00:00:00"/>
    <x v="1"/>
    <s v="Q2"/>
    <x v="33"/>
    <d v="2015-05-27T00:00:00"/>
    <s v="Second Class"/>
    <x v="134"/>
    <x v="134"/>
    <s v="Home Office"/>
    <s v="United States"/>
    <s v="Wichita"/>
    <x v="41"/>
    <n v="67212"/>
    <x v="2"/>
    <x v="1658"/>
    <x v="1"/>
    <x v="6"/>
    <x v="1646"/>
    <n v="21.24"/>
    <s v="Low"/>
    <n v="3"/>
    <n v="0"/>
    <x v="0"/>
    <x v="0"/>
    <n v="8.0711999999999993"/>
    <n v="0.38"/>
    <n v="0"/>
  </r>
  <r>
    <n v="4572"/>
    <s v="US-2015-152128"/>
    <d v="2015-05-25T00:00:00"/>
    <x v="1"/>
    <s v="Q2"/>
    <x v="33"/>
    <d v="2015-05-27T00:00:00"/>
    <s v="Second Class"/>
    <x v="134"/>
    <x v="134"/>
    <s v="Home Office"/>
    <s v="United States"/>
    <s v="Wichita"/>
    <x v="41"/>
    <n v="67212"/>
    <x v="2"/>
    <x v="1242"/>
    <x v="1"/>
    <x v="8"/>
    <x v="1225"/>
    <n v="127.96"/>
    <s v="High"/>
    <n v="2"/>
    <n v="0"/>
    <x v="0"/>
    <x v="0"/>
    <n v="60.141199999999998"/>
    <n v="0.47000000000000003"/>
    <n v="0"/>
  </r>
  <r>
    <n v="4573"/>
    <s v="CA-2017-126662"/>
    <d v="2017-07-17T00:00:00"/>
    <x v="3"/>
    <s v="Q3"/>
    <x v="10"/>
    <d v="2017-07-21T00:00:00"/>
    <s v="Standard Class"/>
    <x v="437"/>
    <x v="437"/>
    <s v="Home Office"/>
    <s v="United States"/>
    <s v="Los Angeles"/>
    <x v="1"/>
    <n v="90036"/>
    <x v="1"/>
    <x v="851"/>
    <x v="2"/>
    <x v="16"/>
    <x v="844"/>
    <n v="479.98399999999998"/>
    <s v="High"/>
    <n v="2"/>
    <n v="0.2"/>
    <x v="2"/>
    <x v="2"/>
    <n v="89.997"/>
    <n v="0.1875"/>
    <n v="0"/>
  </r>
  <r>
    <n v="4574"/>
    <s v="CA-2016-139395"/>
    <d v="2016-12-12T00:00:00"/>
    <x v="0"/>
    <s v="Q4"/>
    <x v="5"/>
    <d v="2016-12-18T00:00:00"/>
    <s v="Standard Class"/>
    <x v="377"/>
    <x v="377"/>
    <s v="Home Office"/>
    <s v="United States"/>
    <s v="Jackson"/>
    <x v="12"/>
    <n v="49201"/>
    <x v="2"/>
    <x v="539"/>
    <x v="2"/>
    <x v="7"/>
    <x v="539"/>
    <n v="657.93"/>
    <s v="High"/>
    <n v="7"/>
    <n v="0"/>
    <x v="0"/>
    <x v="0"/>
    <n v="184.22040000000001"/>
    <n v="0.28000000000000003"/>
    <n v="0"/>
  </r>
  <r>
    <n v="4575"/>
    <s v="CA-2016-139395"/>
    <d v="2016-12-12T00:00:00"/>
    <x v="0"/>
    <s v="Q4"/>
    <x v="5"/>
    <d v="2016-12-18T00:00:00"/>
    <s v="Standard Class"/>
    <x v="377"/>
    <x v="377"/>
    <s v="Home Office"/>
    <s v="United States"/>
    <s v="Jackson"/>
    <x v="12"/>
    <n v="49201"/>
    <x v="2"/>
    <x v="904"/>
    <x v="0"/>
    <x v="5"/>
    <x v="896"/>
    <n v="33.479999999999997"/>
    <s v="Medium"/>
    <n v="4"/>
    <n v="0"/>
    <x v="0"/>
    <x v="0"/>
    <n v="8.7048000000000005"/>
    <n v="0.26000000000000006"/>
    <n v="0"/>
  </r>
  <r>
    <n v="4576"/>
    <s v="CA-2016-139395"/>
    <d v="2016-12-12T00:00:00"/>
    <x v="0"/>
    <s v="Q4"/>
    <x v="5"/>
    <d v="2016-12-18T00:00:00"/>
    <s v="Standard Class"/>
    <x v="377"/>
    <x v="377"/>
    <s v="Home Office"/>
    <s v="United States"/>
    <s v="Jackson"/>
    <x v="12"/>
    <n v="49201"/>
    <x v="2"/>
    <x v="324"/>
    <x v="1"/>
    <x v="6"/>
    <x v="324"/>
    <n v="13.9"/>
    <s v="Low"/>
    <n v="5"/>
    <n v="0"/>
    <x v="0"/>
    <x v="0"/>
    <n v="3.6139999999999999"/>
    <n v="0.26"/>
    <n v="0"/>
  </r>
  <r>
    <n v="4577"/>
    <s v="CA-2016-139395"/>
    <d v="2016-12-12T00:00:00"/>
    <x v="0"/>
    <s v="Q4"/>
    <x v="5"/>
    <d v="2016-12-18T00:00:00"/>
    <s v="Standard Class"/>
    <x v="377"/>
    <x v="377"/>
    <s v="Home Office"/>
    <s v="United States"/>
    <s v="Jackson"/>
    <x v="12"/>
    <n v="49201"/>
    <x v="2"/>
    <x v="1678"/>
    <x v="1"/>
    <x v="4"/>
    <x v="1666"/>
    <n v="26.86"/>
    <s v="Medium"/>
    <n v="2"/>
    <n v="0"/>
    <x v="0"/>
    <x v="0"/>
    <n v="6.7149999999999999"/>
    <n v="0.25"/>
    <n v="0"/>
  </r>
  <r>
    <n v="4578"/>
    <s v="US-2014-121734"/>
    <d v="2014-04-11T00:00:00"/>
    <x v="2"/>
    <s v="Q2"/>
    <x v="41"/>
    <d v="2014-04-16T00:00:00"/>
    <s v="Standard Class"/>
    <x v="339"/>
    <x v="339"/>
    <s v="Consumer"/>
    <s v="United States"/>
    <s v="Lewiston"/>
    <x v="45"/>
    <n v="83501"/>
    <x v="1"/>
    <x v="1224"/>
    <x v="1"/>
    <x v="8"/>
    <x v="1208"/>
    <n v="9.5839999999999996"/>
    <s v="Low"/>
    <n v="1"/>
    <n v="0.2"/>
    <x v="2"/>
    <x v="2"/>
    <n v="3.3544"/>
    <n v="0.35000000000000003"/>
    <n v="0"/>
  </r>
  <r>
    <n v="4579"/>
    <s v="CA-2015-110947"/>
    <d v="2015-06-09T00:00:00"/>
    <x v="1"/>
    <s v="Q2"/>
    <x v="40"/>
    <d v="2015-06-15T00:00:00"/>
    <s v="Standard Class"/>
    <x v="326"/>
    <x v="326"/>
    <s v="Home Office"/>
    <s v="United States"/>
    <s v="Hampton"/>
    <x v="17"/>
    <n v="23666"/>
    <x v="0"/>
    <x v="443"/>
    <x v="1"/>
    <x v="8"/>
    <x v="443"/>
    <n v="113.1"/>
    <s v="Medium"/>
    <n v="3"/>
    <n v="0"/>
    <x v="0"/>
    <x v="0"/>
    <n v="56.55"/>
    <n v="0.5"/>
    <n v="0"/>
  </r>
  <r>
    <n v="4580"/>
    <s v="US-2014-150126"/>
    <d v="2014-07-27T00:00:00"/>
    <x v="2"/>
    <s v="Q3"/>
    <x v="39"/>
    <d v="2014-08-02T00:00:00"/>
    <s v="Standard Class"/>
    <x v="442"/>
    <x v="442"/>
    <s v="Corporate"/>
    <s v="United States"/>
    <s v="New York City"/>
    <x v="15"/>
    <n v="10035"/>
    <x v="3"/>
    <x v="1679"/>
    <x v="1"/>
    <x v="10"/>
    <x v="1667"/>
    <n v="65.78"/>
    <s v="Medium"/>
    <n v="11"/>
    <n v="0"/>
    <x v="0"/>
    <x v="0"/>
    <n v="32.232199999999999"/>
    <n v="0.49"/>
    <n v="0"/>
  </r>
  <r>
    <n v="4581"/>
    <s v="CA-2015-164427"/>
    <d v="2015-07-31T00:00:00"/>
    <x v="1"/>
    <s v="Q3"/>
    <x v="38"/>
    <d v="2015-08-06T00:00:00"/>
    <s v="Standard Class"/>
    <x v="153"/>
    <x v="153"/>
    <s v="Corporate"/>
    <s v="United States"/>
    <s v="Hattiesburg"/>
    <x v="35"/>
    <n v="39401"/>
    <x v="0"/>
    <x v="240"/>
    <x v="2"/>
    <x v="11"/>
    <x v="241"/>
    <n v="239.7"/>
    <s v="High"/>
    <n v="6"/>
    <n v="0"/>
    <x v="0"/>
    <x v="0"/>
    <n v="105.468"/>
    <n v="0.44000000000000006"/>
    <n v="0"/>
  </r>
  <r>
    <n v="4582"/>
    <s v="CA-2016-120250"/>
    <d v="2016-09-19T00:00:00"/>
    <x v="0"/>
    <s v="Q3"/>
    <x v="21"/>
    <d v="2016-09-22T00:00:00"/>
    <s v="First Class"/>
    <x v="399"/>
    <x v="399"/>
    <s v="Home Office"/>
    <s v="United States"/>
    <s v="Philadelphia"/>
    <x v="9"/>
    <n v="19140"/>
    <x v="3"/>
    <x v="1680"/>
    <x v="0"/>
    <x v="5"/>
    <x v="1668"/>
    <n v="25.632000000000001"/>
    <s v="Medium"/>
    <n v="3"/>
    <n v="0.2"/>
    <x v="2"/>
    <x v="2"/>
    <n v="3.8448000000000002"/>
    <n v="0.15"/>
    <n v="0"/>
  </r>
  <r>
    <n v="4583"/>
    <s v="CA-2016-121993"/>
    <d v="2016-06-10T00:00:00"/>
    <x v="0"/>
    <s v="Q2"/>
    <x v="1"/>
    <d v="2016-06-12T00:00:00"/>
    <s v="First Class"/>
    <x v="677"/>
    <x v="677"/>
    <s v="Consumer"/>
    <s v="United States"/>
    <s v="Philadelphia"/>
    <x v="9"/>
    <n v="19140"/>
    <x v="3"/>
    <x v="1647"/>
    <x v="1"/>
    <x v="2"/>
    <x v="1636"/>
    <n v="23.616"/>
    <s v="Low"/>
    <n v="8"/>
    <n v="0.2"/>
    <x v="2"/>
    <x v="2"/>
    <n v="7.9703999999999997"/>
    <n v="0.33749999999999997"/>
    <n v="0"/>
  </r>
  <r>
    <n v="4584"/>
    <s v="US-2016-100405"/>
    <d v="2016-08-26T00:00:00"/>
    <x v="0"/>
    <s v="Q3"/>
    <x v="28"/>
    <d v="2016-08-28T00:00:00"/>
    <s v="Second Class"/>
    <x v="747"/>
    <x v="747"/>
    <s v="Corporate"/>
    <s v="United States"/>
    <s v="Los Angeles"/>
    <x v="1"/>
    <n v="90045"/>
    <x v="1"/>
    <x v="105"/>
    <x v="1"/>
    <x v="6"/>
    <x v="105"/>
    <n v="8.26"/>
    <s v="Low"/>
    <n v="2"/>
    <n v="0"/>
    <x v="0"/>
    <x v="0"/>
    <n v="3.7995999999999999"/>
    <n v="0.46"/>
    <n v="0"/>
  </r>
  <r>
    <n v="4585"/>
    <s v="US-2017-163790"/>
    <d v="2017-11-02T00:00:00"/>
    <x v="3"/>
    <s v="Q4"/>
    <x v="23"/>
    <d v="2017-11-04T00:00:00"/>
    <s v="Second Class"/>
    <x v="644"/>
    <x v="644"/>
    <s v="Home Office"/>
    <s v="United States"/>
    <s v="Danville"/>
    <x v="1"/>
    <n v="94526"/>
    <x v="1"/>
    <x v="466"/>
    <x v="1"/>
    <x v="12"/>
    <x v="467"/>
    <n v="76.58"/>
    <s v="Medium"/>
    <n v="7"/>
    <n v="0"/>
    <x v="0"/>
    <x v="0"/>
    <n v="38.29"/>
    <n v="0.5"/>
    <n v="0"/>
  </r>
  <r>
    <n v="4586"/>
    <s v="US-2017-163790"/>
    <d v="2017-11-02T00:00:00"/>
    <x v="3"/>
    <s v="Q4"/>
    <x v="23"/>
    <d v="2017-11-04T00:00:00"/>
    <s v="Second Class"/>
    <x v="644"/>
    <x v="644"/>
    <s v="Home Office"/>
    <s v="United States"/>
    <s v="Danville"/>
    <x v="1"/>
    <n v="94526"/>
    <x v="1"/>
    <x v="1273"/>
    <x v="1"/>
    <x v="6"/>
    <x v="1258"/>
    <n v="8.8000000000000007"/>
    <s v="Low"/>
    <n v="5"/>
    <n v="0"/>
    <x v="0"/>
    <x v="0"/>
    <n v="4.2240000000000002"/>
    <n v="0.48"/>
    <n v="0"/>
  </r>
  <r>
    <n v="4587"/>
    <s v="US-2017-163790"/>
    <d v="2017-11-02T00:00:00"/>
    <x v="3"/>
    <s v="Q4"/>
    <x v="23"/>
    <d v="2017-11-04T00:00:00"/>
    <s v="Second Class"/>
    <x v="644"/>
    <x v="644"/>
    <s v="Home Office"/>
    <s v="United States"/>
    <s v="Danville"/>
    <x v="1"/>
    <n v="94526"/>
    <x v="1"/>
    <x v="1681"/>
    <x v="1"/>
    <x v="8"/>
    <x v="1669"/>
    <n v="590.35199999999998"/>
    <s v="High"/>
    <n v="6"/>
    <n v="0.2"/>
    <x v="2"/>
    <x v="2"/>
    <n v="206.6232"/>
    <n v="0.35000000000000003"/>
    <n v="0"/>
  </r>
  <r>
    <n v="4588"/>
    <s v="US-2017-163790"/>
    <d v="2017-11-02T00:00:00"/>
    <x v="3"/>
    <s v="Q4"/>
    <x v="23"/>
    <d v="2017-11-04T00:00:00"/>
    <s v="Second Class"/>
    <x v="644"/>
    <x v="644"/>
    <s v="Home Office"/>
    <s v="United States"/>
    <s v="Danville"/>
    <x v="1"/>
    <n v="94526"/>
    <x v="1"/>
    <x v="802"/>
    <x v="1"/>
    <x v="13"/>
    <x v="800"/>
    <n v="5.58"/>
    <s v="Low"/>
    <n v="3"/>
    <n v="0"/>
    <x v="0"/>
    <x v="0"/>
    <n v="0.16739999999999999"/>
    <n v="0.03"/>
    <n v="0"/>
  </r>
  <r>
    <n v="4589"/>
    <s v="US-2017-163790"/>
    <d v="2017-11-02T00:00:00"/>
    <x v="3"/>
    <s v="Q4"/>
    <x v="23"/>
    <d v="2017-11-04T00:00:00"/>
    <s v="Second Class"/>
    <x v="644"/>
    <x v="644"/>
    <s v="Home Office"/>
    <s v="United States"/>
    <s v="Danville"/>
    <x v="1"/>
    <n v="94526"/>
    <x v="1"/>
    <x v="1682"/>
    <x v="0"/>
    <x v="5"/>
    <x v="1670"/>
    <n v="25.02"/>
    <s v="Medium"/>
    <n v="3"/>
    <n v="0"/>
    <x v="0"/>
    <x v="0"/>
    <n v="10.5084"/>
    <n v="0.42"/>
    <n v="0"/>
  </r>
  <r>
    <n v="4590"/>
    <s v="US-2017-163790"/>
    <d v="2017-11-02T00:00:00"/>
    <x v="3"/>
    <s v="Q4"/>
    <x v="23"/>
    <d v="2017-11-04T00:00:00"/>
    <s v="Second Class"/>
    <x v="644"/>
    <x v="644"/>
    <s v="Home Office"/>
    <s v="United States"/>
    <s v="Danville"/>
    <x v="1"/>
    <n v="94526"/>
    <x v="1"/>
    <x v="557"/>
    <x v="1"/>
    <x v="4"/>
    <x v="556"/>
    <n v="452.55"/>
    <s v="High"/>
    <n v="7"/>
    <n v="0"/>
    <x v="0"/>
    <x v="0"/>
    <n v="22.627500000000001"/>
    <n v="0.05"/>
    <n v="0"/>
  </r>
  <r>
    <n v="4591"/>
    <s v="CA-2016-129868"/>
    <d v="2016-12-26T00:00:00"/>
    <x v="0"/>
    <s v="Q4"/>
    <x v="5"/>
    <d v="2016-12-31T00:00:00"/>
    <s v="Standard Class"/>
    <x v="305"/>
    <x v="305"/>
    <s v="Corporate"/>
    <s v="United States"/>
    <s v="Los Angeles"/>
    <x v="1"/>
    <n v="90004"/>
    <x v="1"/>
    <x v="1280"/>
    <x v="1"/>
    <x v="14"/>
    <x v="1265"/>
    <n v="17.760000000000002"/>
    <s v="Low"/>
    <n v="2"/>
    <n v="0"/>
    <x v="0"/>
    <x v="0"/>
    <n v="4.9728000000000003"/>
    <n v="0.27999999999999997"/>
    <n v="0"/>
  </r>
  <r>
    <n v="4592"/>
    <s v="CA-2016-129868"/>
    <d v="2016-12-26T00:00:00"/>
    <x v="0"/>
    <s v="Q4"/>
    <x v="5"/>
    <d v="2016-12-31T00:00:00"/>
    <s v="Standard Class"/>
    <x v="305"/>
    <x v="305"/>
    <s v="Corporate"/>
    <s v="United States"/>
    <s v="Los Angeles"/>
    <x v="1"/>
    <n v="90004"/>
    <x v="1"/>
    <x v="7"/>
    <x v="2"/>
    <x v="7"/>
    <x v="7"/>
    <n v="302.38400000000001"/>
    <s v="High"/>
    <n v="2"/>
    <n v="0.2"/>
    <x v="2"/>
    <x v="2"/>
    <n v="30.238399999999999"/>
    <n v="9.9999999999999992E-2"/>
    <n v="0"/>
  </r>
  <r>
    <n v="4593"/>
    <s v="CA-2016-129868"/>
    <d v="2016-12-26T00:00:00"/>
    <x v="0"/>
    <s v="Q4"/>
    <x v="5"/>
    <d v="2016-12-31T00:00:00"/>
    <s v="Standard Class"/>
    <x v="305"/>
    <x v="305"/>
    <s v="Corporate"/>
    <s v="United States"/>
    <s v="Los Angeles"/>
    <x v="1"/>
    <n v="90004"/>
    <x v="1"/>
    <x v="1534"/>
    <x v="0"/>
    <x v="1"/>
    <x v="1522"/>
    <n v="146.352"/>
    <s v="High"/>
    <n v="3"/>
    <n v="0.2"/>
    <x v="2"/>
    <x v="2"/>
    <n v="-5.4882"/>
    <n v="-3.7499999999999999E-2"/>
    <n v="1"/>
  </r>
  <r>
    <n v="4594"/>
    <s v="CA-2016-129868"/>
    <d v="2016-12-26T00:00:00"/>
    <x v="0"/>
    <s v="Q4"/>
    <x v="5"/>
    <d v="2016-12-31T00:00:00"/>
    <s v="Standard Class"/>
    <x v="305"/>
    <x v="305"/>
    <s v="Corporate"/>
    <s v="United States"/>
    <s v="Los Angeles"/>
    <x v="1"/>
    <n v="90004"/>
    <x v="1"/>
    <x v="1683"/>
    <x v="1"/>
    <x v="9"/>
    <x v="1671"/>
    <n v="7.9"/>
    <s v="Low"/>
    <n v="2"/>
    <n v="0"/>
    <x v="0"/>
    <x v="0"/>
    <n v="2.0539999999999998"/>
    <n v="0.25999999999999995"/>
    <n v="0"/>
  </r>
  <r>
    <n v="4595"/>
    <s v="CA-2016-129868"/>
    <d v="2016-12-26T00:00:00"/>
    <x v="0"/>
    <s v="Q4"/>
    <x v="5"/>
    <d v="2016-12-31T00:00:00"/>
    <s v="Standard Class"/>
    <x v="305"/>
    <x v="305"/>
    <s v="Corporate"/>
    <s v="United States"/>
    <s v="Los Angeles"/>
    <x v="1"/>
    <n v="90004"/>
    <x v="1"/>
    <x v="215"/>
    <x v="0"/>
    <x v="3"/>
    <x v="216"/>
    <n v="902.71199999999999"/>
    <s v="High"/>
    <n v="3"/>
    <n v="0.2"/>
    <x v="2"/>
    <x v="2"/>
    <n v="33.851700000000001"/>
    <n v="3.7499999999999999E-2"/>
    <n v="0"/>
  </r>
  <r>
    <n v="4596"/>
    <s v="CA-2016-129868"/>
    <d v="2016-12-26T00:00:00"/>
    <x v="0"/>
    <s v="Q4"/>
    <x v="5"/>
    <d v="2016-12-31T00:00:00"/>
    <s v="Standard Class"/>
    <x v="305"/>
    <x v="305"/>
    <s v="Corporate"/>
    <s v="United States"/>
    <s v="Los Angeles"/>
    <x v="1"/>
    <n v="90004"/>
    <x v="1"/>
    <x v="646"/>
    <x v="1"/>
    <x v="6"/>
    <x v="646"/>
    <n v="53.97"/>
    <s v="Medium"/>
    <n v="3"/>
    <n v="0"/>
    <x v="0"/>
    <x v="0"/>
    <n v="15.111599999999999"/>
    <n v="0.27999999999999997"/>
    <n v="0"/>
  </r>
  <r>
    <n v="4597"/>
    <s v="CA-2016-140564"/>
    <d v="2016-12-05T00:00:00"/>
    <x v="0"/>
    <s v="Q4"/>
    <x v="5"/>
    <d v="2016-12-10T00:00:00"/>
    <s v="Second Class"/>
    <x v="679"/>
    <x v="679"/>
    <s v="Home Office"/>
    <s v="United States"/>
    <s v="Washington"/>
    <x v="40"/>
    <n v="20016"/>
    <x v="3"/>
    <x v="753"/>
    <x v="1"/>
    <x v="6"/>
    <x v="751"/>
    <n v="33.92"/>
    <s v="Medium"/>
    <n v="8"/>
    <n v="0"/>
    <x v="0"/>
    <x v="0"/>
    <n v="13.2288"/>
    <n v="0.38999999999999996"/>
    <n v="0"/>
  </r>
  <r>
    <n v="4598"/>
    <s v="US-2017-169502"/>
    <d v="2017-08-28T00:00:00"/>
    <x v="3"/>
    <s v="Q3"/>
    <x v="43"/>
    <d v="2017-09-01T00:00:00"/>
    <s v="Standard Class"/>
    <x v="377"/>
    <x v="377"/>
    <s v="Home Office"/>
    <s v="United States"/>
    <s v="Milwaukee"/>
    <x v="6"/>
    <n v="53209"/>
    <x v="2"/>
    <x v="515"/>
    <x v="1"/>
    <x v="14"/>
    <x v="515"/>
    <n v="21.81"/>
    <s v="Low"/>
    <n v="3"/>
    <n v="0"/>
    <x v="0"/>
    <x v="0"/>
    <n v="5.8887"/>
    <n v="0.27"/>
    <n v="0"/>
  </r>
  <r>
    <n v="4599"/>
    <s v="US-2017-169502"/>
    <d v="2017-08-28T00:00:00"/>
    <x v="3"/>
    <s v="Q3"/>
    <x v="43"/>
    <d v="2017-09-01T00:00:00"/>
    <s v="Standard Class"/>
    <x v="377"/>
    <x v="377"/>
    <s v="Home Office"/>
    <s v="United States"/>
    <s v="Milwaukee"/>
    <x v="6"/>
    <n v="53209"/>
    <x v="2"/>
    <x v="1549"/>
    <x v="1"/>
    <x v="9"/>
    <x v="1537"/>
    <n v="91.6"/>
    <s v="Medium"/>
    <n v="5"/>
    <n v="0"/>
    <x v="0"/>
    <x v="0"/>
    <n v="26.564"/>
    <n v="0.29000000000000004"/>
    <n v="0"/>
  </r>
  <r>
    <n v="4600"/>
    <s v="CA-2015-146948"/>
    <d v="2015-07-16T00:00:00"/>
    <x v="1"/>
    <s v="Q3"/>
    <x v="38"/>
    <d v="2015-07-20T00:00:00"/>
    <s v="Standard Class"/>
    <x v="450"/>
    <x v="450"/>
    <s v="Home Office"/>
    <s v="United States"/>
    <s v="Baltimore"/>
    <x v="39"/>
    <n v="21215"/>
    <x v="3"/>
    <x v="531"/>
    <x v="0"/>
    <x v="1"/>
    <x v="531"/>
    <n v="150.97999999999999"/>
    <s v="High"/>
    <n v="1"/>
    <n v="0"/>
    <x v="0"/>
    <x v="0"/>
    <n v="43.784199999999998"/>
    <n v="0.29000000000000004"/>
    <n v="0"/>
  </r>
  <r>
    <n v="4601"/>
    <s v="CA-2015-146948"/>
    <d v="2015-07-16T00:00:00"/>
    <x v="1"/>
    <s v="Q3"/>
    <x v="38"/>
    <d v="2015-07-20T00:00:00"/>
    <s v="Standard Class"/>
    <x v="450"/>
    <x v="450"/>
    <s v="Home Office"/>
    <s v="United States"/>
    <s v="Baltimore"/>
    <x v="39"/>
    <n v="21215"/>
    <x v="3"/>
    <x v="373"/>
    <x v="1"/>
    <x v="12"/>
    <x v="374"/>
    <n v="137.25"/>
    <s v="High"/>
    <n v="9"/>
    <n v="0"/>
    <x v="0"/>
    <x v="0"/>
    <n v="63.134999999999998"/>
    <n v="0.45999999999999996"/>
    <n v="0"/>
  </r>
  <r>
    <n v="4602"/>
    <s v="CA-2015-146948"/>
    <d v="2015-07-16T00:00:00"/>
    <x v="1"/>
    <s v="Q3"/>
    <x v="38"/>
    <d v="2015-07-20T00:00:00"/>
    <s v="Standard Class"/>
    <x v="450"/>
    <x v="450"/>
    <s v="Home Office"/>
    <s v="United States"/>
    <s v="Baltimore"/>
    <x v="39"/>
    <n v="21215"/>
    <x v="3"/>
    <x v="1579"/>
    <x v="1"/>
    <x v="13"/>
    <x v="1570"/>
    <n v="11.52"/>
    <s v="Low"/>
    <n v="4"/>
    <n v="0"/>
    <x v="0"/>
    <x v="0"/>
    <n v="5.4143999999999997"/>
    <n v="0.47"/>
    <n v="0"/>
  </r>
  <r>
    <n v="4603"/>
    <s v="US-2015-113327"/>
    <d v="2015-05-26T00:00:00"/>
    <x v="1"/>
    <s v="Q2"/>
    <x v="33"/>
    <d v="2015-05-29T00:00:00"/>
    <s v="Second Class"/>
    <x v="408"/>
    <x v="408"/>
    <s v="Home Office"/>
    <s v="United States"/>
    <s v="Jacksonville"/>
    <x v="3"/>
    <n v="28540"/>
    <x v="0"/>
    <x v="1274"/>
    <x v="1"/>
    <x v="10"/>
    <x v="1259"/>
    <n v="18.271999999999998"/>
    <s v="Low"/>
    <n v="1"/>
    <n v="0.2"/>
    <x v="2"/>
    <x v="2"/>
    <n v="5.9383999999999997"/>
    <n v="0.32500000000000001"/>
    <n v="0"/>
  </r>
  <r>
    <n v="4604"/>
    <s v="US-2015-113327"/>
    <d v="2015-05-26T00:00:00"/>
    <x v="1"/>
    <s v="Q2"/>
    <x v="33"/>
    <d v="2015-05-29T00:00:00"/>
    <s v="Second Class"/>
    <x v="408"/>
    <x v="408"/>
    <s v="Home Office"/>
    <s v="United States"/>
    <s v="Jacksonville"/>
    <x v="3"/>
    <n v="28540"/>
    <x v="0"/>
    <x v="1684"/>
    <x v="1"/>
    <x v="10"/>
    <x v="1672"/>
    <n v="153.72800000000001"/>
    <s v="High"/>
    <n v="4"/>
    <n v="0.2"/>
    <x v="2"/>
    <x v="2"/>
    <n v="53.8048"/>
    <n v="0.35"/>
    <n v="0"/>
  </r>
  <r>
    <n v="4605"/>
    <s v="US-2015-113327"/>
    <d v="2015-05-26T00:00:00"/>
    <x v="1"/>
    <s v="Q2"/>
    <x v="33"/>
    <d v="2015-05-29T00:00:00"/>
    <s v="Second Class"/>
    <x v="408"/>
    <x v="408"/>
    <s v="Home Office"/>
    <s v="United States"/>
    <s v="Jacksonville"/>
    <x v="3"/>
    <n v="28540"/>
    <x v="0"/>
    <x v="661"/>
    <x v="1"/>
    <x v="12"/>
    <x v="661"/>
    <n v="12.224"/>
    <s v="Low"/>
    <n v="2"/>
    <n v="0.2"/>
    <x v="2"/>
    <x v="2"/>
    <n v="4.4311999999999996"/>
    <n v="0.36249999999999993"/>
    <n v="0"/>
  </r>
  <r>
    <n v="4606"/>
    <s v="US-2015-113327"/>
    <d v="2015-05-26T00:00:00"/>
    <x v="1"/>
    <s v="Q2"/>
    <x v="33"/>
    <d v="2015-05-29T00:00:00"/>
    <s v="Second Class"/>
    <x v="408"/>
    <x v="408"/>
    <s v="Home Office"/>
    <s v="United States"/>
    <s v="Jacksonville"/>
    <x v="3"/>
    <n v="28540"/>
    <x v="0"/>
    <x v="246"/>
    <x v="2"/>
    <x v="11"/>
    <x v="247"/>
    <n v="167.94399999999999"/>
    <s v="High"/>
    <n v="7"/>
    <n v="0.2"/>
    <x v="2"/>
    <x v="2"/>
    <n v="50.383200000000002"/>
    <n v="0.30000000000000004"/>
    <n v="0"/>
  </r>
  <r>
    <n v="4607"/>
    <s v="CA-2015-135020"/>
    <d v="2015-05-28T00:00:00"/>
    <x v="1"/>
    <s v="Q2"/>
    <x v="33"/>
    <d v="2015-06-02T00:00:00"/>
    <s v="Standard Class"/>
    <x v="474"/>
    <x v="474"/>
    <s v="Consumer"/>
    <s v="United States"/>
    <s v="Rochester"/>
    <x v="15"/>
    <n v="14609"/>
    <x v="3"/>
    <x v="40"/>
    <x v="2"/>
    <x v="7"/>
    <x v="40"/>
    <n v="45.99"/>
    <s v="Medium"/>
    <n v="1"/>
    <n v="0"/>
    <x v="0"/>
    <x v="0"/>
    <n v="13.3371"/>
    <n v="0.28999999999999998"/>
    <n v="0"/>
  </r>
  <r>
    <n v="4608"/>
    <s v="CA-2015-135020"/>
    <d v="2015-05-28T00:00:00"/>
    <x v="1"/>
    <s v="Q2"/>
    <x v="33"/>
    <d v="2015-06-02T00:00:00"/>
    <s v="Standard Class"/>
    <x v="474"/>
    <x v="474"/>
    <s v="Consumer"/>
    <s v="United States"/>
    <s v="Rochester"/>
    <x v="15"/>
    <n v="14609"/>
    <x v="3"/>
    <x v="518"/>
    <x v="1"/>
    <x v="4"/>
    <x v="518"/>
    <n v="535.41"/>
    <s v="High"/>
    <n v="3"/>
    <n v="0"/>
    <x v="0"/>
    <x v="0"/>
    <n v="160.62299999999999"/>
    <n v="0.3"/>
    <n v="0"/>
  </r>
  <r>
    <n v="4609"/>
    <s v="CA-2015-135020"/>
    <d v="2015-05-28T00:00:00"/>
    <x v="1"/>
    <s v="Q2"/>
    <x v="33"/>
    <d v="2015-06-02T00:00:00"/>
    <s v="Standard Class"/>
    <x v="474"/>
    <x v="474"/>
    <s v="Consumer"/>
    <s v="United States"/>
    <s v="Rochester"/>
    <x v="15"/>
    <n v="14609"/>
    <x v="3"/>
    <x v="536"/>
    <x v="1"/>
    <x v="8"/>
    <x v="536"/>
    <n v="6.0960000000000001"/>
    <s v="Low"/>
    <n v="2"/>
    <n v="0.2"/>
    <x v="2"/>
    <x v="2"/>
    <n v="2.0573999999999999"/>
    <n v="0.33749999999999997"/>
    <n v="0"/>
  </r>
  <r>
    <n v="4610"/>
    <s v="CA-2015-135020"/>
    <d v="2015-05-28T00:00:00"/>
    <x v="1"/>
    <s v="Q2"/>
    <x v="33"/>
    <d v="2015-06-02T00:00:00"/>
    <s v="Standard Class"/>
    <x v="474"/>
    <x v="474"/>
    <s v="Consumer"/>
    <s v="United States"/>
    <s v="Rochester"/>
    <x v="15"/>
    <n v="14609"/>
    <x v="3"/>
    <x v="1330"/>
    <x v="1"/>
    <x v="10"/>
    <x v="1315"/>
    <n v="45.36"/>
    <s v="Medium"/>
    <n v="7"/>
    <n v="0"/>
    <x v="0"/>
    <x v="0"/>
    <n v="21.7728"/>
    <n v="0.48"/>
    <n v="0"/>
  </r>
  <r>
    <n v="4611"/>
    <s v="US-2017-141852"/>
    <d v="2017-11-09T00:00:00"/>
    <x v="3"/>
    <s v="Q4"/>
    <x v="23"/>
    <d v="2017-11-14T00:00:00"/>
    <s v="Standard Class"/>
    <x v="32"/>
    <x v="32"/>
    <s v="Consumer"/>
    <s v="United States"/>
    <s v="Oceanside"/>
    <x v="1"/>
    <n v="92054"/>
    <x v="1"/>
    <x v="325"/>
    <x v="0"/>
    <x v="5"/>
    <x v="325"/>
    <n v="47.12"/>
    <s v="Medium"/>
    <n v="8"/>
    <n v="0"/>
    <x v="0"/>
    <x v="0"/>
    <n v="20.732800000000001"/>
    <n v="0.44000000000000006"/>
    <n v="0"/>
  </r>
  <r>
    <n v="4612"/>
    <s v="CA-2016-109407"/>
    <d v="2016-01-24T00:00:00"/>
    <x v="0"/>
    <s v="Q1"/>
    <x v="12"/>
    <d v="2016-01-26T00:00:00"/>
    <s v="Second Class"/>
    <x v="428"/>
    <x v="428"/>
    <s v="Corporate"/>
    <s v="United States"/>
    <s v="Gulfport"/>
    <x v="35"/>
    <n v="39503"/>
    <x v="0"/>
    <x v="460"/>
    <x v="1"/>
    <x v="8"/>
    <x v="461"/>
    <n v="31.36"/>
    <s v="Medium"/>
    <n v="4"/>
    <n v="0"/>
    <x v="0"/>
    <x v="0"/>
    <n v="15.68"/>
    <n v="0.5"/>
    <n v="0"/>
  </r>
  <r>
    <n v="4613"/>
    <s v="US-2017-165953"/>
    <d v="2016-12-31T00:00:00"/>
    <x v="0"/>
    <s v="Q4"/>
    <x v="5"/>
    <d v="2017-01-06T00:00:00"/>
    <s v="Standard Class"/>
    <x v="212"/>
    <x v="212"/>
    <s v="Consumer"/>
    <s v="United States"/>
    <s v="Jacksonville"/>
    <x v="2"/>
    <n v="32216"/>
    <x v="0"/>
    <x v="397"/>
    <x v="1"/>
    <x v="6"/>
    <x v="398"/>
    <n v="47.616"/>
    <s v="Medium"/>
    <n v="3"/>
    <n v="0.2"/>
    <x v="2"/>
    <x v="2"/>
    <n v="3.5712000000000002"/>
    <n v="7.4999999999999997E-2"/>
    <n v="0"/>
  </r>
  <r>
    <n v="4614"/>
    <s v="US-2017-165953"/>
    <d v="2016-12-31T00:00:00"/>
    <x v="0"/>
    <s v="Q4"/>
    <x v="5"/>
    <d v="2017-01-06T00:00:00"/>
    <s v="Standard Class"/>
    <x v="212"/>
    <x v="212"/>
    <s v="Consumer"/>
    <s v="United States"/>
    <s v="Jacksonville"/>
    <x v="2"/>
    <n v="32216"/>
    <x v="0"/>
    <x v="707"/>
    <x v="1"/>
    <x v="10"/>
    <x v="706"/>
    <n v="23.48"/>
    <s v="Low"/>
    <n v="5"/>
    <n v="0.2"/>
    <x v="2"/>
    <x v="2"/>
    <n v="8.218"/>
    <n v="0.35"/>
    <n v="0"/>
  </r>
  <r>
    <n v="4615"/>
    <s v="CA-2016-144540"/>
    <d v="2016-09-05T00:00:00"/>
    <x v="0"/>
    <s v="Q3"/>
    <x v="21"/>
    <d v="2016-09-10T00:00:00"/>
    <s v="Standard Class"/>
    <x v="689"/>
    <x v="689"/>
    <s v="Home Office"/>
    <s v="United States"/>
    <s v="Houston"/>
    <x v="5"/>
    <n v="77070"/>
    <x v="2"/>
    <x v="549"/>
    <x v="1"/>
    <x v="9"/>
    <x v="549"/>
    <n v="62.79"/>
    <s v="Medium"/>
    <n v="3"/>
    <n v="0.8"/>
    <x v="1"/>
    <x v="3"/>
    <n v="-166.39349999999999"/>
    <n v="-2.65"/>
    <n v="1"/>
  </r>
  <r>
    <n v="4616"/>
    <s v="CA-2016-144540"/>
    <d v="2016-09-05T00:00:00"/>
    <x v="0"/>
    <s v="Q3"/>
    <x v="21"/>
    <d v="2016-09-10T00:00:00"/>
    <s v="Standard Class"/>
    <x v="689"/>
    <x v="689"/>
    <s v="Home Office"/>
    <s v="United States"/>
    <s v="Houston"/>
    <x v="5"/>
    <n v="77070"/>
    <x v="2"/>
    <x v="1432"/>
    <x v="1"/>
    <x v="13"/>
    <x v="1420"/>
    <n v="28.44"/>
    <s v="Medium"/>
    <n v="9"/>
    <n v="0.2"/>
    <x v="2"/>
    <x v="2"/>
    <n v="4.266"/>
    <n v="0.15"/>
    <n v="0"/>
  </r>
  <r>
    <n v="4617"/>
    <s v="CA-2015-159863"/>
    <d v="2015-09-04T00:00:00"/>
    <x v="1"/>
    <s v="Q3"/>
    <x v="11"/>
    <d v="2015-09-07T00:00:00"/>
    <s v="Second Class"/>
    <x v="103"/>
    <x v="103"/>
    <s v="Corporate"/>
    <s v="United States"/>
    <s v="Houston"/>
    <x v="5"/>
    <n v="77095"/>
    <x v="2"/>
    <x v="201"/>
    <x v="2"/>
    <x v="11"/>
    <x v="202"/>
    <n v="134.376"/>
    <s v="High"/>
    <n v="3"/>
    <n v="0.2"/>
    <x v="2"/>
    <x v="2"/>
    <n v="6.7187999999999999"/>
    <n v="4.9999999999999996E-2"/>
    <n v="0"/>
  </r>
  <r>
    <n v="4618"/>
    <s v="CA-2015-117800"/>
    <d v="2015-09-21T00:00:00"/>
    <x v="1"/>
    <s v="Q3"/>
    <x v="11"/>
    <d v="2015-09-26T00:00:00"/>
    <s v="Standard Class"/>
    <x v="274"/>
    <x v="274"/>
    <s v="Home Office"/>
    <s v="United States"/>
    <s v="Everett"/>
    <x v="31"/>
    <n v="2149"/>
    <x v="3"/>
    <x v="1538"/>
    <x v="2"/>
    <x v="7"/>
    <x v="1526"/>
    <n v="589.9"/>
    <s v="High"/>
    <n v="2"/>
    <n v="0"/>
    <x v="0"/>
    <x v="0"/>
    <n v="147.47499999999999"/>
    <n v="0.25"/>
    <n v="0"/>
  </r>
  <r>
    <n v="4619"/>
    <s v="CA-2015-117800"/>
    <d v="2015-09-21T00:00:00"/>
    <x v="1"/>
    <s v="Q3"/>
    <x v="11"/>
    <d v="2015-09-26T00:00:00"/>
    <s v="Standard Class"/>
    <x v="274"/>
    <x v="274"/>
    <s v="Home Office"/>
    <s v="United States"/>
    <s v="Everett"/>
    <x v="31"/>
    <n v="2149"/>
    <x v="3"/>
    <x v="323"/>
    <x v="0"/>
    <x v="1"/>
    <x v="323"/>
    <n v="542.94000000000005"/>
    <s v="High"/>
    <n v="3"/>
    <n v="0"/>
    <x v="0"/>
    <x v="0"/>
    <n v="141.1644"/>
    <n v="0.25999999999999995"/>
    <n v="0"/>
  </r>
  <r>
    <n v="4620"/>
    <s v="CA-2017-145219"/>
    <d v="2017-12-24T00:00:00"/>
    <x v="3"/>
    <s v="Q4"/>
    <x v="22"/>
    <d v="2017-12-25T00:00:00"/>
    <s v="First Class"/>
    <x v="84"/>
    <x v="84"/>
    <s v="Home Office"/>
    <s v="United States"/>
    <s v="Los Angeles"/>
    <x v="1"/>
    <n v="90049"/>
    <x v="1"/>
    <x v="306"/>
    <x v="2"/>
    <x v="16"/>
    <x v="306"/>
    <n v="2879.9520000000002"/>
    <s v="High"/>
    <n v="6"/>
    <n v="0.2"/>
    <x v="2"/>
    <x v="2"/>
    <n v="1007.9832"/>
    <n v="0.35"/>
    <n v="0"/>
  </r>
  <r>
    <n v="4621"/>
    <s v="CA-2017-145219"/>
    <d v="2017-12-24T00:00:00"/>
    <x v="3"/>
    <s v="Q4"/>
    <x v="22"/>
    <d v="2017-12-25T00:00:00"/>
    <s v="First Class"/>
    <x v="84"/>
    <x v="84"/>
    <s v="Home Office"/>
    <s v="United States"/>
    <s v="Los Angeles"/>
    <x v="1"/>
    <n v="90049"/>
    <x v="1"/>
    <x v="443"/>
    <x v="1"/>
    <x v="8"/>
    <x v="443"/>
    <n v="90.48"/>
    <s v="Medium"/>
    <n v="3"/>
    <n v="0.2"/>
    <x v="2"/>
    <x v="2"/>
    <n v="33.93"/>
    <n v="0.375"/>
    <n v="0"/>
  </r>
  <r>
    <n v="4622"/>
    <s v="CA-2015-161214"/>
    <d v="2015-10-05T00:00:00"/>
    <x v="1"/>
    <s v="Q4"/>
    <x v="2"/>
    <d v="2015-10-08T00:00:00"/>
    <s v="Second Class"/>
    <x v="245"/>
    <x v="245"/>
    <s v="Corporate"/>
    <s v="United States"/>
    <s v="Wilmington"/>
    <x v="13"/>
    <n v="19805"/>
    <x v="3"/>
    <x v="177"/>
    <x v="1"/>
    <x v="4"/>
    <x v="178"/>
    <n v="77.55"/>
    <s v="Medium"/>
    <n v="5"/>
    <n v="0"/>
    <x v="0"/>
    <x v="0"/>
    <n v="21.713999999999999"/>
    <n v="0.27999999999999997"/>
    <n v="0"/>
  </r>
  <r>
    <n v="4623"/>
    <s v="CA-2017-147228"/>
    <d v="2017-09-09T00:00:00"/>
    <x v="3"/>
    <s v="Q3"/>
    <x v="15"/>
    <d v="2017-09-14T00:00:00"/>
    <s v="Standard Class"/>
    <x v="2"/>
    <x v="2"/>
    <s v="Consumer"/>
    <s v="United States"/>
    <s v="Columbia"/>
    <x v="18"/>
    <n v="38401"/>
    <x v="0"/>
    <x v="327"/>
    <x v="1"/>
    <x v="14"/>
    <x v="327"/>
    <n v="8.8320000000000007"/>
    <s v="Low"/>
    <n v="3"/>
    <n v="0.2"/>
    <x v="2"/>
    <x v="2"/>
    <n v="-1.9872000000000001"/>
    <n v="-0.22499999999999998"/>
    <n v="1"/>
  </r>
  <r>
    <n v="4624"/>
    <s v="CA-2017-147228"/>
    <d v="2017-09-09T00:00:00"/>
    <x v="3"/>
    <s v="Q3"/>
    <x v="15"/>
    <d v="2017-09-14T00:00:00"/>
    <s v="Standard Class"/>
    <x v="2"/>
    <x v="2"/>
    <s v="Consumer"/>
    <s v="United States"/>
    <s v="Columbia"/>
    <x v="18"/>
    <n v="38401"/>
    <x v="0"/>
    <x v="447"/>
    <x v="1"/>
    <x v="10"/>
    <x v="1228"/>
    <n v="177.536"/>
    <s v="High"/>
    <n v="4"/>
    <n v="0.2"/>
    <x v="2"/>
    <x v="2"/>
    <n v="62.137599999999999"/>
    <n v="0.35"/>
    <n v="0"/>
  </r>
  <r>
    <n v="4625"/>
    <s v="CA-2017-147228"/>
    <d v="2017-09-09T00:00:00"/>
    <x v="3"/>
    <s v="Q3"/>
    <x v="15"/>
    <d v="2017-09-14T00:00:00"/>
    <s v="Standard Class"/>
    <x v="2"/>
    <x v="2"/>
    <s v="Consumer"/>
    <s v="United States"/>
    <s v="Columbia"/>
    <x v="18"/>
    <n v="38401"/>
    <x v="0"/>
    <x v="765"/>
    <x v="1"/>
    <x v="4"/>
    <x v="764"/>
    <n v="258.48"/>
    <s v="High"/>
    <n v="2"/>
    <n v="0.2"/>
    <x v="2"/>
    <x v="2"/>
    <n v="-3.2309999999999999"/>
    <n v="-1.2499999999999999E-2"/>
    <n v="1"/>
  </r>
  <r>
    <n v="4626"/>
    <s v="CA-2017-147228"/>
    <d v="2017-09-09T00:00:00"/>
    <x v="3"/>
    <s v="Q3"/>
    <x v="15"/>
    <d v="2017-09-14T00:00:00"/>
    <s v="Standard Class"/>
    <x v="2"/>
    <x v="2"/>
    <s v="Consumer"/>
    <s v="United States"/>
    <s v="Columbia"/>
    <x v="18"/>
    <n v="38401"/>
    <x v="0"/>
    <x v="325"/>
    <x v="0"/>
    <x v="5"/>
    <x v="325"/>
    <n v="14.135999999999999"/>
    <s v="Low"/>
    <n v="3"/>
    <n v="0.2"/>
    <x v="2"/>
    <x v="2"/>
    <n v="4.2408000000000001"/>
    <n v="0.30000000000000004"/>
    <n v="0"/>
  </r>
  <r>
    <n v="4627"/>
    <s v="CA-2016-101336"/>
    <d v="2016-11-13T00:00:00"/>
    <x v="0"/>
    <s v="Q4"/>
    <x v="0"/>
    <d v="2016-11-18T00:00:00"/>
    <s v="Standard Class"/>
    <x v="316"/>
    <x v="316"/>
    <s v="Corporate"/>
    <s v="United States"/>
    <s v="New York City"/>
    <x v="15"/>
    <n v="10011"/>
    <x v="3"/>
    <x v="170"/>
    <x v="1"/>
    <x v="4"/>
    <x v="171"/>
    <n v="77.55"/>
    <s v="Medium"/>
    <n v="5"/>
    <n v="0"/>
    <x v="0"/>
    <x v="0"/>
    <n v="20.163"/>
    <n v="0.26"/>
    <n v="0"/>
  </r>
  <r>
    <n v="4628"/>
    <s v="CA-2016-101336"/>
    <d v="2016-11-13T00:00:00"/>
    <x v="0"/>
    <s v="Q4"/>
    <x v="0"/>
    <d v="2016-11-18T00:00:00"/>
    <s v="Standard Class"/>
    <x v="316"/>
    <x v="316"/>
    <s v="Corporate"/>
    <s v="United States"/>
    <s v="New York City"/>
    <x v="15"/>
    <n v="10011"/>
    <x v="3"/>
    <x v="253"/>
    <x v="1"/>
    <x v="4"/>
    <x v="254"/>
    <n v="24.88"/>
    <s v="Medium"/>
    <n v="2"/>
    <n v="0"/>
    <x v="0"/>
    <x v="0"/>
    <n v="6.9664000000000001"/>
    <n v="0.28000000000000003"/>
    <n v="0"/>
  </r>
  <r>
    <n v="4629"/>
    <s v="CA-2016-101336"/>
    <d v="2016-11-13T00:00:00"/>
    <x v="0"/>
    <s v="Q4"/>
    <x v="0"/>
    <d v="2016-11-18T00:00:00"/>
    <s v="Standard Class"/>
    <x v="316"/>
    <x v="316"/>
    <s v="Corporate"/>
    <s v="United States"/>
    <s v="New York City"/>
    <x v="15"/>
    <n v="10011"/>
    <x v="3"/>
    <x v="1473"/>
    <x v="1"/>
    <x v="6"/>
    <x v="1460"/>
    <n v="140.75"/>
    <s v="High"/>
    <n v="5"/>
    <n v="0"/>
    <x v="0"/>
    <x v="0"/>
    <n v="39.409999999999997"/>
    <n v="0.27999999999999997"/>
    <n v="0"/>
  </r>
  <r>
    <n v="4630"/>
    <s v="CA-2016-101336"/>
    <d v="2016-11-13T00:00:00"/>
    <x v="0"/>
    <s v="Q4"/>
    <x v="0"/>
    <d v="2016-11-18T00:00:00"/>
    <s v="Standard Class"/>
    <x v="316"/>
    <x v="316"/>
    <s v="Corporate"/>
    <s v="United States"/>
    <s v="New York City"/>
    <x v="15"/>
    <n v="10011"/>
    <x v="3"/>
    <x v="762"/>
    <x v="1"/>
    <x v="4"/>
    <x v="761"/>
    <n v="36.630000000000003"/>
    <s v="Medium"/>
    <n v="3"/>
    <n v="0"/>
    <x v="0"/>
    <x v="0"/>
    <n v="9.8901000000000003"/>
    <n v="0.27"/>
    <n v="0"/>
  </r>
  <r>
    <n v="4631"/>
    <s v="US-2015-126235"/>
    <d v="2015-10-15T00:00:00"/>
    <x v="1"/>
    <s v="Q4"/>
    <x v="2"/>
    <d v="2015-10-15T00:00:00"/>
    <s v="Same Day"/>
    <x v="315"/>
    <x v="315"/>
    <s v="Consumer"/>
    <s v="United States"/>
    <s v="Mount Pleasant"/>
    <x v="12"/>
    <n v="48858"/>
    <x v="2"/>
    <x v="1685"/>
    <x v="0"/>
    <x v="5"/>
    <x v="1673"/>
    <n v="17.14"/>
    <s v="Low"/>
    <n v="2"/>
    <n v="0"/>
    <x v="0"/>
    <x v="0"/>
    <n v="6.1703999999999999"/>
    <n v="0.36"/>
    <n v="0"/>
  </r>
  <r>
    <n v="4632"/>
    <s v="CA-2017-168396"/>
    <d v="2017-08-03T00:00:00"/>
    <x v="3"/>
    <s v="Q3"/>
    <x v="43"/>
    <d v="2017-08-08T00:00:00"/>
    <s v="Second Class"/>
    <x v="232"/>
    <x v="232"/>
    <s v="Consumer"/>
    <s v="United States"/>
    <s v="San Francisco"/>
    <x v="1"/>
    <n v="94122"/>
    <x v="1"/>
    <x v="488"/>
    <x v="1"/>
    <x v="2"/>
    <x v="488"/>
    <n v="51.75"/>
    <s v="Medium"/>
    <n v="5"/>
    <n v="0"/>
    <x v="0"/>
    <x v="0"/>
    <n v="24.84"/>
    <n v="0.48"/>
    <n v="0"/>
  </r>
  <r>
    <n v="4633"/>
    <s v="CA-2017-168396"/>
    <d v="2017-08-03T00:00:00"/>
    <x v="3"/>
    <s v="Q3"/>
    <x v="43"/>
    <d v="2017-08-08T00:00:00"/>
    <s v="Second Class"/>
    <x v="232"/>
    <x v="232"/>
    <s v="Consumer"/>
    <s v="United States"/>
    <s v="San Francisco"/>
    <x v="1"/>
    <n v="94122"/>
    <x v="1"/>
    <x v="479"/>
    <x v="0"/>
    <x v="5"/>
    <x v="480"/>
    <n v="123.96"/>
    <s v="High"/>
    <n v="3"/>
    <n v="0"/>
    <x v="0"/>
    <x v="0"/>
    <n v="11.1564"/>
    <n v="0.09"/>
    <n v="0"/>
  </r>
  <r>
    <n v="4634"/>
    <s v="CA-2015-130456"/>
    <d v="2015-08-21T00:00:00"/>
    <x v="1"/>
    <s v="Q3"/>
    <x v="37"/>
    <d v="2015-08-26T00:00:00"/>
    <s v="Standard Class"/>
    <x v="103"/>
    <x v="103"/>
    <s v="Corporate"/>
    <s v="United States"/>
    <s v="San Francisco"/>
    <x v="1"/>
    <n v="94122"/>
    <x v="1"/>
    <x v="1686"/>
    <x v="0"/>
    <x v="0"/>
    <x v="1674"/>
    <n v="586.39800000000002"/>
    <s v="High"/>
    <n v="6"/>
    <n v="0.15"/>
    <x v="2"/>
    <x v="2"/>
    <n v="34.494"/>
    <n v="5.8823529411764705E-2"/>
    <n v="0"/>
  </r>
  <r>
    <n v="4635"/>
    <s v="CA-2015-130456"/>
    <d v="2015-08-21T00:00:00"/>
    <x v="1"/>
    <s v="Q3"/>
    <x v="37"/>
    <d v="2015-08-26T00:00:00"/>
    <s v="Standard Class"/>
    <x v="103"/>
    <x v="103"/>
    <s v="Corporate"/>
    <s v="United States"/>
    <s v="San Francisco"/>
    <x v="1"/>
    <n v="94122"/>
    <x v="1"/>
    <x v="459"/>
    <x v="1"/>
    <x v="4"/>
    <x v="460"/>
    <n v="80.98"/>
    <s v="Medium"/>
    <n v="1"/>
    <n v="0"/>
    <x v="0"/>
    <x v="0"/>
    <n v="3.2391999999999999"/>
    <n v="3.9999999999999994E-2"/>
    <n v="0"/>
  </r>
  <r>
    <n v="4636"/>
    <s v="CA-2017-116288"/>
    <d v="2017-03-12T00:00:00"/>
    <x v="3"/>
    <s v="Q1"/>
    <x v="42"/>
    <d v="2017-03-17T00:00:00"/>
    <s v="Standard Class"/>
    <x v="510"/>
    <x v="510"/>
    <s v="Corporate"/>
    <s v="United States"/>
    <s v="San Francisco"/>
    <x v="1"/>
    <n v="94122"/>
    <x v="1"/>
    <x v="459"/>
    <x v="1"/>
    <x v="4"/>
    <x v="460"/>
    <n v="242.94"/>
    <s v="High"/>
    <n v="3"/>
    <n v="0"/>
    <x v="0"/>
    <x v="0"/>
    <n v="9.7175999999999991"/>
    <n v="3.9999999999999994E-2"/>
    <n v="0"/>
  </r>
  <r>
    <n v="4637"/>
    <s v="CA-2017-168228"/>
    <d v="2017-04-27T00:00:00"/>
    <x v="3"/>
    <s v="Q2"/>
    <x v="4"/>
    <d v="2017-04-29T00:00:00"/>
    <s v="First Class"/>
    <x v="275"/>
    <x v="275"/>
    <s v="Consumer"/>
    <s v="United States"/>
    <s v="Los Angeles"/>
    <x v="1"/>
    <n v="90045"/>
    <x v="1"/>
    <x v="290"/>
    <x v="1"/>
    <x v="6"/>
    <x v="290"/>
    <n v="123.92"/>
    <s v="High"/>
    <n v="4"/>
    <n v="0"/>
    <x v="0"/>
    <x v="0"/>
    <n v="33.458399999999997"/>
    <n v="0.26999999999999996"/>
    <n v="0"/>
  </r>
  <r>
    <n v="4638"/>
    <s v="CA-2017-168228"/>
    <d v="2017-04-27T00:00:00"/>
    <x v="3"/>
    <s v="Q2"/>
    <x v="4"/>
    <d v="2017-04-29T00:00:00"/>
    <s v="First Class"/>
    <x v="275"/>
    <x v="275"/>
    <s v="Consumer"/>
    <s v="United States"/>
    <s v="Los Angeles"/>
    <x v="1"/>
    <n v="90045"/>
    <x v="1"/>
    <x v="105"/>
    <x v="1"/>
    <x v="6"/>
    <x v="105"/>
    <n v="12.39"/>
    <s v="Low"/>
    <n v="3"/>
    <n v="0"/>
    <x v="0"/>
    <x v="0"/>
    <n v="5.6993999999999998"/>
    <n v="0.45999999999999996"/>
    <n v="0"/>
  </r>
  <r>
    <n v="4639"/>
    <s v="CA-2017-168228"/>
    <d v="2017-04-27T00:00:00"/>
    <x v="3"/>
    <s v="Q2"/>
    <x v="4"/>
    <d v="2017-04-29T00:00:00"/>
    <s v="First Class"/>
    <x v="275"/>
    <x v="275"/>
    <s v="Consumer"/>
    <s v="United States"/>
    <s v="Los Angeles"/>
    <x v="1"/>
    <n v="90045"/>
    <x v="1"/>
    <x v="1559"/>
    <x v="1"/>
    <x v="6"/>
    <x v="1549"/>
    <n v="47.3"/>
    <s v="Medium"/>
    <n v="2"/>
    <n v="0"/>
    <x v="0"/>
    <x v="0"/>
    <n v="12.298"/>
    <n v="0.26"/>
    <n v="0"/>
  </r>
  <r>
    <n v="4640"/>
    <s v="CA-2016-102162"/>
    <d v="2016-09-11T00:00:00"/>
    <x v="0"/>
    <s v="Q3"/>
    <x v="21"/>
    <d v="2016-09-16T00:00:00"/>
    <s v="Standard Class"/>
    <x v="535"/>
    <x v="535"/>
    <s v="Consumer"/>
    <s v="United States"/>
    <s v="Newport News"/>
    <x v="17"/>
    <n v="23602"/>
    <x v="0"/>
    <x v="1687"/>
    <x v="2"/>
    <x v="16"/>
    <x v="1675"/>
    <n v="1599.92"/>
    <s v="High"/>
    <n v="8"/>
    <n v="0"/>
    <x v="0"/>
    <x v="0"/>
    <n v="751.9624"/>
    <n v="0.47"/>
    <n v="0"/>
  </r>
  <r>
    <n v="4641"/>
    <s v="CA-2016-102162"/>
    <d v="2016-09-11T00:00:00"/>
    <x v="0"/>
    <s v="Q3"/>
    <x v="21"/>
    <d v="2016-09-16T00:00:00"/>
    <s v="Standard Class"/>
    <x v="535"/>
    <x v="535"/>
    <s v="Consumer"/>
    <s v="United States"/>
    <s v="Newport News"/>
    <x v="17"/>
    <n v="23602"/>
    <x v="0"/>
    <x v="1475"/>
    <x v="1"/>
    <x v="12"/>
    <x v="1462"/>
    <n v="11.09"/>
    <s v="Low"/>
    <n v="1"/>
    <n v="0"/>
    <x v="0"/>
    <x v="0"/>
    <n v="5.4340999999999999"/>
    <n v="0.49"/>
    <n v="0"/>
  </r>
  <r>
    <n v="4642"/>
    <s v="CA-2017-130141"/>
    <d v="2017-10-22T00:00:00"/>
    <x v="3"/>
    <s v="Q4"/>
    <x v="13"/>
    <d v="2017-10-24T00:00:00"/>
    <s v="Second Class"/>
    <x v="456"/>
    <x v="456"/>
    <s v="Consumer"/>
    <s v="United States"/>
    <s v="Fort Collins"/>
    <x v="22"/>
    <n v="80525"/>
    <x v="1"/>
    <x v="446"/>
    <x v="1"/>
    <x v="8"/>
    <x v="446"/>
    <n v="3.1680000000000001"/>
    <s v="Low"/>
    <n v="4"/>
    <n v="0.7"/>
    <x v="1"/>
    <x v="5"/>
    <n v="-2.5344000000000002"/>
    <n v="-0.8"/>
    <n v="1"/>
  </r>
  <r>
    <n v="4643"/>
    <s v="CA-2017-130141"/>
    <d v="2017-10-22T00:00:00"/>
    <x v="3"/>
    <s v="Q4"/>
    <x v="13"/>
    <d v="2017-10-24T00:00:00"/>
    <s v="Second Class"/>
    <x v="456"/>
    <x v="456"/>
    <s v="Consumer"/>
    <s v="United States"/>
    <s v="Fort Collins"/>
    <x v="22"/>
    <n v="80525"/>
    <x v="1"/>
    <x v="1688"/>
    <x v="0"/>
    <x v="1"/>
    <x v="1676"/>
    <n v="579.13599999999997"/>
    <s v="High"/>
    <n v="4"/>
    <n v="0.2"/>
    <x v="2"/>
    <x v="2"/>
    <n v="-28.956800000000001"/>
    <n v="-0.05"/>
    <n v="1"/>
  </r>
  <r>
    <n v="4644"/>
    <s v="CA-2015-147501"/>
    <d v="2015-08-02T00:00:00"/>
    <x v="1"/>
    <s v="Q3"/>
    <x v="37"/>
    <d v="2015-08-06T00:00:00"/>
    <s v="Standard Class"/>
    <x v="476"/>
    <x v="476"/>
    <s v="Consumer"/>
    <s v="United States"/>
    <s v="Seattle"/>
    <x v="4"/>
    <n v="98105"/>
    <x v="1"/>
    <x v="1406"/>
    <x v="1"/>
    <x v="8"/>
    <x v="1393"/>
    <n v="6.3680000000000003"/>
    <s v="Low"/>
    <n v="2"/>
    <n v="0.2"/>
    <x v="2"/>
    <x v="2"/>
    <n v="2.1492"/>
    <n v="0.33749999999999997"/>
    <n v="0"/>
  </r>
  <r>
    <n v="4645"/>
    <s v="CA-2015-147501"/>
    <d v="2015-08-02T00:00:00"/>
    <x v="1"/>
    <s v="Q3"/>
    <x v="37"/>
    <d v="2015-08-06T00:00:00"/>
    <s v="Standard Class"/>
    <x v="476"/>
    <x v="476"/>
    <s v="Consumer"/>
    <s v="United States"/>
    <s v="Seattle"/>
    <x v="4"/>
    <n v="98105"/>
    <x v="1"/>
    <x v="1491"/>
    <x v="2"/>
    <x v="15"/>
    <x v="1478"/>
    <n v="558.4"/>
    <s v="High"/>
    <n v="2"/>
    <n v="0.2"/>
    <x v="2"/>
    <x v="2"/>
    <n v="41.88"/>
    <n v="7.5000000000000011E-2"/>
    <n v="0"/>
  </r>
  <r>
    <n v="4646"/>
    <s v="CA-2016-143910"/>
    <d v="2016-08-12T00:00:00"/>
    <x v="0"/>
    <s v="Q3"/>
    <x v="28"/>
    <d v="2016-08-16T00:00:00"/>
    <s v="Standard Class"/>
    <x v="604"/>
    <x v="604"/>
    <s v="Home Office"/>
    <s v="United States"/>
    <s v="New York City"/>
    <x v="15"/>
    <n v="10011"/>
    <x v="3"/>
    <x v="405"/>
    <x v="0"/>
    <x v="1"/>
    <x v="406"/>
    <n v="145.76400000000001"/>
    <s v="High"/>
    <n v="2"/>
    <n v="0.1"/>
    <x v="3"/>
    <x v="8"/>
    <n v="-8.0980000000000008"/>
    <n v="-5.5555555555555559E-2"/>
    <n v="1"/>
  </r>
  <r>
    <n v="4647"/>
    <s v="CA-2014-146885"/>
    <d v="2014-05-30T00:00:00"/>
    <x v="2"/>
    <s v="Q2"/>
    <x v="8"/>
    <d v="2014-06-05T00:00:00"/>
    <s v="Standard Class"/>
    <x v="225"/>
    <x v="225"/>
    <s v="Corporate"/>
    <s v="United States"/>
    <s v="Richmond"/>
    <x v="17"/>
    <n v="23223"/>
    <x v="0"/>
    <x v="702"/>
    <x v="1"/>
    <x v="10"/>
    <x v="702"/>
    <n v="13.62"/>
    <s v="Low"/>
    <n v="3"/>
    <n v="0"/>
    <x v="0"/>
    <x v="0"/>
    <n v="6.1289999999999996"/>
    <n v="0.45"/>
    <n v="0"/>
  </r>
  <r>
    <n v="4648"/>
    <s v="CA-2016-139556"/>
    <d v="2016-04-26T00:00:00"/>
    <x v="0"/>
    <s v="Q2"/>
    <x v="25"/>
    <d v="2016-05-01T00:00:00"/>
    <s v="Standard Class"/>
    <x v="748"/>
    <x v="748"/>
    <s v="Home Office"/>
    <s v="United States"/>
    <s v="New York City"/>
    <x v="15"/>
    <n v="10009"/>
    <x v="3"/>
    <x v="1578"/>
    <x v="0"/>
    <x v="1"/>
    <x v="1569"/>
    <n v="434.64600000000002"/>
    <s v="High"/>
    <n v="3"/>
    <n v="0.1"/>
    <x v="3"/>
    <x v="8"/>
    <n v="62.782200000000003"/>
    <n v="0.14444444444444446"/>
    <n v="0"/>
  </r>
  <r>
    <n v="4649"/>
    <s v="CA-2017-129357"/>
    <d v="2017-05-14T00:00:00"/>
    <x v="3"/>
    <s v="Q2"/>
    <x v="24"/>
    <d v="2017-05-19T00:00:00"/>
    <s v="Standard Class"/>
    <x v="10"/>
    <x v="10"/>
    <s v="Corporate"/>
    <s v="United States"/>
    <s v="Seattle"/>
    <x v="4"/>
    <n v="98103"/>
    <x v="1"/>
    <x v="1689"/>
    <x v="1"/>
    <x v="10"/>
    <x v="1677"/>
    <n v="440.19"/>
    <s v="High"/>
    <n v="9"/>
    <n v="0"/>
    <x v="0"/>
    <x v="0"/>
    <n v="206.88929999999999"/>
    <n v="0.47"/>
    <n v="0"/>
  </r>
  <r>
    <n v="4650"/>
    <s v="CA-2017-129357"/>
    <d v="2017-05-14T00:00:00"/>
    <x v="3"/>
    <s v="Q2"/>
    <x v="24"/>
    <d v="2017-05-19T00:00:00"/>
    <s v="Standard Class"/>
    <x v="10"/>
    <x v="10"/>
    <s v="Corporate"/>
    <s v="United States"/>
    <s v="Seattle"/>
    <x v="4"/>
    <n v="98103"/>
    <x v="1"/>
    <x v="505"/>
    <x v="1"/>
    <x v="14"/>
    <x v="505"/>
    <n v="64.400000000000006"/>
    <s v="Medium"/>
    <n v="5"/>
    <n v="0"/>
    <x v="0"/>
    <x v="0"/>
    <n v="1.9319999999999999"/>
    <n v="2.9999999999999995E-2"/>
    <n v="0"/>
  </r>
  <r>
    <n v="4651"/>
    <s v="CA-2017-150987"/>
    <d v="2017-04-08T00:00:00"/>
    <x v="3"/>
    <s v="Q2"/>
    <x v="4"/>
    <d v="2017-04-12T00:00:00"/>
    <s v="Standard Class"/>
    <x v="571"/>
    <x v="571"/>
    <s v="Home Office"/>
    <s v="United States"/>
    <s v="San Francisco"/>
    <x v="1"/>
    <n v="94110"/>
    <x v="1"/>
    <x v="1184"/>
    <x v="1"/>
    <x v="10"/>
    <x v="1170"/>
    <n v="244.55"/>
    <s v="High"/>
    <n v="5"/>
    <n v="0"/>
    <x v="0"/>
    <x v="0"/>
    <n v="114.9385"/>
    <n v="0.47"/>
    <n v="0"/>
  </r>
  <r>
    <n v="4652"/>
    <s v="CA-2017-150987"/>
    <d v="2017-04-08T00:00:00"/>
    <x v="3"/>
    <s v="Q2"/>
    <x v="4"/>
    <d v="2017-04-12T00:00:00"/>
    <s v="Standard Class"/>
    <x v="571"/>
    <x v="571"/>
    <s v="Home Office"/>
    <s v="United States"/>
    <s v="San Francisco"/>
    <x v="1"/>
    <n v="94110"/>
    <x v="1"/>
    <x v="1438"/>
    <x v="1"/>
    <x v="10"/>
    <x v="1426"/>
    <n v="195.76"/>
    <s v="High"/>
    <n v="4"/>
    <n v="0"/>
    <x v="0"/>
    <x v="0"/>
    <n v="97.88"/>
    <n v="0.5"/>
    <n v="0"/>
  </r>
  <r>
    <n v="4653"/>
    <s v="CA-2017-132647"/>
    <d v="2017-02-17T00:00:00"/>
    <x v="3"/>
    <s v="Q1"/>
    <x v="31"/>
    <d v="2017-02-23T00:00:00"/>
    <s v="Standard Class"/>
    <x v="689"/>
    <x v="689"/>
    <s v="Home Office"/>
    <s v="United States"/>
    <s v="Perth Amboy"/>
    <x v="30"/>
    <n v="8861"/>
    <x v="3"/>
    <x v="1017"/>
    <x v="1"/>
    <x v="10"/>
    <x v="1008"/>
    <n v="11.76"/>
    <s v="Low"/>
    <n v="2"/>
    <n v="0"/>
    <x v="0"/>
    <x v="0"/>
    <n v="5.7624000000000004"/>
    <n v="0.49000000000000005"/>
    <n v="0"/>
  </r>
  <r>
    <n v="4654"/>
    <s v="CA-2017-132647"/>
    <d v="2017-02-17T00:00:00"/>
    <x v="3"/>
    <s v="Q1"/>
    <x v="31"/>
    <d v="2017-02-23T00:00:00"/>
    <s v="Standard Class"/>
    <x v="689"/>
    <x v="689"/>
    <s v="Home Office"/>
    <s v="United States"/>
    <s v="Perth Amboy"/>
    <x v="30"/>
    <n v="8861"/>
    <x v="3"/>
    <x v="1291"/>
    <x v="1"/>
    <x v="4"/>
    <x v="1277"/>
    <n v="166.45"/>
    <s v="High"/>
    <n v="5"/>
    <n v="0"/>
    <x v="0"/>
    <x v="0"/>
    <n v="39.948"/>
    <n v="0.24000000000000002"/>
    <n v="0"/>
  </r>
  <r>
    <n v="4655"/>
    <s v="CA-2017-159107"/>
    <d v="2017-06-24T00:00:00"/>
    <x v="3"/>
    <s v="Q2"/>
    <x v="27"/>
    <d v="2017-06-26T00:00:00"/>
    <s v="Second Class"/>
    <x v="409"/>
    <x v="409"/>
    <s v="Consumer"/>
    <s v="United States"/>
    <s v="San Francisco"/>
    <x v="1"/>
    <n v="94110"/>
    <x v="1"/>
    <x v="1579"/>
    <x v="1"/>
    <x v="13"/>
    <x v="1570"/>
    <n v="2.88"/>
    <s v="Low"/>
    <n v="1"/>
    <n v="0"/>
    <x v="0"/>
    <x v="0"/>
    <n v="1.3535999999999999"/>
    <n v="0.47"/>
    <n v="0"/>
  </r>
  <r>
    <n v="4656"/>
    <s v="CA-2014-160738"/>
    <d v="2014-05-05T00:00:00"/>
    <x v="2"/>
    <s v="Q2"/>
    <x v="8"/>
    <d v="2014-05-10T00:00:00"/>
    <s v="Standard Class"/>
    <x v="542"/>
    <x v="542"/>
    <s v="Corporate"/>
    <s v="United States"/>
    <s v="Freeport"/>
    <x v="10"/>
    <n v="61032"/>
    <x v="2"/>
    <x v="86"/>
    <x v="1"/>
    <x v="4"/>
    <x v="86"/>
    <n v="45.247999999999998"/>
    <s v="Medium"/>
    <n v="2"/>
    <n v="0.2"/>
    <x v="2"/>
    <x v="2"/>
    <n v="3.9592000000000001"/>
    <n v="8.7500000000000008E-2"/>
    <n v="0"/>
  </r>
  <r>
    <n v="4657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726"/>
    <x v="1"/>
    <x v="6"/>
    <x v="725"/>
    <n v="59.904000000000003"/>
    <s v="Medium"/>
    <n v="2"/>
    <n v="0.2"/>
    <x v="2"/>
    <x v="2"/>
    <n v="14.2272"/>
    <n v="0.23749999999999999"/>
    <n v="0"/>
  </r>
  <r>
    <n v="4658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667"/>
    <x v="1"/>
    <x v="9"/>
    <x v="667"/>
    <n v="23.696000000000002"/>
    <s v="Low"/>
    <n v="2"/>
    <n v="0.2"/>
    <x v="2"/>
    <x v="2"/>
    <n v="6.5164"/>
    <n v="0.27499999999999997"/>
    <n v="0"/>
  </r>
  <r>
    <n v="4659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388"/>
    <x v="1"/>
    <x v="10"/>
    <x v="389"/>
    <n v="7.968"/>
    <s v="Low"/>
    <n v="2"/>
    <n v="0.2"/>
    <x v="2"/>
    <x v="2"/>
    <n v="2.8883999999999999"/>
    <n v="0.36249999999999999"/>
    <n v="0"/>
  </r>
  <r>
    <n v="4660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189"/>
    <x v="1"/>
    <x v="9"/>
    <x v="190"/>
    <n v="18.2"/>
    <s v="Low"/>
    <n v="7"/>
    <n v="0.2"/>
    <x v="2"/>
    <x v="2"/>
    <n v="2.0474999999999999"/>
    <n v="0.1125"/>
    <n v="0"/>
  </r>
  <r>
    <n v="4661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1690"/>
    <x v="2"/>
    <x v="11"/>
    <x v="1678"/>
    <n v="27.552"/>
    <s v="Medium"/>
    <n v="3"/>
    <n v="0.2"/>
    <x v="2"/>
    <x v="2"/>
    <n v="-0.34439999999999998"/>
    <n v="-1.2499999999999999E-2"/>
    <n v="1"/>
  </r>
  <r>
    <n v="4662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228"/>
    <x v="0"/>
    <x v="1"/>
    <x v="229"/>
    <n v="844.11599999999999"/>
    <s v="High"/>
    <n v="6"/>
    <n v="0.3"/>
    <x v="1"/>
    <x v="4"/>
    <n v="-36.176400000000001"/>
    <n v="-4.2857142857142858E-2"/>
    <n v="1"/>
  </r>
  <r>
    <n v="4663"/>
    <s v="CA-2015-112130"/>
    <d v="2015-05-03T00:00:00"/>
    <x v="1"/>
    <s v="Q2"/>
    <x v="33"/>
    <d v="2015-05-07T00:00:00"/>
    <s v="Standard Class"/>
    <x v="647"/>
    <x v="647"/>
    <s v="Consumer"/>
    <s v="United States"/>
    <s v="Philadelphia"/>
    <x v="9"/>
    <n v="19140"/>
    <x v="3"/>
    <x v="911"/>
    <x v="1"/>
    <x v="4"/>
    <x v="903"/>
    <n v="76.751999999999995"/>
    <s v="Medium"/>
    <n v="3"/>
    <n v="0.2"/>
    <x v="2"/>
    <x v="2"/>
    <n v="-9.5939999999999994"/>
    <n v="-0.125"/>
    <n v="1"/>
  </r>
  <r>
    <n v="4664"/>
    <s v="CA-2016-111409"/>
    <d v="2016-09-18T00:00:00"/>
    <x v="0"/>
    <s v="Q3"/>
    <x v="21"/>
    <d v="2016-09-22T00:00:00"/>
    <s v="Standard Class"/>
    <x v="138"/>
    <x v="138"/>
    <s v="Consumer"/>
    <s v="United States"/>
    <s v="Jacksonville"/>
    <x v="2"/>
    <n v="32216"/>
    <x v="0"/>
    <x v="547"/>
    <x v="1"/>
    <x v="2"/>
    <x v="547"/>
    <n v="3"/>
    <s v="Low"/>
    <n v="1"/>
    <n v="0.2"/>
    <x v="2"/>
    <x v="2"/>
    <n v="1.05"/>
    <n v="0.35000000000000003"/>
    <n v="0"/>
  </r>
  <r>
    <n v="4665"/>
    <s v="CA-2016-116232"/>
    <d v="2016-09-22T00:00:00"/>
    <x v="0"/>
    <s v="Q3"/>
    <x v="21"/>
    <d v="2016-09-26T00:00:00"/>
    <s v="Standard Class"/>
    <x v="549"/>
    <x v="549"/>
    <s v="Consumer"/>
    <s v="United States"/>
    <s v="Pembroke Pines"/>
    <x v="2"/>
    <n v="33024"/>
    <x v="0"/>
    <x v="757"/>
    <x v="1"/>
    <x v="8"/>
    <x v="755"/>
    <n v="7.5060000000000002"/>
    <s v="Low"/>
    <n v="9"/>
    <n v="0.7"/>
    <x v="1"/>
    <x v="5"/>
    <n v="-6.0048000000000004"/>
    <n v="-0.8"/>
    <n v="1"/>
  </r>
  <r>
    <n v="4666"/>
    <s v="CA-2016-116232"/>
    <d v="2016-09-22T00:00:00"/>
    <x v="0"/>
    <s v="Q3"/>
    <x v="21"/>
    <d v="2016-09-26T00:00:00"/>
    <s v="Standard Class"/>
    <x v="549"/>
    <x v="549"/>
    <s v="Consumer"/>
    <s v="United States"/>
    <s v="Pembroke Pines"/>
    <x v="2"/>
    <n v="33024"/>
    <x v="0"/>
    <x v="322"/>
    <x v="1"/>
    <x v="2"/>
    <x v="322"/>
    <n v="16.559999999999999"/>
    <s v="Low"/>
    <n v="2"/>
    <n v="0.2"/>
    <x v="2"/>
    <x v="2"/>
    <n v="5.7960000000000003"/>
    <n v="0.35000000000000003"/>
    <n v="0"/>
  </r>
  <r>
    <n v="4667"/>
    <s v="CA-2016-116547"/>
    <d v="2016-01-10T00:00:00"/>
    <x v="0"/>
    <s v="Q1"/>
    <x v="12"/>
    <d v="2016-01-17T00:00:00"/>
    <s v="Standard Class"/>
    <x v="10"/>
    <x v="10"/>
    <s v="Corporate"/>
    <s v="United States"/>
    <s v="Seattle"/>
    <x v="4"/>
    <n v="98115"/>
    <x v="1"/>
    <x v="891"/>
    <x v="0"/>
    <x v="5"/>
    <x v="884"/>
    <n v="79.92"/>
    <s v="Medium"/>
    <n v="4"/>
    <n v="0"/>
    <x v="0"/>
    <x v="0"/>
    <n v="34.365600000000001"/>
    <n v="0.43"/>
    <n v="0"/>
  </r>
  <r>
    <n v="4668"/>
    <s v="CA-2016-116547"/>
    <d v="2016-01-10T00:00:00"/>
    <x v="0"/>
    <s v="Q1"/>
    <x v="12"/>
    <d v="2016-01-17T00:00:00"/>
    <s v="Standard Class"/>
    <x v="10"/>
    <x v="10"/>
    <s v="Corporate"/>
    <s v="United States"/>
    <s v="Seattle"/>
    <x v="4"/>
    <n v="98115"/>
    <x v="1"/>
    <x v="343"/>
    <x v="2"/>
    <x v="11"/>
    <x v="343"/>
    <n v="69.98"/>
    <s v="Medium"/>
    <n v="2"/>
    <n v="0"/>
    <x v="0"/>
    <x v="0"/>
    <n v="13.296200000000001"/>
    <n v="0.19"/>
    <n v="0"/>
  </r>
  <r>
    <n v="4669"/>
    <s v="US-2017-133200"/>
    <d v="2017-05-06T00:00:00"/>
    <x v="3"/>
    <s v="Q2"/>
    <x v="24"/>
    <d v="2017-05-11T00:00:00"/>
    <s v="Standard Class"/>
    <x v="587"/>
    <x v="587"/>
    <s v="Corporate"/>
    <s v="United States"/>
    <s v="Fort Worth"/>
    <x v="5"/>
    <n v="76106"/>
    <x v="2"/>
    <x v="555"/>
    <x v="1"/>
    <x v="8"/>
    <x v="554"/>
    <n v="11.06"/>
    <s v="Low"/>
    <n v="10"/>
    <n v="0.8"/>
    <x v="1"/>
    <x v="3"/>
    <n v="-18.802"/>
    <n v="-1.7"/>
    <n v="1"/>
  </r>
  <r>
    <n v="4670"/>
    <s v="US-2017-133200"/>
    <d v="2017-05-06T00:00:00"/>
    <x v="3"/>
    <s v="Q2"/>
    <x v="24"/>
    <d v="2017-05-11T00:00:00"/>
    <s v="Standard Class"/>
    <x v="587"/>
    <x v="587"/>
    <s v="Corporate"/>
    <s v="United States"/>
    <s v="Fort Worth"/>
    <x v="5"/>
    <n v="76106"/>
    <x v="2"/>
    <x v="419"/>
    <x v="0"/>
    <x v="0"/>
    <x v="419"/>
    <n v="623.46479999999997"/>
    <s v="High"/>
    <n v="7"/>
    <n v="0.32"/>
    <x v="1"/>
    <x v="7"/>
    <n v="-119.1918"/>
    <n v="-0.19117647058823531"/>
    <n v="1"/>
  </r>
  <r>
    <n v="4671"/>
    <s v="US-2017-133200"/>
    <d v="2017-05-06T00:00:00"/>
    <x v="3"/>
    <s v="Q2"/>
    <x v="24"/>
    <d v="2017-05-11T00:00:00"/>
    <s v="Standard Class"/>
    <x v="587"/>
    <x v="587"/>
    <s v="Corporate"/>
    <s v="United States"/>
    <s v="Fort Worth"/>
    <x v="5"/>
    <n v="76106"/>
    <x v="2"/>
    <x v="1662"/>
    <x v="1"/>
    <x v="4"/>
    <x v="1650"/>
    <n v="772.68"/>
    <s v="High"/>
    <n v="5"/>
    <n v="0.2"/>
    <x v="2"/>
    <x v="2"/>
    <n v="-57.951000000000001"/>
    <n v="-7.5000000000000011E-2"/>
    <n v="1"/>
  </r>
  <r>
    <n v="4672"/>
    <s v="CA-2016-133550"/>
    <d v="2016-07-31T00:00:00"/>
    <x v="0"/>
    <s v="Q3"/>
    <x v="16"/>
    <d v="2016-08-06T00:00:00"/>
    <s v="Standard Class"/>
    <x v="107"/>
    <x v="107"/>
    <s v="Consumer"/>
    <s v="United States"/>
    <s v="Detroit"/>
    <x v="12"/>
    <n v="48205"/>
    <x v="2"/>
    <x v="1152"/>
    <x v="1"/>
    <x v="9"/>
    <x v="1140"/>
    <n v="283.14"/>
    <s v="High"/>
    <n v="4"/>
    <n v="0.1"/>
    <x v="3"/>
    <x v="8"/>
    <n v="72.358000000000004"/>
    <n v="0.25555555555555559"/>
    <n v="0"/>
  </r>
  <r>
    <n v="4673"/>
    <s v="CA-2016-133550"/>
    <d v="2016-07-31T00:00:00"/>
    <x v="0"/>
    <s v="Q3"/>
    <x v="16"/>
    <d v="2016-08-06T00:00:00"/>
    <s v="Standard Class"/>
    <x v="107"/>
    <x v="107"/>
    <s v="Consumer"/>
    <s v="United States"/>
    <s v="Detroit"/>
    <x v="12"/>
    <n v="48205"/>
    <x v="2"/>
    <x v="559"/>
    <x v="2"/>
    <x v="7"/>
    <x v="558"/>
    <n v="635.96"/>
    <s v="High"/>
    <n v="4"/>
    <n v="0"/>
    <x v="0"/>
    <x v="0"/>
    <n v="165.34960000000001"/>
    <n v="0.26"/>
    <n v="0"/>
  </r>
  <r>
    <n v="4674"/>
    <s v="CA-2016-133550"/>
    <d v="2016-07-31T00:00:00"/>
    <x v="0"/>
    <s v="Q3"/>
    <x v="16"/>
    <d v="2016-08-06T00:00:00"/>
    <s v="Standard Class"/>
    <x v="107"/>
    <x v="107"/>
    <s v="Consumer"/>
    <s v="United States"/>
    <s v="Detroit"/>
    <x v="12"/>
    <n v="48205"/>
    <x v="2"/>
    <x v="1270"/>
    <x v="2"/>
    <x v="7"/>
    <x v="1255"/>
    <n v="118.99"/>
    <s v="Medium"/>
    <n v="1"/>
    <n v="0"/>
    <x v="0"/>
    <x v="0"/>
    <n v="33.3172"/>
    <n v="0.28000000000000003"/>
    <n v="0"/>
  </r>
  <r>
    <n v="4675"/>
    <s v="CA-2016-133550"/>
    <d v="2016-07-31T00:00:00"/>
    <x v="0"/>
    <s v="Q3"/>
    <x v="16"/>
    <d v="2016-08-06T00:00:00"/>
    <s v="Standard Class"/>
    <x v="107"/>
    <x v="107"/>
    <s v="Consumer"/>
    <s v="United States"/>
    <s v="Detroit"/>
    <x v="12"/>
    <n v="48205"/>
    <x v="2"/>
    <x v="269"/>
    <x v="0"/>
    <x v="5"/>
    <x v="269"/>
    <n v="272.94"/>
    <s v="High"/>
    <n v="3"/>
    <n v="0"/>
    <x v="0"/>
    <x v="0"/>
    <n v="30.023399999999999"/>
    <n v="0.11"/>
    <n v="0"/>
  </r>
  <r>
    <n v="4676"/>
    <s v="CA-2017-139416"/>
    <d v="2017-03-27T00:00:00"/>
    <x v="3"/>
    <s v="Q1"/>
    <x v="42"/>
    <d v="2017-03-29T00:00:00"/>
    <s v="Second Class"/>
    <x v="8"/>
    <x v="8"/>
    <s v="Consumer"/>
    <s v="United States"/>
    <s v="Philadelphia"/>
    <x v="9"/>
    <n v="19120"/>
    <x v="3"/>
    <x v="1441"/>
    <x v="0"/>
    <x v="5"/>
    <x v="1429"/>
    <n v="15.007999999999999"/>
    <s v="Low"/>
    <n v="2"/>
    <n v="0.2"/>
    <x v="2"/>
    <x v="2"/>
    <n v="1.5007999999999999"/>
    <n v="0.1"/>
    <n v="0"/>
  </r>
  <r>
    <n v="4677"/>
    <s v="CA-2014-114510"/>
    <d v="2014-03-14T00:00:00"/>
    <x v="2"/>
    <s v="Q1"/>
    <x v="34"/>
    <d v="2014-03-19T00:00:00"/>
    <s v="Standard Class"/>
    <x v="639"/>
    <x v="639"/>
    <s v="Consumer"/>
    <s v="United States"/>
    <s v="Logan"/>
    <x v="7"/>
    <n v="84321"/>
    <x v="1"/>
    <x v="1339"/>
    <x v="1"/>
    <x v="8"/>
    <x v="1324"/>
    <n v="33.088000000000001"/>
    <s v="Medium"/>
    <n v="4"/>
    <n v="0.2"/>
    <x v="2"/>
    <x v="2"/>
    <n v="11.167199999999999"/>
    <n v="0.33749999999999997"/>
    <n v="0"/>
  </r>
  <r>
    <n v="4678"/>
    <s v="CA-2014-114510"/>
    <d v="2014-03-14T00:00:00"/>
    <x v="2"/>
    <s v="Q1"/>
    <x v="34"/>
    <d v="2014-03-19T00:00:00"/>
    <s v="Standard Class"/>
    <x v="639"/>
    <x v="639"/>
    <s v="Consumer"/>
    <s v="United States"/>
    <s v="Logan"/>
    <x v="7"/>
    <n v="84321"/>
    <x v="1"/>
    <x v="459"/>
    <x v="1"/>
    <x v="4"/>
    <x v="460"/>
    <n v="80.98"/>
    <s v="Medium"/>
    <n v="1"/>
    <n v="0"/>
    <x v="0"/>
    <x v="0"/>
    <n v="3.2391999999999999"/>
    <n v="3.9999999999999994E-2"/>
    <n v="0"/>
  </r>
  <r>
    <n v="4679"/>
    <s v="CA-2014-114510"/>
    <d v="2014-03-14T00:00:00"/>
    <x v="2"/>
    <s v="Q1"/>
    <x v="34"/>
    <d v="2014-03-19T00:00:00"/>
    <s v="Standard Class"/>
    <x v="639"/>
    <x v="639"/>
    <s v="Consumer"/>
    <s v="United States"/>
    <s v="Logan"/>
    <x v="7"/>
    <n v="84321"/>
    <x v="1"/>
    <x v="1691"/>
    <x v="2"/>
    <x v="11"/>
    <x v="1679"/>
    <n v="82.8"/>
    <s v="Medium"/>
    <n v="12"/>
    <n v="0"/>
    <x v="0"/>
    <x v="0"/>
    <n v="6.6239999999999997"/>
    <n v="0.08"/>
    <n v="0"/>
  </r>
  <r>
    <n v="4680"/>
    <s v="CA-2014-114510"/>
    <d v="2014-03-14T00:00:00"/>
    <x v="2"/>
    <s v="Q1"/>
    <x v="34"/>
    <d v="2014-03-19T00:00:00"/>
    <s v="Standard Class"/>
    <x v="639"/>
    <x v="639"/>
    <s v="Consumer"/>
    <s v="United States"/>
    <s v="Logan"/>
    <x v="7"/>
    <n v="84321"/>
    <x v="1"/>
    <x v="683"/>
    <x v="1"/>
    <x v="4"/>
    <x v="683"/>
    <n v="21.36"/>
    <s v="Low"/>
    <n v="2"/>
    <n v="0"/>
    <x v="0"/>
    <x v="0"/>
    <n v="5.7671999999999999"/>
    <n v="0.27"/>
    <n v="0"/>
  </r>
  <r>
    <n v="4681"/>
    <s v="CA-2014-114510"/>
    <d v="2014-03-14T00:00:00"/>
    <x v="2"/>
    <s v="Q1"/>
    <x v="34"/>
    <d v="2014-03-19T00:00:00"/>
    <s v="Standard Class"/>
    <x v="639"/>
    <x v="639"/>
    <s v="Consumer"/>
    <s v="United States"/>
    <s v="Logan"/>
    <x v="7"/>
    <n v="84321"/>
    <x v="1"/>
    <x v="1561"/>
    <x v="1"/>
    <x v="8"/>
    <x v="1551"/>
    <n v="62.048000000000002"/>
    <s v="Medium"/>
    <n v="2"/>
    <n v="0.2"/>
    <x v="2"/>
    <x v="2"/>
    <n v="20.165600000000001"/>
    <n v="0.32500000000000001"/>
    <n v="0"/>
  </r>
  <r>
    <n v="4682"/>
    <s v="CA-2016-169215"/>
    <d v="2016-07-14T00:00:00"/>
    <x v="0"/>
    <s v="Q3"/>
    <x v="16"/>
    <d v="2016-07-18T00:00:00"/>
    <s v="Second Class"/>
    <x v="681"/>
    <x v="681"/>
    <s v="Consumer"/>
    <s v="United States"/>
    <s v="Auburn"/>
    <x v="15"/>
    <n v="13021"/>
    <x v="3"/>
    <x v="1321"/>
    <x v="1"/>
    <x v="13"/>
    <x v="1307"/>
    <n v="29.61"/>
    <s v="Medium"/>
    <n v="9"/>
    <n v="0"/>
    <x v="0"/>
    <x v="0"/>
    <n v="13.3245"/>
    <n v="0.45"/>
    <n v="0"/>
  </r>
  <r>
    <n v="4683"/>
    <s v="CA-2016-127698"/>
    <d v="2016-12-01T00:00:00"/>
    <x v="0"/>
    <s v="Q4"/>
    <x v="5"/>
    <d v="2016-12-01T00:00:00"/>
    <s v="Same Day"/>
    <x v="160"/>
    <x v="160"/>
    <s v="Consumer"/>
    <s v="United States"/>
    <s v="Raleigh"/>
    <x v="3"/>
    <n v="27604"/>
    <x v="0"/>
    <x v="1211"/>
    <x v="2"/>
    <x v="7"/>
    <x v="1196"/>
    <n v="863.928"/>
    <s v="High"/>
    <n v="9"/>
    <n v="0.2"/>
    <x v="2"/>
    <x v="2"/>
    <n v="86.392799999999994"/>
    <n v="9.9999999999999992E-2"/>
    <n v="0"/>
  </r>
  <r>
    <n v="4684"/>
    <s v="CA-2016-159912"/>
    <d v="2016-08-29T00:00:00"/>
    <x v="0"/>
    <s v="Q3"/>
    <x v="28"/>
    <d v="2016-09-03T00:00:00"/>
    <s v="Standard Class"/>
    <x v="334"/>
    <x v="334"/>
    <s v="Corporate"/>
    <s v="United States"/>
    <s v="Philadelphia"/>
    <x v="9"/>
    <n v="19120"/>
    <x v="3"/>
    <x v="1529"/>
    <x v="0"/>
    <x v="3"/>
    <x v="1516"/>
    <n v="241.92"/>
    <s v="High"/>
    <n v="4"/>
    <n v="0.4"/>
    <x v="1"/>
    <x v="7"/>
    <n v="-56.448"/>
    <n v="-0.23333333333333334"/>
    <n v="1"/>
  </r>
  <r>
    <n v="4685"/>
    <s v="CA-2016-159912"/>
    <d v="2016-08-29T00:00:00"/>
    <x v="0"/>
    <s v="Q3"/>
    <x v="28"/>
    <d v="2016-09-03T00:00:00"/>
    <s v="Standard Class"/>
    <x v="334"/>
    <x v="334"/>
    <s v="Corporate"/>
    <s v="United States"/>
    <s v="Philadelphia"/>
    <x v="9"/>
    <n v="19120"/>
    <x v="3"/>
    <x v="1632"/>
    <x v="0"/>
    <x v="0"/>
    <x v="1622"/>
    <n v="163.88"/>
    <s v="High"/>
    <n v="4"/>
    <n v="0.5"/>
    <x v="1"/>
    <x v="1"/>
    <n v="-81.94"/>
    <n v="-0.5"/>
    <n v="1"/>
  </r>
  <r>
    <n v="4686"/>
    <s v="CA-2016-159912"/>
    <d v="2016-08-29T00:00:00"/>
    <x v="0"/>
    <s v="Q3"/>
    <x v="28"/>
    <d v="2016-09-03T00:00:00"/>
    <s v="Standard Class"/>
    <x v="334"/>
    <x v="334"/>
    <s v="Corporate"/>
    <s v="United States"/>
    <s v="Philadelphia"/>
    <x v="9"/>
    <n v="19120"/>
    <x v="3"/>
    <x v="699"/>
    <x v="1"/>
    <x v="8"/>
    <x v="699"/>
    <n v="3.4860000000000002"/>
    <s v="Low"/>
    <n v="2"/>
    <n v="0.7"/>
    <x v="1"/>
    <x v="5"/>
    <n v="-2.7888000000000002"/>
    <n v="-0.8"/>
    <n v="1"/>
  </r>
  <r>
    <n v="4687"/>
    <s v="CA-2016-159912"/>
    <d v="2016-08-29T00:00:00"/>
    <x v="0"/>
    <s v="Q3"/>
    <x v="28"/>
    <d v="2016-09-03T00:00:00"/>
    <s v="Standard Class"/>
    <x v="334"/>
    <x v="334"/>
    <s v="Corporate"/>
    <s v="United States"/>
    <s v="Philadelphia"/>
    <x v="9"/>
    <n v="19120"/>
    <x v="3"/>
    <x v="969"/>
    <x v="1"/>
    <x v="13"/>
    <x v="962"/>
    <n v="10.584"/>
    <s v="Low"/>
    <n v="7"/>
    <n v="0.2"/>
    <x v="2"/>
    <x v="2"/>
    <n v="-2.3814000000000002"/>
    <n v="-0.22500000000000003"/>
    <n v="1"/>
  </r>
  <r>
    <n v="4688"/>
    <s v="CA-2016-101987"/>
    <d v="2016-06-24T00:00:00"/>
    <x v="0"/>
    <s v="Q2"/>
    <x v="1"/>
    <d v="2016-06-30T00:00:00"/>
    <s v="Standard Class"/>
    <x v="332"/>
    <x v="332"/>
    <s v="Consumer"/>
    <s v="United States"/>
    <s v="Richmond"/>
    <x v="14"/>
    <n v="47374"/>
    <x v="2"/>
    <x v="1692"/>
    <x v="2"/>
    <x v="7"/>
    <x v="1680"/>
    <n v="440.91"/>
    <s v="High"/>
    <n v="9"/>
    <n v="0"/>
    <x v="0"/>
    <x v="0"/>
    <n v="123.45480000000001"/>
    <n v="0.27999999999999997"/>
    <n v="0"/>
  </r>
  <r>
    <n v="4689"/>
    <s v="US-2017-154851"/>
    <d v="2017-03-30T00:00:00"/>
    <x v="3"/>
    <s v="Q1"/>
    <x v="42"/>
    <d v="2017-04-03T00:00:00"/>
    <s v="Standard Class"/>
    <x v="669"/>
    <x v="669"/>
    <s v="Consumer"/>
    <s v="United States"/>
    <s v="Lancaster"/>
    <x v="9"/>
    <n v="17602"/>
    <x v="3"/>
    <x v="31"/>
    <x v="1"/>
    <x v="8"/>
    <x v="31"/>
    <n v="5.7149999999999999"/>
    <s v="Low"/>
    <n v="5"/>
    <n v="0.7"/>
    <x v="1"/>
    <x v="5"/>
    <n v="-4.7625000000000002"/>
    <n v="-0.83333333333333337"/>
    <n v="1"/>
  </r>
  <r>
    <n v="4690"/>
    <s v="CA-2014-138681"/>
    <d v="2014-12-20T00:00:00"/>
    <x v="2"/>
    <s v="Q4"/>
    <x v="20"/>
    <d v="2014-12-22T00:00:00"/>
    <s v="First Class"/>
    <x v="564"/>
    <x v="564"/>
    <s v="Consumer"/>
    <s v="United States"/>
    <s v="Tucson"/>
    <x v="16"/>
    <n v="85705"/>
    <x v="1"/>
    <x v="1416"/>
    <x v="0"/>
    <x v="5"/>
    <x v="1403"/>
    <n v="51.968000000000004"/>
    <s v="Medium"/>
    <n v="2"/>
    <n v="0.2"/>
    <x v="2"/>
    <x v="2"/>
    <n v="10.393599999999999"/>
    <n v="0.19999999999999998"/>
    <n v="0"/>
  </r>
  <r>
    <n v="4691"/>
    <s v="CA-2014-138681"/>
    <d v="2014-12-20T00:00:00"/>
    <x v="2"/>
    <s v="Q4"/>
    <x v="20"/>
    <d v="2014-12-22T00:00:00"/>
    <s v="First Class"/>
    <x v="564"/>
    <x v="564"/>
    <s v="Consumer"/>
    <s v="United States"/>
    <s v="Tucson"/>
    <x v="16"/>
    <n v="85705"/>
    <x v="1"/>
    <x v="246"/>
    <x v="2"/>
    <x v="11"/>
    <x v="247"/>
    <n v="71.975999999999999"/>
    <s v="Medium"/>
    <n v="3"/>
    <n v="0.2"/>
    <x v="2"/>
    <x v="2"/>
    <n v="21.5928"/>
    <n v="0.3"/>
    <n v="0"/>
  </r>
  <r>
    <n v="4692"/>
    <s v="CA-2014-138681"/>
    <d v="2014-12-20T00:00:00"/>
    <x v="2"/>
    <s v="Q4"/>
    <x v="20"/>
    <d v="2014-12-22T00:00:00"/>
    <s v="First Class"/>
    <x v="564"/>
    <x v="564"/>
    <s v="Consumer"/>
    <s v="United States"/>
    <s v="Tucson"/>
    <x v="16"/>
    <n v="85705"/>
    <x v="1"/>
    <x v="211"/>
    <x v="0"/>
    <x v="1"/>
    <x v="212"/>
    <n v="242.352"/>
    <s v="High"/>
    <n v="3"/>
    <n v="0.2"/>
    <x v="2"/>
    <x v="2"/>
    <n v="-42.4116"/>
    <n v="-0.17499999999999999"/>
    <n v="1"/>
  </r>
  <r>
    <n v="4693"/>
    <s v="CA-2014-138681"/>
    <d v="2014-12-20T00:00:00"/>
    <x v="2"/>
    <s v="Q4"/>
    <x v="20"/>
    <d v="2014-12-22T00:00:00"/>
    <s v="First Class"/>
    <x v="564"/>
    <x v="564"/>
    <s v="Consumer"/>
    <s v="United States"/>
    <s v="Tucson"/>
    <x v="16"/>
    <n v="85705"/>
    <x v="1"/>
    <x v="447"/>
    <x v="1"/>
    <x v="10"/>
    <x v="1228"/>
    <n v="221.92"/>
    <s v="High"/>
    <n v="5"/>
    <n v="0.2"/>
    <x v="2"/>
    <x v="2"/>
    <n v="77.671999999999997"/>
    <n v="0.35000000000000003"/>
    <n v="0"/>
  </r>
  <r>
    <n v="4694"/>
    <s v="CA-2014-138681"/>
    <d v="2014-12-20T00:00:00"/>
    <x v="2"/>
    <s v="Q4"/>
    <x v="20"/>
    <d v="2014-12-22T00:00:00"/>
    <s v="First Class"/>
    <x v="564"/>
    <x v="564"/>
    <s v="Consumer"/>
    <s v="United States"/>
    <s v="Tucson"/>
    <x v="16"/>
    <n v="85705"/>
    <x v="1"/>
    <x v="1436"/>
    <x v="1"/>
    <x v="10"/>
    <x v="1424"/>
    <n v="8.4480000000000004"/>
    <s v="Low"/>
    <n v="2"/>
    <n v="0.2"/>
    <x v="2"/>
    <x v="2"/>
    <n v="2.64"/>
    <n v="0.3125"/>
    <n v="0"/>
  </r>
  <r>
    <n v="4695"/>
    <s v="US-2015-138121"/>
    <d v="2015-12-17T00:00:00"/>
    <x v="1"/>
    <s v="Q4"/>
    <x v="14"/>
    <d v="2015-12-17T00:00:00"/>
    <s v="Same Day"/>
    <x v="252"/>
    <x v="252"/>
    <s v="Consumer"/>
    <s v="United States"/>
    <s v="Detroit"/>
    <x v="12"/>
    <n v="48205"/>
    <x v="2"/>
    <x v="777"/>
    <x v="1"/>
    <x v="8"/>
    <x v="776"/>
    <n v="29.52"/>
    <s v="Medium"/>
    <n v="4"/>
    <n v="0"/>
    <x v="0"/>
    <x v="0"/>
    <n v="14.4648"/>
    <n v="0.49"/>
    <n v="0"/>
  </r>
  <r>
    <n v="4696"/>
    <s v="US-2015-138121"/>
    <d v="2015-12-17T00:00:00"/>
    <x v="1"/>
    <s v="Q4"/>
    <x v="14"/>
    <d v="2015-12-17T00:00:00"/>
    <s v="Same Day"/>
    <x v="252"/>
    <x v="252"/>
    <s v="Consumer"/>
    <s v="United States"/>
    <s v="Detroit"/>
    <x v="12"/>
    <n v="48205"/>
    <x v="2"/>
    <x v="931"/>
    <x v="0"/>
    <x v="1"/>
    <x v="924"/>
    <n v="302.94"/>
    <s v="High"/>
    <n v="3"/>
    <n v="0"/>
    <x v="0"/>
    <x v="0"/>
    <n v="48.470399999999998"/>
    <n v="0.16"/>
    <n v="0"/>
  </r>
  <r>
    <n v="4697"/>
    <s v="US-2015-138121"/>
    <d v="2015-12-17T00:00:00"/>
    <x v="1"/>
    <s v="Q4"/>
    <x v="14"/>
    <d v="2015-12-17T00:00:00"/>
    <s v="Same Day"/>
    <x v="252"/>
    <x v="252"/>
    <s v="Consumer"/>
    <s v="United States"/>
    <s v="Detroit"/>
    <x v="12"/>
    <n v="48205"/>
    <x v="2"/>
    <x v="1459"/>
    <x v="0"/>
    <x v="1"/>
    <x v="1445"/>
    <n v="142.36000000000001"/>
    <s v="High"/>
    <n v="2"/>
    <n v="0"/>
    <x v="0"/>
    <x v="0"/>
    <n v="38.437199999999997"/>
    <n v="0.26999999999999996"/>
    <n v="0"/>
  </r>
  <r>
    <n v="4698"/>
    <s v="US-2015-138121"/>
    <d v="2015-12-17T00:00:00"/>
    <x v="1"/>
    <s v="Q4"/>
    <x v="14"/>
    <d v="2015-12-17T00:00:00"/>
    <s v="Same Day"/>
    <x v="252"/>
    <x v="252"/>
    <s v="Consumer"/>
    <s v="United States"/>
    <s v="Detroit"/>
    <x v="12"/>
    <n v="48205"/>
    <x v="2"/>
    <x v="163"/>
    <x v="0"/>
    <x v="1"/>
    <x v="164"/>
    <n v="546.66"/>
    <s v="High"/>
    <n v="9"/>
    <n v="0"/>
    <x v="0"/>
    <x v="0"/>
    <n v="136.66499999999999"/>
    <n v="0.25"/>
    <n v="0"/>
  </r>
  <r>
    <n v="4699"/>
    <s v="US-2015-138121"/>
    <d v="2015-12-17T00:00:00"/>
    <x v="1"/>
    <s v="Q4"/>
    <x v="14"/>
    <d v="2015-12-17T00:00:00"/>
    <s v="Same Day"/>
    <x v="252"/>
    <x v="252"/>
    <s v="Consumer"/>
    <s v="United States"/>
    <s v="Detroit"/>
    <x v="12"/>
    <n v="48205"/>
    <x v="2"/>
    <x v="1454"/>
    <x v="0"/>
    <x v="5"/>
    <x v="1440"/>
    <n v="212.13"/>
    <s v="High"/>
    <n v="3"/>
    <n v="0"/>
    <x v="0"/>
    <x v="0"/>
    <n v="14.8491"/>
    <n v="7.0000000000000007E-2"/>
    <n v="0"/>
  </r>
  <r>
    <n v="4700"/>
    <s v="CA-2017-140298"/>
    <d v="2017-05-11T00:00:00"/>
    <x v="3"/>
    <s v="Q2"/>
    <x v="24"/>
    <d v="2017-05-17T00:00:00"/>
    <s v="Standard Class"/>
    <x v="451"/>
    <x v="451"/>
    <s v="Home Office"/>
    <s v="United States"/>
    <s v="Austin"/>
    <x v="5"/>
    <n v="78745"/>
    <x v="2"/>
    <x v="1609"/>
    <x v="1"/>
    <x v="6"/>
    <x v="1600"/>
    <n v="5.2480000000000002"/>
    <s v="Low"/>
    <n v="2"/>
    <n v="0.2"/>
    <x v="2"/>
    <x v="2"/>
    <n v="0.59040000000000004"/>
    <n v="0.1125"/>
    <n v="0"/>
  </r>
  <r>
    <n v="4701"/>
    <s v="CA-2017-140298"/>
    <d v="2017-05-11T00:00:00"/>
    <x v="3"/>
    <s v="Q2"/>
    <x v="24"/>
    <d v="2017-05-17T00:00:00"/>
    <s v="Standard Class"/>
    <x v="451"/>
    <x v="451"/>
    <s v="Home Office"/>
    <s v="United States"/>
    <s v="Austin"/>
    <x v="5"/>
    <n v="78745"/>
    <x v="2"/>
    <x v="243"/>
    <x v="1"/>
    <x v="4"/>
    <x v="244"/>
    <n v="74.415999999999997"/>
    <s v="Medium"/>
    <n v="2"/>
    <n v="0.2"/>
    <x v="2"/>
    <x v="2"/>
    <n v="-14.8832"/>
    <n v="-0.2"/>
    <n v="1"/>
  </r>
  <r>
    <n v="4702"/>
    <s v="CA-2017-140298"/>
    <d v="2017-05-11T00:00:00"/>
    <x v="3"/>
    <s v="Q2"/>
    <x v="24"/>
    <d v="2017-05-17T00:00:00"/>
    <s v="Standard Class"/>
    <x v="451"/>
    <x v="451"/>
    <s v="Home Office"/>
    <s v="United States"/>
    <s v="Austin"/>
    <x v="5"/>
    <n v="78745"/>
    <x v="2"/>
    <x v="630"/>
    <x v="1"/>
    <x v="10"/>
    <x v="630"/>
    <n v="6.8479999999999999"/>
    <s v="Low"/>
    <n v="2"/>
    <n v="0.2"/>
    <x v="2"/>
    <x v="2"/>
    <n v="2.14"/>
    <n v="0.3125"/>
    <n v="0"/>
  </r>
  <r>
    <n v="4703"/>
    <s v="CA-2017-140298"/>
    <d v="2017-05-11T00:00:00"/>
    <x v="3"/>
    <s v="Q2"/>
    <x v="24"/>
    <d v="2017-05-17T00:00:00"/>
    <s v="Standard Class"/>
    <x v="451"/>
    <x v="451"/>
    <s v="Home Office"/>
    <s v="United States"/>
    <s v="Austin"/>
    <x v="5"/>
    <n v="78745"/>
    <x v="2"/>
    <x v="296"/>
    <x v="0"/>
    <x v="5"/>
    <x v="296"/>
    <n v="7.9960000000000004"/>
    <s v="Low"/>
    <n v="1"/>
    <n v="0.6"/>
    <x v="1"/>
    <x v="6"/>
    <n v="-6.9965000000000002"/>
    <n v="-0.875"/>
    <n v="1"/>
  </r>
  <r>
    <n v="4704"/>
    <s v="CA-2016-166240"/>
    <d v="2016-06-24T00:00:00"/>
    <x v="0"/>
    <s v="Q2"/>
    <x v="1"/>
    <d v="2016-06-28T00:00:00"/>
    <s v="Standard Class"/>
    <x v="704"/>
    <x v="704"/>
    <s v="Corporate"/>
    <s v="United States"/>
    <s v="Houston"/>
    <x v="5"/>
    <n v="77095"/>
    <x v="2"/>
    <x v="1112"/>
    <x v="1"/>
    <x v="9"/>
    <x v="1101"/>
    <n v="8.7119999999999997"/>
    <s v="Low"/>
    <n v="2"/>
    <n v="0.8"/>
    <x v="1"/>
    <x v="3"/>
    <n v="-19.602"/>
    <n v="-2.25"/>
    <n v="1"/>
  </r>
  <r>
    <n v="4705"/>
    <s v="CA-2016-158435"/>
    <d v="2016-05-17T00:00:00"/>
    <x v="0"/>
    <s v="Q2"/>
    <x v="35"/>
    <d v="2016-05-18T00:00:00"/>
    <s v="First Class"/>
    <x v="151"/>
    <x v="151"/>
    <s v="Consumer"/>
    <s v="United States"/>
    <s v="Waterbury"/>
    <x v="29"/>
    <n v="6708"/>
    <x v="3"/>
    <x v="660"/>
    <x v="1"/>
    <x v="14"/>
    <x v="660"/>
    <n v="65.17"/>
    <s v="Medium"/>
    <n v="7"/>
    <n v="0"/>
    <x v="0"/>
    <x v="0"/>
    <n v="18.8993"/>
    <n v="0.28999999999999998"/>
    <n v="0"/>
  </r>
  <r>
    <n v="4706"/>
    <s v="CA-2016-158435"/>
    <d v="2016-05-17T00:00:00"/>
    <x v="0"/>
    <s v="Q2"/>
    <x v="35"/>
    <d v="2016-05-18T00:00:00"/>
    <s v="First Class"/>
    <x v="151"/>
    <x v="151"/>
    <s v="Consumer"/>
    <s v="United States"/>
    <s v="Waterbury"/>
    <x v="29"/>
    <n v="6708"/>
    <x v="3"/>
    <x v="148"/>
    <x v="1"/>
    <x v="2"/>
    <x v="149"/>
    <n v="14.62"/>
    <s v="Low"/>
    <n v="2"/>
    <n v="0"/>
    <x v="0"/>
    <x v="0"/>
    <n v="6.8714000000000004"/>
    <n v="0.47000000000000003"/>
    <n v="0"/>
  </r>
  <r>
    <n v="4707"/>
    <s v="CA-2016-158435"/>
    <d v="2016-05-17T00:00:00"/>
    <x v="0"/>
    <s v="Q2"/>
    <x v="35"/>
    <d v="2016-05-18T00:00:00"/>
    <s v="First Class"/>
    <x v="151"/>
    <x v="151"/>
    <s v="Consumer"/>
    <s v="United States"/>
    <s v="Waterbury"/>
    <x v="29"/>
    <n v="6708"/>
    <x v="3"/>
    <x v="784"/>
    <x v="0"/>
    <x v="5"/>
    <x v="783"/>
    <n v="173.24"/>
    <s v="High"/>
    <n v="4"/>
    <n v="0"/>
    <x v="0"/>
    <x v="0"/>
    <n v="17.324000000000002"/>
    <n v="0.1"/>
    <n v="0"/>
  </r>
  <r>
    <n v="4708"/>
    <s v="CA-2017-138149"/>
    <d v="2017-06-29T00:00:00"/>
    <x v="3"/>
    <s v="Q2"/>
    <x v="27"/>
    <d v="2017-06-30T00:00:00"/>
    <s v="First Class"/>
    <x v="576"/>
    <x v="576"/>
    <s v="Consumer"/>
    <s v="United States"/>
    <s v="Los Angeles"/>
    <x v="1"/>
    <n v="90049"/>
    <x v="1"/>
    <x v="1188"/>
    <x v="1"/>
    <x v="8"/>
    <x v="1174"/>
    <n v="895.92"/>
    <s v="High"/>
    <n v="5"/>
    <n v="0.2"/>
    <x v="2"/>
    <x v="2"/>
    <n v="302.37299999999999"/>
    <n v="0.33750000000000002"/>
    <n v="0"/>
  </r>
  <r>
    <n v="4709"/>
    <s v="CA-2017-138149"/>
    <d v="2017-06-29T00:00:00"/>
    <x v="3"/>
    <s v="Q2"/>
    <x v="27"/>
    <d v="2017-06-30T00:00:00"/>
    <s v="First Class"/>
    <x v="576"/>
    <x v="576"/>
    <s v="Consumer"/>
    <s v="United States"/>
    <s v="Los Angeles"/>
    <x v="1"/>
    <n v="90049"/>
    <x v="1"/>
    <x v="123"/>
    <x v="1"/>
    <x v="4"/>
    <x v="123"/>
    <n v="130.71"/>
    <s v="High"/>
    <n v="3"/>
    <n v="0"/>
    <x v="0"/>
    <x v="0"/>
    <n v="39.213000000000001"/>
    <n v="0.3"/>
    <n v="0"/>
  </r>
  <r>
    <n v="4710"/>
    <s v="CA-2017-138149"/>
    <d v="2017-06-29T00:00:00"/>
    <x v="3"/>
    <s v="Q2"/>
    <x v="27"/>
    <d v="2017-06-30T00:00:00"/>
    <s v="First Class"/>
    <x v="576"/>
    <x v="576"/>
    <s v="Consumer"/>
    <s v="United States"/>
    <s v="Los Angeles"/>
    <x v="1"/>
    <n v="90049"/>
    <x v="1"/>
    <x v="809"/>
    <x v="1"/>
    <x v="6"/>
    <x v="807"/>
    <n v="11.68"/>
    <s v="Low"/>
    <n v="2"/>
    <n v="0"/>
    <x v="0"/>
    <x v="0"/>
    <n v="3.0367999999999999"/>
    <n v="0.26"/>
    <n v="0"/>
  </r>
  <r>
    <n v="4711"/>
    <s v="CA-2017-138149"/>
    <d v="2017-06-29T00:00:00"/>
    <x v="3"/>
    <s v="Q2"/>
    <x v="27"/>
    <d v="2017-06-30T00:00:00"/>
    <s v="First Class"/>
    <x v="576"/>
    <x v="576"/>
    <s v="Consumer"/>
    <s v="United States"/>
    <s v="Los Angeles"/>
    <x v="1"/>
    <n v="90049"/>
    <x v="1"/>
    <x v="1196"/>
    <x v="2"/>
    <x v="11"/>
    <x v="1181"/>
    <n v="62.31"/>
    <s v="Medium"/>
    <n v="3"/>
    <n v="0"/>
    <x v="0"/>
    <x v="0"/>
    <n v="22.4316"/>
    <n v="0.36"/>
    <n v="0"/>
  </r>
  <r>
    <n v="4712"/>
    <s v="CA-2014-112403"/>
    <d v="2014-03-31T00:00:00"/>
    <x v="2"/>
    <s v="Q1"/>
    <x v="34"/>
    <d v="2014-03-31T00:00:00"/>
    <s v="Same Day"/>
    <x v="123"/>
    <x v="123"/>
    <s v="Consumer"/>
    <s v="United States"/>
    <s v="Philadelphia"/>
    <x v="9"/>
    <n v="19120"/>
    <x v="3"/>
    <x v="798"/>
    <x v="1"/>
    <x v="8"/>
    <x v="796"/>
    <n v="0.85199999999999998"/>
    <s v="Low"/>
    <n v="1"/>
    <n v="0.7"/>
    <x v="1"/>
    <x v="5"/>
    <n v="-0.59640000000000004"/>
    <n v="-0.70000000000000007"/>
    <n v="1"/>
  </r>
  <r>
    <n v="4713"/>
    <s v="CA-2014-108273"/>
    <d v="2014-12-16T00:00:00"/>
    <x v="2"/>
    <s v="Q4"/>
    <x v="20"/>
    <d v="2014-12-21T00:00:00"/>
    <s v="Standard Class"/>
    <x v="719"/>
    <x v="719"/>
    <s v="Consumer"/>
    <s v="United States"/>
    <s v="Huntsville"/>
    <x v="5"/>
    <n v="77340"/>
    <x v="2"/>
    <x v="815"/>
    <x v="1"/>
    <x v="10"/>
    <x v="811"/>
    <n v="36.287999999999997"/>
    <s v="Medium"/>
    <n v="7"/>
    <n v="0.2"/>
    <x v="2"/>
    <x v="2"/>
    <n v="12.700799999999999"/>
    <n v="0.35000000000000003"/>
    <n v="0"/>
  </r>
  <r>
    <n v="4714"/>
    <s v="CA-2014-108273"/>
    <d v="2014-12-16T00:00:00"/>
    <x v="2"/>
    <s v="Q4"/>
    <x v="20"/>
    <d v="2014-12-21T00:00:00"/>
    <s v="Standard Class"/>
    <x v="719"/>
    <x v="719"/>
    <s v="Consumer"/>
    <s v="United States"/>
    <s v="Huntsville"/>
    <x v="5"/>
    <n v="77340"/>
    <x v="2"/>
    <x v="1454"/>
    <x v="0"/>
    <x v="5"/>
    <x v="1440"/>
    <n v="56.567999999999998"/>
    <s v="Medium"/>
    <n v="2"/>
    <n v="0.6"/>
    <x v="1"/>
    <x v="6"/>
    <n v="-74.952600000000004"/>
    <n v="-1.3250000000000002"/>
    <n v="1"/>
  </r>
  <r>
    <n v="4715"/>
    <s v="CA-2017-121643"/>
    <d v="2017-05-18T00:00:00"/>
    <x v="3"/>
    <s v="Q2"/>
    <x v="24"/>
    <d v="2017-05-20T00:00:00"/>
    <s v="First Class"/>
    <x v="455"/>
    <x v="455"/>
    <s v="Consumer"/>
    <s v="United States"/>
    <s v="Portland"/>
    <x v="21"/>
    <n v="97206"/>
    <x v="1"/>
    <x v="883"/>
    <x v="2"/>
    <x v="7"/>
    <x v="1480"/>
    <n v="344.70400000000001"/>
    <s v="High"/>
    <n v="2"/>
    <n v="0.2"/>
    <x v="2"/>
    <x v="2"/>
    <n v="38.779200000000003"/>
    <n v="0.1125"/>
    <n v="0"/>
  </r>
  <r>
    <n v="4716"/>
    <s v="US-2015-122910"/>
    <d v="2015-05-12T00:00:00"/>
    <x v="1"/>
    <s v="Q2"/>
    <x v="33"/>
    <d v="2015-05-16T00:00:00"/>
    <s v="Standard Class"/>
    <x v="398"/>
    <x v="398"/>
    <s v="Consumer"/>
    <s v="United States"/>
    <s v="Louisville"/>
    <x v="22"/>
    <n v="80027"/>
    <x v="1"/>
    <x v="1066"/>
    <x v="2"/>
    <x v="7"/>
    <x v="1055"/>
    <n v="201.584"/>
    <s v="High"/>
    <n v="2"/>
    <n v="0.2"/>
    <x v="2"/>
    <x v="2"/>
    <n v="20.1584"/>
    <n v="0.1"/>
    <n v="0"/>
  </r>
  <r>
    <n v="4717"/>
    <s v="CA-2017-143126"/>
    <d v="2017-12-03T00:00:00"/>
    <x v="3"/>
    <s v="Q4"/>
    <x v="22"/>
    <d v="2017-12-07T00:00:00"/>
    <s v="Second Class"/>
    <x v="475"/>
    <x v="475"/>
    <s v="Home Office"/>
    <s v="United States"/>
    <s v="Seattle"/>
    <x v="4"/>
    <n v="98115"/>
    <x v="1"/>
    <x v="971"/>
    <x v="0"/>
    <x v="3"/>
    <x v="965"/>
    <n v="521.96"/>
    <s v="High"/>
    <n v="2"/>
    <n v="0"/>
    <x v="0"/>
    <x v="0"/>
    <n v="88.733199999999997"/>
    <n v="0.16999999999999998"/>
    <n v="0"/>
  </r>
  <r>
    <n v="4718"/>
    <s v="CA-2015-129042"/>
    <d v="2015-12-12T00:00:00"/>
    <x v="1"/>
    <s v="Q4"/>
    <x v="14"/>
    <d v="2015-12-17T00:00:00"/>
    <s v="Standard Class"/>
    <x v="75"/>
    <x v="75"/>
    <s v="Consumer"/>
    <s v="United States"/>
    <s v="Baltimore"/>
    <x v="39"/>
    <n v="21215"/>
    <x v="3"/>
    <x v="448"/>
    <x v="1"/>
    <x v="6"/>
    <x v="448"/>
    <n v="8.2200000000000006"/>
    <s v="Low"/>
    <n v="3"/>
    <n v="0"/>
    <x v="0"/>
    <x v="0"/>
    <n v="2.2193999999999998"/>
    <n v="0.26999999999999996"/>
    <n v="0"/>
  </r>
  <r>
    <n v="4719"/>
    <s v="CA-2015-109736"/>
    <d v="2015-10-10T00:00:00"/>
    <x v="1"/>
    <s v="Q4"/>
    <x v="2"/>
    <d v="2015-10-11T00:00:00"/>
    <s v="First Class"/>
    <x v="249"/>
    <x v="249"/>
    <s v="Corporate"/>
    <s v="United States"/>
    <s v="San Francisco"/>
    <x v="1"/>
    <n v="94109"/>
    <x v="1"/>
    <x v="511"/>
    <x v="1"/>
    <x v="10"/>
    <x v="511"/>
    <n v="45.36"/>
    <s v="Medium"/>
    <n v="7"/>
    <n v="0"/>
    <x v="0"/>
    <x v="0"/>
    <n v="21.7728"/>
    <n v="0.48"/>
    <n v="0"/>
  </r>
  <r>
    <n v="4720"/>
    <s v="CA-2015-142601"/>
    <d v="2015-04-18T00:00:00"/>
    <x v="1"/>
    <s v="Q2"/>
    <x v="19"/>
    <d v="2015-04-20T00:00:00"/>
    <s v="Second Class"/>
    <x v="368"/>
    <x v="368"/>
    <s v="Home Office"/>
    <s v="United States"/>
    <s v="Los Angeles"/>
    <x v="1"/>
    <n v="90004"/>
    <x v="1"/>
    <x v="273"/>
    <x v="1"/>
    <x v="4"/>
    <x v="273"/>
    <n v="947.17"/>
    <s v="High"/>
    <n v="7"/>
    <n v="0"/>
    <x v="0"/>
    <x v="0"/>
    <n v="9.4717000000000002"/>
    <n v="0.01"/>
    <n v="0"/>
  </r>
  <r>
    <n v="4721"/>
    <s v="CA-2015-142601"/>
    <d v="2015-04-18T00:00:00"/>
    <x v="1"/>
    <s v="Q2"/>
    <x v="19"/>
    <d v="2015-04-20T00:00:00"/>
    <s v="Second Class"/>
    <x v="368"/>
    <x v="368"/>
    <s v="Home Office"/>
    <s v="United States"/>
    <s v="Los Angeles"/>
    <x v="1"/>
    <n v="90004"/>
    <x v="1"/>
    <x v="1693"/>
    <x v="1"/>
    <x v="10"/>
    <x v="1681"/>
    <n v="61.96"/>
    <s v="Medium"/>
    <n v="2"/>
    <n v="0"/>
    <x v="0"/>
    <x v="0"/>
    <n v="27.882000000000001"/>
    <n v="0.45"/>
    <n v="0"/>
  </r>
  <r>
    <n v="4722"/>
    <s v="CA-2014-106229"/>
    <d v="2014-06-07T00:00:00"/>
    <x v="2"/>
    <s v="Q2"/>
    <x v="3"/>
    <d v="2014-06-11T00:00:00"/>
    <s v="Second Class"/>
    <x v="749"/>
    <x v="749"/>
    <s v="Consumer"/>
    <s v="United States"/>
    <s v="Aurora"/>
    <x v="10"/>
    <n v="60505"/>
    <x v="2"/>
    <x v="363"/>
    <x v="0"/>
    <x v="3"/>
    <x v="363"/>
    <n v="268.935"/>
    <s v="High"/>
    <n v="3"/>
    <n v="0.5"/>
    <x v="1"/>
    <x v="1"/>
    <n v="-209.76929999999999"/>
    <n v="-0.77999999999999992"/>
    <n v="1"/>
  </r>
  <r>
    <n v="4723"/>
    <s v="US-2017-135230"/>
    <d v="2017-09-01T00:00:00"/>
    <x v="3"/>
    <s v="Q3"/>
    <x v="15"/>
    <d v="2017-09-07T00:00:00"/>
    <s v="Standard Class"/>
    <x v="278"/>
    <x v="278"/>
    <s v="Home Office"/>
    <s v="United States"/>
    <s v="Seattle"/>
    <x v="4"/>
    <n v="98103"/>
    <x v="1"/>
    <x v="773"/>
    <x v="1"/>
    <x v="6"/>
    <x v="772"/>
    <n v="7.58"/>
    <s v="Low"/>
    <n v="1"/>
    <n v="0"/>
    <x v="0"/>
    <x v="0"/>
    <n v="2.9561999999999999"/>
    <n v="0.39"/>
    <n v="0"/>
  </r>
  <r>
    <n v="4724"/>
    <s v="CA-2016-159653"/>
    <d v="2016-05-22T00:00:00"/>
    <x v="0"/>
    <s v="Q2"/>
    <x v="35"/>
    <d v="2016-05-22T00:00:00"/>
    <s v="Same Day"/>
    <x v="223"/>
    <x v="223"/>
    <s v="Consumer"/>
    <s v="United States"/>
    <s v="Athens"/>
    <x v="32"/>
    <n v="30605"/>
    <x v="0"/>
    <x v="522"/>
    <x v="1"/>
    <x v="2"/>
    <x v="522"/>
    <n v="14.73"/>
    <s v="Low"/>
    <n v="3"/>
    <n v="0"/>
    <x v="0"/>
    <x v="0"/>
    <n v="7.2176999999999998"/>
    <n v="0.49"/>
    <n v="0"/>
  </r>
  <r>
    <n v="4725"/>
    <s v="CA-2016-131968"/>
    <d v="2016-11-11T00:00:00"/>
    <x v="0"/>
    <s v="Q4"/>
    <x v="0"/>
    <d v="2016-11-15T00:00:00"/>
    <s v="Standard Class"/>
    <x v="697"/>
    <x v="697"/>
    <s v="Home Office"/>
    <s v="United States"/>
    <s v="Apopka"/>
    <x v="2"/>
    <n v="32712"/>
    <x v="0"/>
    <x v="91"/>
    <x v="1"/>
    <x v="8"/>
    <x v="91"/>
    <n v="9.8879999999999999"/>
    <s v="Low"/>
    <n v="2"/>
    <n v="0.7"/>
    <x v="1"/>
    <x v="5"/>
    <n v="-6.9215999999999998"/>
    <n v="-0.7"/>
    <n v="1"/>
  </r>
  <r>
    <n v="4726"/>
    <s v="CA-2016-131968"/>
    <d v="2016-11-11T00:00:00"/>
    <x v="0"/>
    <s v="Q4"/>
    <x v="0"/>
    <d v="2016-11-15T00:00:00"/>
    <s v="Standard Class"/>
    <x v="697"/>
    <x v="697"/>
    <s v="Home Office"/>
    <s v="United States"/>
    <s v="Apopka"/>
    <x v="2"/>
    <n v="32712"/>
    <x v="0"/>
    <x v="137"/>
    <x v="1"/>
    <x v="9"/>
    <x v="138"/>
    <n v="671.54399999999998"/>
    <s v="High"/>
    <n v="3"/>
    <n v="0.2"/>
    <x v="2"/>
    <x v="2"/>
    <n v="50.3658"/>
    <n v="7.4999999999999997E-2"/>
    <n v="0"/>
  </r>
  <r>
    <n v="4727"/>
    <s v="CA-2014-119151"/>
    <d v="2014-11-25T00:00:00"/>
    <x v="2"/>
    <s v="Q4"/>
    <x v="7"/>
    <d v="2014-11-29T00:00:00"/>
    <s v="Second Class"/>
    <x v="486"/>
    <x v="486"/>
    <s v="Home Office"/>
    <s v="United States"/>
    <s v="New York City"/>
    <x v="15"/>
    <n v="10009"/>
    <x v="3"/>
    <x v="1362"/>
    <x v="1"/>
    <x v="4"/>
    <x v="1348"/>
    <n v="1117.92"/>
    <s v="High"/>
    <n v="4"/>
    <n v="0"/>
    <x v="0"/>
    <x v="0"/>
    <n v="55.896000000000001"/>
    <n v="4.9999999999999996E-2"/>
    <n v="0"/>
  </r>
  <r>
    <n v="4728"/>
    <s v="CA-2014-119151"/>
    <d v="2014-11-25T00:00:00"/>
    <x v="2"/>
    <s v="Q4"/>
    <x v="7"/>
    <d v="2014-11-29T00:00:00"/>
    <s v="Second Class"/>
    <x v="486"/>
    <x v="486"/>
    <s v="Home Office"/>
    <s v="United States"/>
    <s v="New York City"/>
    <x v="15"/>
    <n v="10009"/>
    <x v="3"/>
    <x v="1121"/>
    <x v="0"/>
    <x v="0"/>
    <x v="1109"/>
    <n v="275.952"/>
    <s v="High"/>
    <n v="3"/>
    <n v="0.2"/>
    <x v="2"/>
    <x v="2"/>
    <n v="-37.943399999999997"/>
    <n v="-0.13749999999999998"/>
    <n v="1"/>
  </r>
  <r>
    <n v="4729"/>
    <s v="CA-2014-123323"/>
    <d v="2014-11-07T00:00:00"/>
    <x v="2"/>
    <s v="Q4"/>
    <x v="7"/>
    <d v="2014-11-12T00:00:00"/>
    <s v="Standard Class"/>
    <x v="23"/>
    <x v="23"/>
    <s v="Consumer"/>
    <s v="United States"/>
    <s v="San Francisco"/>
    <x v="1"/>
    <n v="94110"/>
    <x v="1"/>
    <x v="715"/>
    <x v="1"/>
    <x v="8"/>
    <x v="714"/>
    <n v="123.14400000000001"/>
    <s v="High"/>
    <n v="7"/>
    <n v="0.2"/>
    <x v="2"/>
    <x v="2"/>
    <n v="46.179000000000002"/>
    <n v="0.375"/>
    <n v="0"/>
  </r>
  <r>
    <n v="4730"/>
    <s v="CA-2016-124681"/>
    <d v="2016-07-18T00:00:00"/>
    <x v="0"/>
    <s v="Q3"/>
    <x v="16"/>
    <d v="2016-07-23T00:00:00"/>
    <s v="Second Class"/>
    <x v="603"/>
    <x v="603"/>
    <s v="Consumer"/>
    <s v="United States"/>
    <s v="Dallas"/>
    <x v="5"/>
    <n v="75217"/>
    <x v="2"/>
    <x v="1694"/>
    <x v="2"/>
    <x v="11"/>
    <x v="1682"/>
    <n v="15.576000000000001"/>
    <s v="Low"/>
    <n v="3"/>
    <n v="0.2"/>
    <x v="2"/>
    <x v="2"/>
    <n v="3.3098999999999998"/>
    <n v="0.21249999999999999"/>
    <n v="0"/>
  </r>
  <r>
    <n v="4731"/>
    <s v="US-2015-103996"/>
    <d v="2015-03-29T00:00:00"/>
    <x v="1"/>
    <s v="Q1"/>
    <x v="29"/>
    <d v="2015-03-31T00:00:00"/>
    <s v="Second Class"/>
    <x v="579"/>
    <x v="579"/>
    <s v="Consumer"/>
    <s v="United States"/>
    <s v="San Diego"/>
    <x v="1"/>
    <n v="92105"/>
    <x v="1"/>
    <x v="129"/>
    <x v="1"/>
    <x v="10"/>
    <x v="130"/>
    <n v="212.64"/>
    <s v="High"/>
    <n v="6"/>
    <n v="0"/>
    <x v="0"/>
    <x v="0"/>
    <n v="99.940799999999996"/>
    <n v="0.47000000000000003"/>
    <n v="0"/>
  </r>
  <r>
    <n v="4732"/>
    <s v="US-2015-103996"/>
    <d v="2015-03-29T00:00:00"/>
    <x v="1"/>
    <s v="Q1"/>
    <x v="29"/>
    <d v="2015-03-31T00:00:00"/>
    <s v="Second Class"/>
    <x v="579"/>
    <x v="579"/>
    <s v="Consumer"/>
    <s v="United States"/>
    <s v="San Diego"/>
    <x v="1"/>
    <n v="92105"/>
    <x v="1"/>
    <x v="1128"/>
    <x v="1"/>
    <x v="10"/>
    <x v="1116"/>
    <n v="9.8699999999999992"/>
    <s v="Low"/>
    <n v="3"/>
    <n v="0"/>
    <x v="0"/>
    <x v="0"/>
    <n v="4.5401999999999996"/>
    <n v="0.46"/>
    <n v="0"/>
  </r>
  <r>
    <n v="4733"/>
    <s v="US-2015-103996"/>
    <d v="2015-03-29T00:00:00"/>
    <x v="1"/>
    <s v="Q1"/>
    <x v="29"/>
    <d v="2015-03-31T00:00:00"/>
    <s v="Second Class"/>
    <x v="579"/>
    <x v="579"/>
    <s v="Consumer"/>
    <s v="United States"/>
    <s v="San Diego"/>
    <x v="1"/>
    <n v="92105"/>
    <x v="1"/>
    <x v="936"/>
    <x v="2"/>
    <x v="11"/>
    <x v="929"/>
    <n v="53.25"/>
    <s v="Medium"/>
    <n v="3"/>
    <n v="0"/>
    <x v="0"/>
    <x v="0"/>
    <n v="20.767499999999998"/>
    <n v="0.38999999999999996"/>
    <n v="0"/>
  </r>
  <r>
    <n v="4734"/>
    <s v="US-2015-103996"/>
    <d v="2015-03-29T00:00:00"/>
    <x v="1"/>
    <s v="Q1"/>
    <x v="29"/>
    <d v="2015-03-31T00:00:00"/>
    <s v="Second Class"/>
    <x v="579"/>
    <x v="579"/>
    <s v="Consumer"/>
    <s v="United States"/>
    <s v="San Diego"/>
    <x v="1"/>
    <n v="92105"/>
    <x v="1"/>
    <x v="1494"/>
    <x v="0"/>
    <x v="5"/>
    <x v="1482"/>
    <n v="19.920000000000002"/>
    <s v="Low"/>
    <n v="3"/>
    <n v="0"/>
    <x v="0"/>
    <x v="0"/>
    <n v="9.5616000000000003"/>
    <n v="0.48"/>
    <n v="0"/>
  </r>
  <r>
    <n v="4735"/>
    <s v="CA-2016-120530"/>
    <d v="2016-04-07T00:00:00"/>
    <x v="0"/>
    <s v="Q2"/>
    <x v="25"/>
    <d v="2016-04-12T00:00:00"/>
    <s v="Standard Class"/>
    <x v="114"/>
    <x v="114"/>
    <s v="Corporate"/>
    <s v="United States"/>
    <s v="New York City"/>
    <x v="15"/>
    <n v="10035"/>
    <x v="3"/>
    <x v="1"/>
    <x v="0"/>
    <x v="1"/>
    <x v="1"/>
    <n v="658.74599999999998"/>
    <s v="High"/>
    <n v="3"/>
    <n v="0.1"/>
    <x v="3"/>
    <x v="8"/>
    <n v="146.38800000000001"/>
    <n v="0.22222222222222224"/>
    <n v="0"/>
  </r>
  <r>
    <n v="4736"/>
    <s v="CA-2015-155054"/>
    <d v="2015-06-13T00:00:00"/>
    <x v="1"/>
    <s v="Q2"/>
    <x v="40"/>
    <d v="2015-06-19T00:00:00"/>
    <s v="Standard Class"/>
    <x v="390"/>
    <x v="390"/>
    <s v="Home Office"/>
    <s v="United States"/>
    <s v="Lewiston"/>
    <x v="43"/>
    <n v="4240"/>
    <x v="3"/>
    <x v="925"/>
    <x v="1"/>
    <x v="8"/>
    <x v="917"/>
    <n v="8.26"/>
    <s v="Low"/>
    <n v="2"/>
    <n v="0"/>
    <x v="0"/>
    <x v="0"/>
    <n v="3.8822000000000001"/>
    <n v="0.47000000000000003"/>
    <n v="0"/>
  </r>
  <r>
    <n v="4737"/>
    <s v="CA-2015-155054"/>
    <d v="2015-06-13T00:00:00"/>
    <x v="1"/>
    <s v="Q2"/>
    <x v="40"/>
    <d v="2015-06-19T00:00:00"/>
    <s v="Standard Class"/>
    <x v="390"/>
    <x v="390"/>
    <s v="Home Office"/>
    <s v="United States"/>
    <s v="Lewiston"/>
    <x v="43"/>
    <n v="4240"/>
    <x v="3"/>
    <x v="528"/>
    <x v="1"/>
    <x v="8"/>
    <x v="528"/>
    <n v="29.84"/>
    <s v="Medium"/>
    <n v="2"/>
    <n v="0"/>
    <x v="0"/>
    <x v="0"/>
    <n v="13.428000000000001"/>
    <n v="0.45"/>
    <n v="0"/>
  </r>
  <r>
    <n v="4738"/>
    <s v="CA-2015-155054"/>
    <d v="2015-06-13T00:00:00"/>
    <x v="1"/>
    <s v="Q2"/>
    <x v="40"/>
    <d v="2015-06-19T00:00:00"/>
    <s v="Standard Class"/>
    <x v="390"/>
    <x v="390"/>
    <s v="Home Office"/>
    <s v="United States"/>
    <s v="Lewiston"/>
    <x v="43"/>
    <n v="4240"/>
    <x v="3"/>
    <x v="151"/>
    <x v="2"/>
    <x v="11"/>
    <x v="152"/>
    <n v="67.98"/>
    <s v="Medium"/>
    <n v="2"/>
    <n v="0"/>
    <x v="0"/>
    <x v="0"/>
    <n v="14.9556"/>
    <n v="0.22"/>
    <n v="0"/>
  </r>
  <r>
    <n v="4739"/>
    <s v="CA-2015-105725"/>
    <d v="2015-02-18T00:00:00"/>
    <x v="1"/>
    <s v="Q1"/>
    <x v="36"/>
    <d v="2015-02-24T00:00:00"/>
    <s v="Standard Class"/>
    <x v="150"/>
    <x v="150"/>
    <s v="Consumer"/>
    <s v="United States"/>
    <s v="Long Beach"/>
    <x v="1"/>
    <n v="90805"/>
    <x v="1"/>
    <x v="580"/>
    <x v="1"/>
    <x v="2"/>
    <x v="580"/>
    <n v="61.06"/>
    <s v="Medium"/>
    <n v="2"/>
    <n v="0"/>
    <x v="0"/>
    <x v="0"/>
    <n v="28.087599999999998"/>
    <n v="0.45999999999999996"/>
    <n v="0"/>
  </r>
  <r>
    <n v="4740"/>
    <s v="CA-2015-105725"/>
    <d v="2015-02-18T00:00:00"/>
    <x v="1"/>
    <s v="Q1"/>
    <x v="36"/>
    <d v="2015-02-24T00:00:00"/>
    <s v="Standard Class"/>
    <x v="150"/>
    <x v="150"/>
    <s v="Consumer"/>
    <s v="United States"/>
    <s v="Long Beach"/>
    <x v="1"/>
    <n v="90805"/>
    <x v="1"/>
    <x v="972"/>
    <x v="0"/>
    <x v="3"/>
    <x v="966"/>
    <n v="35.543999999999997"/>
    <s v="Medium"/>
    <n v="1"/>
    <n v="0.2"/>
    <x v="2"/>
    <x v="2"/>
    <n v="-0.88859999999999995"/>
    <n v="-2.5000000000000001E-2"/>
    <n v="1"/>
  </r>
  <r>
    <n v="4741"/>
    <s v="CA-2017-164364"/>
    <d v="2017-11-12T00:00:00"/>
    <x v="3"/>
    <s v="Q4"/>
    <x v="23"/>
    <d v="2017-11-16T00:00:00"/>
    <s v="Standard Class"/>
    <x v="394"/>
    <x v="394"/>
    <s v="Consumer"/>
    <s v="United States"/>
    <s v="Seattle"/>
    <x v="4"/>
    <n v="98115"/>
    <x v="1"/>
    <x v="690"/>
    <x v="1"/>
    <x v="2"/>
    <x v="690"/>
    <n v="9.9600000000000009"/>
    <s v="Low"/>
    <n v="2"/>
    <n v="0"/>
    <x v="0"/>
    <x v="0"/>
    <n v="4.5815999999999999"/>
    <n v="0.45999999999999996"/>
    <n v="0"/>
  </r>
  <r>
    <n v="4742"/>
    <s v="CA-2017-164364"/>
    <d v="2017-11-12T00:00:00"/>
    <x v="3"/>
    <s v="Q4"/>
    <x v="23"/>
    <d v="2017-11-16T00:00:00"/>
    <s v="Standard Class"/>
    <x v="394"/>
    <x v="394"/>
    <s v="Consumer"/>
    <s v="United States"/>
    <s v="Seattle"/>
    <x v="4"/>
    <n v="98115"/>
    <x v="1"/>
    <x v="1320"/>
    <x v="1"/>
    <x v="6"/>
    <x v="1306"/>
    <n v="9.2100000000000009"/>
    <s v="Low"/>
    <n v="3"/>
    <n v="0"/>
    <x v="0"/>
    <x v="0"/>
    <n v="2.3025000000000002"/>
    <n v="0.25"/>
    <n v="0"/>
  </r>
  <r>
    <n v="4743"/>
    <s v="CA-2017-164364"/>
    <d v="2017-11-12T00:00:00"/>
    <x v="3"/>
    <s v="Q4"/>
    <x v="23"/>
    <d v="2017-11-16T00:00:00"/>
    <s v="Standard Class"/>
    <x v="394"/>
    <x v="394"/>
    <s v="Consumer"/>
    <s v="United States"/>
    <s v="Seattle"/>
    <x v="4"/>
    <n v="98115"/>
    <x v="1"/>
    <x v="660"/>
    <x v="1"/>
    <x v="14"/>
    <x v="660"/>
    <n v="27.93"/>
    <s v="Medium"/>
    <n v="3"/>
    <n v="0"/>
    <x v="0"/>
    <x v="0"/>
    <n v="8.0997000000000003"/>
    <n v="0.29000000000000004"/>
    <n v="0"/>
  </r>
  <r>
    <n v="4744"/>
    <s v="CA-2017-168123"/>
    <d v="2017-03-05T00:00:00"/>
    <x v="3"/>
    <s v="Q1"/>
    <x v="42"/>
    <d v="2017-03-05T00:00:00"/>
    <s v="Same Day"/>
    <x v="148"/>
    <x v="148"/>
    <s v="Consumer"/>
    <s v="United States"/>
    <s v="Rochester"/>
    <x v="11"/>
    <n v="55901"/>
    <x v="2"/>
    <x v="1432"/>
    <x v="1"/>
    <x v="13"/>
    <x v="1420"/>
    <n v="7.9"/>
    <s v="Low"/>
    <n v="2"/>
    <n v="0"/>
    <x v="0"/>
    <x v="0"/>
    <n v="2.528"/>
    <n v="0.32"/>
    <n v="0"/>
  </r>
  <r>
    <n v="4745"/>
    <s v="CA-2017-168123"/>
    <d v="2017-03-05T00:00:00"/>
    <x v="3"/>
    <s v="Q1"/>
    <x v="42"/>
    <d v="2017-03-05T00:00:00"/>
    <s v="Same Day"/>
    <x v="148"/>
    <x v="148"/>
    <s v="Consumer"/>
    <s v="United States"/>
    <s v="Rochester"/>
    <x v="11"/>
    <n v="55901"/>
    <x v="2"/>
    <x v="1125"/>
    <x v="1"/>
    <x v="4"/>
    <x v="1113"/>
    <n v="221.16"/>
    <s v="High"/>
    <n v="4"/>
    <n v="0"/>
    <x v="0"/>
    <x v="0"/>
    <n v="57.501600000000003"/>
    <n v="0.26"/>
    <n v="0"/>
  </r>
  <r>
    <n v="4746"/>
    <s v="CA-2017-168123"/>
    <d v="2017-03-05T00:00:00"/>
    <x v="3"/>
    <s v="Q1"/>
    <x v="42"/>
    <d v="2017-03-05T00:00:00"/>
    <s v="Same Day"/>
    <x v="148"/>
    <x v="148"/>
    <s v="Consumer"/>
    <s v="United States"/>
    <s v="Rochester"/>
    <x v="11"/>
    <n v="55901"/>
    <x v="2"/>
    <x v="669"/>
    <x v="1"/>
    <x v="8"/>
    <x v="669"/>
    <n v="127.96"/>
    <s v="High"/>
    <n v="2"/>
    <n v="0"/>
    <x v="0"/>
    <x v="0"/>
    <n v="62.700400000000002"/>
    <n v="0.49000000000000005"/>
    <n v="0"/>
  </r>
  <r>
    <n v="4747"/>
    <s v="CA-2017-168123"/>
    <d v="2017-03-05T00:00:00"/>
    <x v="3"/>
    <s v="Q1"/>
    <x v="42"/>
    <d v="2017-03-05T00:00:00"/>
    <s v="Same Day"/>
    <x v="148"/>
    <x v="148"/>
    <s v="Consumer"/>
    <s v="United States"/>
    <s v="Rochester"/>
    <x v="11"/>
    <n v="55901"/>
    <x v="2"/>
    <x v="799"/>
    <x v="1"/>
    <x v="8"/>
    <x v="797"/>
    <n v="18.690000000000001"/>
    <s v="Low"/>
    <n v="3"/>
    <n v="0"/>
    <x v="0"/>
    <x v="0"/>
    <n v="9.1580999999999992"/>
    <n v="0.48999999999999994"/>
    <n v="0"/>
  </r>
  <r>
    <n v="4748"/>
    <s v="CA-2016-120005"/>
    <d v="2016-03-03T00:00:00"/>
    <x v="0"/>
    <s v="Q1"/>
    <x v="17"/>
    <d v="2016-03-03T00:00:00"/>
    <s v="Same Day"/>
    <x v="378"/>
    <x v="378"/>
    <s v="Corporate"/>
    <s v="United States"/>
    <s v="San Francisco"/>
    <x v="1"/>
    <n v="94110"/>
    <x v="1"/>
    <x v="1566"/>
    <x v="1"/>
    <x v="14"/>
    <x v="1557"/>
    <n v="25.35"/>
    <s v="Medium"/>
    <n v="3"/>
    <n v="0"/>
    <x v="0"/>
    <x v="0"/>
    <n v="7.6050000000000004"/>
    <n v="0.3"/>
    <n v="0"/>
  </r>
  <r>
    <n v="4749"/>
    <s v="CA-2016-120005"/>
    <d v="2016-03-03T00:00:00"/>
    <x v="0"/>
    <s v="Q1"/>
    <x v="17"/>
    <d v="2016-03-03T00:00:00"/>
    <s v="Same Day"/>
    <x v="378"/>
    <x v="378"/>
    <s v="Corporate"/>
    <s v="United States"/>
    <s v="San Francisco"/>
    <x v="1"/>
    <n v="94110"/>
    <x v="1"/>
    <x v="1530"/>
    <x v="0"/>
    <x v="5"/>
    <x v="1517"/>
    <n v="35.28"/>
    <s v="Medium"/>
    <n v="3"/>
    <n v="0"/>
    <x v="0"/>
    <x v="0"/>
    <n v="11.995200000000001"/>
    <n v="0.34"/>
    <n v="0"/>
  </r>
  <r>
    <n v="4750"/>
    <s v="CA-2016-123526"/>
    <d v="2016-12-24T00:00:00"/>
    <x v="0"/>
    <s v="Q4"/>
    <x v="5"/>
    <d v="2016-12-25T00:00:00"/>
    <s v="First Class"/>
    <x v="296"/>
    <x v="296"/>
    <s v="Corporate"/>
    <s v="United States"/>
    <s v="Seattle"/>
    <x v="4"/>
    <n v="98103"/>
    <x v="1"/>
    <x v="481"/>
    <x v="1"/>
    <x v="10"/>
    <x v="482"/>
    <n v="33.4"/>
    <s v="Medium"/>
    <n v="5"/>
    <n v="0"/>
    <x v="0"/>
    <x v="0"/>
    <n v="16.032"/>
    <n v="0.48000000000000004"/>
    <n v="0"/>
  </r>
  <r>
    <n v="4751"/>
    <s v="CA-2016-127649"/>
    <d v="2016-10-07T00:00:00"/>
    <x v="0"/>
    <s v="Q4"/>
    <x v="32"/>
    <d v="2016-10-09T00:00:00"/>
    <s v="First Class"/>
    <x v="393"/>
    <x v="393"/>
    <s v="Corporate"/>
    <s v="United States"/>
    <s v="Spokane"/>
    <x v="4"/>
    <n v="99207"/>
    <x v="1"/>
    <x v="1491"/>
    <x v="2"/>
    <x v="15"/>
    <x v="1478"/>
    <n v="837.6"/>
    <s v="High"/>
    <n v="3"/>
    <n v="0.2"/>
    <x v="2"/>
    <x v="2"/>
    <n v="62.82"/>
    <n v="7.4999999999999997E-2"/>
    <n v="0"/>
  </r>
  <r>
    <n v="4752"/>
    <s v="CA-2016-159989"/>
    <d v="2016-12-09T00:00:00"/>
    <x v="0"/>
    <s v="Q4"/>
    <x v="5"/>
    <d v="2016-12-13T00:00:00"/>
    <s v="Standard Class"/>
    <x v="12"/>
    <x v="12"/>
    <s v="Consumer"/>
    <s v="United States"/>
    <s v="Franklin"/>
    <x v="18"/>
    <n v="37064"/>
    <x v="0"/>
    <x v="1049"/>
    <x v="2"/>
    <x v="7"/>
    <x v="1038"/>
    <n v="40.68"/>
    <s v="Medium"/>
    <n v="3"/>
    <n v="0.2"/>
    <x v="2"/>
    <x v="2"/>
    <n v="-9.1530000000000005"/>
    <n v="-0.22500000000000001"/>
    <n v="1"/>
  </r>
  <r>
    <n v="4753"/>
    <s v="CA-2017-103499"/>
    <d v="2017-11-20T00:00:00"/>
    <x v="3"/>
    <s v="Q4"/>
    <x v="23"/>
    <d v="2017-11-24T00:00:00"/>
    <s v="Standard Class"/>
    <x v="301"/>
    <x v="301"/>
    <s v="Consumer"/>
    <s v="United States"/>
    <s v="Jackson"/>
    <x v="18"/>
    <n v="38301"/>
    <x v="0"/>
    <x v="541"/>
    <x v="0"/>
    <x v="1"/>
    <x v="541"/>
    <n v="209.56800000000001"/>
    <s v="High"/>
    <n v="2"/>
    <n v="0.2"/>
    <x v="2"/>
    <x v="2"/>
    <n v="-23.5764"/>
    <n v="-0.11249999999999999"/>
    <n v="1"/>
  </r>
  <r>
    <n v="4754"/>
    <s v="US-2015-167220"/>
    <d v="2015-12-12T00:00:00"/>
    <x v="1"/>
    <s v="Q4"/>
    <x v="14"/>
    <d v="2015-12-16T00:00:00"/>
    <s v="Standard Class"/>
    <x v="102"/>
    <x v="102"/>
    <s v="Consumer"/>
    <s v="United States"/>
    <s v="Austin"/>
    <x v="5"/>
    <n v="78745"/>
    <x v="2"/>
    <x v="1695"/>
    <x v="2"/>
    <x v="11"/>
    <x v="1683"/>
    <n v="22.367999999999999"/>
    <s v="Low"/>
    <n v="4"/>
    <n v="0.2"/>
    <x v="2"/>
    <x v="2"/>
    <n v="6.4307999999999996"/>
    <n v="0.28749999999999998"/>
    <n v="0"/>
  </r>
  <r>
    <n v="4755"/>
    <s v="CA-2017-126354"/>
    <d v="2017-02-03T00:00:00"/>
    <x v="3"/>
    <s v="Q1"/>
    <x v="31"/>
    <d v="2017-02-08T00:00:00"/>
    <s v="Standard Class"/>
    <x v="618"/>
    <x v="618"/>
    <s v="Consumer"/>
    <s v="United States"/>
    <s v="Pembroke Pines"/>
    <x v="2"/>
    <n v="33024"/>
    <x v="0"/>
    <x v="625"/>
    <x v="1"/>
    <x v="8"/>
    <x v="625"/>
    <n v="3.8820000000000001"/>
    <s v="Low"/>
    <n v="2"/>
    <n v="0.7"/>
    <x v="1"/>
    <x v="5"/>
    <n v="-2.5880000000000001"/>
    <n v="-0.66666666666666663"/>
    <n v="1"/>
  </r>
  <r>
    <n v="4756"/>
    <s v="CA-2017-126354"/>
    <d v="2017-02-03T00:00:00"/>
    <x v="3"/>
    <s v="Q1"/>
    <x v="31"/>
    <d v="2017-02-08T00:00:00"/>
    <s v="Standard Class"/>
    <x v="618"/>
    <x v="618"/>
    <s v="Consumer"/>
    <s v="United States"/>
    <s v="Pembroke Pines"/>
    <x v="2"/>
    <n v="33024"/>
    <x v="0"/>
    <x v="1696"/>
    <x v="1"/>
    <x v="10"/>
    <x v="1684"/>
    <n v="115.29600000000001"/>
    <s v="Medium"/>
    <n v="3"/>
    <n v="0.2"/>
    <x v="2"/>
    <x v="2"/>
    <n v="40.3536"/>
    <n v="0.35"/>
    <n v="0"/>
  </r>
  <r>
    <n v="4757"/>
    <s v="CA-2017-169817"/>
    <d v="2017-09-21T00:00:00"/>
    <x v="3"/>
    <s v="Q3"/>
    <x v="15"/>
    <d v="2017-09-25T00:00:00"/>
    <s v="Standard Class"/>
    <x v="12"/>
    <x v="12"/>
    <s v="Consumer"/>
    <s v="United States"/>
    <s v="Philadelphia"/>
    <x v="9"/>
    <n v="19143"/>
    <x v="3"/>
    <x v="1310"/>
    <x v="1"/>
    <x v="8"/>
    <x v="1296"/>
    <n v="1.9079999999999999"/>
    <s v="Low"/>
    <n v="2"/>
    <n v="0.7"/>
    <x v="1"/>
    <x v="5"/>
    <n v="-1.5264"/>
    <n v="-0.8"/>
    <n v="1"/>
  </r>
  <r>
    <n v="4758"/>
    <s v="US-2017-144582"/>
    <d v="2017-04-30T00:00:00"/>
    <x v="3"/>
    <s v="Q2"/>
    <x v="4"/>
    <d v="2017-05-05T00:00:00"/>
    <s v="Standard Class"/>
    <x v="679"/>
    <x v="679"/>
    <s v="Home Office"/>
    <s v="United States"/>
    <s v="Danville"/>
    <x v="10"/>
    <n v="61832"/>
    <x v="2"/>
    <x v="582"/>
    <x v="1"/>
    <x v="8"/>
    <x v="582"/>
    <n v="43.372"/>
    <s v="Medium"/>
    <n v="7"/>
    <n v="0.8"/>
    <x v="1"/>
    <x v="3"/>
    <n v="-69.395200000000003"/>
    <n v="-1.6"/>
    <n v="1"/>
  </r>
  <r>
    <n v="4759"/>
    <s v="CA-2014-121573"/>
    <d v="2014-11-03T00:00:00"/>
    <x v="2"/>
    <s v="Q4"/>
    <x v="7"/>
    <d v="2014-11-07T00:00:00"/>
    <s v="Standard Class"/>
    <x v="611"/>
    <x v="611"/>
    <s v="Consumer"/>
    <s v="United States"/>
    <s v="New York City"/>
    <x v="15"/>
    <n v="10009"/>
    <x v="3"/>
    <x v="469"/>
    <x v="2"/>
    <x v="7"/>
    <x v="470"/>
    <n v="783.96"/>
    <s v="High"/>
    <n v="4"/>
    <n v="0"/>
    <x v="0"/>
    <x v="0"/>
    <n v="219.50880000000001"/>
    <n v="0.27999999999999997"/>
    <n v="0"/>
  </r>
  <r>
    <n v="4760"/>
    <s v="CA-2014-121573"/>
    <d v="2014-11-03T00:00:00"/>
    <x v="2"/>
    <s v="Q4"/>
    <x v="7"/>
    <d v="2014-11-07T00:00:00"/>
    <s v="Standard Class"/>
    <x v="611"/>
    <x v="611"/>
    <s v="Consumer"/>
    <s v="United States"/>
    <s v="New York City"/>
    <x v="15"/>
    <n v="10009"/>
    <x v="3"/>
    <x v="997"/>
    <x v="1"/>
    <x v="8"/>
    <x v="989"/>
    <n v="48.896000000000001"/>
    <s v="Medium"/>
    <n v="2"/>
    <n v="0.2"/>
    <x v="2"/>
    <x v="2"/>
    <n v="18.335999999999999"/>
    <n v="0.37499999999999994"/>
    <n v="0"/>
  </r>
  <r>
    <n v="4761"/>
    <s v="CA-2014-121573"/>
    <d v="2014-11-03T00:00:00"/>
    <x v="2"/>
    <s v="Q4"/>
    <x v="7"/>
    <d v="2014-11-07T00:00:00"/>
    <s v="Standard Class"/>
    <x v="611"/>
    <x v="611"/>
    <s v="Consumer"/>
    <s v="United States"/>
    <s v="New York City"/>
    <x v="15"/>
    <n v="10009"/>
    <x v="3"/>
    <x v="696"/>
    <x v="1"/>
    <x v="8"/>
    <x v="696"/>
    <n v="7.8559999999999999"/>
    <s v="Low"/>
    <n v="2"/>
    <n v="0.2"/>
    <x v="2"/>
    <x v="2"/>
    <n v="2.8477999999999999"/>
    <n v="0.36249999999999999"/>
    <n v="0"/>
  </r>
  <r>
    <n v="4762"/>
    <s v="CA-2016-117660"/>
    <d v="2016-12-30T00:00:00"/>
    <x v="0"/>
    <s v="Q4"/>
    <x v="5"/>
    <d v="2017-01-04T00:00:00"/>
    <s v="Standard Class"/>
    <x v="298"/>
    <x v="298"/>
    <s v="Consumer"/>
    <s v="United States"/>
    <s v="Columbus"/>
    <x v="24"/>
    <n v="43229"/>
    <x v="3"/>
    <x v="1647"/>
    <x v="1"/>
    <x v="2"/>
    <x v="1636"/>
    <n v="5.9039999999999999"/>
    <s v="Low"/>
    <n v="2"/>
    <n v="0.2"/>
    <x v="2"/>
    <x v="2"/>
    <n v="1.9925999999999999"/>
    <n v="0.33749999999999997"/>
    <n v="0"/>
  </r>
  <r>
    <n v="4763"/>
    <s v="CA-2016-117660"/>
    <d v="2016-12-30T00:00:00"/>
    <x v="0"/>
    <s v="Q4"/>
    <x v="5"/>
    <d v="2017-01-04T00:00:00"/>
    <s v="Standard Class"/>
    <x v="298"/>
    <x v="298"/>
    <s v="Consumer"/>
    <s v="United States"/>
    <s v="Columbus"/>
    <x v="24"/>
    <n v="43229"/>
    <x v="3"/>
    <x v="1257"/>
    <x v="1"/>
    <x v="14"/>
    <x v="1241"/>
    <n v="13.712"/>
    <s v="Low"/>
    <n v="2"/>
    <n v="0.2"/>
    <x v="2"/>
    <x v="2"/>
    <n v="1.0284"/>
    <n v="7.4999999999999997E-2"/>
    <n v="0"/>
  </r>
  <r>
    <n v="4764"/>
    <s v="CA-2014-112851"/>
    <d v="2014-09-17T00:00:00"/>
    <x v="2"/>
    <s v="Q3"/>
    <x v="30"/>
    <d v="2014-09-21T00:00:00"/>
    <s v="Standard Class"/>
    <x v="749"/>
    <x v="749"/>
    <s v="Consumer"/>
    <s v="United States"/>
    <s v="Chula Vista"/>
    <x v="1"/>
    <n v="91911"/>
    <x v="1"/>
    <x v="1697"/>
    <x v="1"/>
    <x v="12"/>
    <x v="1685"/>
    <n v="182.94"/>
    <s v="High"/>
    <n v="3"/>
    <n v="0"/>
    <x v="0"/>
    <x v="0"/>
    <n v="85.981800000000007"/>
    <n v="0.47000000000000003"/>
    <n v="0"/>
  </r>
  <r>
    <n v="4765"/>
    <s v="CA-2017-123701"/>
    <d v="2017-11-24T00:00:00"/>
    <x v="3"/>
    <s v="Q4"/>
    <x v="23"/>
    <d v="2017-11-27T00:00:00"/>
    <s v="First Class"/>
    <x v="310"/>
    <x v="310"/>
    <s v="Consumer"/>
    <s v="United States"/>
    <s v="San Francisco"/>
    <x v="1"/>
    <n v="94110"/>
    <x v="1"/>
    <x v="924"/>
    <x v="1"/>
    <x v="6"/>
    <x v="916"/>
    <n v="27.76"/>
    <s v="Medium"/>
    <n v="4"/>
    <n v="0"/>
    <x v="0"/>
    <x v="0"/>
    <n v="9.9936000000000007"/>
    <n v="0.36"/>
    <n v="0"/>
  </r>
  <r>
    <n v="4766"/>
    <s v="CA-2015-118227"/>
    <d v="2015-04-24T00:00:00"/>
    <x v="1"/>
    <s v="Q2"/>
    <x v="19"/>
    <d v="2015-04-28T00:00:00"/>
    <s v="Standard Class"/>
    <x v="489"/>
    <x v="489"/>
    <s v="Home Office"/>
    <s v="United States"/>
    <s v="New York City"/>
    <x v="15"/>
    <n v="10009"/>
    <x v="3"/>
    <x v="1062"/>
    <x v="1"/>
    <x v="6"/>
    <x v="1051"/>
    <n v="25.99"/>
    <s v="Medium"/>
    <n v="1"/>
    <n v="0"/>
    <x v="0"/>
    <x v="0"/>
    <n v="7.5370999999999997"/>
    <n v="0.28999999999999998"/>
    <n v="0"/>
  </r>
  <r>
    <n v="4767"/>
    <s v="CA-2015-123155"/>
    <d v="2015-03-09T00:00:00"/>
    <x v="1"/>
    <s v="Q1"/>
    <x v="29"/>
    <d v="2015-03-12T00:00:00"/>
    <s v="First Class"/>
    <x v="374"/>
    <x v="374"/>
    <s v="Corporate"/>
    <s v="United States"/>
    <s v="San Antonio"/>
    <x v="5"/>
    <n v="78207"/>
    <x v="2"/>
    <x v="721"/>
    <x v="2"/>
    <x v="11"/>
    <x v="720"/>
    <n v="113.52"/>
    <s v="Medium"/>
    <n v="5"/>
    <n v="0.2"/>
    <x v="2"/>
    <x v="2"/>
    <n v="29.798999999999999"/>
    <n v="0.26250000000000001"/>
    <n v="0"/>
  </r>
  <r>
    <n v="4768"/>
    <s v="CA-2015-123155"/>
    <d v="2015-03-09T00:00:00"/>
    <x v="1"/>
    <s v="Q1"/>
    <x v="29"/>
    <d v="2015-03-12T00:00:00"/>
    <s v="First Class"/>
    <x v="374"/>
    <x v="374"/>
    <s v="Corporate"/>
    <s v="United States"/>
    <s v="San Antonio"/>
    <x v="5"/>
    <n v="78207"/>
    <x v="2"/>
    <x v="1187"/>
    <x v="2"/>
    <x v="7"/>
    <x v="1173"/>
    <n v="359.88"/>
    <s v="High"/>
    <n v="3"/>
    <n v="0.2"/>
    <x v="2"/>
    <x v="2"/>
    <n v="22.4925"/>
    <n v="6.25E-2"/>
    <n v="0"/>
  </r>
  <r>
    <n v="4769"/>
    <s v="CA-2017-158883"/>
    <d v="2017-06-02T00:00:00"/>
    <x v="3"/>
    <s v="Q2"/>
    <x v="27"/>
    <d v="2017-06-03T00:00:00"/>
    <s v="Same Day"/>
    <x v="750"/>
    <x v="750"/>
    <s v="Consumer"/>
    <s v="United States"/>
    <s v="Jacksonville"/>
    <x v="3"/>
    <n v="28540"/>
    <x v="0"/>
    <x v="1588"/>
    <x v="1"/>
    <x v="10"/>
    <x v="1580"/>
    <n v="25.344000000000001"/>
    <s v="Medium"/>
    <n v="4"/>
    <n v="0.2"/>
    <x v="2"/>
    <x v="2"/>
    <n v="9.1872000000000007"/>
    <n v="0.36249999999999999"/>
    <n v="0"/>
  </r>
  <r>
    <n v="4770"/>
    <s v="US-2016-114888"/>
    <d v="2016-09-19T00:00:00"/>
    <x v="0"/>
    <s v="Q3"/>
    <x v="21"/>
    <d v="2016-09-24T00:00:00"/>
    <s v="Second Class"/>
    <x v="254"/>
    <x v="254"/>
    <s v="Home Office"/>
    <s v="United States"/>
    <s v="San Francisco"/>
    <x v="1"/>
    <n v="94109"/>
    <x v="1"/>
    <x v="591"/>
    <x v="1"/>
    <x v="8"/>
    <x v="591"/>
    <n v="11.952"/>
    <s v="Low"/>
    <n v="3"/>
    <n v="0.2"/>
    <x v="2"/>
    <x v="2"/>
    <n v="4.1832000000000003"/>
    <n v="0.35000000000000003"/>
    <n v="0"/>
  </r>
  <r>
    <n v="4771"/>
    <s v="US-2016-114888"/>
    <d v="2016-09-19T00:00:00"/>
    <x v="0"/>
    <s v="Q3"/>
    <x v="21"/>
    <d v="2016-09-24T00:00:00"/>
    <s v="Second Class"/>
    <x v="254"/>
    <x v="254"/>
    <s v="Home Office"/>
    <s v="United States"/>
    <s v="San Francisco"/>
    <x v="1"/>
    <n v="94109"/>
    <x v="1"/>
    <x v="1698"/>
    <x v="1"/>
    <x v="14"/>
    <x v="1686"/>
    <n v="6.24"/>
    <s v="Low"/>
    <n v="3"/>
    <n v="0"/>
    <x v="0"/>
    <x v="0"/>
    <n v="1.8720000000000001"/>
    <n v="0.3"/>
    <n v="0"/>
  </r>
  <r>
    <n v="4772"/>
    <s v="US-2014-167262"/>
    <d v="2014-10-31T00:00:00"/>
    <x v="2"/>
    <s v="Q4"/>
    <x v="18"/>
    <d v="2014-11-03T00:00:00"/>
    <s v="Second Class"/>
    <x v="549"/>
    <x v="549"/>
    <s v="Consumer"/>
    <s v="United States"/>
    <s v="Avondale"/>
    <x v="16"/>
    <n v="85323"/>
    <x v="1"/>
    <x v="39"/>
    <x v="2"/>
    <x v="7"/>
    <x v="39"/>
    <n v="742.33600000000001"/>
    <s v="High"/>
    <n v="8"/>
    <n v="0.2"/>
    <x v="2"/>
    <x v="2"/>
    <n v="83.512799999999999"/>
    <n v="0.1125"/>
    <n v="0"/>
  </r>
  <r>
    <n v="4773"/>
    <s v="CA-2017-119746"/>
    <d v="2017-11-23T00:00:00"/>
    <x v="3"/>
    <s v="Q4"/>
    <x v="23"/>
    <d v="2017-11-27T00:00:00"/>
    <s v="Standard Class"/>
    <x v="200"/>
    <x v="200"/>
    <s v="Consumer"/>
    <s v="United States"/>
    <s v="Chicago"/>
    <x v="10"/>
    <n v="60610"/>
    <x v="2"/>
    <x v="1372"/>
    <x v="0"/>
    <x v="5"/>
    <x v="1357"/>
    <n v="6.4640000000000004"/>
    <s v="Low"/>
    <n v="1"/>
    <n v="0.6"/>
    <x v="1"/>
    <x v="6"/>
    <n v="-4.04"/>
    <n v="-0.625"/>
    <n v="1"/>
  </r>
  <r>
    <n v="4774"/>
    <s v="CA-2017-119746"/>
    <d v="2017-11-23T00:00:00"/>
    <x v="3"/>
    <s v="Q4"/>
    <x v="23"/>
    <d v="2017-11-27T00:00:00"/>
    <s v="Standard Class"/>
    <x v="200"/>
    <x v="200"/>
    <s v="Consumer"/>
    <s v="United States"/>
    <s v="Chicago"/>
    <x v="10"/>
    <n v="60610"/>
    <x v="2"/>
    <x v="745"/>
    <x v="1"/>
    <x v="2"/>
    <x v="743"/>
    <n v="11.52"/>
    <s v="Low"/>
    <n v="5"/>
    <n v="0.2"/>
    <x v="2"/>
    <x v="2"/>
    <n v="4.1760000000000002"/>
    <n v="0.36250000000000004"/>
    <n v="0"/>
  </r>
  <r>
    <n v="4775"/>
    <s v="CA-2017-119746"/>
    <d v="2017-11-23T00:00:00"/>
    <x v="3"/>
    <s v="Q4"/>
    <x v="23"/>
    <d v="2017-11-27T00:00:00"/>
    <s v="Standard Class"/>
    <x v="200"/>
    <x v="200"/>
    <s v="Consumer"/>
    <s v="United States"/>
    <s v="Chicago"/>
    <x v="10"/>
    <n v="60610"/>
    <x v="2"/>
    <x v="872"/>
    <x v="2"/>
    <x v="7"/>
    <x v="866"/>
    <n v="222.38399999999999"/>
    <s v="High"/>
    <n v="2"/>
    <n v="0.2"/>
    <x v="2"/>
    <x v="2"/>
    <n v="16.678799999999999"/>
    <n v="7.4999999999999997E-2"/>
    <n v="0"/>
  </r>
  <r>
    <n v="4776"/>
    <s v="CA-2017-108091"/>
    <d v="2017-11-16T00:00:00"/>
    <x v="3"/>
    <s v="Q4"/>
    <x v="23"/>
    <d v="2017-11-21T00:00:00"/>
    <s v="Standard Class"/>
    <x v="735"/>
    <x v="735"/>
    <s v="Home Office"/>
    <s v="United States"/>
    <s v="Escondido"/>
    <x v="1"/>
    <n v="92025"/>
    <x v="1"/>
    <x v="809"/>
    <x v="1"/>
    <x v="6"/>
    <x v="807"/>
    <n v="23.36"/>
    <s v="Low"/>
    <n v="4"/>
    <n v="0"/>
    <x v="0"/>
    <x v="0"/>
    <n v="6.0735999999999999"/>
    <n v="0.26"/>
    <n v="0"/>
  </r>
  <r>
    <n v="4777"/>
    <s v="CA-2016-101630"/>
    <d v="2016-02-19T00:00:00"/>
    <x v="0"/>
    <s v="Q1"/>
    <x v="47"/>
    <d v="2016-02-23T00:00:00"/>
    <s v="Second Class"/>
    <x v="316"/>
    <x v="316"/>
    <s v="Corporate"/>
    <s v="United States"/>
    <s v="Long Beach"/>
    <x v="15"/>
    <n v="11561"/>
    <x v="3"/>
    <x v="865"/>
    <x v="1"/>
    <x v="2"/>
    <x v="859"/>
    <n v="8.67"/>
    <s v="Low"/>
    <n v="3"/>
    <n v="0"/>
    <x v="0"/>
    <x v="0"/>
    <n v="4.0749000000000004"/>
    <n v="0.47000000000000003"/>
    <n v="0"/>
  </r>
  <r>
    <n v="4778"/>
    <s v="CA-2016-101630"/>
    <d v="2016-02-19T00:00:00"/>
    <x v="0"/>
    <s v="Q1"/>
    <x v="47"/>
    <d v="2016-02-23T00:00:00"/>
    <s v="Second Class"/>
    <x v="316"/>
    <x v="316"/>
    <s v="Corporate"/>
    <s v="United States"/>
    <s v="Long Beach"/>
    <x v="15"/>
    <n v="11561"/>
    <x v="3"/>
    <x v="1257"/>
    <x v="1"/>
    <x v="14"/>
    <x v="1241"/>
    <n v="25.71"/>
    <s v="Medium"/>
    <n v="3"/>
    <n v="0"/>
    <x v="0"/>
    <x v="0"/>
    <n v="6.6845999999999997"/>
    <n v="0.25999999999999995"/>
    <n v="0"/>
  </r>
  <r>
    <n v="4779"/>
    <s v="CA-2017-132346"/>
    <d v="2017-11-07T00:00:00"/>
    <x v="3"/>
    <s v="Q4"/>
    <x v="23"/>
    <d v="2017-11-11T00:00:00"/>
    <s v="Standard Class"/>
    <x v="7"/>
    <x v="7"/>
    <s v="Consumer"/>
    <s v="United States"/>
    <s v="Newark"/>
    <x v="13"/>
    <n v="19711"/>
    <x v="3"/>
    <x v="336"/>
    <x v="1"/>
    <x v="9"/>
    <x v="336"/>
    <n v="100.94"/>
    <s v="Medium"/>
    <n v="7"/>
    <n v="0"/>
    <x v="0"/>
    <x v="0"/>
    <n v="33.310200000000002"/>
    <n v="0.33"/>
    <n v="0"/>
  </r>
  <r>
    <n v="4780"/>
    <s v="CA-2014-150301"/>
    <d v="2014-07-08T00:00:00"/>
    <x v="2"/>
    <s v="Q3"/>
    <x v="39"/>
    <d v="2014-07-10T00:00:00"/>
    <s v="First Class"/>
    <x v="659"/>
    <x v="659"/>
    <s v="Consumer"/>
    <s v="United States"/>
    <s v="Buffalo"/>
    <x v="15"/>
    <n v="14215"/>
    <x v="3"/>
    <x v="474"/>
    <x v="0"/>
    <x v="1"/>
    <x v="475"/>
    <n v="63.881999999999998"/>
    <s v="Medium"/>
    <n v="1"/>
    <n v="0.1"/>
    <x v="3"/>
    <x v="8"/>
    <n v="10.647"/>
    <n v="0.16666666666666669"/>
    <n v="0"/>
  </r>
  <r>
    <n v="4781"/>
    <s v="CA-2014-159310"/>
    <d v="2014-11-07T00:00:00"/>
    <x v="2"/>
    <s v="Q4"/>
    <x v="7"/>
    <d v="2014-11-12T00:00:00"/>
    <s v="Standard Class"/>
    <x v="56"/>
    <x v="56"/>
    <s v="Consumer"/>
    <s v="United States"/>
    <s v="Houston"/>
    <x v="5"/>
    <n v="77070"/>
    <x v="2"/>
    <x v="1423"/>
    <x v="0"/>
    <x v="1"/>
    <x v="1411"/>
    <n v="683.14400000000001"/>
    <s v="High"/>
    <n v="4"/>
    <n v="0.3"/>
    <x v="1"/>
    <x v="4"/>
    <n v="0"/>
    <n v="0"/>
    <n v="0"/>
  </r>
  <r>
    <n v="4782"/>
    <s v="CA-2014-159310"/>
    <d v="2014-11-07T00:00:00"/>
    <x v="2"/>
    <s v="Q4"/>
    <x v="7"/>
    <d v="2014-11-12T00:00:00"/>
    <s v="Standard Class"/>
    <x v="56"/>
    <x v="56"/>
    <s v="Consumer"/>
    <s v="United States"/>
    <s v="Houston"/>
    <x v="5"/>
    <n v="77070"/>
    <x v="2"/>
    <x v="1699"/>
    <x v="1"/>
    <x v="8"/>
    <x v="1687"/>
    <n v="1.476"/>
    <s v="Low"/>
    <n v="3"/>
    <n v="0.8"/>
    <x v="1"/>
    <x v="3"/>
    <n v="-2.214"/>
    <n v="-1.5"/>
    <n v="1"/>
  </r>
  <r>
    <n v="4783"/>
    <s v="CA-2014-159310"/>
    <d v="2014-11-07T00:00:00"/>
    <x v="2"/>
    <s v="Q4"/>
    <x v="7"/>
    <d v="2014-11-12T00:00:00"/>
    <s v="Standard Class"/>
    <x v="56"/>
    <x v="56"/>
    <s v="Consumer"/>
    <s v="United States"/>
    <s v="Houston"/>
    <x v="5"/>
    <n v="77070"/>
    <x v="2"/>
    <x v="515"/>
    <x v="1"/>
    <x v="14"/>
    <x v="515"/>
    <n v="40.712000000000003"/>
    <s v="Medium"/>
    <n v="7"/>
    <n v="0.2"/>
    <x v="2"/>
    <x v="2"/>
    <n v="3.5623"/>
    <n v="8.7499999999999994E-2"/>
    <n v="0"/>
  </r>
  <r>
    <n v="4784"/>
    <s v="US-2017-147984"/>
    <d v="2017-01-28T00:00:00"/>
    <x v="3"/>
    <s v="Q1"/>
    <x v="44"/>
    <d v="2017-02-01T00:00:00"/>
    <s v="Standard Class"/>
    <x v="673"/>
    <x v="673"/>
    <s v="Consumer"/>
    <s v="United States"/>
    <s v="Wichita"/>
    <x v="41"/>
    <n v="67212"/>
    <x v="2"/>
    <x v="964"/>
    <x v="1"/>
    <x v="10"/>
    <x v="957"/>
    <n v="279.89999999999998"/>
    <s v="High"/>
    <n v="5"/>
    <n v="0"/>
    <x v="0"/>
    <x v="0"/>
    <n v="137.15100000000001"/>
    <n v="0.4900000000000001"/>
    <n v="0"/>
  </r>
  <r>
    <n v="4785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1355"/>
    <x v="1"/>
    <x v="6"/>
    <x v="1341"/>
    <n v="13.12"/>
    <s v="Low"/>
    <n v="5"/>
    <n v="0.2"/>
    <x v="2"/>
    <x v="2"/>
    <n v="1.1479999999999999"/>
    <n v="8.7499999999999994E-2"/>
    <n v="0"/>
  </r>
  <r>
    <n v="4786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1368"/>
    <x v="0"/>
    <x v="0"/>
    <x v="1353"/>
    <n v="69.575999999999993"/>
    <s v="Medium"/>
    <n v="4"/>
    <n v="0.7"/>
    <x v="1"/>
    <x v="5"/>
    <n v="-143.79040000000001"/>
    <n v="-2.0666666666666669"/>
    <n v="1"/>
  </r>
  <r>
    <n v="4787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824"/>
    <x v="1"/>
    <x v="6"/>
    <x v="820"/>
    <n v="4.2240000000000002"/>
    <s v="Low"/>
    <n v="3"/>
    <n v="0.2"/>
    <x v="2"/>
    <x v="2"/>
    <n v="0.47520000000000001"/>
    <n v="0.1125"/>
    <n v="0"/>
  </r>
  <r>
    <n v="4788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1700"/>
    <x v="2"/>
    <x v="11"/>
    <x v="1688"/>
    <n v="58.08"/>
    <s v="Medium"/>
    <n v="4"/>
    <n v="0.2"/>
    <x v="2"/>
    <x v="2"/>
    <n v="-6.5339999999999998"/>
    <n v="-0.1125"/>
    <n v="1"/>
  </r>
  <r>
    <n v="4789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1027"/>
    <x v="0"/>
    <x v="5"/>
    <x v="1018"/>
    <n v="52.415999999999997"/>
    <s v="Medium"/>
    <n v="9"/>
    <n v="0.2"/>
    <x v="2"/>
    <x v="2"/>
    <n v="15.069599999999999"/>
    <n v="0.28750000000000003"/>
    <n v="0"/>
  </r>
  <r>
    <n v="4790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1001"/>
    <x v="0"/>
    <x v="5"/>
    <x v="993"/>
    <n v="54.92"/>
    <s v="Medium"/>
    <n v="5"/>
    <n v="0.2"/>
    <x v="2"/>
    <x v="2"/>
    <n v="10.984"/>
    <n v="0.19999999999999998"/>
    <n v="0"/>
  </r>
  <r>
    <n v="4791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1342"/>
    <x v="0"/>
    <x v="3"/>
    <x v="1327"/>
    <n v="364.95"/>
    <s v="High"/>
    <n v="5"/>
    <n v="0.5"/>
    <x v="1"/>
    <x v="1"/>
    <n v="-248.166"/>
    <n v="-0.68"/>
    <n v="1"/>
  </r>
  <r>
    <n v="4792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778"/>
    <x v="1"/>
    <x v="10"/>
    <x v="1689"/>
    <n v="85.055999999999997"/>
    <s v="Medium"/>
    <n v="3"/>
    <n v="0.2"/>
    <x v="2"/>
    <x v="2"/>
    <n v="28.706399999999999"/>
    <n v="0.33749999999999997"/>
    <n v="0"/>
  </r>
  <r>
    <n v="4793"/>
    <s v="CA-2015-104346"/>
    <d v="2015-12-11T00:00:00"/>
    <x v="1"/>
    <s v="Q4"/>
    <x v="14"/>
    <d v="2015-12-16T00:00:00"/>
    <s v="Standard Class"/>
    <x v="5"/>
    <x v="5"/>
    <s v="Consumer"/>
    <s v="United States"/>
    <s v="Colorado Springs"/>
    <x v="22"/>
    <n v="80906"/>
    <x v="1"/>
    <x v="96"/>
    <x v="1"/>
    <x v="10"/>
    <x v="96"/>
    <n v="27.696000000000002"/>
    <s v="Medium"/>
    <n v="3"/>
    <n v="0.2"/>
    <x v="2"/>
    <x v="2"/>
    <n v="9.6936"/>
    <n v="0.35"/>
    <n v="0"/>
  </r>
  <r>
    <n v="4794"/>
    <s v="US-2015-141684"/>
    <d v="2015-06-29T00:00:00"/>
    <x v="1"/>
    <s v="Q2"/>
    <x v="40"/>
    <d v="2015-07-04T00:00:00"/>
    <s v="Standard Class"/>
    <x v="514"/>
    <x v="514"/>
    <s v="Consumer"/>
    <s v="United States"/>
    <s v="New York City"/>
    <x v="15"/>
    <n v="10011"/>
    <x v="3"/>
    <x v="910"/>
    <x v="1"/>
    <x v="10"/>
    <x v="902"/>
    <n v="24.96"/>
    <s v="Medium"/>
    <n v="4"/>
    <n v="0"/>
    <x v="0"/>
    <x v="0"/>
    <n v="11.231999999999999"/>
    <n v="0.44999999999999996"/>
    <n v="0"/>
  </r>
  <r>
    <n v="4795"/>
    <s v="CA-2015-144722"/>
    <d v="2015-03-16T00:00:00"/>
    <x v="1"/>
    <s v="Q1"/>
    <x v="29"/>
    <d v="2015-03-23T00:00:00"/>
    <s v="Standard Class"/>
    <x v="751"/>
    <x v="751"/>
    <s v="Corporate"/>
    <s v="United States"/>
    <s v="Los Angeles"/>
    <x v="1"/>
    <n v="90036"/>
    <x v="1"/>
    <x v="1618"/>
    <x v="0"/>
    <x v="5"/>
    <x v="1609"/>
    <n v="43.13"/>
    <s v="Medium"/>
    <n v="1"/>
    <n v="0"/>
    <x v="0"/>
    <x v="0"/>
    <n v="18.114599999999999"/>
    <n v="0.42"/>
    <n v="0"/>
  </r>
  <r>
    <n v="4796"/>
    <s v="CA-2015-120516"/>
    <d v="2015-08-13T00:00:00"/>
    <x v="1"/>
    <s v="Q3"/>
    <x v="37"/>
    <d v="2015-08-17T00:00:00"/>
    <s v="Standard Class"/>
    <x v="242"/>
    <x v="242"/>
    <s v="Consumer"/>
    <s v="United States"/>
    <s v="Marietta"/>
    <x v="32"/>
    <n v="30062"/>
    <x v="0"/>
    <x v="620"/>
    <x v="1"/>
    <x v="8"/>
    <x v="620"/>
    <n v="5.64"/>
    <s v="Low"/>
    <n v="3"/>
    <n v="0"/>
    <x v="0"/>
    <x v="0"/>
    <n v="2.7071999999999998"/>
    <n v="0.48"/>
    <n v="0"/>
  </r>
  <r>
    <n v="4797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1242"/>
    <x v="1"/>
    <x v="8"/>
    <x v="1225"/>
    <n v="57.582000000000001"/>
    <s v="Medium"/>
    <n v="3"/>
    <n v="0.7"/>
    <x v="1"/>
    <x v="5"/>
    <n v="-44.1462"/>
    <n v="-0.76666666666666661"/>
    <n v="1"/>
  </r>
  <r>
    <n v="4798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1347"/>
    <x v="1"/>
    <x v="10"/>
    <x v="1332"/>
    <n v="31.103999999999999"/>
    <s v="Medium"/>
    <n v="6"/>
    <n v="0.2"/>
    <x v="2"/>
    <x v="2"/>
    <n v="10.8864"/>
    <n v="0.35000000000000003"/>
    <n v="0"/>
  </r>
  <r>
    <n v="4799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1598"/>
    <x v="0"/>
    <x v="5"/>
    <x v="1590"/>
    <n v="30.192"/>
    <s v="Medium"/>
    <n v="3"/>
    <n v="0.2"/>
    <x v="2"/>
    <x v="2"/>
    <n v="8.3027999999999995"/>
    <n v="0.27499999999999997"/>
    <n v="0"/>
  </r>
  <r>
    <n v="4800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47"/>
    <x v="2"/>
    <x v="7"/>
    <x v="47"/>
    <n v="43.6"/>
    <s v="Medium"/>
    <n v="5"/>
    <n v="0.2"/>
    <x v="2"/>
    <x v="2"/>
    <n v="4.3600000000000003"/>
    <n v="0.1"/>
    <n v="0"/>
  </r>
  <r>
    <n v="4801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1701"/>
    <x v="1"/>
    <x v="6"/>
    <x v="1690"/>
    <n v="4.7679999999999998"/>
    <s v="Low"/>
    <n v="2"/>
    <n v="0.2"/>
    <x v="2"/>
    <x v="2"/>
    <n v="0.41720000000000002"/>
    <n v="8.7500000000000008E-2"/>
    <n v="0"/>
  </r>
  <r>
    <n v="4802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153"/>
    <x v="1"/>
    <x v="8"/>
    <x v="154"/>
    <n v="10.38"/>
    <s v="Low"/>
    <n v="2"/>
    <n v="0.7"/>
    <x v="1"/>
    <x v="5"/>
    <n v="-7.6120000000000001"/>
    <n v="-0.73333333333333328"/>
    <n v="1"/>
  </r>
  <r>
    <n v="4803"/>
    <s v="US-2016-148901"/>
    <d v="2016-05-14T00:00:00"/>
    <x v="0"/>
    <s v="Q2"/>
    <x v="35"/>
    <d v="2016-05-19T00:00:00"/>
    <s v="Standard Class"/>
    <x v="149"/>
    <x v="149"/>
    <s v="Corporate"/>
    <s v="United States"/>
    <s v="Jacksonville"/>
    <x v="2"/>
    <n v="32216"/>
    <x v="0"/>
    <x v="78"/>
    <x v="1"/>
    <x v="8"/>
    <x v="78"/>
    <n v="13.391999999999999"/>
    <s v="Low"/>
    <n v="8"/>
    <n v="0.7"/>
    <x v="1"/>
    <x v="5"/>
    <n v="-9.8208000000000002"/>
    <n v="-0.73333333333333339"/>
    <n v="1"/>
  </r>
  <r>
    <n v="4804"/>
    <s v="CA-2017-136364"/>
    <d v="2017-07-13T00:00:00"/>
    <x v="3"/>
    <s v="Q3"/>
    <x v="10"/>
    <d v="2017-07-17T00:00:00"/>
    <s v="Second Class"/>
    <x v="708"/>
    <x v="708"/>
    <s v="Consumer"/>
    <s v="United States"/>
    <s v="Philadelphia"/>
    <x v="9"/>
    <n v="19140"/>
    <x v="3"/>
    <x v="781"/>
    <x v="2"/>
    <x v="7"/>
    <x v="780"/>
    <n v="39.594000000000001"/>
    <s v="Medium"/>
    <n v="1"/>
    <n v="0.4"/>
    <x v="1"/>
    <x v="7"/>
    <n v="-7.2588999999999997"/>
    <n v="-0.18333333333333332"/>
    <n v="1"/>
  </r>
  <r>
    <n v="4805"/>
    <s v="CA-2017-136364"/>
    <d v="2017-07-13T00:00:00"/>
    <x v="3"/>
    <s v="Q3"/>
    <x v="10"/>
    <d v="2017-07-17T00:00:00"/>
    <s v="Second Class"/>
    <x v="708"/>
    <x v="708"/>
    <s v="Consumer"/>
    <s v="United States"/>
    <s v="Philadelphia"/>
    <x v="9"/>
    <n v="19140"/>
    <x v="3"/>
    <x v="1308"/>
    <x v="0"/>
    <x v="5"/>
    <x v="1293"/>
    <n v="91.007999999999996"/>
    <s v="Medium"/>
    <n v="9"/>
    <n v="0.2"/>
    <x v="2"/>
    <x v="2"/>
    <n v="19.339200000000002"/>
    <n v="0.21250000000000002"/>
    <n v="0"/>
  </r>
  <r>
    <n v="4806"/>
    <s v="CA-2015-137708"/>
    <d v="2015-11-22T00:00:00"/>
    <x v="1"/>
    <s v="Q4"/>
    <x v="6"/>
    <d v="2015-11-25T00:00:00"/>
    <s v="Second Class"/>
    <x v="159"/>
    <x v="159"/>
    <s v="Consumer"/>
    <s v="United States"/>
    <s v="Los Angeles"/>
    <x v="1"/>
    <n v="90008"/>
    <x v="1"/>
    <x v="640"/>
    <x v="1"/>
    <x v="10"/>
    <x v="640"/>
    <n v="37.94"/>
    <s v="Medium"/>
    <n v="2"/>
    <n v="0"/>
    <x v="0"/>
    <x v="0"/>
    <n v="18.211200000000002"/>
    <n v="0.48000000000000009"/>
    <n v="0"/>
  </r>
  <r>
    <n v="4807"/>
    <s v="CA-2015-137708"/>
    <d v="2015-11-22T00:00:00"/>
    <x v="1"/>
    <s v="Q4"/>
    <x v="6"/>
    <d v="2015-11-25T00:00:00"/>
    <s v="Second Class"/>
    <x v="159"/>
    <x v="159"/>
    <s v="Consumer"/>
    <s v="United States"/>
    <s v="Los Angeles"/>
    <x v="1"/>
    <n v="90008"/>
    <x v="1"/>
    <x v="1450"/>
    <x v="1"/>
    <x v="10"/>
    <x v="1437"/>
    <n v="42.8"/>
    <s v="Medium"/>
    <n v="10"/>
    <n v="0"/>
    <x v="0"/>
    <x v="0"/>
    <n v="19.260000000000002"/>
    <n v="0.45000000000000007"/>
    <n v="0"/>
  </r>
  <r>
    <n v="4808"/>
    <s v="CA-2015-137708"/>
    <d v="2015-11-22T00:00:00"/>
    <x v="1"/>
    <s v="Q4"/>
    <x v="6"/>
    <d v="2015-11-25T00:00:00"/>
    <s v="Second Class"/>
    <x v="159"/>
    <x v="159"/>
    <s v="Consumer"/>
    <s v="United States"/>
    <s v="Los Angeles"/>
    <x v="1"/>
    <n v="90008"/>
    <x v="1"/>
    <x v="602"/>
    <x v="1"/>
    <x v="4"/>
    <x v="602"/>
    <n v="33.630000000000003"/>
    <s v="Medium"/>
    <n v="3"/>
    <n v="0"/>
    <x v="0"/>
    <x v="0"/>
    <n v="10.089"/>
    <n v="0.3"/>
    <n v="0"/>
  </r>
  <r>
    <n v="4809"/>
    <s v="CA-2014-149055"/>
    <d v="2014-11-23T00:00:00"/>
    <x v="2"/>
    <s v="Q4"/>
    <x v="7"/>
    <d v="2014-11-28T00:00:00"/>
    <s v="Standard Class"/>
    <x v="536"/>
    <x v="536"/>
    <s v="Corporate"/>
    <s v="United States"/>
    <s v="Philadelphia"/>
    <x v="9"/>
    <n v="19134"/>
    <x v="3"/>
    <x v="1249"/>
    <x v="1"/>
    <x v="12"/>
    <x v="1233"/>
    <n v="62.808"/>
    <s v="Medium"/>
    <n v="3"/>
    <n v="0.2"/>
    <x v="2"/>
    <x v="2"/>
    <n v="21.197700000000001"/>
    <n v="0.33750000000000002"/>
    <n v="0"/>
  </r>
  <r>
    <n v="4810"/>
    <s v="CA-2015-151589"/>
    <d v="2015-12-27T00:00:00"/>
    <x v="1"/>
    <s v="Q4"/>
    <x v="14"/>
    <d v="2015-12-30T00:00:00"/>
    <s v="First Class"/>
    <x v="681"/>
    <x v="681"/>
    <s v="Consumer"/>
    <s v="United States"/>
    <s v="Eau Claire"/>
    <x v="6"/>
    <n v="54703"/>
    <x v="2"/>
    <x v="1689"/>
    <x v="1"/>
    <x v="10"/>
    <x v="1677"/>
    <n v="195.64"/>
    <s v="High"/>
    <n v="4"/>
    <n v="0"/>
    <x v="0"/>
    <x v="0"/>
    <n v="91.950800000000001"/>
    <n v="0.47000000000000003"/>
    <n v="0"/>
  </r>
  <r>
    <n v="4811"/>
    <s v="CA-2015-151589"/>
    <d v="2015-12-27T00:00:00"/>
    <x v="1"/>
    <s v="Q4"/>
    <x v="14"/>
    <d v="2015-12-30T00:00:00"/>
    <s v="First Class"/>
    <x v="681"/>
    <x v="681"/>
    <s v="Consumer"/>
    <s v="United States"/>
    <s v="Eau Claire"/>
    <x v="6"/>
    <n v="54703"/>
    <x v="2"/>
    <x v="1191"/>
    <x v="2"/>
    <x v="7"/>
    <x v="1176"/>
    <n v="239.9"/>
    <s v="High"/>
    <n v="2"/>
    <n v="0"/>
    <x v="0"/>
    <x v="0"/>
    <n v="71.97"/>
    <n v="0.3"/>
    <n v="0"/>
  </r>
  <r>
    <n v="4812"/>
    <s v="CA-2016-121370"/>
    <d v="2016-11-14T00:00:00"/>
    <x v="0"/>
    <s v="Q4"/>
    <x v="0"/>
    <d v="2016-11-19T00:00:00"/>
    <s v="Second Class"/>
    <x v="686"/>
    <x v="686"/>
    <s v="Consumer"/>
    <s v="United States"/>
    <s v="Philadelphia"/>
    <x v="9"/>
    <n v="19134"/>
    <x v="3"/>
    <x v="323"/>
    <x v="0"/>
    <x v="1"/>
    <x v="323"/>
    <n v="380.05799999999999"/>
    <s v="High"/>
    <n v="3"/>
    <n v="0.3"/>
    <x v="1"/>
    <x v="4"/>
    <n v="-21.717600000000001"/>
    <n v="-5.7142857142857148E-2"/>
    <n v="1"/>
  </r>
  <r>
    <n v="4813"/>
    <s v="CA-2016-121370"/>
    <d v="2016-11-14T00:00:00"/>
    <x v="0"/>
    <s v="Q4"/>
    <x v="0"/>
    <d v="2016-11-19T00:00:00"/>
    <s v="Second Class"/>
    <x v="686"/>
    <x v="686"/>
    <s v="Consumer"/>
    <s v="United States"/>
    <s v="Philadelphia"/>
    <x v="9"/>
    <n v="19134"/>
    <x v="3"/>
    <x v="361"/>
    <x v="2"/>
    <x v="16"/>
    <x v="361"/>
    <n v="1199.9760000000001"/>
    <s v="High"/>
    <n v="4"/>
    <n v="0.4"/>
    <x v="1"/>
    <x v="7"/>
    <n v="179.99639999999999"/>
    <n v="0.15"/>
    <n v="0"/>
  </r>
  <r>
    <n v="4814"/>
    <s v="CA-2016-121370"/>
    <d v="2016-11-14T00:00:00"/>
    <x v="0"/>
    <s v="Q4"/>
    <x v="0"/>
    <d v="2016-11-19T00:00:00"/>
    <s v="Second Class"/>
    <x v="686"/>
    <x v="686"/>
    <s v="Consumer"/>
    <s v="United States"/>
    <s v="Philadelphia"/>
    <x v="9"/>
    <n v="19134"/>
    <x v="3"/>
    <x v="1702"/>
    <x v="0"/>
    <x v="5"/>
    <x v="1691"/>
    <n v="48.576000000000001"/>
    <s v="Medium"/>
    <n v="3"/>
    <n v="0.2"/>
    <x v="2"/>
    <x v="2"/>
    <n v="9.7151999999999994"/>
    <n v="0.19999999999999998"/>
    <n v="0"/>
  </r>
  <r>
    <n v="4815"/>
    <s v="CA-2016-111696"/>
    <d v="2016-05-08T00:00:00"/>
    <x v="0"/>
    <s v="Q2"/>
    <x v="35"/>
    <d v="2016-05-10T00:00:00"/>
    <s v="First Class"/>
    <x v="577"/>
    <x v="577"/>
    <s v="Consumer"/>
    <s v="United States"/>
    <s v="Los Angeles"/>
    <x v="1"/>
    <n v="90004"/>
    <x v="1"/>
    <x v="150"/>
    <x v="1"/>
    <x v="10"/>
    <x v="151"/>
    <n v="17.940000000000001"/>
    <s v="Low"/>
    <n v="3"/>
    <n v="0"/>
    <x v="0"/>
    <x v="0"/>
    <n v="8.0730000000000004"/>
    <n v="0.45"/>
    <n v="0"/>
  </r>
  <r>
    <n v="4816"/>
    <s v="CA-2014-139598"/>
    <d v="2014-12-26T00:00:00"/>
    <x v="2"/>
    <s v="Q4"/>
    <x v="20"/>
    <d v="2014-12-31T00:00:00"/>
    <s v="Standard Class"/>
    <x v="726"/>
    <x v="726"/>
    <s v="Consumer"/>
    <s v="United States"/>
    <s v="Philadelphia"/>
    <x v="9"/>
    <n v="19134"/>
    <x v="3"/>
    <x v="229"/>
    <x v="1"/>
    <x v="10"/>
    <x v="230"/>
    <n v="18.263999999999999"/>
    <s v="Low"/>
    <n v="3"/>
    <n v="0.2"/>
    <x v="2"/>
    <x v="2"/>
    <n v="6.1641000000000004"/>
    <n v="0.33750000000000002"/>
    <n v="0"/>
  </r>
  <r>
    <n v="4817"/>
    <s v="CA-2014-139598"/>
    <d v="2014-12-26T00:00:00"/>
    <x v="2"/>
    <s v="Q4"/>
    <x v="20"/>
    <d v="2014-12-31T00:00:00"/>
    <s v="Standard Class"/>
    <x v="726"/>
    <x v="726"/>
    <s v="Consumer"/>
    <s v="United States"/>
    <s v="Philadelphia"/>
    <x v="9"/>
    <n v="19134"/>
    <x v="3"/>
    <x v="1656"/>
    <x v="1"/>
    <x v="9"/>
    <x v="1644"/>
    <n v="34.655999999999999"/>
    <s v="Medium"/>
    <n v="2"/>
    <n v="0.2"/>
    <x v="2"/>
    <x v="2"/>
    <n v="5.6315999999999997"/>
    <n v="0.16250000000000001"/>
    <n v="0"/>
  </r>
  <r>
    <n v="4818"/>
    <s v="CA-2014-139598"/>
    <d v="2014-12-26T00:00:00"/>
    <x v="2"/>
    <s v="Q4"/>
    <x v="20"/>
    <d v="2014-12-31T00:00:00"/>
    <s v="Standard Class"/>
    <x v="726"/>
    <x v="726"/>
    <s v="Consumer"/>
    <s v="United States"/>
    <s v="Philadelphia"/>
    <x v="9"/>
    <n v="19134"/>
    <x v="3"/>
    <x v="543"/>
    <x v="1"/>
    <x v="9"/>
    <x v="543"/>
    <n v="81.552000000000007"/>
    <s v="Medium"/>
    <n v="2"/>
    <n v="0.2"/>
    <x v="2"/>
    <x v="2"/>
    <n v="8.1552000000000007"/>
    <n v="0.1"/>
    <n v="0"/>
  </r>
  <r>
    <n v="4819"/>
    <s v="CA-2014-139598"/>
    <d v="2014-12-26T00:00:00"/>
    <x v="2"/>
    <s v="Q4"/>
    <x v="20"/>
    <d v="2014-12-31T00:00:00"/>
    <s v="Standard Class"/>
    <x v="726"/>
    <x v="726"/>
    <s v="Consumer"/>
    <s v="United States"/>
    <s v="Philadelphia"/>
    <x v="9"/>
    <n v="19134"/>
    <x v="3"/>
    <x v="1043"/>
    <x v="1"/>
    <x v="4"/>
    <x v="1032"/>
    <n v="227.136"/>
    <s v="High"/>
    <n v="4"/>
    <n v="0.2"/>
    <x v="2"/>
    <x v="2"/>
    <n v="-42.588000000000001"/>
    <n v="-0.1875"/>
    <n v="1"/>
  </r>
  <r>
    <n v="4820"/>
    <s v="CA-2017-117436"/>
    <d v="2017-06-08T00:00:00"/>
    <x v="3"/>
    <s v="Q2"/>
    <x v="27"/>
    <d v="2017-06-14T00:00:00"/>
    <s v="Standard Class"/>
    <x v="752"/>
    <x v="752"/>
    <s v="Consumer"/>
    <s v="United States"/>
    <s v="Norwich"/>
    <x v="29"/>
    <n v="6360"/>
    <x v="3"/>
    <x v="1499"/>
    <x v="1"/>
    <x v="8"/>
    <x v="1487"/>
    <n v="10.36"/>
    <s v="Low"/>
    <n v="2"/>
    <n v="0"/>
    <x v="0"/>
    <x v="0"/>
    <n v="5.0763999999999996"/>
    <n v="0.49"/>
    <n v="0"/>
  </r>
  <r>
    <n v="4821"/>
    <s v="CA-2015-140025"/>
    <d v="2015-04-07T00:00:00"/>
    <x v="1"/>
    <s v="Q2"/>
    <x v="19"/>
    <d v="2015-04-11T00:00:00"/>
    <s v="Standard Class"/>
    <x v="724"/>
    <x v="724"/>
    <s v="Consumer"/>
    <s v="United States"/>
    <s v="San Antonio"/>
    <x v="5"/>
    <n v="78207"/>
    <x v="2"/>
    <x v="1364"/>
    <x v="1"/>
    <x v="9"/>
    <x v="1350"/>
    <n v="463.24799999999999"/>
    <s v="High"/>
    <n v="8"/>
    <n v="0.8"/>
    <x v="1"/>
    <x v="3"/>
    <n v="-1181.2824000000001"/>
    <n v="-2.5500000000000003"/>
    <n v="1"/>
  </r>
  <r>
    <n v="4822"/>
    <s v="CA-2015-140025"/>
    <d v="2015-04-07T00:00:00"/>
    <x v="1"/>
    <s v="Q2"/>
    <x v="19"/>
    <d v="2015-04-11T00:00:00"/>
    <s v="Standard Class"/>
    <x v="724"/>
    <x v="724"/>
    <s v="Consumer"/>
    <s v="United States"/>
    <s v="San Antonio"/>
    <x v="5"/>
    <n v="78207"/>
    <x v="2"/>
    <x v="657"/>
    <x v="2"/>
    <x v="11"/>
    <x v="657"/>
    <n v="383.952"/>
    <s v="High"/>
    <n v="6"/>
    <n v="0.2"/>
    <x v="2"/>
    <x v="2"/>
    <n v="47.994"/>
    <n v="0.125"/>
    <n v="0"/>
  </r>
  <r>
    <n v="4823"/>
    <s v="CA-2016-134222"/>
    <d v="2016-07-10T00:00:00"/>
    <x v="0"/>
    <s v="Q3"/>
    <x v="16"/>
    <d v="2016-07-11T00:00:00"/>
    <s v="Same Day"/>
    <x v="125"/>
    <x v="125"/>
    <s v="Home Office"/>
    <s v="United States"/>
    <s v="Yuma"/>
    <x v="16"/>
    <n v="85364"/>
    <x v="1"/>
    <x v="444"/>
    <x v="1"/>
    <x v="8"/>
    <x v="444"/>
    <n v="44.856000000000002"/>
    <s v="Medium"/>
    <n v="6"/>
    <n v="0.7"/>
    <x v="1"/>
    <x v="5"/>
    <n v="-35.884799999999998"/>
    <n v="-0.79999999999999993"/>
    <n v="1"/>
  </r>
  <r>
    <n v="4824"/>
    <s v="CA-2016-140018"/>
    <d v="2016-11-21T00:00:00"/>
    <x v="0"/>
    <s v="Q4"/>
    <x v="0"/>
    <d v="2016-11-26T00:00:00"/>
    <s v="Standard Class"/>
    <x v="237"/>
    <x v="237"/>
    <s v="Consumer"/>
    <s v="United States"/>
    <s v="Columbus"/>
    <x v="24"/>
    <n v="43229"/>
    <x v="3"/>
    <x v="1703"/>
    <x v="2"/>
    <x v="15"/>
    <x v="1692"/>
    <n v="30.344999999999999"/>
    <s v="Medium"/>
    <n v="7"/>
    <n v="0.7"/>
    <x v="1"/>
    <x v="5"/>
    <n v="-24.276"/>
    <n v="-0.8"/>
    <n v="1"/>
  </r>
  <r>
    <n v="4825"/>
    <s v="CA-2016-140018"/>
    <d v="2016-11-21T00:00:00"/>
    <x v="0"/>
    <s v="Q4"/>
    <x v="0"/>
    <d v="2016-11-26T00:00:00"/>
    <s v="Standard Class"/>
    <x v="237"/>
    <x v="237"/>
    <s v="Consumer"/>
    <s v="United States"/>
    <s v="Columbus"/>
    <x v="24"/>
    <n v="43229"/>
    <x v="3"/>
    <x v="163"/>
    <x v="0"/>
    <x v="1"/>
    <x v="164"/>
    <n v="127.554"/>
    <s v="High"/>
    <n v="3"/>
    <n v="0.3"/>
    <x v="1"/>
    <x v="4"/>
    <n v="-9.1110000000000007"/>
    <n v="-7.1428571428571438E-2"/>
    <n v="1"/>
  </r>
  <r>
    <n v="4826"/>
    <s v="CA-2016-140018"/>
    <d v="2016-11-21T00:00:00"/>
    <x v="0"/>
    <s v="Q4"/>
    <x v="0"/>
    <d v="2016-11-26T00:00:00"/>
    <s v="Standard Class"/>
    <x v="237"/>
    <x v="237"/>
    <s v="Consumer"/>
    <s v="United States"/>
    <s v="Columbus"/>
    <x v="24"/>
    <n v="43229"/>
    <x v="3"/>
    <x v="1416"/>
    <x v="0"/>
    <x v="5"/>
    <x v="1403"/>
    <n v="77.951999999999998"/>
    <s v="Medium"/>
    <n v="3"/>
    <n v="0.2"/>
    <x v="2"/>
    <x v="2"/>
    <n v="15.590400000000001"/>
    <n v="0.2"/>
    <n v="0"/>
  </r>
  <r>
    <n v="4827"/>
    <s v="US-2017-136707"/>
    <d v="2017-11-12T00:00:00"/>
    <x v="3"/>
    <s v="Q4"/>
    <x v="23"/>
    <d v="2017-11-15T00:00:00"/>
    <s v="First Class"/>
    <x v="531"/>
    <x v="531"/>
    <s v="Corporate"/>
    <s v="United States"/>
    <s v="Los Angeles"/>
    <x v="1"/>
    <n v="90036"/>
    <x v="1"/>
    <x v="236"/>
    <x v="1"/>
    <x v="8"/>
    <x v="237"/>
    <n v="14.016"/>
    <s v="Low"/>
    <n v="4"/>
    <n v="0.2"/>
    <x v="2"/>
    <x v="2"/>
    <n v="4.9055999999999997"/>
    <n v="0.35"/>
    <n v="0"/>
  </r>
  <r>
    <n v="4828"/>
    <s v="CA-2014-152562"/>
    <d v="2014-11-01T00:00:00"/>
    <x v="2"/>
    <s v="Q4"/>
    <x v="7"/>
    <d v="2014-11-08T00:00:00"/>
    <s v="Standard Class"/>
    <x v="705"/>
    <x v="705"/>
    <s v="Corporate"/>
    <s v="United States"/>
    <s v="Richmond"/>
    <x v="0"/>
    <n v="40475"/>
    <x v="0"/>
    <x v="1156"/>
    <x v="1"/>
    <x v="4"/>
    <x v="1144"/>
    <n v="69.52"/>
    <s v="Medium"/>
    <n v="2"/>
    <n v="0"/>
    <x v="0"/>
    <x v="0"/>
    <n v="19.465599999999998"/>
    <n v="0.27999999999999997"/>
    <n v="0"/>
  </r>
  <r>
    <n v="4829"/>
    <s v="CA-2014-152562"/>
    <d v="2014-11-01T00:00:00"/>
    <x v="2"/>
    <s v="Q4"/>
    <x v="7"/>
    <d v="2014-11-08T00:00:00"/>
    <s v="Standard Class"/>
    <x v="705"/>
    <x v="705"/>
    <s v="Corporate"/>
    <s v="United States"/>
    <s v="Richmond"/>
    <x v="0"/>
    <n v="40475"/>
    <x v="0"/>
    <x v="868"/>
    <x v="1"/>
    <x v="6"/>
    <x v="862"/>
    <n v="5.64"/>
    <s v="Low"/>
    <n v="3"/>
    <n v="0"/>
    <x v="0"/>
    <x v="0"/>
    <n v="1.6355999999999999"/>
    <n v="0.28999999999999998"/>
    <n v="0"/>
  </r>
  <r>
    <n v="4830"/>
    <s v="CA-2016-152408"/>
    <d v="2016-05-15T00:00:00"/>
    <x v="0"/>
    <s v="Q2"/>
    <x v="35"/>
    <d v="2016-05-21T00:00:00"/>
    <s v="Standard Class"/>
    <x v="627"/>
    <x v="627"/>
    <s v="Consumer"/>
    <s v="United States"/>
    <s v="New York City"/>
    <x v="15"/>
    <n v="10035"/>
    <x v="3"/>
    <x v="1212"/>
    <x v="1"/>
    <x v="8"/>
    <x v="1197"/>
    <n v="13.776"/>
    <s v="Low"/>
    <n v="3"/>
    <n v="0.2"/>
    <x v="2"/>
    <x v="2"/>
    <n v="4.4771999999999998"/>
    <n v="0.32500000000000001"/>
    <n v="0"/>
  </r>
  <r>
    <n v="4831"/>
    <s v="CA-2014-120278"/>
    <d v="2014-11-07T00:00:00"/>
    <x v="2"/>
    <s v="Q4"/>
    <x v="7"/>
    <d v="2014-11-12T00:00:00"/>
    <s v="Standard Class"/>
    <x v="333"/>
    <x v="333"/>
    <s v="Consumer"/>
    <s v="United States"/>
    <s v="Wausau"/>
    <x v="6"/>
    <n v="54401"/>
    <x v="2"/>
    <x v="1360"/>
    <x v="1"/>
    <x v="9"/>
    <x v="1346"/>
    <n v="245.88"/>
    <s v="High"/>
    <n v="6"/>
    <n v="0"/>
    <x v="0"/>
    <x v="0"/>
    <n v="68.846400000000003"/>
    <n v="0.28000000000000003"/>
    <n v="0"/>
  </r>
  <r>
    <n v="4832"/>
    <s v="CA-2014-120278"/>
    <d v="2014-11-07T00:00:00"/>
    <x v="2"/>
    <s v="Q4"/>
    <x v="7"/>
    <d v="2014-11-12T00:00:00"/>
    <s v="Standard Class"/>
    <x v="333"/>
    <x v="333"/>
    <s v="Consumer"/>
    <s v="United States"/>
    <s v="Wausau"/>
    <x v="6"/>
    <n v="54401"/>
    <x v="2"/>
    <x v="762"/>
    <x v="1"/>
    <x v="4"/>
    <x v="761"/>
    <n v="36.630000000000003"/>
    <s v="Medium"/>
    <n v="3"/>
    <n v="0"/>
    <x v="0"/>
    <x v="0"/>
    <n v="9.8901000000000003"/>
    <n v="0.27"/>
    <n v="0"/>
  </r>
  <r>
    <n v="4833"/>
    <s v="CA-2014-120278"/>
    <d v="2014-11-07T00:00:00"/>
    <x v="2"/>
    <s v="Q4"/>
    <x v="7"/>
    <d v="2014-11-12T00:00:00"/>
    <s v="Standard Class"/>
    <x v="333"/>
    <x v="333"/>
    <s v="Consumer"/>
    <s v="United States"/>
    <s v="Wausau"/>
    <x v="6"/>
    <n v="54401"/>
    <x v="2"/>
    <x v="1011"/>
    <x v="1"/>
    <x v="4"/>
    <x v="1003"/>
    <n v="22.58"/>
    <s v="Low"/>
    <n v="2"/>
    <n v="0"/>
    <x v="0"/>
    <x v="0"/>
    <n v="5.8708"/>
    <n v="0.26"/>
    <n v="0"/>
  </r>
  <r>
    <n v="4834"/>
    <s v="CA-2014-120278"/>
    <d v="2014-11-07T00:00:00"/>
    <x v="2"/>
    <s v="Q4"/>
    <x v="7"/>
    <d v="2014-11-12T00:00:00"/>
    <s v="Standard Class"/>
    <x v="333"/>
    <x v="333"/>
    <s v="Consumer"/>
    <s v="United States"/>
    <s v="Wausau"/>
    <x v="6"/>
    <n v="54401"/>
    <x v="2"/>
    <x v="925"/>
    <x v="1"/>
    <x v="8"/>
    <x v="917"/>
    <n v="12.39"/>
    <s v="Low"/>
    <n v="3"/>
    <n v="0"/>
    <x v="0"/>
    <x v="0"/>
    <n v="5.8232999999999997"/>
    <n v="0.47"/>
    <n v="0"/>
  </r>
  <r>
    <n v="4835"/>
    <s v="CA-2017-167661"/>
    <d v="2017-10-05T00:00:00"/>
    <x v="3"/>
    <s v="Q4"/>
    <x v="13"/>
    <d v="2017-10-10T00:00:00"/>
    <s v="Standard Class"/>
    <x v="486"/>
    <x v="486"/>
    <s v="Home Office"/>
    <s v="United States"/>
    <s v="San Francisco"/>
    <x v="1"/>
    <n v="94110"/>
    <x v="1"/>
    <x v="1230"/>
    <x v="1"/>
    <x v="8"/>
    <x v="1213"/>
    <n v="39.92"/>
    <s v="Medium"/>
    <n v="5"/>
    <n v="0.2"/>
    <x v="2"/>
    <x v="2"/>
    <n v="13.473000000000001"/>
    <n v="0.33750000000000002"/>
    <n v="0"/>
  </r>
  <r>
    <n v="4836"/>
    <s v="CA-2017-167661"/>
    <d v="2017-10-05T00:00:00"/>
    <x v="3"/>
    <s v="Q4"/>
    <x v="13"/>
    <d v="2017-10-10T00:00:00"/>
    <s v="Standard Class"/>
    <x v="486"/>
    <x v="486"/>
    <s v="Home Office"/>
    <s v="United States"/>
    <s v="San Francisco"/>
    <x v="1"/>
    <n v="94110"/>
    <x v="1"/>
    <x v="1323"/>
    <x v="1"/>
    <x v="10"/>
    <x v="1309"/>
    <n v="61.96"/>
    <s v="Medium"/>
    <n v="2"/>
    <n v="0"/>
    <x v="0"/>
    <x v="0"/>
    <n v="27.882000000000001"/>
    <n v="0.45"/>
    <n v="0"/>
  </r>
  <r>
    <n v="4837"/>
    <s v="CA-2017-167661"/>
    <d v="2017-10-05T00:00:00"/>
    <x v="3"/>
    <s v="Q4"/>
    <x v="13"/>
    <d v="2017-10-10T00:00:00"/>
    <s v="Standard Class"/>
    <x v="486"/>
    <x v="486"/>
    <s v="Home Office"/>
    <s v="United States"/>
    <s v="San Francisco"/>
    <x v="1"/>
    <n v="94110"/>
    <x v="1"/>
    <x v="799"/>
    <x v="1"/>
    <x v="8"/>
    <x v="797"/>
    <n v="19.936"/>
    <s v="Low"/>
    <n v="4"/>
    <n v="0.2"/>
    <x v="2"/>
    <x v="2"/>
    <n v="7.2267999999999999"/>
    <n v="0.36249999999999999"/>
    <n v="0"/>
  </r>
  <r>
    <n v="4838"/>
    <s v="CA-2017-106831"/>
    <d v="2017-06-01T00:00:00"/>
    <x v="3"/>
    <s v="Q2"/>
    <x v="27"/>
    <d v="2017-06-03T00:00:00"/>
    <s v="First Class"/>
    <x v="651"/>
    <x v="651"/>
    <s v="Consumer"/>
    <s v="United States"/>
    <s v="Dublin"/>
    <x v="24"/>
    <n v="43017"/>
    <x v="3"/>
    <x v="858"/>
    <x v="1"/>
    <x v="8"/>
    <x v="852"/>
    <n v="3.798"/>
    <s v="Low"/>
    <n v="2"/>
    <n v="0.7"/>
    <x v="1"/>
    <x v="5"/>
    <n v="-2.6585999999999999"/>
    <n v="-0.7"/>
    <n v="1"/>
  </r>
  <r>
    <n v="4839"/>
    <s v="CA-2017-106831"/>
    <d v="2017-06-01T00:00:00"/>
    <x v="3"/>
    <s v="Q2"/>
    <x v="27"/>
    <d v="2017-06-03T00:00:00"/>
    <s v="First Class"/>
    <x v="651"/>
    <x v="651"/>
    <s v="Consumer"/>
    <s v="United States"/>
    <s v="Dublin"/>
    <x v="24"/>
    <n v="43017"/>
    <x v="3"/>
    <x v="874"/>
    <x v="1"/>
    <x v="10"/>
    <x v="868"/>
    <n v="27.744"/>
    <s v="Medium"/>
    <n v="6"/>
    <n v="0.2"/>
    <x v="2"/>
    <x v="2"/>
    <n v="10.0572"/>
    <n v="0.36249999999999999"/>
    <n v="0"/>
  </r>
  <r>
    <n v="4840"/>
    <s v="CA-2017-106831"/>
    <d v="2017-06-01T00:00:00"/>
    <x v="3"/>
    <s v="Q2"/>
    <x v="27"/>
    <d v="2017-06-03T00:00:00"/>
    <s v="First Class"/>
    <x v="651"/>
    <x v="651"/>
    <s v="Consumer"/>
    <s v="United States"/>
    <s v="Dublin"/>
    <x v="24"/>
    <n v="43017"/>
    <x v="3"/>
    <x v="194"/>
    <x v="2"/>
    <x v="7"/>
    <x v="195"/>
    <n v="158.376"/>
    <s v="High"/>
    <n v="4"/>
    <n v="0.4"/>
    <x v="1"/>
    <x v="7"/>
    <n v="-34.314799999999998"/>
    <n v="-0.21666666666666665"/>
    <n v="1"/>
  </r>
  <r>
    <n v="4841"/>
    <s v="CA-2017-154123"/>
    <d v="2017-11-20T00:00:00"/>
    <x v="3"/>
    <s v="Q4"/>
    <x v="23"/>
    <d v="2017-11-25T00:00:00"/>
    <s v="Standard Class"/>
    <x v="337"/>
    <x v="337"/>
    <s v="Home Office"/>
    <s v="United States"/>
    <s v="Henderson"/>
    <x v="0"/>
    <n v="42420"/>
    <x v="0"/>
    <x v="93"/>
    <x v="0"/>
    <x v="5"/>
    <x v="93"/>
    <n v="27.58"/>
    <s v="Medium"/>
    <n v="2"/>
    <n v="0"/>
    <x v="0"/>
    <x v="0"/>
    <n v="11.583600000000001"/>
    <n v="0.42000000000000004"/>
    <n v="0"/>
  </r>
  <r>
    <n v="4842"/>
    <s v="CA-2016-136049"/>
    <d v="2016-12-23T00:00:00"/>
    <x v="0"/>
    <s v="Q4"/>
    <x v="5"/>
    <d v="2016-12-28T00:00:00"/>
    <s v="Standard Class"/>
    <x v="392"/>
    <x v="392"/>
    <s v="Consumer"/>
    <s v="United States"/>
    <s v="Bowling Green"/>
    <x v="24"/>
    <n v="43402"/>
    <x v="3"/>
    <x v="1488"/>
    <x v="1"/>
    <x v="8"/>
    <x v="1475"/>
    <n v="5.5529999999999999"/>
    <s v="Low"/>
    <n v="3"/>
    <n v="0.7"/>
    <x v="1"/>
    <x v="5"/>
    <n v="-4.0721999999999996"/>
    <n v="-0.73333333333333328"/>
    <n v="1"/>
  </r>
  <r>
    <n v="4843"/>
    <s v="CA-2017-118402"/>
    <d v="2017-09-29T00:00:00"/>
    <x v="3"/>
    <s v="Q3"/>
    <x v="15"/>
    <d v="2017-10-04T00:00:00"/>
    <s v="Standard Class"/>
    <x v="123"/>
    <x v="123"/>
    <s v="Consumer"/>
    <s v="United States"/>
    <s v="Memphis"/>
    <x v="18"/>
    <n v="38109"/>
    <x v="0"/>
    <x v="886"/>
    <x v="1"/>
    <x v="4"/>
    <x v="879"/>
    <n v="243.92"/>
    <s v="High"/>
    <n v="5"/>
    <n v="0.2"/>
    <x v="2"/>
    <x v="2"/>
    <n v="-54.881999999999998"/>
    <n v="-0.22500000000000001"/>
    <n v="1"/>
  </r>
  <r>
    <n v="4844"/>
    <s v="US-2016-139388"/>
    <d v="2016-11-07T00:00:00"/>
    <x v="0"/>
    <s v="Q4"/>
    <x v="0"/>
    <d v="2016-11-09T00:00:00"/>
    <s v="First Class"/>
    <x v="693"/>
    <x v="693"/>
    <s v="Consumer"/>
    <s v="United States"/>
    <s v="Lakewood"/>
    <x v="30"/>
    <n v="8701"/>
    <x v="3"/>
    <x v="1028"/>
    <x v="1"/>
    <x v="13"/>
    <x v="1019"/>
    <n v="14.96"/>
    <s v="Low"/>
    <n v="4"/>
    <n v="0"/>
    <x v="0"/>
    <x v="0"/>
    <n v="0.29920000000000002"/>
    <n v="0.02"/>
    <n v="0"/>
  </r>
  <r>
    <n v="4845"/>
    <s v="US-2014-128685"/>
    <d v="2014-04-04T00:00:00"/>
    <x v="2"/>
    <s v="Q2"/>
    <x v="41"/>
    <d v="2014-04-05T00:00:00"/>
    <s v="First Class"/>
    <x v="89"/>
    <x v="89"/>
    <s v="Corporate"/>
    <s v="United States"/>
    <s v="Los Angeles"/>
    <x v="1"/>
    <n v="90008"/>
    <x v="1"/>
    <x v="307"/>
    <x v="1"/>
    <x v="8"/>
    <x v="307"/>
    <n v="7.1840000000000002"/>
    <s v="Low"/>
    <n v="2"/>
    <n v="0.2"/>
    <x v="2"/>
    <x v="2"/>
    <n v="2.2450000000000001"/>
    <n v="0.3125"/>
    <n v="0"/>
  </r>
  <r>
    <n v="4846"/>
    <s v="CA-2015-124044"/>
    <d v="2015-07-23T00:00:00"/>
    <x v="1"/>
    <s v="Q3"/>
    <x v="38"/>
    <d v="2015-07-26T00:00:00"/>
    <s v="Second Class"/>
    <x v="234"/>
    <x v="234"/>
    <s v="Consumer"/>
    <s v="United States"/>
    <s v="Rochester"/>
    <x v="15"/>
    <n v="14609"/>
    <x v="3"/>
    <x v="236"/>
    <x v="1"/>
    <x v="8"/>
    <x v="237"/>
    <n v="10.512"/>
    <s v="Low"/>
    <n v="3"/>
    <n v="0.2"/>
    <x v="2"/>
    <x v="2"/>
    <n v="3.6791999999999998"/>
    <n v="0.35"/>
    <n v="0"/>
  </r>
  <r>
    <n v="4847"/>
    <s v="CA-2014-164469"/>
    <d v="2014-06-25T00:00:00"/>
    <x v="2"/>
    <s v="Q2"/>
    <x v="3"/>
    <d v="2014-06-27T00:00:00"/>
    <s v="Second Class"/>
    <x v="136"/>
    <x v="136"/>
    <s v="Corporate"/>
    <s v="United States"/>
    <s v="Salem"/>
    <x v="21"/>
    <n v="97301"/>
    <x v="1"/>
    <x v="803"/>
    <x v="2"/>
    <x v="7"/>
    <x v="801"/>
    <n v="263.95999999999998"/>
    <s v="High"/>
    <n v="5"/>
    <n v="0.2"/>
    <x v="2"/>
    <x v="2"/>
    <n v="19.797000000000001"/>
    <n v="7.5000000000000011E-2"/>
    <n v="0"/>
  </r>
  <r>
    <n v="4848"/>
    <s v="CA-2014-164469"/>
    <d v="2014-06-25T00:00:00"/>
    <x v="2"/>
    <s v="Q2"/>
    <x v="3"/>
    <d v="2014-06-27T00:00:00"/>
    <s v="Second Class"/>
    <x v="136"/>
    <x v="136"/>
    <s v="Corporate"/>
    <s v="United States"/>
    <s v="Salem"/>
    <x v="21"/>
    <n v="97301"/>
    <x v="1"/>
    <x v="359"/>
    <x v="1"/>
    <x v="6"/>
    <x v="359"/>
    <n v="71.632000000000005"/>
    <s v="Medium"/>
    <n v="11"/>
    <n v="0.2"/>
    <x v="2"/>
    <x v="2"/>
    <n v="17.908000000000001"/>
    <n v="0.25"/>
    <n v="0"/>
  </r>
  <r>
    <n v="4849"/>
    <s v="CA-2014-164469"/>
    <d v="2014-06-25T00:00:00"/>
    <x v="2"/>
    <s v="Q2"/>
    <x v="3"/>
    <d v="2014-06-27T00:00:00"/>
    <s v="Second Class"/>
    <x v="136"/>
    <x v="136"/>
    <s v="Corporate"/>
    <s v="United States"/>
    <s v="Salem"/>
    <x v="21"/>
    <n v="97301"/>
    <x v="1"/>
    <x v="1132"/>
    <x v="1"/>
    <x v="6"/>
    <x v="1120"/>
    <n v="9.3279999999999994"/>
    <s v="Low"/>
    <n v="1"/>
    <n v="0.2"/>
    <x v="2"/>
    <x v="2"/>
    <n v="0.81620000000000004"/>
    <n v="8.7500000000000008E-2"/>
    <n v="0"/>
  </r>
  <r>
    <n v="4850"/>
    <s v="CA-2014-107818"/>
    <d v="2014-09-08T00:00:00"/>
    <x v="2"/>
    <s v="Q3"/>
    <x v="30"/>
    <d v="2014-09-14T00:00:00"/>
    <s v="Standard Class"/>
    <x v="507"/>
    <x v="507"/>
    <s v="Consumer"/>
    <s v="United States"/>
    <s v="Pasco"/>
    <x v="4"/>
    <n v="99301"/>
    <x v="1"/>
    <x v="425"/>
    <x v="1"/>
    <x v="6"/>
    <x v="425"/>
    <n v="5.88"/>
    <s v="Low"/>
    <n v="2"/>
    <n v="0"/>
    <x v="0"/>
    <x v="0"/>
    <n v="2.6459999999999999"/>
    <n v="0.45"/>
    <n v="0"/>
  </r>
  <r>
    <n v="4851"/>
    <s v="CA-2014-107818"/>
    <d v="2014-09-08T00:00:00"/>
    <x v="2"/>
    <s v="Q3"/>
    <x v="30"/>
    <d v="2014-09-14T00:00:00"/>
    <s v="Standard Class"/>
    <x v="507"/>
    <x v="507"/>
    <s v="Consumer"/>
    <s v="United States"/>
    <s v="Pasco"/>
    <x v="4"/>
    <n v="99301"/>
    <x v="1"/>
    <x v="1"/>
    <x v="0"/>
    <x v="1"/>
    <x v="1"/>
    <n v="975.92"/>
    <s v="High"/>
    <n v="5"/>
    <n v="0.2"/>
    <x v="2"/>
    <x v="2"/>
    <n v="121.99"/>
    <n v="0.125"/>
    <n v="0"/>
  </r>
  <r>
    <n v="4852"/>
    <s v="CA-2014-107818"/>
    <d v="2014-09-08T00:00:00"/>
    <x v="2"/>
    <s v="Q3"/>
    <x v="30"/>
    <d v="2014-09-14T00:00:00"/>
    <s v="Standard Class"/>
    <x v="507"/>
    <x v="507"/>
    <s v="Consumer"/>
    <s v="United States"/>
    <s v="Pasco"/>
    <x v="4"/>
    <n v="99301"/>
    <x v="1"/>
    <x v="108"/>
    <x v="1"/>
    <x v="6"/>
    <x v="108"/>
    <n v="303.83999999999997"/>
    <s v="High"/>
    <n v="8"/>
    <n v="0"/>
    <x v="0"/>
    <x v="0"/>
    <n v="91.152000000000001"/>
    <n v="0.30000000000000004"/>
    <n v="0"/>
  </r>
  <r>
    <n v="4853"/>
    <s v="CA-2014-107818"/>
    <d v="2014-09-08T00:00:00"/>
    <x v="2"/>
    <s v="Q3"/>
    <x v="30"/>
    <d v="2014-09-14T00:00:00"/>
    <s v="Standard Class"/>
    <x v="507"/>
    <x v="507"/>
    <s v="Consumer"/>
    <s v="United States"/>
    <s v="Pasco"/>
    <x v="4"/>
    <n v="99301"/>
    <x v="1"/>
    <x v="459"/>
    <x v="1"/>
    <x v="4"/>
    <x v="460"/>
    <n v="485.88"/>
    <s v="High"/>
    <n v="6"/>
    <n v="0"/>
    <x v="0"/>
    <x v="0"/>
    <n v="19.435199999999998"/>
    <n v="3.9999999999999994E-2"/>
    <n v="0"/>
  </r>
  <r>
    <n v="4854"/>
    <s v="CA-2014-113320"/>
    <d v="2014-12-12T00:00:00"/>
    <x v="2"/>
    <s v="Q4"/>
    <x v="20"/>
    <d v="2014-12-15T00:00:00"/>
    <s v="Second Class"/>
    <x v="109"/>
    <x v="109"/>
    <s v="Consumer"/>
    <s v="United States"/>
    <s v="Oakland"/>
    <x v="1"/>
    <n v="94601"/>
    <x v="1"/>
    <x v="1006"/>
    <x v="0"/>
    <x v="5"/>
    <x v="998"/>
    <n v="12.54"/>
    <s v="Low"/>
    <n v="3"/>
    <n v="0"/>
    <x v="0"/>
    <x v="0"/>
    <n v="4.5144000000000002"/>
    <n v="0.36000000000000004"/>
    <n v="0"/>
  </r>
  <r>
    <n v="4855"/>
    <s v="CA-2014-113320"/>
    <d v="2014-12-12T00:00:00"/>
    <x v="2"/>
    <s v="Q4"/>
    <x v="20"/>
    <d v="2014-12-15T00:00:00"/>
    <s v="Second Class"/>
    <x v="109"/>
    <x v="109"/>
    <s v="Consumer"/>
    <s v="United States"/>
    <s v="Oakland"/>
    <x v="1"/>
    <n v="94601"/>
    <x v="1"/>
    <x v="383"/>
    <x v="1"/>
    <x v="4"/>
    <x v="384"/>
    <n v="8.94"/>
    <s v="Low"/>
    <n v="3"/>
    <n v="0"/>
    <x v="0"/>
    <x v="0"/>
    <n v="0.62580000000000002"/>
    <n v="7.0000000000000007E-2"/>
    <n v="0"/>
  </r>
  <r>
    <n v="4856"/>
    <s v="CA-2014-113320"/>
    <d v="2014-12-12T00:00:00"/>
    <x v="2"/>
    <s v="Q4"/>
    <x v="20"/>
    <d v="2014-12-15T00:00:00"/>
    <s v="Second Class"/>
    <x v="109"/>
    <x v="109"/>
    <s v="Consumer"/>
    <s v="United States"/>
    <s v="Oakland"/>
    <x v="1"/>
    <n v="94601"/>
    <x v="1"/>
    <x v="50"/>
    <x v="0"/>
    <x v="5"/>
    <x v="50"/>
    <n v="9.24"/>
    <s v="Low"/>
    <n v="3"/>
    <n v="0"/>
    <x v="0"/>
    <x v="0"/>
    <n v="4.4352"/>
    <n v="0.48"/>
    <n v="0"/>
  </r>
  <r>
    <n v="4857"/>
    <s v="CA-2015-137526"/>
    <d v="2015-01-13T00:00:00"/>
    <x v="1"/>
    <s v="Q1"/>
    <x v="26"/>
    <d v="2015-01-17T00:00:00"/>
    <s v="Standard Class"/>
    <x v="171"/>
    <x v="171"/>
    <s v="Consumer"/>
    <s v="United States"/>
    <s v="Los Angeles"/>
    <x v="1"/>
    <n v="90004"/>
    <x v="1"/>
    <x v="705"/>
    <x v="1"/>
    <x v="8"/>
    <x v="705"/>
    <n v="70.007999999999996"/>
    <s v="Medium"/>
    <n v="3"/>
    <n v="0.2"/>
    <x v="2"/>
    <x v="2"/>
    <n v="24.502800000000001"/>
    <n v="0.35000000000000003"/>
    <n v="0"/>
  </r>
  <r>
    <n v="4858"/>
    <s v="CA-2015-137526"/>
    <d v="2015-01-13T00:00:00"/>
    <x v="1"/>
    <s v="Q1"/>
    <x v="26"/>
    <d v="2015-01-17T00:00:00"/>
    <s v="Standard Class"/>
    <x v="171"/>
    <x v="171"/>
    <s v="Consumer"/>
    <s v="United States"/>
    <s v="Los Angeles"/>
    <x v="1"/>
    <n v="90004"/>
    <x v="1"/>
    <x v="275"/>
    <x v="0"/>
    <x v="5"/>
    <x v="275"/>
    <n v="77.599999999999994"/>
    <s v="Medium"/>
    <n v="4"/>
    <n v="0"/>
    <x v="0"/>
    <x v="0"/>
    <n v="38.024000000000001"/>
    <n v="0.49000000000000005"/>
    <n v="0"/>
  </r>
  <r>
    <n v="4859"/>
    <s v="CA-2015-137526"/>
    <d v="2015-01-13T00:00:00"/>
    <x v="1"/>
    <s v="Q1"/>
    <x v="26"/>
    <d v="2015-01-17T00:00:00"/>
    <s v="Standard Class"/>
    <x v="171"/>
    <x v="171"/>
    <s v="Consumer"/>
    <s v="United States"/>
    <s v="Los Angeles"/>
    <x v="1"/>
    <n v="90004"/>
    <x v="1"/>
    <x v="1704"/>
    <x v="0"/>
    <x v="5"/>
    <x v="1693"/>
    <n v="464.85"/>
    <s v="High"/>
    <n v="9"/>
    <n v="0"/>
    <x v="0"/>
    <x v="0"/>
    <n v="92.97"/>
    <n v="0.19999999999999998"/>
    <n v="0"/>
  </r>
  <r>
    <n v="4860"/>
    <s v="CA-2017-136063"/>
    <d v="2017-12-15T00:00:00"/>
    <x v="3"/>
    <s v="Q4"/>
    <x v="22"/>
    <d v="2017-12-19T00:00:00"/>
    <s v="Standard Class"/>
    <x v="164"/>
    <x v="164"/>
    <s v="Corporate"/>
    <s v="United States"/>
    <s v="Oak Park"/>
    <x v="10"/>
    <n v="60302"/>
    <x v="2"/>
    <x v="1063"/>
    <x v="1"/>
    <x v="6"/>
    <x v="1052"/>
    <n v="10.192"/>
    <s v="Low"/>
    <n v="7"/>
    <n v="0.2"/>
    <x v="2"/>
    <x v="2"/>
    <n v="1.0192000000000001"/>
    <n v="0.1"/>
    <n v="0"/>
  </r>
  <r>
    <n v="4861"/>
    <s v="CA-2016-101546"/>
    <d v="2016-12-18T00:00:00"/>
    <x v="0"/>
    <s v="Q4"/>
    <x v="5"/>
    <d v="2016-12-24T00:00:00"/>
    <s v="Standard Class"/>
    <x v="136"/>
    <x v="136"/>
    <s v="Corporate"/>
    <s v="United States"/>
    <s v="Morristown"/>
    <x v="30"/>
    <n v="7960"/>
    <x v="3"/>
    <x v="1176"/>
    <x v="1"/>
    <x v="8"/>
    <x v="1162"/>
    <n v="1793.98"/>
    <s v="High"/>
    <n v="2"/>
    <n v="0"/>
    <x v="0"/>
    <x v="0"/>
    <n v="843.17060000000004"/>
    <n v="0.47000000000000003"/>
    <n v="0"/>
  </r>
  <r>
    <n v="4862"/>
    <s v="CA-2014-138940"/>
    <d v="2014-04-11T00:00:00"/>
    <x v="2"/>
    <s v="Q2"/>
    <x v="41"/>
    <d v="2014-04-16T00:00:00"/>
    <s v="Second Class"/>
    <x v="39"/>
    <x v="39"/>
    <s v="Home Office"/>
    <s v="United States"/>
    <s v="Austin"/>
    <x v="5"/>
    <n v="78745"/>
    <x v="2"/>
    <x v="1356"/>
    <x v="2"/>
    <x v="7"/>
    <x v="1342"/>
    <n v="758.35199999999998"/>
    <s v="High"/>
    <n v="6"/>
    <n v="0.2"/>
    <x v="2"/>
    <x v="2"/>
    <n v="265.42320000000001"/>
    <n v="0.35000000000000003"/>
    <n v="0"/>
  </r>
  <r>
    <n v="4863"/>
    <s v="CA-2016-125164"/>
    <d v="2016-11-10T00:00:00"/>
    <x v="0"/>
    <s v="Q4"/>
    <x v="0"/>
    <d v="2016-11-14T00:00:00"/>
    <s v="Standard Class"/>
    <x v="64"/>
    <x v="64"/>
    <s v="Corporate"/>
    <s v="United States"/>
    <s v="New York City"/>
    <x v="15"/>
    <n v="10011"/>
    <x v="3"/>
    <x v="986"/>
    <x v="1"/>
    <x v="8"/>
    <x v="979"/>
    <n v="20.367999999999999"/>
    <s v="Low"/>
    <n v="1"/>
    <n v="0.2"/>
    <x v="2"/>
    <x v="2"/>
    <n v="7.3834"/>
    <n v="0.36250000000000004"/>
    <n v="0"/>
  </r>
  <r>
    <n v="4864"/>
    <s v="CA-2016-125164"/>
    <d v="2016-11-10T00:00:00"/>
    <x v="0"/>
    <s v="Q4"/>
    <x v="0"/>
    <d v="2016-11-14T00:00:00"/>
    <s v="Standard Class"/>
    <x v="64"/>
    <x v="64"/>
    <s v="Corporate"/>
    <s v="United States"/>
    <s v="New York City"/>
    <x v="15"/>
    <n v="10011"/>
    <x v="3"/>
    <x v="350"/>
    <x v="1"/>
    <x v="8"/>
    <x v="350"/>
    <n v="49.847999999999999"/>
    <s v="Medium"/>
    <n v="3"/>
    <n v="0.2"/>
    <x v="2"/>
    <x v="2"/>
    <n v="16.823699999999999"/>
    <n v="0.33749999999999997"/>
    <n v="0"/>
  </r>
  <r>
    <n v="4865"/>
    <s v="CA-2017-163531"/>
    <d v="2017-06-26T00:00:00"/>
    <x v="3"/>
    <s v="Q2"/>
    <x v="27"/>
    <d v="2017-06-30T00:00:00"/>
    <s v="Standard Class"/>
    <x v="56"/>
    <x v="56"/>
    <s v="Consumer"/>
    <s v="United States"/>
    <s v="New York City"/>
    <x v="15"/>
    <n v="10024"/>
    <x v="3"/>
    <x v="516"/>
    <x v="2"/>
    <x v="7"/>
    <x v="516"/>
    <n v="239.97"/>
    <s v="High"/>
    <n v="3"/>
    <n v="0"/>
    <x v="0"/>
    <x v="0"/>
    <n v="67.191599999999994"/>
    <n v="0.27999999999999997"/>
    <n v="0"/>
  </r>
  <r>
    <n v="4866"/>
    <s v="CA-2017-122490"/>
    <d v="2017-11-13T00:00:00"/>
    <x v="3"/>
    <s v="Q4"/>
    <x v="23"/>
    <d v="2017-11-18T00:00:00"/>
    <s v="Standard Class"/>
    <x v="74"/>
    <x v="74"/>
    <s v="Consumer"/>
    <s v="United States"/>
    <s v="Seattle"/>
    <x v="4"/>
    <n v="98103"/>
    <x v="1"/>
    <x v="445"/>
    <x v="0"/>
    <x v="1"/>
    <x v="445"/>
    <n v="2404.7040000000002"/>
    <s v="High"/>
    <n v="6"/>
    <n v="0.2"/>
    <x v="2"/>
    <x v="2"/>
    <n v="150.29400000000001"/>
    <n v="6.25E-2"/>
    <n v="0"/>
  </r>
  <r>
    <n v="4867"/>
    <s v="CA-2017-122490"/>
    <d v="2017-11-13T00:00:00"/>
    <x v="3"/>
    <s v="Q4"/>
    <x v="23"/>
    <d v="2017-11-18T00:00:00"/>
    <s v="Standard Class"/>
    <x v="74"/>
    <x v="74"/>
    <s v="Consumer"/>
    <s v="United States"/>
    <s v="Seattle"/>
    <x v="4"/>
    <n v="98103"/>
    <x v="1"/>
    <x v="1242"/>
    <x v="1"/>
    <x v="8"/>
    <x v="1225"/>
    <n v="563.024"/>
    <s v="High"/>
    <n v="11"/>
    <n v="0.2"/>
    <x v="2"/>
    <x v="2"/>
    <n v="190.0206"/>
    <n v="0.33750000000000002"/>
    <n v="0"/>
  </r>
  <r>
    <n v="4868"/>
    <s v="CA-2017-122490"/>
    <d v="2017-11-13T00:00:00"/>
    <x v="3"/>
    <s v="Q4"/>
    <x v="23"/>
    <d v="2017-11-18T00:00:00"/>
    <s v="Standard Class"/>
    <x v="74"/>
    <x v="74"/>
    <s v="Consumer"/>
    <s v="United States"/>
    <s v="Seattle"/>
    <x v="4"/>
    <n v="98103"/>
    <x v="1"/>
    <x v="156"/>
    <x v="1"/>
    <x v="4"/>
    <x v="157"/>
    <n v="344.91"/>
    <s v="High"/>
    <n v="3"/>
    <n v="0"/>
    <x v="0"/>
    <x v="0"/>
    <n v="10.347300000000001"/>
    <n v="0.03"/>
    <n v="0"/>
  </r>
  <r>
    <n v="4869"/>
    <s v="CA-2017-122490"/>
    <d v="2017-11-13T00:00:00"/>
    <x v="3"/>
    <s v="Q4"/>
    <x v="23"/>
    <d v="2017-11-18T00:00:00"/>
    <s v="Standard Class"/>
    <x v="74"/>
    <x v="74"/>
    <s v="Consumer"/>
    <s v="United States"/>
    <s v="Seattle"/>
    <x v="4"/>
    <n v="98103"/>
    <x v="1"/>
    <x v="745"/>
    <x v="1"/>
    <x v="2"/>
    <x v="743"/>
    <n v="8.64"/>
    <s v="Low"/>
    <n v="3"/>
    <n v="0"/>
    <x v="0"/>
    <x v="0"/>
    <n v="4.2336"/>
    <n v="0.49"/>
    <n v="0"/>
  </r>
  <r>
    <n v="4870"/>
    <s v="CA-2017-131366"/>
    <d v="2017-11-24T00:00:00"/>
    <x v="3"/>
    <s v="Q4"/>
    <x v="23"/>
    <d v="2017-11-29T00:00:00"/>
    <s v="Standard Class"/>
    <x v="464"/>
    <x v="464"/>
    <s v="Corporate"/>
    <s v="United States"/>
    <s v="Lancaster"/>
    <x v="9"/>
    <n v="17602"/>
    <x v="3"/>
    <x v="929"/>
    <x v="2"/>
    <x v="7"/>
    <x v="922"/>
    <n v="89.988"/>
    <s v="Medium"/>
    <n v="2"/>
    <n v="0.4"/>
    <x v="1"/>
    <x v="7"/>
    <n v="-14.997999999999999"/>
    <n v="-0.16666666666666666"/>
    <n v="1"/>
  </r>
  <r>
    <n v="4871"/>
    <s v="CA-2017-131366"/>
    <d v="2017-11-24T00:00:00"/>
    <x v="3"/>
    <s v="Q4"/>
    <x v="23"/>
    <d v="2017-11-29T00:00:00"/>
    <s v="Standard Class"/>
    <x v="464"/>
    <x v="464"/>
    <s v="Corporate"/>
    <s v="United States"/>
    <s v="Lancaster"/>
    <x v="9"/>
    <n v="17602"/>
    <x v="3"/>
    <x v="1127"/>
    <x v="1"/>
    <x v="10"/>
    <x v="1115"/>
    <n v="229.54400000000001"/>
    <s v="High"/>
    <n v="7"/>
    <n v="0.2"/>
    <x v="2"/>
    <x v="2"/>
    <n v="83.209699999999998"/>
    <n v="0.36249999999999999"/>
    <n v="0"/>
  </r>
  <r>
    <n v="4872"/>
    <s v="CA-2017-164042"/>
    <d v="2017-05-23T00:00:00"/>
    <x v="3"/>
    <s v="Q2"/>
    <x v="24"/>
    <d v="2017-05-27T00:00:00"/>
    <s v="Standard Class"/>
    <x v="107"/>
    <x v="107"/>
    <s v="Consumer"/>
    <s v="United States"/>
    <s v="Houston"/>
    <x v="5"/>
    <n v="77095"/>
    <x v="2"/>
    <x v="1705"/>
    <x v="1"/>
    <x v="13"/>
    <x v="1694"/>
    <n v="1.8240000000000001"/>
    <s v="Low"/>
    <n v="2"/>
    <n v="0.2"/>
    <x v="2"/>
    <x v="2"/>
    <n v="0.61560000000000004"/>
    <n v="0.33750000000000002"/>
    <n v="0"/>
  </r>
  <r>
    <n v="4873"/>
    <s v="CA-2017-164042"/>
    <d v="2017-05-23T00:00:00"/>
    <x v="3"/>
    <s v="Q2"/>
    <x v="24"/>
    <d v="2017-05-27T00:00:00"/>
    <s v="Standard Class"/>
    <x v="107"/>
    <x v="107"/>
    <s v="Consumer"/>
    <s v="United States"/>
    <s v="Houston"/>
    <x v="5"/>
    <n v="77095"/>
    <x v="2"/>
    <x v="1549"/>
    <x v="1"/>
    <x v="9"/>
    <x v="1537"/>
    <n v="18.32"/>
    <s v="Low"/>
    <n v="5"/>
    <n v="0.8"/>
    <x v="1"/>
    <x v="3"/>
    <n v="-46.716000000000001"/>
    <n v="-2.5499999999999998"/>
    <n v="1"/>
  </r>
  <r>
    <n v="4874"/>
    <s v="CA-2017-164042"/>
    <d v="2017-05-23T00:00:00"/>
    <x v="3"/>
    <s v="Q2"/>
    <x v="24"/>
    <d v="2017-05-27T00:00:00"/>
    <s v="Standard Class"/>
    <x v="107"/>
    <x v="107"/>
    <s v="Consumer"/>
    <s v="United States"/>
    <s v="Houston"/>
    <x v="5"/>
    <n v="77095"/>
    <x v="2"/>
    <x v="1512"/>
    <x v="1"/>
    <x v="4"/>
    <x v="1499"/>
    <n v="48.816000000000003"/>
    <s v="Medium"/>
    <n v="3"/>
    <n v="0.2"/>
    <x v="2"/>
    <x v="2"/>
    <n v="-11.5938"/>
    <n v="-0.23749999999999999"/>
    <n v="1"/>
  </r>
  <r>
    <n v="4875"/>
    <s v="CA-2017-164042"/>
    <d v="2017-05-23T00:00:00"/>
    <x v="3"/>
    <s v="Q2"/>
    <x v="24"/>
    <d v="2017-05-27T00:00:00"/>
    <s v="Standard Class"/>
    <x v="107"/>
    <x v="107"/>
    <s v="Consumer"/>
    <s v="United States"/>
    <s v="Houston"/>
    <x v="5"/>
    <n v="77095"/>
    <x v="2"/>
    <x v="305"/>
    <x v="1"/>
    <x v="8"/>
    <x v="305"/>
    <n v="1.1879999999999999"/>
    <s v="Low"/>
    <n v="1"/>
    <n v="0.8"/>
    <x v="1"/>
    <x v="3"/>
    <n v="-1.9601999999999999"/>
    <n v="-1.6500000000000001"/>
    <n v="1"/>
  </r>
  <r>
    <n v="4876"/>
    <s v="CA-2014-132864"/>
    <d v="2014-12-02T00:00:00"/>
    <x v="2"/>
    <s v="Q4"/>
    <x v="20"/>
    <d v="2014-12-07T00:00:00"/>
    <s v="Standard Class"/>
    <x v="471"/>
    <x v="471"/>
    <s v="Corporate"/>
    <s v="United States"/>
    <s v="Columbus"/>
    <x v="24"/>
    <n v="43229"/>
    <x v="3"/>
    <x v="538"/>
    <x v="2"/>
    <x v="11"/>
    <x v="538"/>
    <n v="119.8"/>
    <s v="Medium"/>
    <n v="5"/>
    <n v="0.2"/>
    <x v="2"/>
    <x v="2"/>
    <n v="29.95"/>
    <n v="0.25"/>
    <n v="0"/>
  </r>
  <r>
    <n v="4877"/>
    <s v="US-2014-155817"/>
    <d v="2014-10-03T00:00:00"/>
    <x v="2"/>
    <s v="Q4"/>
    <x v="18"/>
    <d v="2014-10-09T00:00:00"/>
    <s v="Standard Class"/>
    <x v="359"/>
    <x v="359"/>
    <s v="Home Office"/>
    <s v="United States"/>
    <s v="Durham"/>
    <x v="3"/>
    <n v="27707"/>
    <x v="0"/>
    <x v="1424"/>
    <x v="1"/>
    <x v="4"/>
    <x v="1412"/>
    <n v="61.567999999999998"/>
    <s v="Medium"/>
    <n v="2"/>
    <n v="0.2"/>
    <x v="2"/>
    <x v="2"/>
    <n v="4.6176000000000004"/>
    <n v="7.5000000000000011E-2"/>
    <n v="0"/>
  </r>
  <r>
    <n v="4878"/>
    <s v="US-2014-155817"/>
    <d v="2014-10-03T00:00:00"/>
    <x v="2"/>
    <s v="Q4"/>
    <x v="18"/>
    <d v="2014-10-09T00:00:00"/>
    <s v="Standard Class"/>
    <x v="359"/>
    <x v="359"/>
    <s v="Home Office"/>
    <s v="United States"/>
    <s v="Durham"/>
    <x v="3"/>
    <n v="27707"/>
    <x v="0"/>
    <x v="679"/>
    <x v="1"/>
    <x v="6"/>
    <x v="679"/>
    <n v="6.1920000000000002"/>
    <s v="Low"/>
    <n v="3"/>
    <n v="0.2"/>
    <x v="2"/>
    <x v="2"/>
    <n v="0.46439999999999998"/>
    <n v="7.4999999999999997E-2"/>
    <n v="0"/>
  </r>
  <r>
    <n v="4879"/>
    <s v="US-2016-131891"/>
    <d v="2016-07-29T00:00:00"/>
    <x v="0"/>
    <s v="Q3"/>
    <x v="16"/>
    <d v="2016-07-31T00:00:00"/>
    <s v="First Class"/>
    <x v="617"/>
    <x v="617"/>
    <s v="Consumer"/>
    <s v="United States"/>
    <s v="Pensacola"/>
    <x v="2"/>
    <n v="32503"/>
    <x v="0"/>
    <x v="1699"/>
    <x v="1"/>
    <x v="8"/>
    <x v="1687"/>
    <n v="2.214"/>
    <s v="Low"/>
    <n v="3"/>
    <n v="0.7"/>
    <x v="1"/>
    <x v="5"/>
    <n v="-1.476"/>
    <n v="-0.66666666666666663"/>
    <n v="1"/>
  </r>
  <r>
    <n v="4880"/>
    <s v="CA-2017-143567"/>
    <d v="2017-11-02T00:00:00"/>
    <x v="3"/>
    <s v="Q4"/>
    <x v="23"/>
    <d v="2017-11-05T00:00:00"/>
    <s v="Second Class"/>
    <x v="533"/>
    <x v="533"/>
    <s v="Corporate"/>
    <s v="United States"/>
    <s v="Henderson"/>
    <x v="0"/>
    <n v="42420"/>
    <x v="0"/>
    <x v="1510"/>
    <x v="1"/>
    <x v="12"/>
    <x v="1497"/>
    <n v="5.32"/>
    <s v="Low"/>
    <n v="2"/>
    <n v="0"/>
    <x v="0"/>
    <x v="0"/>
    <n v="2.6067999999999998"/>
    <n v="0.48999999999999994"/>
    <n v="0"/>
  </r>
  <r>
    <n v="4881"/>
    <s v="CA-2017-143567"/>
    <d v="2017-11-02T00:00:00"/>
    <x v="3"/>
    <s v="Q4"/>
    <x v="23"/>
    <d v="2017-11-05T00:00:00"/>
    <s v="Second Class"/>
    <x v="533"/>
    <x v="533"/>
    <s v="Corporate"/>
    <s v="United States"/>
    <s v="Henderson"/>
    <x v="0"/>
    <n v="42420"/>
    <x v="0"/>
    <x v="1"/>
    <x v="0"/>
    <x v="1"/>
    <x v="1"/>
    <n v="975.92"/>
    <s v="High"/>
    <n v="4"/>
    <n v="0"/>
    <x v="0"/>
    <x v="0"/>
    <n v="292.77600000000001"/>
    <n v="0.30000000000000004"/>
    <n v="0"/>
  </r>
  <r>
    <n v="4882"/>
    <s v="CA-2017-143567"/>
    <d v="2017-11-02T00:00:00"/>
    <x v="3"/>
    <s v="Q4"/>
    <x v="23"/>
    <d v="2017-11-05T00:00:00"/>
    <s v="Second Class"/>
    <x v="533"/>
    <x v="533"/>
    <s v="Corporate"/>
    <s v="United States"/>
    <s v="Henderson"/>
    <x v="0"/>
    <n v="42420"/>
    <x v="0"/>
    <x v="1287"/>
    <x v="2"/>
    <x v="11"/>
    <x v="1273"/>
    <n v="2249.91"/>
    <s v="High"/>
    <n v="9"/>
    <n v="0"/>
    <x v="0"/>
    <x v="0"/>
    <n v="517.47929999999997"/>
    <n v="0.23"/>
    <n v="0"/>
  </r>
  <r>
    <n v="4883"/>
    <s v="CA-2017-143567"/>
    <d v="2017-11-02T00:00:00"/>
    <x v="3"/>
    <s v="Q4"/>
    <x v="23"/>
    <d v="2017-11-05T00:00:00"/>
    <s v="Second Class"/>
    <x v="533"/>
    <x v="533"/>
    <s v="Corporate"/>
    <s v="United States"/>
    <s v="Henderson"/>
    <x v="0"/>
    <n v="42420"/>
    <x v="0"/>
    <x v="355"/>
    <x v="1"/>
    <x v="4"/>
    <x v="355"/>
    <n v="59.92"/>
    <s v="Medium"/>
    <n v="4"/>
    <n v="0"/>
    <x v="0"/>
    <x v="0"/>
    <n v="16.7776"/>
    <n v="0.27999999999999997"/>
    <n v="0"/>
  </r>
  <r>
    <n v="4884"/>
    <s v="CA-2017-104080"/>
    <d v="2017-03-08T00:00:00"/>
    <x v="3"/>
    <s v="Q1"/>
    <x v="42"/>
    <d v="2017-03-15T00:00:00"/>
    <s v="Standard Class"/>
    <x v="117"/>
    <x v="117"/>
    <s v="Consumer"/>
    <s v="United States"/>
    <s v="Anaheim"/>
    <x v="1"/>
    <n v="92804"/>
    <x v="1"/>
    <x v="1636"/>
    <x v="1"/>
    <x v="8"/>
    <x v="1626"/>
    <n v="171.2"/>
    <s v="High"/>
    <n v="5"/>
    <n v="0.2"/>
    <x v="2"/>
    <x v="2"/>
    <n v="64.2"/>
    <n v="0.37500000000000006"/>
    <n v="0"/>
  </r>
  <r>
    <n v="4885"/>
    <s v="CA-2017-104080"/>
    <d v="2017-03-08T00:00:00"/>
    <x v="3"/>
    <s v="Q1"/>
    <x v="42"/>
    <d v="2017-03-15T00:00:00"/>
    <s v="Standard Class"/>
    <x v="117"/>
    <x v="117"/>
    <s v="Consumer"/>
    <s v="United States"/>
    <s v="Anaheim"/>
    <x v="1"/>
    <n v="92804"/>
    <x v="1"/>
    <x v="1642"/>
    <x v="1"/>
    <x v="6"/>
    <x v="1632"/>
    <n v="3.36"/>
    <s v="Low"/>
    <n v="2"/>
    <n v="0"/>
    <x v="0"/>
    <x v="0"/>
    <n v="0.87360000000000004"/>
    <n v="0.26"/>
    <n v="0"/>
  </r>
  <r>
    <n v="4886"/>
    <s v="CA-2014-151379"/>
    <d v="2014-12-16T00:00:00"/>
    <x v="2"/>
    <s v="Q4"/>
    <x v="20"/>
    <d v="2014-12-20T00:00:00"/>
    <s v="Standard Class"/>
    <x v="281"/>
    <x v="281"/>
    <s v="Corporate"/>
    <s v="United States"/>
    <s v="Detroit"/>
    <x v="12"/>
    <n v="48227"/>
    <x v="2"/>
    <x v="1138"/>
    <x v="1"/>
    <x v="10"/>
    <x v="1126"/>
    <n v="114.2"/>
    <s v="Medium"/>
    <n v="5"/>
    <n v="0"/>
    <x v="0"/>
    <x v="0"/>
    <n v="52.531999999999996"/>
    <n v="0.45999999999999996"/>
    <n v="0"/>
  </r>
  <r>
    <n v="4887"/>
    <s v="CA-2016-163167"/>
    <d v="2016-11-28T00:00:00"/>
    <x v="0"/>
    <s v="Q4"/>
    <x v="0"/>
    <d v="2016-12-01T00:00:00"/>
    <s v="Second Class"/>
    <x v="575"/>
    <x v="575"/>
    <s v="Corporate"/>
    <s v="United States"/>
    <s v="Marietta"/>
    <x v="32"/>
    <n v="30062"/>
    <x v="0"/>
    <x v="212"/>
    <x v="0"/>
    <x v="1"/>
    <x v="213"/>
    <n v="182.67"/>
    <s v="High"/>
    <n v="3"/>
    <n v="0"/>
    <x v="0"/>
    <x v="0"/>
    <n v="52.974299999999999"/>
    <n v="0.29000000000000004"/>
    <n v="0"/>
  </r>
  <r>
    <n v="4888"/>
    <s v="CA-2016-163167"/>
    <d v="2016-11-28T00:00:00"/>
    <x v="0"/>
    <s v="Q4"/>
    <x v="0"/>
    <d v="2016-12-01T00:00:00"/>
    <s v="Second Class"/>
    <x v="575"/>
    <x v="575"/>
    <s v="Corporate"/>
    <s v="United States"/>
    <s v="Marietta"/>
    <x v="32"/>
    <n v="30062"/>
    <x v="0"/>
    <x v="658"/>
    <x v="2"/>
    <x v="11"/>
    <x v="658"/>
    <n v="101.7"/>
    <s v="Medium"/>
    <n v="6"/>
    <n v="0"/>
    <x v="0"/>
    <x v="0"/>
    <n v="6.1020000000000003"/>
    <n v="6.0000000000000005E-2"/>
    <n v="0"/>
  </r>
  <r>
    <n v="4889"/>
    <s v="CA-2016-163167"/>
    <d v="2016-11-28T00:00:00"/>
    <x v="0"/>
    <s v="Q4"/>
    <x v="0"/>
    <d v="2016-12-01T00:00:00"/>
    <s v="Second Class"/>
    <x v="575"/>
    <x v="575"/>
    <s v="Corporate"/>
    <s v="United States"/>
    <s v="Marietta"/>
    <x v="32"/>
    <n v="30062"/>
    <x v="0"/>
    <x v="458"/>
    <x v="1"/>
    <x v="4"/>
    <x v="459"/>
    <n v="1126.02"/>
    <s v="High"/>
    <n v="3"/>
    <n v="0"/>
    <x v="0"/>
    <x v="0"/>
    <n v="56.301000000000002"/>
    <n v="0.05"/>
    <n v="0"/>
  </r>
  <r>
    <n v="4890"/>
    <s v="CA-2016-163167"/>
    <d v="2016-11-28T00:00:00"/>
    <x v="0"/>
    <s v="Q4"/>
    <x v="0"/>
    <d v="2016-12-01T00:00:00"/>
    <s v="Second Class"/>
    <x v="575"/>
    <x v="575"/>
    <s v="Corporate"/>
    <s v="United States"/>
    <s v="Marietta"/>
    <x v="32"/>
    <n v="30062"/>
    <x v="0"/>
    <x v="1672"/>
    <x v="1"/>
    <x v="4"/>
    <x v="1660"/>
    <n v="1263.3"/>
    <s v="High"/>
    <n v="6"/>
    <n v="0"/>
    <x v="0"/>
    <x v="0"/>
    <n v="315.82499999999999"/>
    <n v="0.25"/>
    <n v="0"/>
  </r>
  <r>
    <n v="4891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454"/>
    <x v="1"/>
    <x v="6"/>
    <x v="455"/>
    <n v="8.82"/>
    <s v="Low"/>
    <n v="3"/>
    <n v="0"/>
    <x v="0"/>
    <x v="0"/>
    <n v="2.5577999999999999"/>
    <n v="0.28999999999999998"/>
    <n v="0"/>
  </r>
  <r>
    <n v="4892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1237"/>
    <x v="1"/>
    <x v="10"/>
    <x v="1220"/>
    <n v="37.94"/>
    <s v="Medium"/>
    <n v="2"/>
    <n v="0"/>
    <x v="0"/>
    <x v="0"/>
    <n v="18.211200000000002"/>
    <n v="0.48000000000000009"/>
    <n v="0"/>
  </r>
  <r>
    <n v="4893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1706"/>
    <x v="1"/>
    <x v="6"/>
    <x v="1695"/>
    <n v="4.2"/>
    <s v="Low"/>
    <n v="2"/>
    <n v="0"/>
    <x v="0"/>
    <x v="0"/>
    <n v="1.1759999999999999"/>
    <n v="0.27999999999999997"/>
    <n v="0"/>
  </r>
  <r>
    <n v="4894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418"/>
    <x v="1"/>
    <x v="4"/>
    <x v="418"/>
    <n v="227.28"/>
    <s v="High"/>
    <n v="2"/>
    <n v="0"/>
    <x v="0"/>
    <x v="0"/>
    <n v="2.2728000000000002"/>
    <n v="0.01"/>
    <n v="0"/>
  </r>
  <r>
    <n v="4895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136"/>
    <x v="1"/>
    <x v="10"/>
    <x v="137"/>
    <n v="47.9"/>
    <s v="Medium"/>
    <n v="1"/>
    <n v="0"/>
    <x v="0"/>
    <x v="0"/>
    <n v="22.992000000000001"/>
    <n v="0.48000000000000004"/>
    <n v="0"/>
  </r>
  <r>
    <n v="4896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1503"/>
    <x v="1"/>
    <x v="12"/>
    <x v="153"/>
    <n v="61.96"/>
    <s v="Medium"/>
    <n v="2"/>
    <n v="0"/>
    <x v="0"/>
    <x v="0"/>
    <n v="30.360399999999998"/>
    <n v="0.49"/>
    <n v="0"/>
  </r>
  <r>
    <n v="4897"/>
    <s v="CA-2016-135776"/>
    <d v="2016-12-23T00:00:00"/>
    <x v="0"/>
    <s v="Q4"/>
    <x v="5"/>
    <d v="2016-12-30T00:00:00"/>
    <s v="Standard Class"/>
    <x v="553"/>
    <x v="553"/>
    <s v="Corporate"/>
    <s v="United States"/>
    <s v="Seattle"/>
    <x v="4"/>
    <n v="98103"/>
    <x v="1"/>
    <x v="1362"/>
    <x v="1"/>
    <x v="4"/>
    <x v="1348"/>
    <n v="1117.92"/>
    <s v="High"/>
    <n v="4"/>
    <n v="0"/>
    <x v="0"/>
    <x v="0"/>
    <n v="55.896000000000001"/>
    <n v="4.9999999999999996E-2"/>
    <n v="0"/>
  </r>
  <r>
    <n v="4898"/>
    <s v="US-2014-122021"/>
    <d v="2014-10-15T00:00:00"/>
    <x v="2"/>
    <s v="Q4"/>
    <x v="18"/>
    <d v="2014-10-17T00:00:00"/>
    <s v="First Class"/>
    <x v="663"/>
    <x v="663"/>
    <s v="Consumer"/>
    <s v="United States"/>
    <s v="Parma"/>
    <x v="24"/>
    <n v="44134"/>
    <x v="3"/>
    <x v="1401"/>
    <x v="0"/>
    <x v="1"/>
    <x v="1388"/>
    <n v="183.37200000000001"/>
    <s v="High"/>
    <n v="2"/>
    <n v="0.3"/>
    <x v="1"/>
    <x v="4"/>
    <n v="-7.8587999999999996"/>
    <n v="-4.2857142857142851E-2"/>
    <n v="1"/>
  </r>
  <r>
    <n v="4899"/>
    <s v="US-2014-122021"/>
    <d v="2014-10-15T00:00:00"/>
    <x v="2"/>
    <s v="Q4"/>
    <x v="18"/>
    <d v="2014-10-17T00:00:00"/>
    <s v="First Class"/>
    <x v="663"/>
    <x v="663"/>
    <s v="Consumer"/>
    <s v="United States"/>
    <s v="Parma"/>
    <x v="24"/>
    <n v="44134"/>
    <x v="3"/>
    <x v="388"/>
    <x v="1"/>
    <x v="10"/>
    <x v="389"/>
    <n v="7.968"/>
    <s v="Low"/>
    <n v="2"/>
    <n v="0.2"/>
    <x v="2"/>
    <x v="2"/>
    <n v="2.8883999999999999"/>
    <n v="0.36249999999999999"/>
    <n v="0"/>
  </r>
  <r>
    <n v="4900"/>
    <s v="CA-2016-130484"/>
    <d v="2016-08-22T00:00:00"/>
    <x v="0"/>
    <s v="Q3"/>
    <x v="28"/>
    <d v="2016-08-27T00:00:00"/>
    <s v="Standard Class"/>
    <x v="495"/>
    <x v="495"/>
    <s v="Consumer"/>
    <s v="United States"/>
    <s v="Gresham"/>
    <x v="21"/>
    <n v="97030"/>
    <x v="1"/>
    <x v="1045"/>
    <x v="1"/>
    <x v="8"/>
    <x v="1034"/>
    <n v="26.352"/>
    <s v="Medium"/>
    <n v="8"/>
    <n v="0.7"/>
    <x v="1"/>
    <x v="5"/>
    <n v="-18.446400000000001"/>
    <n v="-0.70000000000000007"/>
    <n v="1"/>
  </r>
  <r>
    <n v="4901"/>
    <s v="CA-2017-120936"/>
    <d v="2017-12-17T00:00:00"/>
    <x v="3"/>
    <s v="Q4"/>
    <x v="22"/>
    <d v="2017-12-21T00:00:00"/>
    <s v="Standard Class"/>
    <x v="119"/>
    <x v="119"/>
    <s v="Corporate"/>
    <s v="United States"/>
    <s v="Anaheim"/>
    <x v="1"/>
    <n v="92804"/>
    <x v="1"/>
    <x v="772"/>
    <x v="1"/>
    <x v="4"/>
    <x v="771"/>
    <n v="481.32"/>
    <s v="High"/>
    <n v="4"/>
    <n v="0"/>
    <x v="0"/>
    <x v="0"/>
    <n v="125.14319999999999"/>
    <n v="0.26"/>
    <n v="0"/>
  </r>
  <r>
    <n v="4902"/>
    <s v="CA-2017-120936"/>
    <d v="2017-12-17T00:00:00"/>
    <x v="3"/>
    <s v="Q4"/>
    <x v="22"/>
    <d v="2017-12-21T00:00:00"/>
    <s v="Standard Class"/>
    <x v="119"/>
    <x v="119"/>
    <s v="Corporate"/>
    <s v="United States"/>
    <s v="Anaheim"/>
    <x v="1"/>
    <n v="92804"/>
    <x v="1"/>
    <x v="1352"/>
    <x v="1"/>
    <x v="14"/>
    <x v="1338"/>
    <n v="13.98"/>
    <s v="Low"/>
    <n v="1"/>
    <n v="0"/>
    <x v="0"/>
    <x v="0"/>
    <n v="3.6347999999999998"/>
    <n v="0.25999999999999995"/>
    <n v="0"/>
  </r>
  <r>
    <n v="4903"/>
    <s v="CA-2017-110884"/>
    <d v="2017-03-07T00:00:00"/>
    <x v="3"/>
    <s v="Q1"/>
    <x v="42"/>
    <d v="2017-03-12T00:00:00"/>
    <s v="Standard Class"/>
    <x v="129"/>
    <x v="129"/>
    <s v="Consumer"/>
    <s v="United States"/>
    <s v="New York City"/>
    <x v="15"/>
    <n v="10035"/>
    <x v="3"/>
    <x v="806"/>
    <x v="1"/>
    <x v="8"/>
    <x v="804"/>
    <n v="25.92"/>
    <s v="Medium"/>
    <n v="6"/>
    <n v="0.2"/>
    <x v="2"/>
    <x v="2"/>
    <n v="9.0719999999999992"/>
    <n v="0.34999999999999992"/>
    <n v="0"/>
  </r>
  <r>
    <n v="4904"/>
    <s v="CA-2017-110884"/>
    <d v="2017-03-07T00:00:00"/>
    <x v="3"/>
    <s v="Q1"/>
    <x v="42"/>
    <d v="2017-03-12T00:00:00"/>
    <s v="Standard Class"/>
    <x v="129"/>
    <x v="129"/>
    <s v="Consumer"/>
    <s v="United States"/>
    <s v="New York City"/>
    <x v="15"/>
    <n v="10035"/>
    <x v="3"/>
    <x v="580"/>
    <x v="1"/>
    <x v="2"/>
    <x v="580"/>
    <n v="91.59"/>
    <s v="Medium"/>
    <n v="3"/>
    <n v="0"/>
    <x v="0"/>
    <x v="0"/>
    <n v="42.131399999999999"/>
    <n v="0.45999999999999996"/>
    <n v="0"/>
  </r>
  <r>
    <n v="4905"/>
    <s v="US-2014-161613"/>
    <d v="2014-12-01T00:00:00"/>
    <x v="2"/>
    <s v="Q4"/>
    <x v="20"/>
    <d v="2014-12-03T00:00:00"/>
    <s v="Second Class"/>
    <x v="204"/>
    <x v="204"/>
    <s v="Corporate"/>
    <s v="United States"/>
    <s v="Houston"/>
    <x v="5"/>
    <n v="77070"/>
    <x v="2"/>
    <x v="623"/>
    <x v="0"/>
    <x v="1"/>
    <x v="623"/>
    <n v="674.05799999999999"/>
    <s v="High"/>
    <n v="3"/>
    <n v="0.3"/>
    <x v="1"/>
    <x v="4"/>
    <n v="-19.258800000000001"/>
    <n v="-2.8571428571428574E-2"/>
    <n v="1"/>
  </r>
  <r>
    <n v="4906"/>
    <s v="US-2014-146353"/>
    <d v="2014-10-14T00:00:00"/>
    <x v="2"/>
    <s v="Q4"/>
    <x v="18"/>
    <d v="2014-10-16T00:00:00"/>
    <s v="Second Class"/>
    <x v="531"/>
    <x v="531"/>
    <s v="Corporate"/>
    <s v="United States"/>
    <s v="Concord"/>
    <x v="38"/>
    <n v="3301"/>
    <x v="3"/>
    <x v="1547"/>
    <x v="1"/>
    <x v="8"/>
    <x v="1535"/>
    <n v="22.92"/>
    <s v="Low"/>
    <n v="4"/>
    <n v="0"/>
    <x v="0"/>
    <x v="0"/>
    <n v="11.0016"/>
    <n v="0.48"/>
    <n v="0"/>
  </r>
  <r>
    <n v="4907"/>
    <s v="US-2014-146353"/>
    <d v="2014-10-14T00:00:00"/>
    <x v="2"/>
    <s v="Q4"/>
    <x v="18"/>
    <d v="2014-10-16T00:00:00"/>
    <s v="Second Class"/>
    <x v="531"/>
    <x v="531"/>
    <s v="Corporate"/>
    <s v="United States"/>
    <s v="Concord"/>
    <x v="38"/>
    <n v="3301"/>
    <x v="3"/>
    <x v="398"/>
    <x v="1"/>
    <x v="4"/>
    <x v="399"/>
    <n v="269.89999999999998"/>
    <s v="High"/>
    <n v="5"/>
    <n v="0"/>
    <x v="0"/>
    <x v="0"/>
    <n v="16.193999999999999"/>
    <n v="6.0000000000000005E-2"/>
    <n v="0"/>
  </r>
  <r>
    <n v="4908"/>
    <s v="CA-2014-133809"/>
    <d v="2014-11-18T00:00:00"/>
    <x v="2"/>
    <s v="Q4"/>
    <x v="7"/>
    <d v="2014-11-23T00:00:00"/>
    <s v="Second Class"/>
    <x v="652"/>
    <x v="652"/>
    <s v="Consumer"/>
    <s v="United States"/>
    <s v="Fairfield"/>
    <x v="24"/>
    <n v="45014"/>
    <x v="3"/>
    <x v="1181"/>
    <x v="1"/>
    <x v="8"/>
    <x v="1167"/>
    <n v="11.808"/>
    <s v="Low"/>
    <n v="8"/>
    <n v="0.7"/>
    <x v="1"/>
    <x v="5"/>
    <n v="-8.6592000000000002"/>
    <n v="-0.73333333333333339"/>
    <n v="1"/>
  </r>
  <r>
    <n v="4909"/>
    <s v="CA-2014-133809"/>
    <d v="2014-11-18T00:00:00"/>
    <x v="2"/>
    <s v="Q4"/>
    <x v="7"/>
    <d v="2014-11-23T00:00:00"/>
    <s v="Second Class"/>
    <x v="652"/>
    <x v="652"/>
    <s v="Consumer"/>
    <s v="United States"/>
    <s v="Fairfield"/>
    <x v="24"/>
    <n v="45014"/>
    <x v="3"/>
    <x v="1707"/>
    <x v="2"/>
    <x v="7"/>
    <x v="1696"/>
    <n v="9.5879999999999992"/>
    <s v="Low"/>
    <n v="2"/>
    <n v="0.4"/>
    <x v="1"/>
    <x v="7"/>
    <n v="-2.0773999999999999"/>
    <n v="-0.21666666666666667"/>
    <n v="1"/>
  </r>
  <r>
    <n v="4910"/>
    <s v="CA-2017-127306"/>
    <d v="2017-01-14T00:00:00"/>
    <x v="3"/>
    <s v="Q1"/>
    <x v="44"/>
    <d v="2017-01-18T00:00:00"/>
    <s v="Standard Class"/>
    <x v="3"/>
    <x v="3"/>
    <s v="Consumer"/>
    <s v="United States"/>
    <s v="Johnson City"/>
    <x v="18"/>
    <n v="37604"/>
    <x v="0"/>
    <x v="588"/>
    <x v="1"/>
    <x v="12"/>
    <x v="588"/>
    <n v="18.335999999999999"/>
    <s v="Low"/>
    <n v="3"/>
    <n v="0.2"/>
    <x v="2"/>
    <x v="2"/>
    <n v="6.6467999999999998"/>
    <n v="0.36250000000000004"/>
    <n v="0"/>
  </r>
  <r>
    <n v="4911"/>
    <s v="CA-2017-127306"/>
    <d v="2017-01-14T00:00:00"/>
    <x v="3"/>
    <s v="Q1"/>
    <x v="44"/>
    <d v="2017-01-18T00:00:00"/>
    <s v="Standard Class"/>
    <x v="3"/>
    <x v="3"/>
    <s v="Consumer"/>
    <s v="United States"/>
    <s v="Johnson City"/>
    <x v="18"/>
    <n v="37604"/>
    <x v="0"/>
    <x v="712"/>
    <x v="1"/>
    <x v="10"/>
    <x v="711"/>
    <n v="36.287999999999997"/>
    <s v="Medium"/>
    <n v="7"/>
    <n v="0.2"/>
    <x v="2"/>
    <x v="2"/>
    <n v="12.700799999999999"/>
    <n v="0.35000000000000003"/>
    <n v="0"/>
  </r>
  <r>
    <n v="4912"/>
    <s v="CA-2017-127306"/>
    <d v="2017-01-14T00:00:00"/>
    <x v="3"/>
    <s v="Q1"/>
    <x v="44"/>
    <d v="2017-01-18T00:00:00"/>
    <s v="Standard Class"/>
    <x v="3"/>
    <x v="3"/>
    <s v="Consumer"/>
    <s v="United States"/>
    <s v="Johnson City"/>
    <x v="18"/>
    <n v="37604"/>
    <x v="0"/>
    <x v="431"/>
    <x v="2"/>
    <x v="7"/>
    <x v="431"/>
    <n v="111.98399999999999"/>
    <s v="Medium"/>
    <n v="2"/>
    <n v="0.2"/>
    <x v="2"/>
    <x v="2"/>
    <n v="6.9989999999999997"/>
    <n v="6.25E-2"/>
    <n v="0"/>
  </r>
  <r>
    <n v="4913"/>
    <s v="CA-2017-127306"/>
    <d v="2017-01-14T00:00:00"/>
    <x v="3"/>
    <s v="Q1"/>
    <x v="44"/>
    <d v="2017-01-18T00:00:00"/>
    <s v="Standard Class"/>
    <x v="3"/>
    <x v="3"/>
    <s v="Consumer"/>
    <s v="United States"/>
    <s v="Johnson City"/>
    <x v="18"/>
    <n v="37604"/>
    <x v="0"/>
    <x v="1406"/>
    <x v="1"/>
    <x v="8"/>
    <x v="1393"/>
    <n v="5.97"/>
    <s v="Low"/>
    <n v="5"/>
    <n v="0.7"/>
    <x v="1"/>
    <x v="5"/>
    <n v="-4.577"/>
    <n v="-0.76666666666666672"/>
    <n v="1"/>
  </r>
  <r>
    <n v="4914"/>
    <s v="CA-2017-127306"/>
    <d v="2017-01-14T00:00:00"/>
    <x v="3"/>
    <s v="Q1"/>
    <x v="44"/>
    <d v="2017-01-18T00:00:00"/>
    <s v="Standard Class"/>
    <x v="3"/>
    <x v="3"/>
    <s v="Consumer"/>
    <s v="United States"/>
    <s v="Johnson City"/>
    <x v="18"/>
    <n v="37604"/>
    <x v="0"/>
    <x v="807"/>
    <x v="1"/>
    <x v="8"/>
    <x v="805"/>
    <n v="2.508"/>
    <s v="Low"/>
    <n v="2"/>
    <n v="0.7"/>
    <x v="1"/>
    <x v="5"/>
    <n v="-1.8391999999999999"/>
    <n v="-0.73333333333333328"/>
    <n v="1"/>
  </r>
  <r>
    <n v="4915"/>
    <s v="CA-2015-161830"/>
    <d v="2015-09-24T00:00:00"/>
    <x v="1"/>
    <s v="Q3"/>
    <x v="11"/>
    <d v="2015-09-26T00:00:00"/>
    <s v="Second Class"/>
    <x v="250"/>
    <x v="250"/>
    <s v="Consumer"/>
    <s v="United States"/>
    <s v="Seattle"/>
    <x v="4"/>
    <n v="98105"/>
    <x v="1"/>
    <x v="30"/>
    <x v="1"/>
    <x v="6"/>
    <x v="30"/>
    <n v="35.96"/>
    <s v="Medium"/>
    <n v="2"/>
    <n v="0"/>
    <x v="0"/>
    <x v="0"/>
    <n v="10.4284"/>
    <n v="0.28999999999999998"/>
    <n v="0"/>
  </r>
  <r>
    <n v="4916"/>
    <s v="CA-2015-161830"/>
    <d v="2015-09-24T00:00:00"/>
    <x v="1"/>
    <s v="Q3"/>
    <x v="11"/>
    <d v="2015-09-26T00:00:00"/>
    <s v="Second Class"/>
    <x v="250"/>
    <x v="250"/>
    <s v="Consumer"/>
    <s v="United States"/>
    <s v="Seattle"/>
    <x v="4"/>
    <n v="98105"/>
    <x v="1"/>
    <x v="799"/>
    <x v="1"/>
    <x v="8"/>
    <x v="797"/>
    <n v="14.952"/>
    <s v="Low"/>
    <n v="3"/>
    <n v="0.2"/>
    <x v="2"/>
    <x v="2"/>
    <n v="5.4200999999999997"/>
    <n v="0.36249999999999999"/>
    <n v="0"/>
  </r>
  <r>
    <n v="4917"/>
    <s v="CA-2017-163125"/>
    <d v="2017-10-09T00:00:00"/>
    <x v="3"/>
    <s v="Q4"/>
    <x v="13"/>
    <d v="2017-10-11T00:00:00"/>
    <s v="Second Class"/>
    <x v="93"/>
    <x v="93"/>
    <s v="Consumer"/>
    <s v="United States"/>
    <s v="League City"/>
    <x v="5"/>
    <n v="77573"/>
    <x v="2"/>
    <x v="369"/>
    <x v="1"/>
    <x v="6"/>
    <x v="370"/>
    <n v="67.144000000000005"/>
    <s v="Medium"/>
    <n v="7"/>
    <n v="0.2"/>
    <x v="2"/>
    <x v="2"/>
    <n v="5.8750999999999998"/>
    <n v="8.7499999999999994E-2"/>
    <n v="0"/>
  </r>
  <r>
    <n v="4918"/>
    <s v="CA-2017-163125"/>
    <d v="2017-10-09T00:00:00"/>
    <x v="3"/>
    <s v="Q4"/>
    <x v="13"/>
    <d v="2017-10-11T00:00:00"/>
    <s v="Second Class"/>
    <x v="93"/>
    <x v="93"/>
    <s v="Consumer"/>
    <s v="United States"/>
    <s v="League City"/>
    <x v="5"/>
    <n v="77573"/>
    <x v="2"/>
    <x v="1708"/>
    <x v="0"/>
    <x v="1"/>
    <x v="1697"/>
    <n v="254.05799999999999"/>
    <s v="High"/>
    <n v="3"/>
    <n v="0.3"/>
    <x v="1"/>
    <x v="4"/>
    <n v="-32.6646"/>
    <n v="-0.12857142857142859"/>
    <n v="1"/>
  </r>
  <r>
    <n v="4919"/>
    <s v="CA-2016-160304"/>
    <d v="2016-01-02T00:00:00"/>
    <x v="0"/>
    <s v="Q1"/>
    <x v="12"/>
    <d v="2016-01-07T00:00:00"/>
    <s v="Standard Class"/>
    <x v="606"/>
    <x v="606"/>
    <s v="Corporate"/>
    <s v="United States"/>
    <s v="Gaithersburg"/>
    <x v="39"/>
    <n v="20877"/>
    <x v="3"/>
    <x v="266"/>
    <x v="0"/>
    <x v="0"/>
    <x v="266"/>
    <n v="173.94"/>
    <s v="High"/>
    <n v="3"/>
    <n v="0"/>
    <x v="0"/>
    <x v="0"/>
    <n v="38.266800000000003"/>
    <n v="0.22000000000000003"/>
    <n v="0"/>
  </r>
  <r>
    <n v="4920"/>
    <s v="CA-2016-160304"/>
    <d v="2016-01-02T00:00:00"/>
    <x v="0"/>
    <s v="Q1"/>
    <x v="12"/>
    <d v="2016-01-07T00:00:00"/>
    <s v="Standard Class"/>
    <x v="606"/>
    <x v="606"/>
    <s v="Corporate"/>
    <s v="United States"/>
    <s v="Gaithersburg"/>
    <x v="39"/>
    <n v="20877"/>
    <x v="3"/>
    <x v="1133"/>
    <x v="2"/>
    <x v="7"/>
    <x v="1121"/>
    <n v="231.98"/>
    <s v="High"/>
    <n v="2"/>
    <n v="0"/>
    <x v="0"/>
    <x v="0"/>
    <n v="67.274199999999993"/>
    <n v="0.28999999999999998"/>
    <n v="0"/>
  </r>
  <r>
    <n v="4921"/>
    <s v="CA-2017-101728"/>
    <d v="2017-08-19T00:00:00"/>
    <x v="3"/>
    <s v="Q3"/>
    <x v="43"/>
    <d v="2017-08-23T00:00:00"/>
    <s v="Standard Class"/>
    <x v="623"/>
    <x v="623"/>
    <s v="Consumer"/>
    <s v="United States"/>
    <s v="Chicago"/>
    <x v="10"/>
    <n v="60653"/>
    <x v="2"/>
    <x v="1212"/>
    <x v="1"/>
    <x v="8"/>
    <x v="1197"/>
    <n v="2.2959999999999998"/>
    <s v="Low"/>
    <n v="2"/>
    <n v="0.8"/>
    <x v="1"/>
    <x v="3"/>
    <n v="-3.9032"/>
    <n v="-1.7000000000000002"/>
    <n v="1"/>
  </r>
  <r>
    <n v="4922"/>
    <s v="CA-2017-114055"/>
    <d v="2017-12-25T00:00:00"/>
    <x v="3"/>
    <s v="Q4"/>
    <x v="22"/>
    <d v="2017-12-29T00:00:00"/>
    <s v="Second Class"/>
    <x v="414"/>
    <x v="414"/>
    <s v="Home Office"/>
    <s v="United States"/>
    <s v="Huntsville"/>
    <x v="19"/>
    <n v="35810"/>
    <x v="0"/>
    <x v="1696"/>
    <x v="1"/>
    <x v="10"/>
    <x v="1684"/>
    <n v="96.08"/>
    <s v="Medium"/>
    <n v="2"/>
    <n v="0"/>
    <x v="0"/>
    <x v="0"/>
    <n v="46.118400000000001"/>
    <n v="0.48000000000000004"/>
    <n v="0"/>
  </r>
  <r>
    <n v="4923"/>
    <s v="CA-2017-114055"/>
    <d v="2017-12-25T00:00:00"/>
    <x v="3"/>
    <s v="Q4"/>
    <x v="22"/>
    <d v="2017-12-29T00:00:00"/>
    <s v="Second Class"/>
    <x v="414"/>
    <x v="414"/>
    <s v="Home Office"/>
    <s v="United States"/>
    <s v="Huntsville"/>
    <x v="19"/>
    <n v="35810"/>
    <x v="0"/>
    <x v="804"/>
    <x v="1"/>
    <x v="13"/>
    <x v="802"/>
    <n v="3.62"/>
    <s v="Low"/>
    <n v="2"/>
    <n v="0"/>
    <x v="0"/>
    <x v="0"/>
    <n v="1.1946000000000001"/>
    <n v="0.33"/>
    <n v="0"/>
  </r>
  <r>
    <n v="4924"/>
    <s v="CA-2017-114055"/>
    <d v="2017-12-25T00:00:00"/>
    <x v="3"/>
    <s v="Q4"/>
    <x v="22"/>
    <d v="2017-12-29T00:00:00"/>
    <s v="Second Class"/>
    <x v="414"/>
    <x v="414"/>
    <s v="Home Office"/>
    <s v="United States"/>
    <s v="Huntsville"/>
    <x v="19"/>
    <n v="35810"/>
    <x v="0"/>
    <x v="921"/>
    <x v="1"/>
    <x v="10"/>
    <x v="913"/>
    <n v="629.1"/>
    <s v="High"/>
    <n v="6"/>
    <n v="0"/>
    <x v="0"/>
    <x v="0"/>
    <n v="301.96800000000002"/>
    <n v="0.48000000000000004"/>
    <n v="0"/>
  </r>
  <r>
    <n v="4925"/>
    <s v="CA-2017-114055"/>
    <d v="2017-12-25T00:00:00"/>
    <x v="3"/>
    <s v="Q4"/>
    <x v="22"/>
    <d v="2017-12-29T00:00:00"/>
    <s v="Second Class"/>
    <x v="414"/>
    <x v="414"/>
    <s v="Home Office"/>
    <s v="United States"/>
    <s v="Huntsville"/>
    <x v="19"/>
    <n v="35810"/>
    <x v="0"/>
    <x v="1409"/>
    <x v="2"/>
    <x v="7"/>
    <x v="1396"/>
    <n v="90.48"/>
    <s v="Medium"/>
    <n v="2"/>
    <n v="0"/>
    <x v="0"/>
    <x v="0"/>
    <n v="23.524799999999999"/>
    <n v="0.25999999999999995"/>
    <n v="0"/>
  </r>
  <r>
    <n v="4926"/>
    <s v="CA-2017-126438"/>
    <d v="2017-09-10T00:00:00"/>
    <x v="3"/>
    <s v="Q3"/>
    <x v="15"/>
    <d v="2017-09-13T00:00:00"/>
    <s v="First Class"/>
    <x v="753"/>
    <x v="753"/>
    <s v="Corporate"/>
    <s v="United States"/>
    <s v="Lawrence"/>
    <x v="31"/>
    <n v="1841"/>
    <x v="3"/>
    <x v="1453"/>
    <x v="1"/>
    <x v="6"/>
    <x v="1439"/>
    <n v="14.88"/>
    <s v="Low"/>
    <n v="2"/>
    <n v="0"/>
    <x v="0"/>
    <x v="0"/>
    <n v="3.72"/>
    <n v="0.25"/>
    <n v="0"/>
  </r>
  <r>
    <n v="4927"/>
    <s v="CA-2017-117653"/>
    <d v="2017-10-19T00:00:00"/>
    <x v="3"/>
    <s v="Q4"/>
    <x v="13"/>
    <d v="2017-10-23T00:00:00"/>
    <s v="Standard Class"/>
    <x v="373"/>
    <x v="373"/>
    <s v="Consumer"/>
    <s v="United States"/>
    <s v="Chicago"/>
    <x v="10"/>
    <n v="60623"/>
    <x v="2"/>
    <x v="962"/>
    <x v="0"/>
    <x v="3"/>
    <x v="955"/>
    <n v="91.275000000000006"/>
    <s v="Medium"/>
    <n v="1"/>
    <n v="0.5"/>
    <x v="1"/>
    <x v="1"/>
    <n v="-67.543499999999995"/>
    <n v="-0.73999999999999988"/>
    <n v="1"/>
  </r>
  <r>
    <n v="4928"/>
    <s v="CA-2017-143245"/>
    <d v="2017-12-01T00:00:00"/>
    <x v="3"/>
    <s v="Q4"/>
    <x v="22"/>
    <d v="2017-12-06T00:00:00"/>
    <s v="Standard Class"/>
    <x v="57"/>
    <x v="57"/>
    <s v="Home Office"/>
    <s v="United States"/>
    <s v="Fairfield"/>
    <x v="29"/>
    <n v="6824"/>
    <x v="3"/>
    <x v="1193"/>
    <x v="1"/>
    <x v="10"/>
    <x v="1178"/>
    <n v="19.440000000000001"/>
    <s v="Low"/>
    <n v="3"/>
    <n v="0"/>
    <x v="0"/>
    <x v="0"/>
    <n v="9.3312000000000008"/>
    <n v="0.48000000000000004"/>
    <n v="0"/>
  </r>
  <r>
    <n v="4929"/>
    <s v="CA-2017-143245"/>
    <d v="2017-12-01T00:00:00"/>
    <x v="3"/>
    <s v="Q4"/>
    <x v="22"/>
    <d v="2017-12-06T00:00:00"/>
    <s v="Standard Class"/>
    <x v="57"/>
    <x v="57"/>
    <s v="Home Office"/>
    <s v="United States"/>
    <s v="Fairfield"/>
    <x v="29"/>
    <n v="6824"/>
    <x v="3"/>
    <x v="1180"/>
    <x v="0"/>
    <x v="1"/>
    <x v="1166"/>
    <n v="897.15"/>
    <s v="High"/>
    <n v="3"/>
    <n v="0"/>
    <x v="0"/>
    <x v="0"/>
    <n v="251.202"/>
    <n v="0.28000000000000003"/>
    <n v="0"/>
  </r>
  <r>
    <n v="4930"/>
    <s v="US-2014-138828"/>
    <d v="2014-09-02T00:00:00"/>
    <x v="2"/>
    <s v="Q3"/>
    <x v="30"/>
    <d v="2014-09-03T00:00:00"/>
    <s v="First Class"/>
    <x v="44"/>
    <x v="44"/>
    <s v="Consumer"/>
    <s v="United States"/>
    <s v="New York City"/>
    <x v="15"/>
    <n v="10009"/>
    <x v="3"/>
    <x v="332"/>
    <x v="1"/>
    <x v="6"/>
    <x v="332"/>
    <n v="57.75"/>
    <s v="Medium"/>
    <n v="5"/>
    <n v="0"/>
    <x v="0"/>
    <x v="0"/>
    <n v="16.170000000000002"/>
    <n v="0.28000000000000003"/>
    <n v="0"/>
  </r>
  <r>
    <n v="4931"/>
    <s v="US-2014-138828"/>
    <d v="2014-09-02T00:00:00"/>
    <x v="2"/>
    <s v="Q3"/>
    <x v="30"/>
    <d v="2014-09-03T00:00:00"/>
    <s v="First Class"/>
    <x v="44"/>
    <x v="44"/>
    <s v="Consumer"/>
    <s v="United States"/>
    <s v="New York City"/>
    <x v="15"/>
    <n v="10009"/>
    <x v="3"/>
    <x v="811"/>
    <x v="1"/>
    <x v="10"/>
    <x v="33"/>
    <n v="14.94"/>
    <s v="Low"/>
    <n v="3"/>
    <n v="0"/>
    <x v="0"/>
    <x v="0"/>
    <n v="7.0217999999999998"/>
    <n v="0.47000000000000003"/>
    <n v="0"/>
  </r>
  <r>
    <n v="4932"/>
    <s v="CA-2017-143651"/>
    <d v="2017-03-25T00:00:00"/>
    <x v="3"/>
    <s v="Q1"/>
    <x v="42"/>
    <d v="2017-03-30T00:00:00"/>
    <s v="Standard Class"/>
    <x v="524"/>
    <x v="524"/>
    <s v="Corporate"/>
    <s v="United States"/>
    <s v="Seattle"/>
    <x v="4"/>
    <n v="98103"/>
    <x v="1"/>
    <x v="1175"/>
    <x v="1"/>
    <x v="6"/>
    <x v="1161"/>
    <n v="23.1"/>
    <s v="Low"/>
    <n v="2"/>
    <n v="0"/>
    <x v="0"/>
    <x v="0"/>
    <n v="6.93"/>
    <n v="0.3"/>
    <n v="0"/>
  </r>
  <r>
    <n v="4933"/>
    <s v="CA-2015-106978"/>
    <d v="2015-09-28T00:00:00"/>
    <x v="1"/>
    <s v="Q3"/>
    <x v="11"/>
    <d v="2015-10-04T00:00:00"/>
    <s v="Standard Class"/>
    <x v="233"/>
    <x v="233"/>
    <s v="Consumer"/>
    <s v="United States"/>
    <s v="Aurora"/>
    <x v="22"/>
    <n v="80013"/>
    <x v="1"/>
    <x v="1358"/>
    <x v="1"/>
    <x v="12"/>
    <x v="1344"/>
    <n v="12.536"/>
    <s v="Low"/>
    <n v="1"/>
    <n v="0.2"/>
    <x v="2"/>
    <x v="2"/>
    <n v="4.2309000000000001"/>
    <n v="0.33750000000000002"/>
    <n v="0"/>
  </r>
  <r>
    <n v="4934"/>
    <s v="CA-2015-106978"/>
    <d v="2015-09-28T00:00:00"/>
    <x v="1"/>
    <s v="Q3"/>
    <x v="11"/>
    <d v="2015-10-04T00:00:00"/>
    <s v="Standard Class"/>
    <x v="233"/>
    <x v="233"/>
    <s v="Consumer"/>
    <s v="United States"/>
    <s v="Aurora"/>
    <x v="22"/>
    <n v="80013"/>
    <x v="1"/>
    <x v="751"/>
    <x v="1"/>
    <x v="8"/>
    <x v="749"/>
    <n v="1.08"/>
    <s v="Low"/>
    <n v="2"/>
    <n v="0.7"/>
    <x v="1"/>
    <x v="5"/>
    <n v="-0.79200000000000004"/>
    <n v="-0.73333333333333328"/>
    <n v="1"/>
  </r>
  <r>
    <n v="4935"/>
    <s v="CA-2015-106978"/>
    <d v="2015-09-28T00:00:00"/>
    <x v="1"/>
    <s v="Q3"/>
    <x v="11"/>
    <d v="2015-10-04T00:00:00"/>
    <s v="Standard Class"/>
    <x v="233"/>
    <x v="233"/>
    <s v="Consumer"/>
    <s v="United States"/>
    <s v="Aurora"/>
    <x v="22"/>
    <n v="80013"/>
    <x v="1"/>
    <x v="1014"/>
    <x v="1"/>
    <x v="13"/>
    <x v="128"/>
    <n v="4.5119999999999996"/>
    <s v="Low"/>
    <n v="3"/>
    <n v="0.2"/>
    <x v="2"/>
    <x v="2"/>
    <n v="0.84599999999999997"/>
    <n v="0.1875"/>
    <n v="0"/>
  </r>
  <r>
    <n v="4936"/>
    <s v="CA-2015-155124"/>
    <d v="2015-03-15T00:00:00"/>
    <x v="1"/>
    <s v="Q1"/>
    <x v="29"/>
    <d v="2015-03-21T00:00:00"/>
    <s v="Standard Class"/>
    <x v="754"/>
    <x v="754"/>
    <s v="Corporate"/>
    <s v="United States"/>
    <s v="Lehi"/>
    <x v="7"/>
    <n v="84043"/>
    <x v="1"/>
    <x v="1709"/>
    <x v="2"/>
    <x v="7"/>
    <x v="1698"/>
    <n v="16.776"/>
    <s v="Low"/>
    <n v="3"/>
    <n v="0.2"/>
    <x v="2"/>
    <x v="2"/>
    <n v="1.6776"/>
    <n v="0.1"/>
    <n v="0"/>
  </r>
  <r>
    <n v="4937"/>
    <s v="CA-2017-150931"/>
    <d v="2017-01-06T00:00:00"/>
    <x v="3"/>
    <s v="Q1"/>
    <x v="44"/>
    <d v="2017-01-13T00:00:00"/>
    <s v="Standard Class"/>
    <x v="503"/>
    <x v="503"/>
    <s v="Home Office"/>
    <s v="United States"/>
    <s v="Tuscaloosa"/>
    <x v="19"/>
    <n v="35401"/>
    <x v="0"/>
    <x v="544"/>
    <x v="1"/>
    <x v="8"/>
    <x v="544"/>
    <n v="33.74"/>
    <s v="Medium"/>
    <n v="7"/>
    <n v="0"/>
    <x v="0"/>
    <x v="0"/>
    <n v="15.5204"/>
    <n v="0.45999999999999996"/>
    <n v="0"/>
  </r>
  <r>
    <n v="4938"/>
    <s v="CA-2014-157147"/>
    <d v="2014-01-13T00:00:00"/>
    <x v="2"/>
    <s v="Q1"/>
    <x v="46"/>
    <d v="2014-01-18T00:00:00"/>
    <s v="Standard Class"/>
    <x v="205"/>
    <x v="205"/>
    <s v="Consumer"/>
    <s v="United States"/>
    <s v="San Francisco"/>
    <x v="1"/>
    <n v="94109"/>
    <x v="1"/>
    <x v="1244"/>
    <x v="1"/>
    <x v="4"/>
    <x v="1227"/>
    <n v="1325.85"/>
    <s v="High"/>
    <n v="5"/>
    <n v="0"/>
    <x v="0"/>
    <x v="0"/>
    <n v="238.65299999999999"/>
    <n v="0.18"/>
    <n v="0"/>
  </r>
  <r>
    <n v="4939"/>
    <s v="CA-2014-157147"/>
    <d v="2014-01-13T00:00:00"/>
    <x v="2"/>
    <s v="Q1"/>
    <x v="46"/>
    <d v="2014-01-18T00:00:00"/>
    <s v="Standard Class"/>
    <x v="205"/>
    <x v="205"/>
    <s v="Consumer"/>
    <s v="United States"/>
    <s v="San Francisco"/>
    <x v="1"/>
    <n v="94109"/>
    <x v="1"/>
    <x v="1219"/>
    <x v="0"/>
    <x v="0"/>
    <x v="1203"/>
    <n v="333.99900000000002"/>
    <s v="High"/>
    <n v="3"/>
    <n v="0.15"/>
    <x v="2"/>
    <x v="2"/>
    <n v="3.9293999999999998"/>
    <n v="1.1764705882352939E-2"/>
    <n v="0"/>
  </r>
  <r>
    <n v="4940"/>
    <s v="CA-2014-157147"/>
    <d v="2014-01-13T00:00:00"/>
    <x v="2"/>
    <s v="Q1"/>
    <x v="46"/>
    <d v="2014-01-18T00:00:00"/>
    <s v="Standard Class"/>
    <x v="205"/>
    <x v="205"/>
    <s v="Consumer"/>
    <s v="United States"/>
    <s v="San Francisco"/>
    <x v="1"/>
    <n v="94109"/>
    <x v="1"/>
    <x v="181"/>
    <x v="1"/>
    <x v="6"/>
    <x v="182"/>
    <n v="19.899999999999999"/>
    <s v="Low"/>
    <n v="5"/>
    <n v="0"/>
    <x v="0"/>
    <x v="0"/>
    <n v="6.5670000000000002"/>
    <n v="0.33"/>
    <n v="0"/>
  </r>
  <r>
    <n v="4941"/>
    <s v="CA-2015-156482"/>
    <d v="2015-02-06T00:00:00"/>
    <x v="1"/>
    <s v="Q1"/>
    <x v="36"/>
    <d v="2015-02-13T00:00:00"/>
    <s v="Standard Class"/>
    <x v="582"/>
    <x v="582"/>
    <s v="Consumer"/>
    <s v="United States"/>
    <s v="Wilmington"/>
    <x v="13"/>
    <n v="19805"/>
    <x v="3"/>
    <x v="901"/>
    <x v="0"/>
    <x v="1"/>
    <x v="893"/>
    <n v="1268.82"/>
    <s v="High"/>
    <n v="9"/>
    <n v="0"/>
    <x v="0"/>
    <x v="0"/>
    <n v="266.4522"/>
    <n v="0.21000000000000002"/>
    <n v="0"/>
  </r>
  <r>
    <n v="4942"/>
    <s v="CA-2015-156482"/>
    <d v="2015-02-06T00:00:00"/>
    <x v="1"/>
    <s v="Q1"/>
    <x v="36"/>
    <d v="2015-02-13T00:00:00"/>
    <s v="Standard Class"/>
    <x v="582"/>
    <x v="582"/>
    <s v="Consumer"/>
    <s v="United States"/>
    <s v="Wilmington"/>
    <x v="13"/>
    <n v="19805"/>
    <x v="3"/>
    <x v="1531"/>
    <x v="0"/>
    <x v="0"/>
    <x v="1518"/>
    <n v="283.92"/>
    <s v="High"/>
    <n v="4"/>
    <n v="0"/>
    <x v="0"/>
    <x v="0"/>
    <n v="82.336799999999997"/>
    <n v="0.28999999999999998"/>
    <n v="0"/>
  </r>
  <r>
    <n v="4943"/>
    <s v="CA-2015-156482"/>
    <d v="2015-02-06T00:00:00"/>
    <x v="1"/>
    <s v="Q1"/>
    <x v="36"/>
    <d v="2015-02-13T00:00:00"/>
    <s v="Standard Class"/>
    <x v="582"/>
    <x v="582"/>
    <s v="Consumer"/>
    <s v="United States"/>
    <s v="Wilmington"/>
    <x v="13"/>
    <n v="19805"/>
    <x v="3"/>
    <x v="888"/>
    <x v="1"/>
    <x v="6"/>
    <x v="881"/>
    <n v="5.68"/>
    <s v="Low"/>
    <n v="2"/>
    <n v="0"/>
    <x v="0"/>
    <x v="0"/>
    <n v="1.7607999999999999"/>
    <n v="0.31"/>
    <n v="0"/>
  </r>
  <r>
    <n v="4944"/>
    <s v="CA-2017-106782"/>
    <d v="2017-12-21T00:00:00"/>
    <x v="3"/>
    <s v="Q4"/>
    <x v="22"/>
    <d v="2017-12-27T00:00:00"/>
    <s v="Standard Class"/>
    <x v="431"/>
    <x v="431"/>
    <s v="Consumer"/>
    <s v="United States"/>
    <s v="Lafayette"/>
    <x v="14"/>
    <n v="47905"/>
    <x v="2"/>
    <x v="458"/>
    <x v="1"/>
    <x v="4"/>
    <x v="459"/>
    <n v="375.34"/>
    <s v="High"/>
    <n v="1"/>
    <n v="0"/>
    <x v="0"/>
    <x v="0"/>
    <n v="18.766999999999999"/>
    <n v="0.05"/>
    <n v="0"/>
  </r>
  <r>
    <n v="4945"/>
    <s v="CA-2016-151372"/>
    <d v="2016-09-05T00:00:00"/>
    <x v="0"/>
    <s v="Q3"/>
    <x v="21"/>
    <d v="2016-09-06T00:00:00"/>
    <s v="First Class"/>
    <x v="98"/>
    <x v="98"/>
    <s v="Consumer"/>
    <s v="United States"/>
    <s v="Redondo Beach"/>
    <x v="1"/>
    <n v="90278"/>
    <x v="1"/>
    <x v="1696"/>
    <x v="1"/>
    <x v="10"/>
    <x v="1684"/>
    <n v="96.08"/>
    <s v="Medium"/>
    <n v="2"/>
    <n v="0"/>
    <x v="0"/>
    <x v="0"/>
    <n v="46.118400000000001"/>
    <n v="0.48000000000000004"/>
    <n v="0"/>
  </r>
  <r>
    <n v="4946"/>
    <s v="CA-2016-151372"/>
    <d v="2016-09-05T00:00:00"/>
    <x v="0"/>
    <s v="Q3"/>
    <x v="21"/>
    <d v="2016-09-06T00:00:00"/>
    <s v="First Class"/>
    <x v="98"/>
    <x v="98"/>
    <s v="Consumer"/>
    <s v="United States"/>
    <s v="Redondo Beach"/>
    <x v="1"/>
    <n v="90278"/>
    <x v="1"/>
    <x v="347"/>
    <x v="1"/>
    <x v="8"/>
    <x v="347"/>
    <n v="11.68"/>
    <s v="Low"/>
    <n v="2"/>
    <n v="0.2"/>
    <x v="2"/>
    <x v="2"/>
    <n v="3.9420000000000002"/>
    <n v="0.33750000000000002"/>
    <n v="0"/>
  </r>
  <r>
    <n v="4947"/>
    <s v="CA-2016-151372"/>
    <d v="2016-09-05T00:00:00"/>
    <x v="0"/>
    <s v="Q3"/>
    <x v="21"/>
    <d v="2016-09-06T00:00:00"/>
    <s v="First Class"/>
    <x v="98"/>
    <x v="98"/>
    <s v="Consumer"/>
    <s v="United States"/>
    <s v="Redondo Beach"/>
    <x v="1"/>
    <n v="90278"/>
    <x v="1"/>
    <x v="52"/>
    <x v="1"/>
    <x v="13"/>
    <x v="52"/>
    <n v="4.3600000000000003"/>
    <s v="Low"/>
    <n v="2"/>
    <n v="0"/>
    <x v="0"/>
    <x v="0"/>
    <n v="1.7876000000000001"/>
    <n v="0.41"/>
    <n v="0"/>
  </r>
  <r>
    <n v="4948"/>
    <s v="CA-2014-102085"/>
    <d v="2014-10-04T00:00:00"/>
    <x v="2"/>
    <s v="Q4"/>
    <x v="18"/>
    <d v="2014-10-09T00:00:00"/>
    <s v="Standard Class"/>
    <x v="557"/>
    <x v="557"/>
    <s v="Consumer"/>
    <s v="United States"/>
    <s v="Seattle"/>
    <x v="4"/>
    <n v="98115"/>
    <x v="1"/>
    <x v="148"/>
    <x v="1"/>
    <x v="2"/>
    <x v="149"/>
    <n v="29.24"/>
    <s v="Medium"/>
    <n v="4"/>
    <n v="0"/>
    <x v="0"/>
    <x v="0"/>
    <n v="13.742800000000001"/>
    <n v="0.47000000000000003"/>
    <n v="0"/>
  </r>
  <r>
    <n v="4949"/>
    <s v="CA-2017-107125"/>
    <d v="2017-11-27T00:00:00"/>
    <x v="3"/>
    <s v="Q4"/>
    <x v="23"/>
    <d v="2017-12-02T00:00:00"/>
    <s v="Standard Class"/>
    <x v="217"/>
    <x v="217"/>
    <s v="Consumer"/>
    <s v="United States"/>
    <s v="Los Angeles"/>
    <x v="1"/>
    <n v="90045"/>
    <x v="1"/>
    <x v="542"/>
    <x v="1"/>
    <x v="8"/>
    <x v="542"/>
    <n v="117.488"/>
    <s v="Medium"/>
    <n v="7"/>
    <n v="0.2"/>
    <x v="2"/>
    <x v="2"/>
    <n v="41.120800000000003"/>
    <n v="0.35000000000000003"/>
    <n v="0"/>
  </r>
  <r>
    <n v="4950"/>
    <s v="CA-2017-107125"/>
    <d v="2017-11-27T00:00:00"/>
    <x v="3"/>
    <s v="Q4"/>
    <x v="23"/>
    <d v="2017-12-02T00:00:00"/>
    <s v="Standard Class"/>
    <x v="217"/>
    <x v="217"/>
    <s v="Consumer"/>
    <s v="United States"/>
    <s v="Los Angeles"/>
    <x v="1"/>
    <n v="90045"/>
    <x v="1"/>
    <x v="545"/>
    <x v="0"/>
    <x v="5"/>
    <x v="545"/>
    <n v="18.84"/>
    <s v="Low"/>
    <n v="3"/>
    <n v="0"/>
    <x v="0"/>
    <x v="0"/>
    <n v="6.0288000000000004"/>
    <n v="0.32"/>
    <n v="0"/>
  </r>
  <r>
    <n v="4951"/>
    <s v="CA-2016-125815"/>
    <d v="2016-10-28T00:00:00"/>
    <x v="0"/>
    <s v="Q4"/>
    <x v="32"/>
    <d v="2016-11-01T00:00:00"/>
    <s v="Second Class"/>
    <x v="658"/>
    <x v="658"/>
    <s v="Consumer"/>
    <s v="United States"/>
    <s v="New York City"/>
    <x v="15"/>
    <n v="10009"/>
    <x v="3"/>
    <x v="154"/>
    <x v="1"/>
    <x v="6"/>
    <x v="155"/>
    <n v="12.42"/>
    <s v="Low"/>
    <n v="3"/>
    <n v="0"/>
    <x v="0"/>
    <x v="0"/>
    <n v="5.2164000000000001"/>
    <n v="0.42000000000000004"/>
    <n v="0"/>
  </r>
  <r>
    <n v="4952"/>
    <s v="CA-2015-144190"/>
    <d v="2015-06-09T00:00:00"/>
    <x v="1"/>
    <s v="Q2"/>
    <x v="40"/>
    <d v="2015-06-13T00:00:00"/>
    <s v="Standard Class"/>
    <x v="720"/>
    <x v="720"/>
    <s v="Consumer"/>
    <s v="United States"/>
    <s v="Royal Oak"/>
    <x v="12"/>
    <n v="48073"/>
    <x v="2"/>
    <x v="88"/>
    <x v="1"/>
    <x v="10"/>
    <x v="88"/>
    <n v="12.96"/>
    <s v="Low"/>
    <n v="2"/>
    <n v="0"/>
    <x v="0"/>
    <x v="0"/>
    <n v="6.2207999999999997"/>
    <n v="0.47999999999999993"/>
    <n v="0"/>
  </r>
  <r>
    <n v="4953"/>
    <s v="CA-2017-117926"/>
    <d v="2017-12-08T00:00:00"/>
    <x v="3"/>
    <s v="Q4"/>
    <x v="22"/>
    <d v="2017-12-12T00:00:00"/>
    <s v="Second Class"/>
    <x v="127"/>
    <x v="127"/>
    <s v="Corporate"/>
    <s v="United States"/>
    <s v="San Francisco"/>
    <x v="1"/>
    <n v="94109"/>
    <x v="1"/>
    <x v="1710"/>
    <x v="1"/>
    <x v="9"/>
    <x v="1699"/>
    <n v="69.48"/>
    <s v="Medium"/>
    <n v="1"/>
    <n v="0"/>
    <x v="0"/>
    <x v="0"/>
    <n v="20.844000000000001"/>
    <n v="0.3"/>
    <n v="0"/>
  </r>
  <r>
    <n v="4954"/>
    <s v="CA-2015-153906"/>
    <d v="2015-03-16T00:00:00"/>
    <x v="1"/>
    <s v="Q1"/>
    <x v="29"/>
    <d v="2015-03-20T00:00:00"/>
    <s v="Standard Class"/>
    <x v="99"/>
    <x v="99"/>
    <s v="Corporate"/>
    <s v="United States"/>
    <s v="New York City"/>
    <x v="15"/>
    <n v="10009"/>
    <x v="3"/>
    <x v="1300"/>
    <x v="2"/>
    <x v="7"/>
    <x v="1285"/>
    <n v="85.9"/>
    <s v="Medium"/>
    <n v="2"/>
    <n v="0"/>
    <x v="0"/>
    <x v="0"/>
    <n v="2.577"/>
    <n v="0.03"/>
    <n v="0"/>
  </r>
  <r>
    <n v="4955"/>
    <s v="CA-2014-160262"/>
    <d v="2014-06-09T00:00:00"/>
    <x v="2"/>
    <s v="Q2"/>
    <x v="3"/>
    <d v="2014-06-13T00:00:00"/>
    <s v="Second Class"/>
    <x v="131"/>
    <x v="131"/>
    <s v="Corporate"/>
    <s v="United States"/>
    <s v="North Las Vegas"/>
    <x v="33"/>
    <n v="89031"/>
    <x v="1"/>
    <x v="679"/>
    <x v="1"/>
    <x v="6"/>
    <x v="679"/>
    <n v="18.059999999999999"/>
    <s v="Low"/>
    <n v="7"/>
    <n v="0"/>
    <x v="0"/>
    <x v="0"/>
    <n v="4.6955999999999998"/>
    <n v="0.26"/>
    <n v="0"/>
  </r>
  <r>
    <n v="4956"/>
    <s v="CA-2014-160262"/>
    <d v="2014-06-09T00:00:00"/>
    <x v="2"/>
    <s v="Q2"/>
    <x v="3"/>
    <d v="2014-06-13T00:00:00"/>
    <s v="Second Class"/>
    <x v="131"/>
    <x v="131"/>
    <s v="Corporate"/>
    <s v="United States"/>
    <s v="North Las Vegas"/>
    <x v="33"/>
    <n v="89031"/>
    <x v="1"/>
    <x v="954"/>
    <x v="1"/>
    <x v="10"/>
    <x v="947"/>
    <n v="79.14"/>
    <s v="Medium"/>
    <n v="3"/>
    <n v="0"/>
    <x v="0"/>
    <x v="0"/>
    <n v="36.404400000000003"/>
    <n v="0.46"/>
    <n v="0"/>
  </r>
  <r>
    <n v="4957"/>
    <s v="CA-2014-160262"/>
    <d v="2014-06-09T00:00:00"/>
    <x v="2"/>
    <s v="Q2"/>
    <x v="3"/>
    <d v="2014-06-13T00:00:00"/>
    <s v="Second Class"/>
    <x v="131"/>
    <x v="131"/>
    <s v="Corporate"/>
    <s v="United States"/>
    <s v="North Las Vegas"/>
    <x v="33"/>
    <n v="89031"/>
    <x v="1"/>
    <x v="1456"/>
    <x v="0"/>
    <x v="5"/>
    <x v="1442"/>
    <n v="37.4"/>
    <s v="Medium"/>
    <n v="2"/>
    <n v="0"/>
    <x v="0"/>
    <x v="0"/>
    <n v="14.212"/>
    <n v="0.38"/>
    <n v="0"/>
  </r>
  <r>
    <n v="4958"/>
    <s v="CA-2015-127607"/>
    <d v="2015-03-20T00:00:00"/>
    <x v="1"/>
    <s v="Q1"/>
    <x v="29"/>
    <d v="2015-03-26T00:00:00"/>
    <s v="Standard Class"/>
    <x v="300"/>
    <x v="300"/>
    <s v="Consumer"/>
    <s v="United States"/>
    <s v="Carrollton"/>
    <x v="5"/>
    <n v="75007"/>
    <x v="2"/>
    <x v="1375"/>
    <x v="1"/>
    <x v="8"/>
    <x v="1360"/>
    <n v="2.512"/>
    <s v="Low"/>
    <n v="2"/>
    <n v="0.8"/>
    <x v="1"/>
    <x v="3"/>
    <n v="-4.3959999999999999"/>
    <n v="-1.75"/>
    <n v="1"/>
  </r>
  <r>
    <n v="4959"/>
    <s v="CA-2015-127607"/>
    <d v="2015-03-20T00:00:00"/>
    <x v="1"/>
    <s v="Q1"/>
    <x v="29"/>
    <d v="2015-03-26T00:00:00"/>
    <s v="Standard Class"/>
    <x v="300"/>
    <x v="300"/>
    <s v="Consumer"/>
    <s v="United States"/>
    <s v="Carrollton"/>
    <x v="5"/>
    <n v="75007"/>
    <x v="2"/>
    <x v="1711"/>
    <x v="1"/>
    <x v="13"/>
    <x v="128"/>
    <n v="18.864000000000001"/>
    <s v="Low"/>
    <n v="9"/>
    <n v="0.2"/>
    <x v="2"/>
    <x v="2"/>
    <n v="6.1307999999999998"/>
    <n v="0.32499999999999996"/>
    <n v="0"/>
  </r>
  <r>
    <n v="4960"/>
    <s v="CA-2016-166226"/>
    <d v="2016-11-18T00:00:00"/>
    <x v="0"/>
    <s v="Q4"/>
    <x v="0"/>
    <d v="2016-11-22T00:00:00"/>
    <s v="Standard Class"/>
    <x v="426"/>
    <x v="426"/>
    <s v="Home Office"/>
    <s v="United States"/>
    <s v="Los Angeles"/>
    <x v="1"/>
    <n v="90008"/>
    <x v="1"/>
    <x v="1081"/>
    <x v="2"/>
    <x v="7"/>
    <x v="1071"/>
    <n v="61.192"/>
    <s v="Medium"/>
    <n v="1"/>
    <n v="0.2"/>
    <x v="2"/>
    <x v="2"/>
    <n v="6.1192000000000002"/>
    <n v="0.1"/>
    <n v="0"/>
  </r>
  <r>
    <n v="4961"/>
    <s v="CA-2016-166226"/>
    <d v="2016-11-18T00:00:00"/>
    <x v="0"/>
    <s v="Q4"/>
    <x v="0"/>
    <d v="2016-11-22T00:00:00"/>
    <s v="Standard Class"/>
    <x v="426"/>
    <x v="426"/>
    <s v="Home Office"/>
    <s v="United States"/>
    <s v="Los Angeles"/>
    <x v="1"/>
    <n v="90008"/>
    <x v="1"/>
    <x v="1527"/>
    <x v="1"/>
    <x v="9"/>
    <x v="1514"/>
    <n v="67.84"/>
    <s v="Medium"/>
    <n v="1"/>
    <n v="0"/>
    <x v="0"/>
    <x v="0"/>
    <n v="18.316800000000001"/>
    <n v="0.27"/>
    <n v="0"/>
  </r>
  <r>
    <n v="4962"/>
    <s v="CA-2014-156587"/>
    <d v="2014-03-07T00:00:00"/>
    <x v="2"/>
    <s v="Q1"/>
    <x v="34"/>
    <d v="2014-03-08T00:00:00"/>
    <s v="First Class"/>
    <x v="755"/>
    <x v="755"/>
    <s v="Consumer"/>
    <s v="United States"/>
    <s v="Seattle"/>
    <x v="4"/>
    <n v="98103"/>
    <x v="1"/>
    <x v="212"/>
    <x v="0"/>
    <x v="1"/>
    <x v="213"/>
    <n v="48.712000000000003"/>
    <s v="Medium"/>
    <n v="1"/>
    <n v="0.2"/>
    <x v="2"/>
    <x v="2"/>
    <n v="5.4801000000000002"/>
    <n v="0.1125"/>
    <n v="0"/>
  </r>
  <r>
    <n v="4963"/>
    <s v="CA-2014-156587"/>
    <d v="2014-03-07T00:00:00"/>
    <x v="2"/>
    <s v="Q1"/>
    <x v="34"/>
    <d v="2014-03-08T00:00:00"/>
    <s v="First Class"/>
    <x v="755"/>
    <x v="755"/>
    <s v="Consumer"/>
    <s v="United States"/>
    <s v="Seattle"/>
    <x v="4"/>
    <n v="98103"/>
    <x v="1"/>
    <x v="250"/>
    <x v="1"/>
    <x v="6"/>
    <x v="251"/>
    <n v="17.940000000000001"/>
    <s v="Low"/>
    <n v="3"/>
    <n v="0"/>
    <x v="0"/>
    <x v="0"/>
    <n v="4.6643999999999997"/>
    <n v="0.25999999999999995"/>
    <n v="0"/>
  </r>
  <r>
    <n v="4964"/>
    <s v="CA-2014-156587"/>
    <d v="2014-03-07T00:00:00"/>
    <x v="2"/>
    <s v="Q1"/>
    <x v="34"/>
    <d v="2014-03-08T00:00:00"/>
    <s v="First Class"/>
    <x v="755"/>
    <x v="755"/>
    <s v="Consumer"/>
    <s v="United States"/>
    <s v="Seattle"/>
    <x v="4"/>
    <n v="98103"/>
    <x v="1"/>
    <x v="871"/>
    <x v="1"/>
    <x v="4"/>
    <x v="865"/>
    <n v="242.94"/>
    <s v="High"/>
    <n v="3"/>
    <n v="0"/>
    <x v="0"/>
    <x v="0"/>
    <n v="4.8587999999999996"/>
    <n v="1.9999999999999997E-2"/>
    <n v="0"/>
  </r>
  <r>
    <n v="4965"/>
    <s v="CA-2016-141180"/>
    <d v="2016-05-15T00:00:00"/>
    <x v="0"/>
    <s v="Q2"/>
    <x v="35"/>
    <d v="2016-05-19T00:00:00"/>
    <s v="Second Class"/>
    <x v="24"/>
    <x v="24"/>
    <s v="Consumer"/>
    <s v="United States"/>
    <s v="Fort Lauderdale"/>
    <x v="2"/>
    <n v="33311"/>
    <x v="0"/>
    <x v="625"/>
    <x v="1"/>
    <x v="8"/>
    <x v="625"/>
    <n v="7.7640000000000002"/>
    <s v="Low"/>
    <n v="4"/>
    <n v="0.7"/>
    <x v="1"/>
    <x v="5"/>
    <n v="-5.1760000000000002"/>
    <n v="-0.66666666666666663"/>
    <n v="1"/>
  </r>
  <r>
    <n v="4966"/>
    <s v="CA-2015-109708"/>
    <d v="2015-05-25T00:00:00"/>
    <x v="1"/>
    <s v="Q2"/>
    <x v="33"/>
    <d v="2015-05-28T00:00:00"/>
    <s v="Second Class"/>
    <x v="388"/>
    <x v="388"/>
    <s v="Corporate"/>
    <s v="United States"/>
    <s v="Columbia"/>
    <x v="18"/>
    <n v="38401"/>
    <x v="0"/>
    <x v="1285"/>
    <x v="2"/>
    <x v="7"/>
    <x v="1271"/>
    <n v="467.04"/>
    <s v="High"/>
    <n v="4"/>
    <n v="0.2"/>
    <x v="2"/>
    <x v="2"/>
    <n v="58.38"/>
    <n v="0.125"/>
    <n v="0"/>
  </r>
  <r>
    <n v="4967"/>
    <s v="CA-2015-122406"/>
    <d v="2015-08-02T00:00:00"/>
    <x v="1"/>
    <s v="Q3"/>
    <x v="37"/>
    <d v="2015-08-05T00:00:00"/>
    <s v="Second Class"/>
    <x v="534"/>
    <x v="534"/>
    <s v="Home Office"/>
    <s v="United States"/>
    <s v="Providence"/>
    <x v="34"/>
    <n v="2908"/>
    <x v="3"/>
    <x v="1300"/>
    <x v="2"/>
    <x v="7"/>
    <x v="1285"/>
    <n v="128.85"/>
    <s v="High"/>
    <n v="3"/>
    <n v="0"/>
    <x v="0"/>
    <x v="0"/>
    <n v="3.8654999999999999"/>
    <n v="3.0000000000000002E-2"/>
    <n v="0"/>
  </r>
  <r>
    <n v="4968"/>
    <s v="CA-2015-122406"/>
    <d v="2015-08-02T00:00:00"/>
    <x v="1"/>
    <s v="Q3"/>
    <x v="37"/>
    <d v="2015-08-05T00:00:00"/>
    <s v="Second Class"/>
    <x v="534"/>
    <x v="534"/>
    <s v="Home Office"/>
    <s v="United States"/>
    <s v="Providence"/>
    <x v="34"/>
    <n v="2908"/>
    <x v="3"/>
    <x v="794"/>
    <x v="1"/>
    <x v="10"/>
    <x v="792"/>
    <n v="8.4"/>
    <s v="Low"/>
    <n v="2"/>
    <n v="0"/>
    <x v="0"/>
    <x v="0"/>
    <n v="4.1159999999999997"/>
    <n v="0.48999999999999994"/>
    <n v="0"/>
  </r>
  <r>
    <n v="4969"/>
    <s v="CA-2015-122406"/>
    <d v="2015-08-02T00:00:00"/>
    <x v="1"/>
    <s v="Q3"/>
    <x v="37"/>
    <d v="2015-08-05T00:00:00"/>
    <s v="Second Class"/>
    <x v="534"/>
    <x v="534"/>
    <s v="Home Office"/>
    <s v="United States"/>
    <s v="Providence"/>
    <x v="34"/>
    <n v="2908"/>
    <x v="3"/>
    <x v="409"/>
    <x v="2"/>
    <x v="11"/>
    <x v="409"/>
    <n v="199.98"/>
    <s v="High"/>
    <n v="2"/>
    <n v="0"/>
    <x v="0"/>
    <x v="0"/>
    <n v="83.991600000000005"/>
    <n v="0.42000000000000004"/>
    <n v="0"/>
  </r>
  <r>
    <n v="4970"/>
    <s v="CA-2015-122406"/>
    <d v="2015-08-02T00:00:00"/>
    <x v="1"/>
    <s v="Q3"/>
    <x v="37"/>
    <d v="2015-08-05T00:00:00"/>
    <s v="Second Class"/>
    <x v="534"/>
    <x v="534"/>
    <s v="Home Office"/>
    <s v="United States"/>
    <s v="Providence"/>
    <x v="34"/>
    <n v="2908"/>
    <x v="3"/>
    <x v="913"/>
    <x v="0"/>
    <x v="1"/>
    <x v="905"/>
    <n v="110.98"/>
    <s v="Medium"/>
    <n v="1"/>
    <n v="0"/>
    <x v="0"/>
    <x v="0"/>
    <n v="15.5372"/>
    <n v="0.13999999999999999"/>
    <n v="0"/>
  </r>
  <r>
    <n v="4971"/>
    <s v="US-2016-153815"/>
    <d v="2016-11-06T00:00:00"/>
    <x v="0"/>
    <s v="Q4"/>
    <x v="0"/>
    <d v="2016-11-09T00:00:00"/>
    <s v="First Class"/>
    <x v="126"/>
    <x v="126"/>
    <s v="Corporate"/>
    <s v="United States"/>
    <s v="Jacksonville"/>
    <x v="2"/>
    <n v="32216"/>
    <x v="0"/>
    <x v="70"/>
    <x v="0"/>
    <x v="1"/>
    <x v="70"/>
    <n v="207.98400000000001"/>
    <s v="High"/>
    <n v="2"/>
    <n v="0.2"/>
    <x v="2"/>
    <x v="2"/>
    <n v="-28.597799999999999"/>
    <n v="-0.13749999999999998"/>
    <n v="1"/>
  </r>
  <r>
    <n v="4972"/>
    <s v="US-2016-153815"/>
    <d v="2016-11-06T00:00:00"/>
    <x v="0"/>
    <s v="Q4"/>
    <x v="0"/>
    <d v="2016-11-09T00:00:00"/>
    <s v="First Class"/>
    <x v="126"/>
    <x v="126"/>
    <s v="Corporate"/>
    <s v="United States"/>
    <s v="Jacksonville"/>
    <x v="2"/>
    <n v="32216"/>
    <x v="0"/>
    <x v="1437"/>
    <x v="1"/>
    <x v="10"/>
    <x v="1425"/>
    <n v="36.112000000000002"/>
    <s v="Medium"/>
    <n v="2"/>
    <n v="0.2"/>
    <x v="2"/>
    <x v="2"/>
    <n v="12.639200000000001"/>
    <n v="0.35"/>
    <n v="0"/>
  </r>
  <r>
    <n v="4973"/>
    <s v="US-2016-153815"/>
    <d v="2016-11-06T00:00:00"/>
    <x v="0"/>
    <s v="Q4"/>
    <x v="0"/>
    <d v="2016-11-09T00:00:00"/>
    <s v="First Class"/>
    <x v="126"/>
    <x v="126"/>
    <s v="Corporate"/>
    <s v="United States"/>
    <s v="Jacksonville"/>
    <x v="2"/>
    <n v="32216"/>
    <x v="0"/>
    <x v="642"/>
    <x v="0"/>
    <x v="5"/>
    <x v="642"/>
    <n v="35.567999999999998"/>
    <s v="Medium"/>
    <n v="2"/>
    <n v="0.2"/>
    <x v="2"/>
    <x v="2"/>
    <n v="5.7797999999999998"/>
    <n v="0.16250000000000001"/>
    <n v="0"/>
  </r>
  <r>
    <n v="4974"/>
    <s v="US-2016-153815"/>
    <d v="2016-11-06T00:00:00"/>
    <x v="0"/>
    <s v="Q4"/>
    <x v="0"/>
    <d v="2016-11-09T00:00:00"/>
    <s v="First Class"/>
    <x v="126"/>
    <x v="126"/>
    <s v="Corporate"/>
    <s v="United States"/>
    <s v="Jacksonville"/>
    <x v="2"/>
    <n v="32216"/>
    <x v="0"/>
    <x v="417"/>
    <x v="1"/>
    <x v="10"/>
    <x v="417"/>
    <n v="88.768000000000001"/>
    <s v="Medium"/>
    <n v="2"/>
    <n v="0.2"/>
    <x v="2"/>
    <x v="2"/>
    <n v="31.0688"/>
    <n v="0.35"/>
    <n v="0"/>
  </r>
  <r>
    <n v="4975"/>
    <s v="CA-2016-164896"/>
    <d v="2016-11-07T00:00:00"/>
    <x v="0"/>
    <s v="Q4"/>
    <x v="0"/>
    <d v="2016-11-12T00:00:00"/>
    <s v="Standard Class"/>
    <x v="390"/>
    <x v="390"/>
    <s v="Home Office"/>
    <s v="United States"/>
    <s v="Oceanside"/>
    <x v="1"/>
    <n v="92054"/>
    <x v="1"/>
    <x v="1408"/>
    <x v="1"/>
    <x v="10"/>
    <x v="1395"/>
    <n v="12.9"/>
    <s v="Low"/>
    <n v="2"/>
    <n v="0"/>
    <x v="0"/>
    <x v="0"/>
    <n v="6.3209999999999997"/>
    <n v="0.49"/>
    <n v="0"/>
  </r>
  <r>
    <n v="4976"/>
    <s v="CA-2015-142202"/>
    <d v="2015-09-18T00:00:00"/>
    <x v="1"/>
    <s v="Q3"/>
    <x v="11"/>
    <d v="2015-09-23T00:00:00"/>
    <s v="Second Class"/>
    <x v="335"/>
    <x v="335"/>
    <s v="Corporate"/>
    <s v="United States"/>
    <s v="Jacksonville"/>
    <x v="2"/>
    <n v="32216"/>
    <x v="0"/>
    <x v="769"/>
    <x v="2"/>
    <x v="11"/>
    <x v="768"/>
    <n v="717.12"/>
    <s v="High"/>
    <n v="9"/>
    <n v="0.2"/>
    <x v="2"/>
    <x v="2"/>
    <n v="152.38800000000001"/>
    <n v="0.21249999999999999"/>
    <n v="0"/>
  </r>
  <r>
    <n v="4977"/>
    <s v="CA-2015-165050"/>
    <d v="2015-12-07T00:00:00"/>
    <x v="1"/>
    <s v="Q4"/>
    <x v="14"/>
    <d v="2015-12-09T00:00:00"/>
    <s v="First Class"/>
    <x v="117"/>
    <x v="117"/>
    <s v="Consumer"/>
    <s v="United States"/>
    <s v="New York City"/>
    <x v="15"/>
    <n v="10024"/>
    <x v="3"/>
    <x v="880"/>
    <x v="1"/>
    <x v="8"/>
    <x v="874"/>
    <n v="21.36"/>
    <s v="Low"/>
    <n v="5"/>
    <n v="0.2"/>
    <x v="2"/>
    <x v="2"/>
    <n v="7.2089999999999996"/>
    <n v="0.33749999999999997"/>
    <n v="0"/>
  </r>
  <r>
    <n v="4978"/>
    <s v="CA-2015-165050"/>
    <d v="2015-12-07T00:00:00"/>
    <x v="1"/>
    <s v="Q4"/>
    <x v="14"/>
    <d v="2015-12-09T00:00:00"/>
    <s v="First Class"/>
    <x v="117"/>
    <x v="117"/>
    <s v="Consumer"/>
    <s v="United States"/>
    <s v="New York City"/>
    <x v="15"/>
    <n v="10024"/>
    <x v="3"/>
    <x v="807"/>
    <x v="1"/>
    <x v="8"/>
    <x v="805"/>
    <n v="6.6879999999999997"/>
    <s v="Low"/>
    <n v="2"/>
    <n v="0.2"/>
    <x v="2"/>
    <x v="2"/>
    <n v="2.3408000000000002"/>
    <n v="0.35000000000000003"/>
    <n v="0"/>
  </r>
  <r>
    <n v="4979"/>
    <s v="CA-2015-165050"/>
    <d v="2015-12-07T00:00:00"/>
    <x v="1"/>
    <s v="Q4"/>
    <x v="14"/>
    <d v="2015-12-09T00:00:00"/>
    <s v="First Class"/>
    <x v="117"/>
    <x v="117"/>
    <s v="Consumer"/>
    <s v="United States"/>
    <s v="New York City"/>
    <x v="15"/>
    <n v="10024"/>
    <x v="3"/>
    <x v="957"/>
    <x v="2"/>
    <x v="7"/>
    <x v="950"/>
    <n v="773.94"/>
    <s v="High"/>
    <n v="6"/>
    <n v="0"/>
    <x v="0"/>
    <x v="0"/>
    <n v="224.4426"/>
    <n v="0.28999999999999998"/>
    <n v="0"/>
  </r>
  <r>
    <n v="4980"/>
    <s v="US-2016-131114"/>
    <d v="2016-12-09T00:00:00"/>
    <x v="0"/>
    <s v="Q4"/>
    <x v="5"/>
    <d v="2016-12-13T00:00:00"/>
    <s v="Second Class"/>
    <x v="338"/>
    <x v="338"/>
    <s v="Corporate"/>
    <s v="United States"/>
    <s v="Chicago"/>
    <x v="10"/>
    <n v="60610"/>
    <x v="2"/>
    <x v="1257"/>
    <x v="1"/>
    <x v="14"/>
    <x v="1241"/>
    <n v="20.568000000000001"/>
    <s v="Low"/>
    <n v="3"/>
    <n v="0.2"/>
    <x v="2"/>
    <x v="2"/>
    <n v="1.5426"/>
    <n v="7.4999999999999997E-2"/>
    <n v="0"/>
  </r>
  <r>
    <n v="4981"/>
    <s v="US-2016-131114"/>
    <d v="2016-12-09T00:00:00"/>
    <x v="0"/>
    <s v="Q4"/>
    <x v="5"/>
    <d v="2016-12-13T00:00:00"/>
    <s v="Second Class"/>
    <x v="338"/>
    <x v="338"/>
    <s v="Corporate"/>
    <s v="United States"/>
    <s v="Chicago"/>
    <x v="10"/>
    <n v="60610"/>
    <x v="2"/>
    <x v="930"/>
    <x v="1"/>
    <x v="9"/>
    <x v="923"/>
    <n v="4.3559999999999999"/>
    <s v="Low"/>
    <n v="2"/>
    <n v="0.8"/>
    <x v="1"/>
    <x v="3"/>
    <n v="-11.761200000000001"/>
    <n v="-2.7"/>
    <n v="1"/>
  </r>
  <r>
    <n v="4982"/>
    <s v="US-2016-131114"/>
    <d v="2016-12-09T00:00:00"/>
    <x v="0"/>
    <s v="Q4"/>
    <x v="5"/>
    <d v="2016-12-13T00:00:00"/>
    <s v="Second Class"/>
    <x v="338"/>
    <x v="338"/>
    <s v="Corporate"/>
    <s v="United States"/>
    <s v="Chicago"/>
    <x v="10"/>
    <n v="60610"/>
    <x v="2"/>
    <x v="1628"/>
    <x v="2"/>
    <x v="11"/>
    <x v="1618"/>
    <n v="19.04"/>
    <s v="Low"/>
    <n v="4"/>
    <n v="0.2"/>
    <x v="2"/>
    <x v="2"/>
    <n v="-1.4279999999999999"/>
    <n v="-7.4999999999999997E-2"/>
    <n v="1"/>
  </r>
  <r>
    <n v="4983"/>
    <s v="CA-2014-160066"/>
    <d v="2014-11-16T00:00:00"/>
    <x v="2"/>
    <s v="Q4"/>
    <x v="7"/>
    <d v="2014-11-22T00:00:00"/>
    <s v="Standard Class"/>
    <x v="340"/>
    <x v="340"/>
    <s v="Corporate"/>
    <s v="United States"/>
    <s v="Huntington Beach"/>
    <x v="1"/>
    <n v="92646"/>
    <x v="1"/>
    <x v="709"/>
    <x v="1"/>
    <x v="2"/>
    <x v="708"/>
    <n v="5.22"/>
    <s v="Low"/>
    <n v="2"/>
    <n v="0"/>
    <x v="0"/>
    <x v="0"/>
    <n v="2.4011999999999998"/>
    <n v="0.45999999999999996"/>
    <n v="0"/>
  </r>
  <r>
    <n v="4984"/>
    <s v="CA-2016-109925"/>
    <d v="2016-11-06T00:00:00"/>
    <x v="0"/>
    <s v="Q4"/>
    <x v="0"/>
    <d v="2016-11-10T00:00:00"/>
    <s v="Second Class"/>
    <x v="5"/>
    <x v="5"/>
    <s v="Consumer"/>
    <s v="United States"/>
    <s v="San Diego"/>
    <x v="1"/>
    <n v="92105"/>
    <x v="1"/>
    <x v="86"/>
    <x v="1"/>
    <x v="4"/>
    <x v="86"/>
    <n v="84.84"/>
    <s v="Medium"/>
    <n v="3"/>
    <n v="0"/>
    <x v="0"/>
    <x v="0"/>
    <n v="22.9068"/>
    <n v="0.27"/>
    <n v="0"/>
  </r>
  <r>
    <n v="4985"/>
    <s v="CA-2015-160696"/>
    <d v="2015-09-06T00:00:00"/>
    <x v="1"/>
    <s v="Q3"/>
    <x v="11"/>
    <d v="2015-09-10T00:00:00"/>
    <s v="Standard Class"/>
    <x v="316"/>
    <x v="316"/>
    <s v="Corporate"/>
    <s v="United States"/>
    <s v="Nashville"/>
    <x v="18"/>
    <n v="37211"/>
    <x v="0"/>
    <x v="804"/>
    <x v="1"/>
    <x v="13"/>
    <x v="802"/>
    <n v="7.24"/>
    <s v="Low"/>
    <n v="5"/>
    <n v="0.2"/>
    <x v="2"/>
    <x v="2"/>
    <n v="1.1765000000000001"/>
    <n v="0.16250000000000001"/>
    <n v="0"/>
  </r>
  <r>
    <n v="4986"/>
    <s v="CA-2014-125171"/>
    <d v="2014-09-03T00:00:00"/>
    <x v="2"/>
    <s v="Q3"/>
    <x v="30"/>
    <d v="2014-09-03T00:00:00"/>
    <s v="Same Day"/>
    <x v="369"/>
    <x v="369"/>
    <s v="Consumer"/>
    <s v="United States"/>
    <s v="New York City"/>
    <x v="15"/>
    <n v="10009"/>
    <x v="3"/>
    <x v="782"/>
    <x v="1"/>
    <x v="2"/>
    <x v="781"/>
    <n v="14.4"/>
    <s v="Low"/>
    <n v="5"/>
    <n v="0"/>
    <x v="0"/>
    <x v="0"/>
    <n v="7.056"/>
    <n v="0.49"/>
    <n v="0"/>
  </r>
  <r>
    <n v="4987"/>
    <s v="CA-2016-149279"/>
    <d v="2016-04-24T00:00:00"/>
    <x v="0"/>
    <s v="Q2"/>
    <x v="25"/>
    <d v="2016-04-28T00:00:00"/>
    <s v="Standard Class"/>
    <x v="642"/>
    <x v="642"/>
    <s v="Home Office"/>
    <s v="United States"/>
    <s v="Colorado Springs"/>
    <x v="22"/>
    <n v="80906"/>
    <x v="1"/>
    <x v="490"/>
    <x v="1"/>
    <x v="10"/>
    <x v="490"/>
    <n v="15.552"/>
    <s v="Low"/>
    <n v="3"/>
    <n v="0.2"/>
    <x v="2"/>
    <x v="2"/>
    <n v="5.4432"/>
    <n v="0.35000000000000003"/>
    <n v="0"/>
  </r>
  <r>
    <n v="4988"/>
    <s v="CA-2016-149279"/>
    <d v="2016-04-24T00:00:00"/>
    <x v="0"/>
    <s v="Q2"/>
    <x v="25"/>
    <d v="2016-04-28T00:00:00"/>
    <s v="Standard Class"/>
    <x v="642"/>
    <x v="642"/>
    <s v="Home Office"/>
    <s v="United States"/>
    <s v="Colorado Springs"/>
    <x v="22"/>
    <n v="80906"/>
    <x v="1"/>
    <x v="157"/>
    <x v="0"/>
    <x v="1"/>
    <x v="158"/>
    <n v="1325.76"/>
    <s v="High"/>
    <n v="6"/>
    <n v="0.2"/>
    <x v="2"/>
    <x v="2"/>
    <n v="149.148"/>
    <n v="0.1125"/>
    <n v="0"/>
  </r>
  <r>
    <n v="4989"/>
    <s v="CA-2016-149279"/>
    <d v="2016-04-24T00:00:00"/>
    <x v="0"/>
    <s v="Q2"/>
    <x v="25"/>
    <d v="2016-04-28T00:00:00"/>
    <s v="Standard Class"/>
    <x v="642"/>
    <x v="642"/>
    <s v="Home Office"/>
    <s v="United States"/>
    <s v="Colorado Springs"/>
    <x v="22"/>
    <n v="80906"/>
    <x v="1"/>
    <x v="1499"/>
    <x v="1"/>
    <x v="8"/>
    <x v="1487"/>
    <n v="3.1080000000000001"/>
    <s v="Low"/>
    <n v="2"/>
    <n v="0.7"/>
    <x v="1"/>
    <x v="5"/>
    <n v="-2.1756000000000002"/>
    <n v="-0.70000000000000007"/>
    <n v="1"/>
  </r>
  <r>
    <n v="4990"/>
    <s v="CA-2017-107321"/>
    <d v="2017-08-31T00:00:00"/>
    <x v="3"/>
    <s v="Q3"/>
    <x v="43"/>
    <d v="2017-09-04T00:00:00"/>
    <s v="Standard Class"/>
    <x v="585"/>
    <x v="585"/>
    <s v="Home Office"/>
    <s v="United States"/>
    <s v="San Francisco"/>
    <x v="1"/>
    <n v="94110"/>
    <x v="1"/>
    <x v="757"/>
    <x v="1"/>
    <x v="8"/>
    <x v="755"/>
    <n v="6.6719999999999997"/>
    <s v="Low"/>
    <n v="3"/>
    <n v="0.2"/>
    <x v="2"/>
    <x v="2"/>
    <n v="2.1684000000000001"/>
    <n v="0.32500000000000001"/>
    <n v="0"/>
  </r>
  <r>
    <n v="4991"/>
    <s v="CA-2017-107321"/>
    <d v="2017-08-31T00:00:00"/>
    <x v="3"/>
    <s v="Q3"/>
    <x v="43"/>
    <d v="2017-09-04T00:00:00"/>
    <s v="Standard Class"/>
    <x v="585"/>
    <x v="585"/>
    <s v="Home Office"/>
    <s v="United States"/>
    <s v="San Francisco"/>
    <x v="1"/>
    <n v="94110"/>
    <x v="1"/>
    <x v="883"/>
    <x v="2"/>
    <x v="7"/>
    <x v="1480"/>
    <n v="689.40800000000002"/>
    <s v="High"/>
    <n v="4"/>
    <n v="0.2"/>
    <x v="2"/>
    <x v="2"/>
    <n v="77.558400000000006"/>
    <n v="0.1125"/>
    <n v="0"/>
  </r>
  <r>
    <n v="4992"/>
    <s v="US-2017-122714"/>
    <d v="2017-12-07T00:00:00"/>
    <x v="3"/>
    <s v="Q4"/>
    <x v="22"/>
    <d v="2017-12-13T00:00:00"/>
    <s v="Standard Class"/>
    <x v="428"/>
    <x v="428"/>
    <s v="Corporate"/>
    <s v="United States"/>
    <s v="Chicago"/>
    <x v="10"/>
    <n v="60653"/>
    <x v="2"/>
    <x v="1625"/>
    <x v="1"/>
    <x v="8"/>
    <x v="1615"/>
    <n v="1889.99"/>
    <s v="High"/>
    <n v="5"/>
    <n v="0.8"/>
    <x v="1"/>
    <x v="3"/>
    <n v="-2929.4845"/>
    <n v="-1.55"/>
    <n v="1"/>
  </r>
  <r>
    <n v="4993"/>
    <s v="CA-2015-153038"/>
    <d v="2015-12-18T00:00:00"/>
    <x v="1"/>
    <s v="Q4"/>
    <x v="14"/>
    <d v="2015-12-25T00:00:00"/>
    <s v="Standard Class"/>
    <x v="516"/>
    <x v="516"/>
    <s v="Corporate"/>
    <s v="United States"/>
    <s v="Memphis"/>
    <x v="18"/>
    <n v="38109"/>
    <x v="0"/>
    <x v="755"/>
    <x v="1"/>
    <x v="12"/>
    <x v="753"/>
    <n v="55.936"/>
    <s v="Medium"/>
    <n v="8"/>
    <n v="0.2"/>
    <x v="2"/>
    <x v="2"/>
    <n v="18.878399999999999"/>
    <n v="0.33749999999999997"/>
    <n v="0"/>
  </r>
  <r>
    <n v="4994"/>
    <s v="CA-2015-153038"/>
    <d v="2015-12-18T00:00:00"/>
    <x v="1"/>
    <s v="Q4"/>
    <x v="14"/>
    <d v="2015-12-25T00:00:00"/>
    <s v="Standard Class"/>
    <x v="516"/>
    <x v="516"/>
    <s v="Corporate"/>
    <s v="United States"/>
    <s v="Memphis"/>
    <x v="18"/>
    <n v="38109"/>
    <x v="0"/>
    <x v="1240"/>
    <x v="1"/>
    <x v="2"/>
    <x v="1223"/>
    <n v="18.431999999999999"/>
    <s v="Low"/>
    <n v="8"/>
    <n v="0.2"/>
    <x v="2"/>
    <x v="2"/>
    <n v="5.9904000000000002"/>
    <n v="0.32500000000000001"/>
    <n v="0"/>
  </r>
  <r>
    <n v="4995"/>
    <s v="CA-2015-153038"/>
    <d v="2015-12-18T00:00:00"/>
    <x v="1"/>
    <s v="Q4"/>
    <x v="14"/>
    <d v="2015-12-25T00:00:00"/>
    <s v="Standard Class"/>
    <x v="516"/>
    <x v="516"/>
    <s v="Corporate"/>
    <s v="United States"/>
    <s v="Memphis"/>
    <x v="18"/>
    <n v="38109"/>
    <x v="0"/>
    <x v="534"/>
    <x v="0"/>
    <x v="5"/>
    <x v="534"/>
    <n v="20.32"/>
    <s v="Low"/>
    <n v="5"/>
    <n v="0.2"/>
    <x v="2"/>
    <x v="2"/>
    <n v="3.556"/>
    <n v="0.17499999999999999"/>
    <n v="0"/>
  </r>
  <r>
    <n v="4996"/>
    <s v="CA-2014-132227"/>
    <d v="2014-11-04T00:00:00"/>
    <x v="2"/>
    <s v="Q4"/>
    <x v="7"/>
    <d v="2014-11-10T00:00:00"/>
    <s v="Standard Class"/>
    <x v="449"/>
    <x v="449"/>
    <s v="Home Office"/>
    <s v="United States"/>
    <s v="New York City"/>
    <x v="15"/>
    <n v="10011"/>
    <x v="3"/>
    <x v="1526"/>
    <x v="1"/>
    <x v="8"/>
    <x v="1513"/>
    <n v="52.064"/>
    <s v="Medium"/>
    <n v="4"/>
    <n v="0.2"/>
    <x v="2"/>
    <x v="2"/>
    <n v="18.873200000000001"/>
    <n v="0.36249999999999999"/>
    <n v="0"/>
  </r>
  <r>
    <n v="4997"/>
    <s v="CA-2017-155824"/>
    <d v="2017-03-10T00:00:00"/>
    <x v="3"/>
    <s v="Q1"/>
    <x v="42"/>
    <d v="2017-03-15T00:00:00"/>
    <s v="Standard Class"/>
    <x v="754"/>
    <x v="754"/>
    <s v="Corporate"/>
    <s v="United States"/>
    <s v="Raleigh"/>
    <x v="3"/>
    <n v="27604"/>
    <x v="0"/>
    <x v="1712"/>
    <x v="1"/>
    <x v="9"/>
    <x v="1700"/>
    <n v="48.783999999999999"/>
    <s v="Medium"/>
    <n v="1"/>
    <n v="0.2"/>
    <x v="2"/>
    <x v="2"/>
    <n v="3.6587999999999998"/>
    <n v="7.4999999999999997E-2"/>
    <n v="0"/>
  </r>
  <r>
    <n v="4998"/>
    <s v="CA-2017-155824"/>
    <d v="2017-03-10T00:00:00"/>
    <x v="3"/>
    <s v="Q1"/>
    <x v="42"/>
    <d v="2017-03-15T00:00:00"/>
    <s v="Standard Class"/>
    <x v="754"/>
    <x v="754"/>
    <s v="Corporate"/>
    <s v="United States"/>
    <s v="Raleigh"/>
    <x v="3"/>
    <n v="27604"/>
    <x v="0"/>
    <x v="634"/>
    <x v="1"/>
    <x v="8"/>
    <x v="634"/>
    <n v="13.092000000000001"/>
    <s v="Low"/>
    <n v="4"/>
    <n v="0.7"/>
    <x v="1"/>
    <x v="5"/>
    <n v="-10.0372"/>
    <n v="-0.76666666666666661"/>
    <n v="1"/>
  </r>
  <r>
    <n v="4999"/>
    <s v="CA-2016-129238"/>
    <d v="2016-01-31T00:00:00"/>
    <x v="0"/>
    <s v="Q1"/>
    <x v="12"/>
    <d v="2016-02-04T00:00:00"/>
    <s v="Standard Class"/>
    <x v="337"/>
    <x v="337"/>
    <s v="Home Office"/>
    <s v="United States"/>
    <s v="Los Angeles"/>
    <x v="1"/>
    <n v="90045"/>
    <x v="1"/>
    <x v="1546"/>
    <x v="2"/>
    <x v="7"/>
    <x v="1534"/>
    <n v="109.592"/>
    <s v="Medium"/>
    <n v="1"/>
    <n v="0.2"/>
    <x v="2"/>
    <x v="2"/>
    <n v="8.2194000000000003"/>
    <n v="7.4999999999999997E-2"/>
    <n v="0"/>
  </r>
  <r>
    <n v="5000"/>
    <s v="CA-2016-129238"/>
    <d v="2016-01-31T00:00:00"/>
    <x v="0"/>
    <s v="Q1"/>
    <x v="12"/>
    <d v="2016-02-04T00:00:00"/>
    <s v="Standard Class"/>
    <x v="337"/>
    <x v="337"/>
    <s v="Home Office"/>
    <s v="United States"/>
    <s v="Los Angeles"/>
    <x v="1"/>
    <n v="90045"/>
    <x v="1"/>
    <x v="1713"/>
    <x v="1"/>
    <x v="10"/>
    <x v="33"/>
    <n v="56.7"/>
    <s v="Medium"/>
    <n v="5"/>
    <n v="0"/>
    <x v="0"/>
    <x v="0"/>
    <n v="27.783000000000001"/>
    <n v="0.49"/>
    <n v="0"/>
  </r>
  <r>
    <n v="5001"/>
    <s v="CA-2017-159688"/>
    <d v="2017-05-07T00:00:00"/>
    <x v="3"/>
    <s v="Q2"/>
    <x v="24"/>
    <d v="2017-05-12T00:00:00"/>
    <s v="Standard Class"/>
    <x v="144"/>
    <x v="144"/>
    <s v="Home Office"/>
    <s v="United States"/>
    <s v="Los Angeles"/>
    <x v="1"/>
    <n v="90004"/>
    <x v="1"/>
    <x v="1105"/>
    <x v="2"/>
    <x v="11"/>
    <x v="1094"/>
    <n v="79.989999999999995"/>
    <s v="Medium"/>
    <n v="1"/>
    <n v="0"/>
    <x v="0"/>
    <x v="0"/>
    <n v="28.796399999999998"/>
    <n v="0.36"/>
    <n v="0"/>
  </r>
  <r>
    <n v="5002"/>
    <s v="CA-2016-136126"/>
    <d v="2016-05-24T00:00:00"/>
    <x v="0"/>
    <s v="Q2"/>
    <x v="35"/>
    <d v="2016-05-24T00:00:00"/>
    <s v="Same Day"/>
    <x v="258"/>
    <x v="258"/>
    <s v="Home Office"/>
    <s v="United States"/>
    <s v="Newport News"/>
    <x v="17"/>
    <n v="23602"/>
    <x v="0"/>
    <x v="1205"/>
    <x v="1"/>
    <x v="14"/>
    <x v="1190"/>
    <n v="69.5"/>
    <s v="Medium"/>
    <n v="5"/>
    <n v="0"/>
    <x v="0"/>
    <x v="0"/>
    <n v="20.155000000000001"/>
    <n v="0.29000000000000004"/>
    <n v="0"/>
  </r>
  <r>
    <n v="5003"/>
    <s v="CA-2016-136126"/>
    <d v="2016-05-24T00:00:00"/>
    <x v="0"/>
    <s v="Q2"/>
    <x v="35"/>
    <d v="2016-05-24T00:00:00"/>
    <s v="Same Day"/>
    <x v="258"/>
    <x v="258"/>
    <s v="Home Office"/>
    <s v="United States"/>
    <s v="Newport News"/>
    <x v="17"/>
    <n v="23602"/>
    <x v="0"/>
    <x v="136"/>
    <x v="1"/>
    <x v="10"/>
    <x v="137"/>
    <n v="191.6"/>
    <s v="High"/>
    <n v="4"/>
    <n v="0"/>
    <x v="0"/>
    <x v="0"/>
    <n v="91.968000000000004"/>
    <n v="0.48000000000000004"/>
    <n v="0"/>
  </r>
  <r>
    <n v="5004"/>
    <s v="CA-2016-155033"/>
    <d v="2016-10-07T00:00:00"/>
    <x v="0"/>
    <s v="Q4"/>
    <x v="32"/>
    <d v="2016-10-12T00:00:00"/>
    <s v="Standard Class"/>
    <x v="693"/>
    <x v="693"/>
    <s v="Consumer"/>
    <s v="United States"/>
    <s v="Los Angeles"/>
    <x v="1"/>
    <n v="90032"/>
    <x v="1"/>
    <x v="1714"/>
    <x v="1"/>
    <x v="10"/>
    <x v="1701"/>
    <n v="10.56"/>
    <s v="Low"/>
    <n v="2"/>
    <n v="0"/>
    <x v="0"/>
    <x v="0"/>
    <n v="5.0688000000000004"/>
    <n v="0.48000000000000004"/>
    <n v="0"/>
  </r>
  <r>
    <n v="5005"/>
    <s v="CA-2014-156006"/>
    <d v="2014-04-30T00:00:00"/>
    <x v="2"/>
    <s v="Q2"/>
    <x v="41"/>
    <d v="2014-05-02T00:00:00"/>
    <s v="Second Class"/>
    <x v="612"/>
    <x v="612"/>
    <s v="Consumer"/>
    <s v="United States"/>
    <s v="Jackson"/>
    <x v="35"/>
    <n v="39212"/>
    <x v="0"/>
    <x v="1365"/>
    <x v="2"/>
    <x v="11"/>
    <x v="1351"/>
    <n v="47.79"/>
    <s v="Medium"/>
    <n v="3"/>
    <n v="0"/>
    <x v="0"/>
    <x v="0"/>
    <n v="16.2486"/>
    <n v="0.34"/>
    <n v="0"/>
  </r>
  <r>
    <n v="5006"/>
    <s v="CA-2015-158659"/>
    <d v="2015-11-10T00:00:00"/>
    <x v="1"/>
    <s v="Q4"/>
    <x v="6"/>
    <d v="2015-11-14T00:00:00"/>
    <s v="Second Class"/>
    <x v="281"/>
    <x v="281"/>
    <s v="Corporate"/>
    <s v="United States"/>
    <s v="Richmond"/>
    <x v="14"/>
    <n v="47374"/>
    <x v="2"/>
    <x v="384"/>
    <x v="1"/>
    <x v="4"/>
    <x v="385"/>
    <n v="714.3"/>
    <s v="High"/>
    <n v="5"/>
    <n v="0"/>
    <x v="0"/>
    <x v="0"/>
    <n v="207.14699999999999"/>
    <n v="0.28999999999999998"/>
    <n v="0"/>
  </r>
  <r>
    <n v="5007"/>
    <s v="CA-2015-169796"/>
    <d v="2015-11-09T00:00:00"/>
    <x v="1"/>
    <s v="Q4"/>
    <x v="6"/>
    <d v="2015-11-14T00:00:00"/>
    <s v="Standard Class"/>
    <x v="656"/>
    <x v="656"/>
    <s v="Home Office"/>
    <s v="United States"/>
    <s v="New York City"/>
    <x v="15"/>
    <n v="10035"/>
    <x v="3"/>
    <x v="1715"/>
    <x v="2"/>
    <x v="15"/>
    <x v="1702"/>
    <n v="2321.9"/>
    <s v="High"/>
    <n v="2"/>
    <n v="0"/>
    <x v="0"/>
    <x v="0"/>
    <n v="1114.5119999999999"/>
    <n v="0.48"/>
    <n v="0"/>
  </r>
  <r>
    <n v="5008"/>
    <s v="CA-2015-169796"/>
    <d v="2015-11-09T00:00:00"/>
    <x v="1"/>
    <s v="Q4"/>
    <x v="6"/>
    <d v="2015-11-14T00:00:00"/>
    <s v="Standard Class"/>
    <x v="656"/>
    <x v="656"/>
    <s v="Home Office"/>
    <s v="United States"/>
    <s v="New York City"/>
    <x v="15"/>
    <n v="10035"/>
    <x v="3"/>
    <x v="1198"/>
    <x v="1"/>
    <x v="4"/>
    <x v="1183"/>
    <n v="17.940000000000001"/>
    <s v="Low"/>
    <n v="3"/>
    <n v="0"/>
    <x v="0"/>
    <x v="0"/>
    <n v="3.0497999999999998"/>
    <n v="0.16999999999999998"/>
    <n v="0"/>
  </r>
  <r>
    <n v="5009"/>
    <s v="CA-2015-102876"/>
    <d v="2015-09-07T00:00:00"/>
    <x v="1"/>
    <s v="Q3"/>
    <x v="11"/>
    <d v="2015-09-14T00:00:00"/>
    <s v="Standard Class"/>
    <x v="756"/>
    <x v="756"/>
    <s v="Corporate"/>
    <s v="United States"/>
    <s v="Philadelphia"/>
    <x v="9"/>
    <n v="19134"/>
    <x v="3"/>
    <x v="132"/>
    <x v="1"/>
    <x v="8"/>
    <x v="133"/>
    <n v="9.5220000000000002"/>
    <s v="Low"/>
    <n v="1"/>
    <n v="0.7"/>
    <x v="1"/>
    <x v="5"/>
    <n v="-6.9828000000000001"/>
    <n v="-0.73333333333333328"/>
    <n v="1"/>
  </r>
  <r>
    <n v="5010"/>
    <s v="CA-2015-102876"/>
    <d v="2015-09-07T00:00:00"/>
    <x v="1"/>
    <s v="Q3"/>
    <x v="11"/>
    <d v="2015-09-14T00:00:00"/>
    <s v="Standard Class"/>
    <x v="756"/>
    <x v="756"/>
    <s v="Corporate"/>
    <s v="United States"/>
    <s v="Philadelphia"/>
    <x v="9"/>
    <n v="19134"/>
    <x v="3"/>
    <x v="420"/>
    <x v="2"/>
    <x v="7"/>
    <x v="420"/>
    <n v="791.96400000000006"/>
    <s v="High"/>
    <n v="6"/>
    <n v="0.4"/>
    <x v="1"/>
    <x v="7"/>
    <n v="-131.994"/>
    <n v="-0.16666666666666666"/>
    <n v="1"/>
  </r>
  <r>
    <n v="5011"/>
    <s v="CA-2015-102876"/>
    <d v="2015-09-07T00:00:00"/>
    <x v="1"/>
    <s v="Q3"/>
    <x v="11"/>
    <d v="2015-09-14T00:00:00"/>
    <s v="Standard Class"/>
    <x v="756"/>
    <x v="756"/>
    <s v="Corporate"/>
    <s v="United States"/>
    <s v="Philadelphia"/>
    <x v="9"/>
    <n v="19134"/>
    <x v="3"/>
    <x v="520"/>
    <x v="1"/>
    <x v="8"/>
    <x v="520"/>
    <n v="4.923"/>
    <s v="Low"/>
    <n v="3"/>
    <n v="0.7"/>
    <x v="1"/>
    <x v="5"/>
    <n v="-3.9384000000000001"/>
    <n v="-0.8"/>
    <n v="1"/>
  </r>
  <r>
    <n v="5012"/>
    <s v="US-2017-139647"/>
    <d v="2017-05-11T00:00:00"/>
    <x v="3"/>
    <s v="Q2"/>
    <x v="24"/>
    <d v="2017-05-13T00:00:00"/>
    <s v="First Class"/>
    <x v="477"/>
    <x v="477"/>
    <s v="Corporate"/>
    <s v="United States"/>
    <s v="Phoenix"/>
    <x v="16"/>
    <n v="85023"/>
    <x v="1"/>
    <x v="899"/>
    <x v="0"/>
    <x v="0"/>
    <x v="892"/>
    <n v="209.97900000000001"/>
    <s v="High"/>
    <n v="7"/>
    <n v="0.7"/>
    <x v="1"/>
    <x v="5"/>
    <n v="-356.96429999999998"/>
    <n v="-1.6999999999999997"/>
    <n v="1"/>
  </r>
  <r>
    <n v="5013"/>
    <s v="US-2017-160465"/>
    <d v="2017-07-21T00:00:00"/>
    <x v="3"/>
    <s v="Q3"/>
    <x v="10"/>
    <d v="2017-07-26T00:00:00"/>
    <s v="Standard Class"/>
    <x v="680"/>
    <x v="680"/>
    <s v="Home Office"/>
    <s v="United States"/>
    <s v="Cleveland"/>
    <x v="24"/>
    <n v="44105"/>
    <x v="3"/>
    <x v="443"/>
    <x v="1"/>
    <x v="8"/>
    <x v="443"/>
    <n v="33.93"/>
    <s v="Medium"/>
    <n v="3"/>
    <n v="0.7"/>
    <x v="1"/>
    <x v="5"/>
    <n v="-22.62"/>
    <n v="-0.66666666666666674"/>
    <n v="1"/>
  </r>
  <r>
    <n v="5014"/>
    <s v="US-2017-160465"/>
    <d v="2017-07-21T00:00:00"/>
    <x v="3"/>
    <s v="Q3"/>
    <x v="10"/>
    <d v="2017-07-26T00:00:00"/>
    <s v="Standard Class"/>
    <x v="680"/>
    <x v="680"/>
    <s v="Home Office"/>
    <s v="United States"/>
    <s v="Cleveland"/>
    <x v="24"/>
    <n v="44105"/>
    <x v="3"/>
    <x v="1716"/>
    <x v="1"/>
    <x v="4"/>
    <x v="1703"/>
    <n v="222.32"/>
    <s v="High"/>
    <n v="7"/>
    <n v="0.2"/>
    <x v="2"/>
    <x v="2"/>
    <n v="25.010999999999999"/>
    <n v="0.1125"/>
    <n v="0"/>
  </r>
  <r>
    <n v="5015"/>
    <s v="US-2017-160465"/>
    <d v="2017-07-21T00:00:00"/>
    <x v="3"/>
    <s v="Q3"/>
    <x v="10"/>
    <d v="2017-07-26T00:00:00"/>
    <s v="Standard Class"/>
    <x v="680"/>
    <x v="680"/>
    <s v="Home Office"/>
    <s v="United States"/>
    <s v="Cleveland"/>
    <x v="24"/>
    <n v="44105"/>
    <x v="3"/>
    <x v="1717"/>
    <x v="2"/>
    <x v="7"/>
    <x v="1704"/>
    <n v="210.56399999999999"/>
    <s v="High"/>
    <n v="6"/>
    <n v="0.4"/>
    <x v="1"/>
    <x v="7"/>
    <n v="-52.640999999999998"/>
    <n v="-0.25"/>
    <n v="1"/>
  </r>
  <r>
    <n v="5016"/>
    <s v="CA-2014-153850"/>
    <d v="2014-11-24T00:00:00"/>
    <x v="2"/>
    <s v="Q4"/>
    <x v="7"/>
    <d v="2014-11-29T00:00:00"/>
    <s v="Standard Class"/>
    <x v="513"/>
    <x v="513"/>
    <s v="Consumer"/>
    <s v="United States"/>
    <s v="Toledo"/>
    <x v="24"/>
    <n v="43615"/>
    <x v="3"/>
    <x v="191"/>
    <x v="0"/>
    <x v="5"/>
    <x v="192"/>
    <n v="35.167999999999999"/>
    <s v="Medium"/>
    <n v="7"/>
    <n v="0.2"/>
    <x v="2"/>
    <x v="2"/>
    <n v="9.6712000000000007"/>
    <n v="0.27500000000000002"/>
    <n v="0"/>
  </r>
  <r>
    <n v="5017"/>
    <s v="CA-2014-153850"/>
    <d v="2014-11-24T00:00:00"/>
    <x v="2"/>
    <s v="Q4"/>
    <x v="7"/>
    <d v="2014-11-29T00:00:00"/>
    <s v="Standard Class"/>
    <x v="513"/>
    <x v="513"/>
    <s v="Consumer"/>
    <s v="United States"/>
    <s v="Toledo"/>
    <x v="24"/>
    <n v="43615"/>
    <x v="3"/>
    <x v="1718"/>
    <x v="2"/>
    <x v="7"/>
    <x v="1705"/>
    <n v="1502.376"/>
    <s v="High"/>
    <n v="4"/>
    <n v="0.4"/>
    <x v="1"/>
    <x v="7"/>
    <n v="-250.39599999999999"/>
    <n v="-0.16666666666666666"/>
    <n v="1"/>
  </r>
  <r>
    <n v="5018"/>
    <s v="CA-2014-127558"/>
    <d v="2014-11-15T00:00:00"/>
    <x v="2"/>
    <s v="Q4"/>
    <x v="7"/>
    <d v="2014-11-18T00:00:00"/>
    <s v="First Class"/>
    <x v="757"/>
    <x v="757"/>
    <s v="Consumer"/>
    <s v="United States"/>
    <s v="Los Angeles"/>
    <x v="1"/>
    <n v="90008"/>
    <x v="1"/>
    <x v="224"/>
    <x v="0"/>
    <x v="5"/>
    <x v="225"/>
    <n v="10.11"/>
    <s v="Low"/>
    <n v="3"/>
    <n v="0"/>
    <x v="0"/>
    <x v="0"/>
    <n v="3.2351999999999999"/>
    <n v="0.32"/>
    <n v="0"/>
  </r>
  <r>
    <n v="5019"/>
    <s v="CA-2014-127558"/>
    <d v="2014-11-15T00:00:00"/>
    <x v="2"/>
    <s v="Q4"/>
    <x v="7"/>
    <d v="2014-11-18T00:00:00"/>
    <s v="First Class"/>
    <x v="757"/>
    <x v="757"/>
    <s v="Consumer"/>
    <s v="United States"/>
    <s v="Los Angeles"/>
    <x v="1"/>
    <n v="90008"/>
    <x v="1"/>
    <x v="217"/>
    <x v="2"/>
    <x v="11"/>
    <x v="218"/>
    <n v="772.47"/>
    <s v="High"/>
    <n v="3"/>
    <n v="0"/>
    <x v="0"/>
    <x v="0"/>
    <n v="146.76929999999999"/>
    <n v="0.18999999999999997"/>
    <n v="0"/>
  </r>
  <r>
    <n v="5020"/>
    <s v="CA-2014-127558"/>
    <d v="2014-11-15T00:00:00"/>
    <x v="2"/>
    <s v="Q4"/>
    <x v="7"/>
    <d v="2014-11-18T00:00:00"/>
    <s v="First Class"/>
    <x v="757"/>
    <x v="757"/>
    <s v="Consumer"/>
    <s v="United States"/>
    <s v="Los Angeles"/>
    <x v="1"/>
    <n v="90008"/>
    <x v="1"/>
    <x v="682"/>
    <x v="1"/>
    <x v="14"/>
    <x v="682"/>
    <n v="20.46"/>
    <s v="Low"/>
    <n v="2"/>
    <n v="0"/>
    <x v="0"/>
    <x v="0"/>
    <n v="5.3196000000000003"/>
    <n v="0.26"/>
    <n v="0"/>
  </r>
  <r>
    <n v="5021"/>
    <s v="CA-2017-136511"/>
    <d v="2017-03-23T00:00:00"/>
    <x v="3"/>
    <s v="Q1"/>
    <x v="42"/>
    <d v="2017-03-25T00:00:00"/>
    <s v="Second Class"/>
    <x v="89"/>
    <x v="89"/>
    <s v="Corporate"/>
    <s v="United States"/>
    <s v="New York City"/>
    <x v="15"/>
    <n v="10011"/>
    <x v="3"/>
    <x v="413"/>
    <x v="1"/>
    <x v="14"/>
    <x v="413"/>
    <n v="347.58"/>
    <s v="High"/>
    <n v="3"/>
    <n v="0"/>
    <x v="0"/>
    <x v="0"/>
    <n v="17.379000000000001"/>
    <n v="0.05"/>
    <n v="0"/>
  </r>
  <r>
    <n v="5022"/>
    <s v="CA-2016-133795"/>
    <d v="2016-12-18T00:00:00"/>
    <x v="0"/>
    <s v="Q4"/>
    <x v="5"/>
    <d v="2016-12-24T00:00:00"/>
    <s v="Standard Class"/>
    <x v="188"/>
    <x v="188"/>
    <s v="Consumer"/>
    <s v="United States"/>
    <s v="San Diego"/>
    <x v="1"/>
    <n v="92037"/>
    <x v="1"/>
    <x v="477"/>
    <x v="2"/>
    <x v="11"/>
    <x v="478"/>
    <n v="72.64"/>
    <s v="Medium"/>
    <n v="2"/>
    <n v="0"/>
    <x v="0"/>
    <x v="0"/>
    <n v="21.792000000000002"/>
    <n v="0.30000000000000004"/>
    <n v="0"/>
  </r>
  <r>
    <n v="5023"/>
    <s v="CA-2016-133795"/>
    <d v="2016-12-18T00:00:00"/>
    <x v="0"/>
    <s v="Q4"/>
    <x v="5"/>
    <d v="2016-12-24T00:00:00"/>
    <s v="Standard Class"/>
    <x v="188"/>
    <x v="188"/>
    <s v="Consumer"/>
    <s v="United States"/>
    <s v="San Diego"/>
    <x v="1"/>
    <n v="92037"/>
    <x v="1"/>
    <x v="217"/>
    <x v="2"/>
    <x v="11"/>
    <x v="218"/>
    <n v="772.47"/>
    <s v="High"/>
    <n v="3"/>
    <n v="0"/>
    <x v="0"/>
    <x v="0"/>
    <n v="146.76929999999999"/>
    <n v="0.18999999999999997"/>
    <n v="0"/>
  </r>
  <r>
    <n v="5024"/>
    <s v="CA-2016-133795"/>
    <d v="2016-12-18T00:00:00"/>
    <x v="0"/>
    <s v="Q4"/>
    <x v="5"/>
    <d v="2016-12-24T00:00:00"/>
    <s v="Standard Class"/>
    <x v="188"/>
    <x v="188"/>
    <s v="Consumer"/>
    <s v="United States"/>
    <s v="San Diego"/>
    <x v="1"/>
    <n v="92037"/>
    <x v="1"/>
    <x v="1611"/>
    <x v="0"/>
    <x v="5"/>
    <x v="1602"/>
    <n v="39.92"/>
    <s v="Medium"/>
    <n v="4"/>
    <n v="0"/>
    <x v="0"/>
    <x v="0"/>
    <n v="11.1776"/>
    <n v="0.27999999999999997"/>
    <n v="0"/>
  </r>
  <r>
    <n v="5025"/>
    <s v="US-2017-130953"/>
    <d v="2017-07-29T00:00:00"/>
    <x v="3"/>
    <s v="Q3"/>
    <x v="10"/>
    <d v="2017-08-03T00:00:00"/>
    <s v="Standard Class"/>
    <x v="288"/>
    <x v="288"/>
    <s v="Consumer"/>
    <s v="United States"/>
    <s v="Oklahoma City"/>
    <x v="26"/>
    <n v="73120"/>
    <x v="2"/>
    <x v="1595"/>
    <x v="1"/>
    <x v="8"/>
    <x v="1587"/>
    <n v="33.479999999999997"/>
    <s v="Medium"/>
    <n v="2"/>
    <n v="0"/>
    <x v="0"/>
    <x v="0"/>
    <n v="16.405200000000001"/>
    <n v="0.49000000000000005"/>
    <n v="0"/>
  </r>
  <r>
    <n v="5026"/>
    <s v="US-2017-130953"/>
    <d v="2017-07-29T00:00:00"/>
    <x v="3"/>
    <s v="Q3"/>
    <x v="10"/>
    <d v="2017-08-03T00:00:00"/>
    <s v="Standard Class"/>
    <x v="288"/>
    <x v="288"/>
    <s v="Consumer"/>
    <s v="United States"/>
    <s v="Oklahoma City"/>
    <x v="26"/>
    <n v="73120"/>
    <x v="2"/>
    <x v="348"/>
    <x v="2"/>
    <x v="7"/>
    <x v="348"/>
    <n v="461.97"/>
    <s v="High"/>
    <n v="3"/>
    <n v="0"/>
    <x v="0"/>
    <x v="0"/>
    <n v="133.97130000000001"/>
    <n v="0.29000000000000004"/>
    <n v="0"/>
  </r>
  <r>
    <n v="5027"/>
    <s v="US-2017-130953"/>
    <d v="2017-07-29T00:00:00"/>
    <x v="3"/>
    <s v="Q3"/>
    <x v="10"/>
    <d v="2017-08-03T00:00:00"/>
    <s v="Standard Class"/>
    <x v="288"/>
    <x v="288"/>
    <s v="Consumer"/>
    <s v="United States"/>
    <s v="Oklahoma City"/>
    <x v="26"/>
    <n v="73120"/>
    <x v="2"/>
    <x v="14"/>
    <x v="1"/>
    <x v="9"/>
    <x v="14"/>
    <n v="137.62"/>
    <s v="High"/>
    <n v="2"/>
    <n v="0"/>
    <x v="0"/>
    <x v="0"/>
    <n v="60.552799999999998"/>
    <n v="0.43999999999999995"/>
    <n v="0"/>
  </r>
  <r>
    <n v="5028"/>
    <s v="US-2017-130953"/>
    <d v="2017-07-29T00:00:00"/>
    <x v="3"/>
    <s v="Q3"/>
    <x v="10"/>
    <d v="2017-08-03T00:00:00"/>
    <s v="Standard Class"/>
    <x v="288"/>
    <x v="288"/>
    <s v="Consumer"/>
    <s v="United States"/>
    <s v="Oklahoma City"/>
    <x v="26"/>
    <n v="73120"/>
    <x v="2"/>
    <x v="1719"/>
    <x v="0"/>
    <x v="1"/>
    <x v="1706"/>
    <n v="302.67"/>
    <s v="High"/>
    <n v="3"/>
    <n v="0"/>
    <x v="0"/>
    <x v="0"/>
    <n v="72.640799999999999"/>
    <n v="0.24"/>
    <n v="0"/>
  </r>
  <r>
    <n v="5029"/>
    <s v="CA-2014-151792"/>
    <d v="2014-09-02T00:00:00"/>
    <x v="2"/>
    <s v="Q3"/>
    <x v="30"/>
    <d v="2014-09-07T00:00:00"/>
    <s v="Second Class"/>
    <x v="610"/>
    <x v="610"/>
    <s v="Consumer"/>
    <s v="United States"/>
    <s v="Chicago"/>
    <x v="10"/>
    <n v="60653"/>
    <x v="2"/>
    <x v="590"/>
    <x v="2"/>
    <x v="11"/>
    <x v="590"/>
    <n v="239.976"/>
    <s v="High"/>
    <n v="3"/>
    <n v="0.2"/>
    <x v="2"/>
    <x v="2"/>
    <n v="53.994599999999998"/>
    <n v="0.22500000000000001"/>
    <n v="0"/>
  </r>
  <r>
    <n v="5030"/>
    <s v="CA-2017-139304"/>
    <d v="2017-01-29T00:00:00"/>
    <x v="3"/>
    <s v="Q1"/>
    <x v="44"/>
    <d v="2017-02-02T00:00:00"/>
    <s v="Standard Class"/>
    <x v="364"/>
    <x v="364"/>
    <s v="Consumer"/>
    <s v="United States"/>
    <s v="San Francisco"/>
    <x v="1"/>
    <n v="94109"/>
    <x v="1"/>
    <x v="1477"/>
    <x v="1"/>
    <x v="6"/>
    <x v="1464"/>
    <n v="8.34"/>
    <s v="Low"/>
    <n v="3"/>
    <n v="0"/>
    <x v="0"/>
    <x v="0"/>
    <n v="2.1684000000000001"/>
    <n v="0.26"/>
    <n v="0"/>
  </r>
  <r>
    <n v="5031"/>
    <s v="CA-2017-139304"/>
    <d v="2017-01-29T00:00:00"/>
    <x v="3"/>
    <s v="Q1"/>
    <x v="44"/>
    <d v="2017-02-02T00:00:00"/>
    <s v="Standard Class"/>
    <x v="364"/>
    <x v="364"/>
    <s v="Consumer"/>
    <s v="United States"/>
    <s v="San Francisco"/>
    <x v="1"/>
    <n v="94109"/>
    <x v="1"/>
    <x v="1257"/>
    <x v="1"/>
    <x v="14"/>
    <x v="1241"/>
    <n v="8.57"/>
    <s v="Low"/>
    <n v="1"/>
    <n v="0"/>
    <x v="0"/>
    <x v="0"/>
    <n v="2.2282000000000002"/>
    <n v="0.26"/>
    <n v="0"/>
  </r>
  <r>
    <n v="5032"/>
    <s v="CA-2017-139304"/>
    <d v="2017-01-29T00:00:00"/>
    <x v="3"/>
    <s v="Q1"/>
    <x v="44"/>
    <d v="2017-02-02T00:00:00"/>
    <s v="Standard Class"/>
    <x v="364"/>
    <x v="364"/>
    <s v="Consumer"/>
    <s v="United States"/>
    <s v="San Francisco"/>
    <x v="1"/>
    <n v="94109"/>
    <x v="1"/>
    <x v="440"/>
    <x v="1"/>
    <x v="8"/>
    <x v="440"/>
    <n v="119.616"/>
    <s v="Medium"/>
    <n v="8"/>
    <n v="0.2"/>
    <x v="2"/>
    <x v="2"/>
    <n v="40.370399999999997"/>
    <n v="0.33749999999999997"/>
    <n v="0"/>
  </r>
  <r>
    <n v="5033"/>
    <s v="CA-2016-155166"/>
    <d v="2016-12-26T00:00:00"/>
    <x v="0"/>
    <s v="Q4"/>
    <x v="5"/>
    <d v="2017-01-02T00:00:00"/>
    <s v="Standard Class"/>
    <x v="179"/>
    <x v="179"/>
    <s v="Corporate"/>
    <s v="United States"/>
    <s v="Vineland"/>
    <x v="30"/>
    <n v="8360"/>
    <x v="3"/>
    <x v="56"/>
    <x v="0"/>
    <x v="1"/>
    <x v="56"/>
    <n v="212.94"/>
    <s v="High"/>
    <n v="3"/>
    <n v="0"/>
    <x v="0"/>
    <x v="0"/>
    <n v="25.552800000000001"/>
    <n v="0.12000000000000001"/>
    <n v="0"/>
  </r>
  <r>
    <n v="5034"/>
    <s v="CA-2016-155166"/>
    <d v="2016-12-26T00:00:00"/>
    <x v="0"/>
    <s v="Q4"/>
    <x v="5"/>
    <d v="2017-01-02T00:00:00"/>
    <s v="Standard Class"/>
    <x v="179"/>
    <x v="179"/>
    <s v="Corporate"/>
    <s v="United States"/>
    <s v="Vineland"/>
    <x v="30"/>
    <n v="8360"/>
    <x v="3"/>
    <x v="1276"/>
    <x v="1"/>
    <x v="9"/>
    <x v="1261"/>
    <n v="26.49"/>
    <s v="Medium"/>
    <n v="1"/>
    <n v="0"/>
    <x v="0"/>
    <x v="0"/>
    <n v="7.4172000000000002"/>
    <n v="0.28000000000000003"/>
    <n v="0"/>
  </r>
  <r>
    <n v="5035"/>
    <s v="CA-2015-103954"/>
    <d v="2015-08-09T00:00:00"/>
    <x v="1"/>
    <s v="Q3"/>
    <x v="37"/>
    <d v="2015-08-13T00:00:00"/>
    <s v="Second Class"/>
    <x v="367"/>
    <x v="367"/>
    <s v="Home Office"/>
    <s v="United States"/>
    <s v="Milwaukee"/>
    <x v="6"/>
    <n v="53209"/>
    <x v="2"/>
    <x v="1657"/>
    <x v="0"/>
    <x v="0"/>
    <x v="1645"/>
    <n v="687.4"/>
    <s v="High"/>
    <n v="5"/>
    <n v="0"/>
    <x v="0"/>
    <x v="0"/>
    <n v="48.118000000000002"/>
    <n v="7.0000000000000007E-2"/>
    <n v="0"/>
  </r>
  <r>
    <n v="5036"/>
    <s v="CA-2014-169803"/>
    <d v="2014-04-06T00:00:00"/>
    <x v="2"/>
    <s v="Q2"/>
    <x v="41"/>
    <d v="2014-04-12T00:00:00"/>
    <s v="Standard Class"/>
    <x v="609"/>
    <x v="609"/>
    <s v="Corporate"/>
    <s v="United States"/>
    <s v="Seattle"/>
    <x v="4"/>
    <n v="98115"/>
    <x v="1"/>
    <x v="562"/>
    <x v="0"/>
    <x v="3"/>
    <x v="561"/>
    <n v="653.54999999999995"/>
    <s v="High"/>
    <n v="3"/>
    <n v="0"/>
    <x v="0"/>
    <x v="0"/>
    <n v="111.1035"/>
    <n v="0.17"/>
    <n v="0"/>
  </r>
  <r>
    <n v="5037"/>
    <s v="CA-2014-169803"/>
    <d v="2014-04-06T00:00:00"/>
    <x v="2"/>
    <s v="Q2"/>
    <x v="41"/>
    <d v="2014-04-12T00:00:00"/>
    <s v="Standard Class"/>
    <x v="609"/>
    <x v="609"/>
    <s v="Corporate"/>
    <s v="United States"/>
    <s v="Seattle"/>
    <x v="4"/>
    <n v="98115"/>
    <x v="1"/>
    <x v="658"/>
    <x v="2"/>
    <x v="11"/>
    <x v="658"/>
    <n v="33.9"/>
    <s v="Medium"/>
    <n v="2"/>
    <n v="0"/>
    <x v="0"/>
    <x v="0"/>
    <n v="2.0339999999999998"/>
    <n v="0.06"/>
    <n v="0"/>
  </r>
  <r>
    <n v="5038"/>
    <s v="CA-2017-141719"/>
    <d v="2017-11-17T00:00:00"/>
    <x v="3"/>
    <s v="Q4"/>
    <x v="23"/>
    <d v="2017-11-21T00:00:00"/>
    <s v="Second Class"/>
    <x v="283"/>
    <x v="283"/>
    <s v="Consumer"/>
    <s v="United States"/>
    <s v="Naperville"/>
    <x v="10"/>
    <n v="60540"/>
    <x v="2"/>
    <x v="603"/>
    <x v="2"/>
    <x v="11"/>
    <x v="603"/>
    <n v="239.96"/>
    <s v="High"/>
    <n v="5"/>
    <n v="0.2"/>
    <x v="2"/>
    <x v="2"/>
    <n v="83.986000000000004"/>
    <n v="0.35000000000000003"/>
    <n v="0"/>
  </r>
  <r>
    <n v="5039"/>
    <s v="CA-2015-136469"/>
    <d v="2015-07-11T00:00:00"/>
    <x v="1"/>
    <s v="Q3"/>
    <x v="38"/>
    <d v="2015-07-12T00:00:00"/>
    <s v="First Class"/>
    <x v="477"/>
    <x v="477"/>
    <s v="Corporate"/>
    <s v="United States"/>
    <s v="Wilmington"/>
    <x v="13"/>
    <n v="19805"/>
    <x v="3"/>
    <x v="719"/>
    <x v="0"/>
    <x v="3"/>
    <x v="718"/>
    <n v="199.83600000000001"/>
    <s v="High"/>
    <n v="4"/>
    <n v="0.3"/>
    <x v="1"/>
    <x v="4"/>
    <n v="-37.112400000000001"/>
    <n v="-0.18571428571428572"/>
    <n v="1"/>
  </r>
  <r>
    <n v="5040"/>
    <s v="CA-2015-136469"/>
    <d v="2015-07-11T00:00:00"/>
    <x v="1"/>
    <s v="Q3"/>
    <x v="38"/>
    <d v="2015-07-12T00:00:00"/>
    <s v="First Class"/>
    <x v="477"/>
    <x v="477"/>
    <s v="Corporate"/>
    <s v="United States"/>
    <s v="Wilmington"/>
    <x v="13"/>
    <n v="19805"/>
    <x v="3"/>
    <x v="1118"/>
    <x v="2"/>
    <x v="7"/>
    <x v="1106"/>
    <n v="716"/>
    <s v="High"/>
    <n v="2"/>
    <n v="0"/>
    <x v="0"/>
    <x v="0"/>
    <n v="193.32"/>
    <n v="0.27"/>
    <n v="0"/>
  </r>
  <r>
    <n v="5041"/>
    <s v="CA-2015-136469"/>
    <d v="2015-07-11T00:00:00"/>
    <x v="1"/>
    <s v="Q3"/>
    <x v="38"/>
    <d v="2015-07-12T00:00:00"/>
    <s v="First Class"/>
    <x v="477"/>
    <x v="477"/>
    <s v="Corporate"/>
    <s v="United States"/>
    <s v="Wilmington"/>
    <x v="13"/>
    <n v="19805"/>
    <x v="3"/>
    <x v="351"/>
    <x v="1"/>
    <x v="8"/>
    <x v="351"/>
    <n v="221.06"/>
    <s v="High"/>
    <n v="7"/>
    <n v="0"/>
    <x v="0"/>
    <x v="0"/>
    <n v="103.8982"/>
    <n v="0.47000000000000003"/>
    <n v="0"/>
  </r>
  <r>
    <n v="5042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1437"/>
    <x v="1"/>
    <x v="10"/>
    <x v="1425"/>
    <n v="67.709999999999994"/>
    <s v="Medium"/>
    <n v="3"/>
    <n v="0"/>
    <x v="0"/>
    <x v="0"/>
    <n v="32.500799999999998"/>
    <n v="0.48000000000000004"/>
    <n v="0"/>
  </r>
  <r>
    <n v="5043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791"/>
    <x v="1"/>
    <x v="9"/>
    <x v="789"/>
    <n v="129.91999999999999"/>
    <s v="High"/>
    <n v="4"/>
    <n v="0"/>
    <x v="0"/>
    <x v="0"/>
    <n v="38.975999999999999"/>
    <n v="0.30000000000000004"/>
    <n v="0"/>
  </r>
  <r>
    <n v="5044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689"/>
    <x v="0"/>
    <x v="5"/>
    <x v="689"/>
    <n v="467.46"/>
    <s v="High"/>
    <n v="9"/>
    <n v="0"/>
    <x v="0"/>
    <x v="0"/>
    <n v="191.65860000000001"/>
    <n v="0.41000000000000003"/>
    <n v="0"/>
  </r>
  <r>
    <n v="5045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1635"/>
    <x v="1"/>
    <x v="10"/>
    <x v="1625"/>
    <n v="61.4"/>
    <s v="Medium"/>
    <n v="5"/>
    <n v="0"/>
    <x v="0"/>
    <x v="0"/>
    <n v="28.858000000000001"/>
    <n v="0.47000000000000003"/>
    <n v="0"/>
  </r>
  <r>
    <n v="5046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734"/>
    <x v="1"/>
    <x v="4"/>
    <x v="733"/>
    <n v="720.76"/>
    <s v="High"/>
    <n v="4"/>
    <n v="0"/>
    <x v="0"/>
    <x v="0"/>
    <n v="187.39760000000001"/>
    <n v="0.26"/>
    <n v="0"/>
  </r>
  <r>
    <n v="5047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870"/>
    <x v="1"/>
    <x v="8"/>
    <x v="864"/>
    <n v="5.1840000000000002"/>
    <s v="Low"/>
    <n v="3"/>
    <n v="0.2"/>
    <x v="2"/>
    <x v="2"/>
    <n v="1.8144"/>
    <n v="0.35"/>
    <n v="0"/>
  </r>
  <r>
    <n v="5048"/>
    <s v="CA-2016-158694"/>
    <d v="2016-11-10T00:00:00"/>
    <x v="0"/>
    <s v="Q4"/>
    <x v="0"/>
    <d v="2016-11-13T00:00:00"/>
    <s v="Second Class"/>
    <x v="482"/>
    <x v="482"/>
    <s v="Consumer"/>
    <s v="United States"/>
    <s v="Los Angeles"/>
    <x v="1"/>
    <n v="90036"/>
    <x v="1"/>
    <x v="1630"/>
    <x v="1"/>
    <x v="6"/>
    <x v="1620"/>
    <n v="14.7"/>
    <s v="Low"/>
    <n v="5"/>
    <n v="0"/>
    <x v="0"/>
    <x v="0"/>
    <n v="3.9689999999999999"/>
    <n v="0.27"/>
    <n v="0"/>
  </r>
  <r>
    <n v="5049"/>
    <s v="US-2014-104759"/>
    <d v="2014-03-31T00:00:00"/>
    <x v="2"/>
    <s v="Q1"/>
    <x v="34"/>
    <d v="2014-04-04T00:00:00"/>
    <s v="Standard Class"/>
    <x v="732"/>
    <x v="732"/>
    <s v="Consumer"/>
    <s v="United States"/>
    <s v="Chicago"/>
    <x v="10"/>
    <n v="60610"/>
    <x v="2"/>
    <x v="699"/>
    <x v="1"/>
    <x v="8"/>
    <x v="699"/>
    <n v="8.1340000000000003"/>
    <s v="Low"/>
    <n v="7"/>
    <n v="0.8"/>
    <x v="1"/>
    <x v="3"/>
    <n v="-13.8278"/>
    <n v="-1.7"/>
    <n v="1"/>
  </r>
  <r>
    <n v="5050"/>
    <s v="US-2014-104759"/>
    <d v="2014-03-31T00:00:00"/>
    <x v="2"/>
    <s v="Q1"/>
    <x v="34"/>
    <d v="2014-04-04T00:00:00"/>
    <s v="Standard Class"/>
    <x v="732"/>
    <x v="732"/>
    <s v="Consumer"/>
    <s v="United States"/>
    <s v="Chicago"/>
    <x v="10"/>
    <n v="60610"/>
    <x v="2"/>
    <x v="648"/>
    <x v="2"/>
    <x v="11"/>
    <x v="648"/>
    <n v="79.983999999999995"/>
    <s v="Medium"/>
    <n v="2"/>
    <n v="0.2"/>
    <x v="2"/>
    <x v="2"/>
    <n v="13.997199999999999"/>
    <n v="0.17500000000000002"/>
    <n v="0"/>
  </r>
  <r>
    <n v="5051"/>
    <s v="CA-2015-150511"/>
    <d v="2015-09-18T00:00:00"/>
    <x v="1"/>
    <s v="Q3"/>
    <x v="11"/>
    <d v="2015-09-24T00:00:00"/>
    <s v="Standard Class"/>
    <x v="144"/>
    <x v="144"/>
    <s v="Home Office"/>
    <s v="United States"/>
    <s v="Des Moines"/>
    <x v="4"/>
    <n v="98198"/>
    <x v="1"/>
    <x v="1286"/>
    <x v="1"/>
    <x v="10"/>
    <x v="1272"/>
    <n v="18.54"/>
    <s v="Low"/>
    <n v="2"/>
    <n v="0"/>
    <x v="0"/>
    <x v="0"/>
    <n v="8.7138000000000009"/>
    <n v="0.47000000000000008"/>
    <n v="0"/>
  </r>
  <r>
    <n v="5052"/>
    <s v="CA-2015-134922"/>
    <d v="2015-11-07T00:00:00"/>
    <x v="1"/>
    <s v="Q4"/>
    <x v="6"/>
    <d v="2015-11-11T00:00:00"/>
    <s v="Standard Class"/>
    <x v="208"/>
    <x v="208"/>
    <s v="Corporate"/>
    <s v="United States"/>
    <s v="Philadelphia"/>
    <x v="9"/>
    <n v="19140"/>
    <x v="3"/>
    <x v="373"/>
    <x v="1"/>
    <x v="12"/>
    <x v="374"/>
    <n v="24.4"/>
    <s v="Low"/>
    <n v="2"/>
    <n v="0.2"/>
    <x v="2"/>
    <x v="2"/>
    <n v="7.93"/>
    <n v="0.32500000000000001"/>
    <n v="0"/>
  </r>
  <r>
    <n v="5053"/>
    <s v="US-2017-120607"/>
    <d v="2017-05-19T00:00:00"/>
    <x v="3"/>
    <s v="Q2"/>
    <x v="24"/>
    <d v="2017-05-19T00:00:00"/>
    <s v="Same Day"/>
    <x v="547"/>
    <x v="547"/>
    <s v="Consumer"/>
    <s v="United States"/>
    <s v="Atlanta"/>
    <x v="32"/>
    <n v="30318"/>
    <x v="0"/>
    <x v="1158"/>
    <x v="1"/>
    <x v="10"/>
    <x v="1146"/>
    <n v="195.64"/>
    <s v="High"/>
    <n v="4"/>
    <n v="0"/>
    <x v="0"/>
    <x v="0"/>
    <n v="91.950800000000001"/>
    <n v="0.47000000000000003"/>
    <n v="0"/>
  </r>
  <r>
    <n v="5054"/>
    <s v="CA-2015-141243"/>
    <d v="2015-01-03T00:00:00"/>
    <x v="1"/>
    <s v="Q1"/>
    <x v="26"/>
    <d v="2015-01-08T00:00:00"/>
    <s v="Second Class"/>
    <x v="733"/>
    <x v="733"/>
    <s v="Consumer"/>
    <s v="United States"/>
    <s v="Dallas"/>
    <x v="5"/>
    <n v="75217"/>
    <x v="2"/>
    <x v="769"/>
    <x v="2"/>
    <x v="11"/>
    <x v="768"/>
    <n v="398.4"/>
    <s v="High"/>
    <n v="5"/>
    <n v="0.2"/>
    <x v="2"/>
    <x v="2"/>
    <n v="84.66"/>
    <n v="0.21249999999999999"/>
    <n v="0"/>
  </r>
  <r>
    <n v="5055"/>
    <s v="CA-2015-141243"/>
    <d v="2015-01-03T00:00:00"/>
    <x v="1"/>
    <s v="Q1"/>
    <x v="26"/>
    <d v="2015-01-08T00:00:00"/>
    <s v="Second Class"/>
    <x v="733"/>
    <x v="733"/>
    <s v="Consumer"/>
    <s v="United States"/>
    <s v="Dallas"/>
    <x v="5"/>
    <n v="75217"/>
    <x v="2"/>
    <x v="454"/>
    <x v="1"/>
    <x v="6"/>
    <x v="455"/>
    <n v="7.056"/>
    <s v="Low"/>
    <n v="3"/>
    <n v="0.2"/>
    <x v="2"/>
    <x v="2"/>
    <n v="0.79379999999999995"/>
    <n v="0.11249999999999999"/>
    <n v="0"/>
  </r>
  <r>
    <n v="5056"/>
    <s v="CA-2015-141243"/>
    <d v="2015-01-03T00:00:00"/>
    <x v="1"/>
    <s v="Q1"/>
    <x v="26"/>
    <d v="2015-01-08T00:00:00"/>
    <s v="Second Class"/>
    <x v="733"/>
    <x v="733"/>
    <s v="Consumer"/>
    <s v="United States"/>
    <s v="Dallas"/>
    <x v="5"/>
    <n v="75217"/>
    <x v="2"/>
    <x v="587"/>
    <x v="0"/>
    <x v="0"/>
    <x v="587"/>
    <n v="1352.3976"/>
    <s v="High"/>
    <n v="9"/>
    <n v="0.32"/>
    <x v="1"/>
    <x v="7"/>
    <n v="-437.54039999999998"/>
    <n v="-0.32352941176470584"/>
    <n v="1"/>
  </r>
  <r>
    <n v="5057"/>
    <s v="CA-2015-162166"/>
    <d v="2015-09-08T00:00:00"/>
    <x v="1"/>
    <s v="Q3"/>
    <x v="11"/>
    <d v="2015-09-11T00:00:00"/>
    <s v="First Class"/>
    <x v="392"/>
    <x v="392"/>
    <s v="Consumer"/>
    <s v="United States"/>
    <s v="Moreno Valley"/>
    <x v="1"/>
    <n v="92553"/>
    <x v="1"/>
    <x v="1610"/>
    <x v="1"/>
    <x v="10"/>
    <x v="1601"/>
    <n v="26.4"/>
    <s v="Medium"/>
    <n v="5"/>
    <n v="0"/>
    <x v="0"/>
    <x v="0"/>
    <n v="11.88"/>
    <n v="0.45000000000000007"/>
    <n v="0"/>
  </r>
  <r>
    <n v="5058"/>
    <s v="CA-2015-162166"/>
    <d v="2015-09-08T00:00:00"/>
    <x v="1"/>
    <s v="Q3"/>
    <x v="11"/>
    <d v="2015-09-11T00:00:00"/>
    <s v="First Class"/>
    <x v="392"/>
    <x v="392"/>
    <s v="Consumer"/>
    <s v="United States"/>
    <s v="Moreno Valley"/>
    <x v="1"/>
    <n v="92553"/>
    <x v="1"/>
    <x v="700"/>
    <x v="1"/>
    <x v="4"/>
    <x v="700"/>
    <n v="41.88"/>
    <s v="Medium"/>
    <n v="6"/>
    <n v="0"/>
    <x v="0"/>
    <x v="0"/>
    <n v="0.83760000000000001"/>
    <n v="0.02"/>
    <n v="0"/>
  </r>
  <r>
    <n v="5059"/>
    <s v="CA-2016-120796"/>
    <d v="2016-04-03T00:00:00"/>
    <x v="0"/>
    <s v="Q2"/>
    <x v="25"/>
    <d v="2016-04-07T00:00:00"/>
    <s v="Standard Class"/>
    <x v="229"/>
    <x v="229"/>
    <s v="Consumer"/>
    <s v="United States"/>
    <s v="Philadelphia"/>
    <x v="9"/>
    <n v="19140"/>
    <x v="3"/>
    <x v="805"/>
    <x v="1"/>
    <x v="8"/>
    <x v="803"/>
    <n v="99.846000000000004"/>
    <s v="Medium"/>
    <n v="9"/>
    <n v="0.7"/>
    <x v="1"/>
    <x v="5"/>
    <n v="-83.204999999999998"/>
    <n v="-0.83333333333333326"/>
    <n v="1"/>
  </r>
  <r>
    <n v="5060"/>
    <s v="CA-2016-109722"/>
    <d v="2016-12-05T00:00:00"/>
    <x v="0"/>
    <s v="Q4"/>
    <x v="5"/>
    <d v="2016-12-07T00:00:00"/>
    <s v="Second Class"/>
    <x v="236"/>
    <x v="236"/>
    <s v="Consumer"/>
    <s v="United States"/>
    <s v="Georgetown"/>
    <x v="0"/>
    <n v="40324"/>
    <x v="0"/>
    <x v="754"/>
    <x v="2"/>
    <x v="7"/>
    <x v="752"/>
    <n v="699.98"/>
    <s v="High"/>
    <n v="2"/>
    <n v="0"/>
    <x v="0"/>
    <x v="0"/>
    <n v="195.99440000000001"/>
    <n v="0.28000000000000003"/>
    <n v="0"/>
  </r>
  <r>
    <n v="5061"/>
    <s v="CA-2016-109722"/>
    <d v="2016-12-05T00:00:00"/>
    <x v="0"/>
    <s v="Q4"/>
    <x v="5"/>
    <d v="2016-12-07T00:00:00"/>
    <s v="Second Class"/>
    <x v="236"/>
    <x v="236"/>
    <s v="Consumer"/>
    <s v="United States"/>
    <s v="Georgetown"/>
    <x v="0"/>
    <n v="40324"/>
    <x v="0"/>
    <x v="391"/>
    <x v="1"/>
    <x v="4"/>
    <x v="392"/>
    <n v="584.82000000000005"/>
    <s v="High"/>
    <n v="9"/>
    <n v="0"/>
    <x v="0"/>
    <x v="0"/>
    <n v="70.178399999999996"/>
    <n v="0.11999999999999998"/>
    <n v="0"/>
  </r>
  <r>
    <n v="5062"/>
    <s v="CA-2015-136798"/>
    <d v="2015-05-08T00:00:00"/>
    <x v="1"/>
    <s v="Q2"/>
    <x v="33"/>
    <d v="2015-05-12T00:00:00"/>
    <s v="Standard Class"/>
    <x v="351"/>
    <x v="351"/>
    <s v="Consumer"/>
    <s v="United States"/>
    <s v="Minneapolis"/>
    <x v="11"/>
    <n v="55407"/>
    <x v="2"/>
    <x v="715"/>
    <x v="1"/>
    <x v="8"/>
    <x v="714"/>
    <n v="43.98"/>
    <s v="Medium"/>
    <n v="2"/>
    <n v="0"/>
    <x v="0"/>
    <x v="0"/>
    <n v="21.99"/>
    <n v="0.5"/>
    <n v="0"/>
  </r>
  <r>
    <n v="5063"/>
    <s v="CA-2015-136798"/>
    <d v="2015-05-08T00:00:00"/>
    <x v="1"/>
    <s v="Q2"/>
    <x v="33"/>
    <d v="2015-05-12T00:00:00"/>
    <s v="Standard Class"/>
    <x v="351"/>
    <x v="351"/>
    <s v="Consumer"/>
    <s v="United States"/>
    <s v="Minneapolis"/>
    <x v="11"/>
    <n v="55407"/>
    <x v="2"/>
    <x v="1066"/>
    <x v="2"/>
    <x v="7"/>
    <x v="1055"/>
    <n v="377.97"/>
    <s v="High"/>
    <n v="3"/>
    <n v="0"/>
    <x v="0"/>
    <x v="0"/>
    <n v="105.83159999999999"/>
    <n v="0.27999999999999997"/>
    <n v="0"/>
  </r>
  <r>
    <n v="5064"/>
    <s v="CA-2015-136798"/>
    <d v="2015-05-08T00:00:00"/>
    <x v="1"/>
    <s v="Q2"/>
    <x v="33"/>
    <d v="2015-05-12T00:00:00"/>
    <s v="Standard Class"/>
    <x v="351"/>
    <x v="351"/>
    <s v="Consumer"/>
    <s v="United States"/>
    <s v="Minneapolis"/>
    <x v="11"/>
    <n v="55407"/>
    <x v="2"/>
    <x v="479"/>
    <x v="0"/>
    <x v="5"/>
    <x v="480"/>
    <n v="123.96"/>
    <s v="High"/>
    <n v="3"/>
    <n v="0"/>
    <x v="0"/>
    <x v="0"/>
    <n v="11.1564"/>
    <n v="0.09"/>
    <n v="0"/>
  </r>
  <r>
    <n v="5065"/>
    <s v="CA-2017-122196"/>
    <d v="2017-09-22T00:00:00"/>
    <x v="3"/>
    <s v="Q3"/>
    <x v="15"/>
    <d v="2017-09-24T00:00:00"/>
    <s v="First Class"/>
    <x v="244"/>
    <x v="244"/>
    <s v="Consumer"/>
    <s v="United States"/>
    <s v="Wilmington"/>
    <x v="13"/>
    <n v="19805"/>
    <x v="3"/>
    <x v="34"/>
    <x v="2"/>
    <x v="7"/>
    <x v="34"/>
    <n v="391.98"/>
    <s v="High"/>
    <n v="2"/>
    <n v="0"/>
    <x v="0"/>
    <x v="0"/>
    <n v="113.6742"/>
    <n v="0.28999999999999998"/>
    <n v="0"/>
  </r>
  <r>
    <n v="5066"/>
    <s v="CA-2017-142090"/>
    <d v="2017-11-30T00:00:00"/>
    <x v="3"/>
    <s v="Q4"/>
    <x v="23"/>
    <d v="2017-12-07T00:00:00"/>
    <s v="Standard Class"/>
    <x v="618"/>
    <x v="618"/>
    <s v="Consumer"/>
    <s v="United States"/>
    <s v="Burlington"/>
    <x v="3"/>
    <n v="27217"/>
    <x v="0"/>
    <x v="265"/>
    <x v="2"/>
    <x v="11"/>
    <x v="265"/>
    <n v="383.976"/>
    <s v="High"/>
    <n v="3"/>
    <n v="0.2"/>
    <x v="2"/>
    <x v="2"/>
    <n v="81.594899999999996"/>
    <n v="0.21249999999999999"/>
    <n v="0"/>
  </r>
  <r>
    <n v="5067"/>
    <s v="CA-2017-142090"/>
    <d v="2017-11-30T00:00:00"/>
    <x v="3"/>
    <s v="Q4"/>
    <x v="23"/>
    <d v="2017-12-07T00:00:00"/>
    <s v="Standard Class"/>
    <x v="618"/>
    <x v="618"/>
    <s v="Consumer"/>
    <s v="United States"/>
    <s v="Burlington"/>
    <x v="3"/>
    <n v="27217"/>
    <x v="0"/>
    <x v="411"/>
    <x v="0"/>
    <x v="3"/>
    <x v="411"/>
    <n v="1781.682"/>
    <s v="High"/>
    <n v="7"/>
    <n v="0.4"/>
    <x v="1"/>
    <x v="7"/>
    <n v="-653.28340000000003"/>
    <n v="-0.3666666666666667"/>
    <n v="1"/>
  </r>
  <r>
    <n v="5068"/>
    <s v="CA-2017-160934"/>
    <d v="2017-01-15T00:00:00"/>
    <x v="3"/>
    <s v="Q1"/>
    <x v="44"/>
    <d v="2017-01-19T00:00:00"/>
    <s v="Standard Class"/>
    <x v="499"/>
    <x v="499"/>
    <s v="Home Office"/>
    <s v="United States"/>
    <s v="Los Angeles"/>
    <x v="1"/>
    <n v="90008"/>
    <x v="1"/>
    <x v="1046"/>
    <x v="1"/>
    <x v="6"/>
    <x v="1035"/>
    <n v="21.4"/>
    <s v="Low"/>
    <n v="5"/>
    <n v="0"/>
    <x v="0"/>
    <x v="0"/>
    <n v="6.2060000000000004"/>
    <n v="0.29000000000000004"/>
    <n v="0"/>
  </r>
  <r>
    <n v="5069"/>
    <s v="CA-2014-124478"/>
    <d v="2014-08-08T00:00:00"/>
    <x v="2"/>
    <s v="Q3"/>
    <x v="9"/>
    <d v="2014-08-12T00:00:00"/>
    <s v="Standard Class"/>
    <x v="15"/>
    <x v="15"/>
    <s v="Home Office"/>
    <s v="United States"/>
    <s v="Trenton"/>
    <x v="12"/>
    <n v="48183"/>
    <x v="2"/>
    <x v="1572"/>
    <x v="2"/>
    <x v="16"/>
    <x v="1563"/>
    <n v="549.99"/>
    <s v="High"/>
    <n v="1"/>
    <n v="0"/>
    <x v="0"/>
    <x v="0"/>
    <n v="274.995"/>
    <n v="0.5"/>
    <n v="0"/>
  </r>
  <r>
    <n v="5070"/>
    <s v="CA-2014-124478"/>
    <d v="2014-08-08T00:00:00"/>
    <x v="2"/>
    <s v="Q3"/>
    <x v="9"/>
    <d v="2014-08-12T00:00:00"/>
    <s v="Standard Class"/>
    <x v="15"/>
    <x v="15"/>
    <s v="Home Office"/>
    <s v="United States"/>
    <s v="Trenton"/>
    <x v="12"/>
    <n v="48183"/>
    <x v="2"/>
    <x v="1094"/>
    <x v="1"/>
    <x v="9"/>
    <x v="1084"/>
    <n v="167.535"/>
    <s v="High"/>
    <n v="3"/>
    <n v="0.1"/>
    <x v="3"/>
    <x v="8"/>
    <n v="37.229999999999997"/>
    <n v="0.22222222222222221"/>
    <n v="0"/>
  </r>
  <r>
    <n v="5071"/>
    <s v="CA-2014-124478"/>
    <d v="2014-08-08T00:00:00"/>
    <x v="2"/>
    <s v="Q3"/>
    <x v="9"/>
    <d v="2014-08-12T00:00:00"/>
    <s v="Standard Class"/>
    <x v="15"/>
    <x v="15"/>
    <s v="Home Office"/>
    <s v="United States"/>
    <s v="Trenton"/>
    <x v="12"/>
    <n v="48183"/>
    <x v="2"/>
    <x v="118"/>
    <x v="1"/>
    <x v="12"/>
    <x v="118"/>
    <n v="38.340000000000003"/>
    <s v="Medium"/>
    <n v="3"/>
    <n v="0"/>
    <x v="0"/>
    <x v="0"/>
    <n v="17.253"/>
    <n v="0.44999999999999996"/>
    <n v="0"/>
  </r>
  <r>
    <n v="5072"/>
    <s v="CA-2014-124478"/>
    <d v="2014-08-08T00:00:00"/>
    <x v="2"/>
    <s v="Q3"/>
    <x v="9"/>
    <d v="2014-08-12T00:00:00"/>
    <s v="Standard Class"/>
    <x v="15"/>
    <x v="15"/>
    <s v="Home Office"/>
    <s v="United States"/>
    <s v="Trenton"/>
    <x v="12"/>
    <n v="48183"/>
    <x v="2"/>
    <x v="1104"/>
    <x v="0"/>
    <x v="5"/>
    <x v="1093"/>
    <n v="53.88"/>
    <s v="Medium"/>
    <n v="6"/>
    <n v="0"/>
    <x v="0"/>
    <x v="0"/>
    <n v="22.6296"/>
    <n v="0.42"/>
    <n v="0"/>
  </r>
  <r>
    <n v="5073"/>
    <s v="CA-2014-124478"/>
    <d v="2014-08-08T00:00:00"/>
    <x v="2"/>
    <s v="Q3"/>
    <x v="9"/>
    <d v="2014-08-12T00:00:00"/>
    <s v="Standard Class"/>
    <x v="15"/>
    <x v="15"/>
    <s v="Home Office"/>
    <s v="United States"/>
    <s v="Trenton"/>
    <x v="12"/>
    <n v="48183"/>
    <x v="2"/>
    <x v="1521"/>
    <x v="2"/>
    <x v="7"/>
    <x v="1508"/>
    <n v="299.98"/>
    <s v="High"/>
    <n v="2"/>
    <n v="0"/>
    <x v="0"/>
    <x v="0"/>
    <n v="83.994399999999999"/>
    <n v="0.27999999999999997"/>
    <n v="0"/>
  </r>
  <r>
    <n v="5074"/>
    <s v="CA-2015-145485"/>
    <d v="2015-11-05T00:00:00"/>
    <x v="1"/>
    <s v="Q4"/>
    <x v="6"/>
    <d v="2015-11-05T00:00:00"/>
    <s v="Same Day"/>
    <x v="594"/>
    <x v="594"/>
    <s v="Consumer"/>
    <s v="United States"/>
    <s v="San Francisco"/>
    <x v="1"/>
    <n v="94109"/>
    <x v="1"/>
    <x v="953"/>
    <x v="1"/>
    <x v="4"/>
    <x v="946"/>
    <n v="62.8"/>
    <s v="Medium"/>
    <n v="4"/>
    <n v="0"/>
    <x v="0"/>
    <x v="0"/>
    <n v="15.7"/>
    <n v="0.25"/>
    <n v="0"/>
  </r>
  <r>
    <n v="5075"/>
    <s v="CA-2017-151071"/>
    <d v="2017-04-25T00:00:00"/>
    <x v="3"/>
    <s v="Q2"/>
    <x v="4"/>
    <d v="2017-04-29T00:00:00"/>
    <s v="Second Class"/>
    <x v="469"/>
    <x v="469"/>
    <s v="Consumer"/>
    <s v="United States"/>
    <s v="Los Angeles"/>
    <x v="1"/>
    <n v="90049"/>
    <x v="1"/>
    <x v="530"/>
    <x v="1"/>
    <x v="8"/>
    <x v="530"/>
    <n v="13.904"/>
    <s v="Low"/>
    <n v="2"/>
    <n v="0.2"/>
    <x v="2"/>
    <x v="2"/>
    <n v="4.5187999999999997"/>
    <n v="0.32499999999999996"/>
    <n v="0"/>
  </r>
  <r>
    <n v="5076"/>
    <s v="CA-2014-134572"/>
    <d v="2014-04-20T00:00:00"/>
    <x v="2"/>
    <s v="Q2"/>
    <x v="41"/>
    <d v="2014-04-22T00:00:00"/>
    <s v="Second Class"/>
    <x v="277"/>
    <x v="277"/>
    <s v="Consumer"/>
    <s v="United States"/>
    <s v="Houston"/>
    <x v="5"/>
    <n v="77070"/>
    <x v="2"/>
    <x v="214"/>
    <x v="0"/>
    <x v="3"/>
    <x v="215"/>
    <n v="744.1"/>
    <s v="High"/>
    <n v="5"/>
    <n v="0.3"/>
    <x v="1"/>
    <x v="4"/>
    <n v="-95.67"/>
    <n v="-0.12857142857142856"/>
    <n v="1"/>
  </r>
  <r>
    <n v="5077"/>
    <s v="CA-2014-134572"/>
    <d v="2014-04-20T00:00:00"/>
    <x v="2"/>
    <s v="Q2"/>
    <x v="41"/>
    <d v="2014-04-22T00:00:00"/>
    <s v="Second Class"/>
    <x v="277"/>
    <x v="277"/>
    <s v="Consumer"/>
    <s v="United States"/>
    <s v="Houston"/>
    <x v="5"/>
    <n v="77070"/>
    <x v="2"/>
    <x v="602"/>
    <x v="1"/>
    <x v="4"/>
    <x v="602"/>
    <n v="44.84"/>
    <s v="Medium"/>
    <n v="5"/>
    <n v="0.2"/>
    <x v="2"/>
    <x v="2"/>
    <n v="5.6050000000000004"/>
    <n v="0.125"/>
    <n v="0"/>
  </r>
  <r>
    <n v="5078"/>
    <s v="CA-2014-134572"/>
    <d v="2014-04-20T00:00:00"/>
    <x v="2"/>
    <s v="Q2"/>
    <x v="41"/>
    <d v="2014-04-22T00:00:00"/>
    <s v="Second Class"/>
    <x v="277"/>
    <x v="277"/>
    <s v="Consumer"/>
    <s v="United States"/>
    <s v="Houston"/>
    <x v="5"/>
    <n v="77070"/>
    <x v="2"/>
    <x v="1666"/>
    <x v="0"/>
    <x v="3"/>
    <x v="1654"/>
    <n v="401.59"/>
    <s v="High"/>
    <n v="2"/>
    <n v="0.3"/>
    <x v="1"/>
    <x v="4"/>
    <n v="-131.95099999999999"/>
    <n v="-0.32857142857142857"/>
    <n v="1"/>
  </r>
  <r>
    <n v="5079"/>
    <s v="CA-2017-143217"/>
    <d v="2017-11-11T00:00:00"/>
    <x v="3"/>
    <s v="Q4"/>
    <x v="23"/>
    <d v="2017-11-17T00:00:00"/>
    <s v="Standard Class"/>
    <x v="344"/>
    <x v="344"/>
    <s v="Home Office"/>
    <s v="United States"/>
    <s v="Milwaukee"/>
    <x v="6"/>
    <n v="53209"/>
    <x v="2"/>
    <x v="525"/>
    <x v="1"/>
    <x v="8"/>
    <x v="525"/>
    <n v="18.239999999999998"/>
    <s v="Low"/>
    <n v="3"/>
    <n v="0"/>
    <x v="0"/>
    <x v="0"/>
    <n v="8.5728000000000009"/>
    <n v="0.47000000000000008"/>
    <n v="0"/>
  </r>
  <r>
    <n v="5080"/>
    <s v="US-2017-133312"/>
    <d v="2017-11-25T00:00:00"/>
    <x v="3"/>
    <s v="Q4"/>
    <x v="23"/>
    <d v="2017-11-29T00:00:00"/>
    <s v="Standard Class"/>
    <x v="214"/>
    <x v="214"/>
    <s v="Consumer"/>
    <s v="United States"/>
    <s v="San Francisco"/>
    <x v="1"/>
    <n v="94122"/>
    <x v="1"/>
    <x v="1248"/>
    <x v="0"/>
    <x v="0"/>
    <x v="1334"/>
    <n v="359.49900000000002"/>
    <s v="High"/>
    <n v="3"/>
    <n v="0.15"/>
    <x v="2"/>
    <x v="2"/>
    <n v="-29.605799999999999"/>
    <n v="-8.2352941176470573E-2"/>
    <n v="1"/>
  </r>
  <r>
    <n v="5081"/>
    <s v="US-2017-133312"/>
    <d v="2017-11-25T00:00:00"/>
    <x v="3"/>
    <s v="Q4"/>
    <x v="23"/>
    <d v="2017-11-29T00:00:00"/>
    <s v="Standard Class"/>
    <x v="214"/>
    <x v="214"/>
    <s v="Consumer"/>
    <s v="United States"/>
    <s v="San Francisco"/>
    <x v="1"/>
    <n v="94122"/>
    <x v="1"/>
    <x v="470"/>
    <x v="1"/>
    <x v="4"/>
    <x v="471"/>
    <n v="10.48"/>
    <s v="Low"/>
    <n v="1"/>
    <n v="0"/>
    <x v="0"/>
    <x v="0"/>
    <n v="2.8296000000000001"/>
    <n v="0.27"/>
    <n v="0"/>
  </r>
  <r>
    <n v="5082"/>
    <s v="US-2015-137533"/>
    <d v="2015-12-18T00:00:00"/>
    <x v="1"/>
    <s v="Q4"/>
    <x v="14"/>
    <d v="2015-12-18T00:00:00"/>
    <s v="Same Day"/>
    <x v="82"/>
    <x v="82"/>
    <s v="Home Office"/>
    <s v="United States"/>
    <s v="Cleveland"/>
    <x v="24"/>
    <n v="44105"/>
    <x v="3"/>
    <x v="490"/>
    <x v="1"/>
    <x v="10"/>
    <x v="490"/>
    <n v="20.736000000000001"/>
    <s v="Low"/>
    <n v="4"/>
    <n v="0.2"/>
    <x v="2"/>
    <x v="2"/>
    <n v="7.2576000000000001"/>
    <n v="0.35"/>
    <n v="0"/>
  </r>
  <r>
    <n v="5083"/>
    <s v="CA-2016-155138"/>
    <d v="2016-09-08T00:00:00"/>
    <x v="0"/>
    <s v="Q3"/>
    <x v="21"/>
    <d v="2016-09-12T00:00:00"/>
    <s v="Standard Class"/>
    <x v="758"/>
    <x v="758"/>
    <s v="Consumer"/>
    <s v="United States"/>
    <s v="Monroe"/>
    <x v="3"/>
    <n v="28110"/>
    <x v="0"/>
    <x v="916"/>
    <x v="2"/>
    <x v="11"/>
    <x v="908"/>
    <n v="35.167999999999999"/>
    <s v="Medium"/>
    <n v="4"/>
    <n v="0.2"/>
    <x v="2"/>
    <x v="2"/>
    <n v="8.3523999999999994"/>
    <n v="0.23749999999999999"/>
    <n v="0"/>
  </r>
  <r>
    <n v="5084"/>
    <s v="CA-2016-155138"/>
    <d v="2016-09-08T00:00:00"/>
    <x v="0"/>
    <s v="Q3"/>
    <x v="21"/>
    <d v="2016-09-12T00:00:00"/>
    <s v="Standard Class"/>
    <x v="758"/>
    <x v="758"/>
    <s v="Consumer"/>
    <s v="United States"/>
    <s v="Monroe"/>
    <x v="3"/>
    <n v="28110"/>
    <x v="0"/>
    <x v="982"/>
    <x v="1"/>
    <x v="10"/>
    <x v="975"/>
    <n v="64.703999999999994"/>
    <s v="Medium"/>
    <n v="3"/>
    <n v="0.2"/>
    <x v="2"/>
    <x v="2"/>
    <n v="23.455200000000001"/>
    <n v="0.36250000000000004"/>
    <n v="0"/>
  </r>
  <r>
    <n v="5085"/>
    <s v="CA-2016-108350"/>
    <d v="2016-06-06T00:00:00"/>
    <x v="0"/>
    <s v="Q2"/>
    <x v="1"/>
    <d v="2016-06-09T00:00:00"/>
    <s v="Second Class"/>
    <x v="554"/>
    <x v="554"/>
    <s v="Corporate"/>
    <s v="United States"/>
    <s v="Lowell"/>
    <x v="31"/>
    <n v="1852"/>
    <x v="3"/>
    <x v="779"/>
    <x v="1"/>
    <x v="10"/>
    <x v="778"/>
    <n v="105.52"/>
    <s v="Medium"/>
    <n v="4"/>
    <n v="0"/>
    <x v="0"/>
    <x v="0"/>
    <n v="48.539200000000001"/>
    <n v="0.46"/>
    <n v="0"/>
  </r>
  <r>
    <n v="5086"/>
    <s v="CA-2015-144302"/>
    <d v="2015-06-19T00:00:00"/>
    <x v="1"/>
    <s v="Q2"/>
    <x v="40"/>
    <d v="2015-06-23T00:00:00"/>
    <s v="Standard Class"/>
    <x v="467"/>
    <x v="467"/>
    <s v="Home Office"/>
    <s v="United States"/>
    <s v="Dallas"/>
    <x v="5"/>
    <n v="75081"/>
    <x v="2"/>
    <x v="497"/>
    <x v="1"/>
    <x v="8"/>
    <x v="497"/>
    <n v="5.7919999999999998"/>
    <s v="Low"/>
    <n v="2"/>
    <n v="0.8"/>
    <x v="1"/>
    <x v="3"/>
    <n v="-9.5568000000000008"/>
    <n v="-1.6500000000000001"/>
    <n v="1"/>
  </r>
  <r>
    <n v="5087"/>
    <s v="CA-2015-109001"/>
    <d v="2015-03-05T00:00:00"/>
    <x v="1"/>
    <s v="Q1"/>
    <x v="29"/>
    <d v="2015-03-09T00:00:00"/>
    <s v="Standard Class"/>
    <x v="471"/>
    <x v="471"/>
    <s v="Corporate"/>
    <s v="United States"/>
    <s v="Philadelphia"/>
    <x v="9"/>
    <n v="19120"/>
    <x v="3"/>
    <x v="1720"/>
    <x v="2"/>
    <x v="7"/>
    <x v="1707"/>
    <n v="466.15800000000002"/>
    <s v="High"/>
    <n v="7"/>
    <n v="0.4"/>
    <x v="1"/>
    <x v="7"/>
    <n v="-93.2316"/>
    <n v="-0.19999999999999998"/>
    <n v="1"/>
  </r>
  <r>
    <n v="5088"/>
    <s v="CA-2015-109001"/>
    <d v="2015-03-05T00:00:00"/>
    <x v="1"/>
    <s v="Q1"/>
    <x v="29"/>
    <d v="2015-03-09T00:00:00"/>
    <s v="Standard Class"/>
    <x v="471"/>
    <x v="471"/>
    <s v="Corporate"/>
    <s v="United States"/>
    <s v="Philadelphia"/>
    <x v="9"/>
    <n v="19120"/>
    <x v="3"/>
    <x v="553"/>
    <x v="2"/>
    <x v="11"/>
    <x v="552"/>
    <n v="10.311999999999999"/>
    <s v="Low"/>
    <n v="1"/>
    <n v="0.2"/>
    <x v="2"/>
    <x v="2"/>
    <n v="-1.2889999999999999"/>
    <n v="-0.125"/>
    <n v="1"/>
  </r>
  <r>
    <n v="5089"/>
    <s v="CA-2015-109001"/>
    <d v="2015-03-05T00:00:00"/>
    <x v="1"/>
    <s v="Q1"/>
    <x v="29"/>
    <d v="2015-03-09T00:00:00"/>
    <s v="Standard Class"/>
    <x v="471"/>
    <x v="471"/>
    <s v="Corporate"/>
    <s v="United States"/>
    <s v="Philadelphia"/>
    <x v="9"/>
    <n v="19120"/>
    <x v="3"/>
    <x v="798"/>
    <x v="1"/>
    <x v="8"/>
    <x v="796"/>
    <n v="2.556"/>
    <s v="Low"/>
    <n v="3"/>
    <n v="0.7"/>
    <x v="1"/>
    <x v="5"/>
    <n v="-1.7891999999999999"/>
    <n v="-0.7"/>
    <n v="1"/>
  </r>
  <r>
    <n v="5090"/>
    <s v="CA-2017-132738"/>
    <d v="2017-08-04T00:00:00"/>
    <x v="3"/>
    <s v="Q3"/>
    <x v="43"/>
    <d v="2017-08-07T00:00:00"/>
    <s v="First Class"/>
    <x v="447"/>
    <x v="447"/>
    <s v="Corporate"/>
    <s v="United States"/>
    <s v="Loveland"/>
    <x v="22"/>
    <n v="80538"/>
    <x v="1"/>
    <x v="1383"/>
    <x v="1"/>
    <x v="10"/>
    <x v="1369"/>
    <n v="7.968"/>
    <s v="Low"/>
    <n v="2"/>
    <n v="0.2"/>
    <x v="2"/>
    <x v="2"/>
    <n v="2.8883999999999999"/>
    <n v="0.36249999999999999"/>
    <n v="0"/>
  </r>
  <r>
    <n v="5091"/>
    <s v="CA-2017-132738"/>
    <d v="2017-08-04T00:00:00"/>
    <x v="3"/>
    <s v="Q3"/>
    <x v="43"/>
    <d v="2017-08-07T00:00:00"/>
    <s v="First Class"/>
    <x v="447"/>
    <x v="447"/>
    <s v="Corporate"/>
    <s v="United States"/>
    <s v="Loveland"/>
    <x v="22"/>
    <n v="80538"/>
    <x v="1"/>
    <x v="598"/>
    <x v="1"/>
    <x v="12"/>
    <x v="598"/>
    <n v="8.7840000000000007"/>
    <s v="Low"/>
    <n v="1"/>
    <n v="0.2"/>
    <x v="2"/>
    <x v="2"/>
    <n v="3.1842000000000001"/>
    <n v="0.36249999999999999"/>
    <n v="0"/>
  </r>
  <r>
    <n v="5092"/>
    <s v="CA-2017-156720"/>
    <d v="2017-12-30T00:00:00"/>
    <x v="3"/>
    <s v="Q4"/>
    <x v="22"/>
    <d v="2018-01-03T00:00:00"/>
    <s v="Standard Class"/>
    <x v="758"/>
    <x v="758"/>
    <s v="Consumer"/>
    <s v="United States"/>
    <s v="Loveland"/>
    <x v="22"/>
    <n v="80538"/>
    <x v="1"/>
    <x v="242"/>
    <x v="1"/>
    <x v="13"/>
    <x v="243"/>
    <n v="3.024"/>
    <s v="Low"/>
    <n v="3"/>
    <n v="0.2"/>
    <x v="2"/>
    <x v="2"/>
    <n v="-0.6048"/>
    <n v="-0.2"/>
    <n v="1"/>
  </r>
  <r>
    <n v="5093"/>
    <s v="CA-2015-119102"/>
    <d v="2015-05-23T00:00:00"/>
    <x v="1"/>
    <s v="Q2"/>
    <x v="33"/>
    <d v="2015-05-27T00:00:00"/>
    <s v="Standard Class"/>
    <x v="120"/>
    <x v="120"/>
    <s v="Corporate"/>
    <s v="United States"/>
    <s v="Woonsocket"/>
    <x v="34"/>
    <n v="2895"/>
    <x v="3"/>
    <x v="456"/>
    <x v="1"/>
    <x v="4"/>
    <x v="457"/>
    <n v="51.45"/>
    <s v="Medium"/>
    <n v="3"/>
    <n v="0"/>
    <x v="0"/>
    <x v="0"/>
    <n v="13.891500000000001"/>
    <n v="0.27"/>
    <n v="0"/>
  </r>
  <r>
    <n v="5094"/>
    <s v="US-2014-140452"/>
    <d v="2014-12-06T00:00:00"/>
    <x v="2"/>
    <s v="Q4"/>
    <x v="20"/>
    <d v="2014-12-10T00:00:00"/>
    <s v="Standard Class"/>
    <x v="318"/>
    <x v="318"/>
    <s v="Consumer"/>
    <s v="United States"/>
    <s v="Chicago"/>
    <x v="10"/>
    <n v="60610"/>
    <x v="2"/>
    <x v="1297"/>
    <x v="1"/>
    <x v="9"/>
    <x v="1282"/>
    <n v="14.016"/>
    <s v="Low"/>
    <n v="4"/>
    <n v="0.8"/>
    <x v="1"/>
    <x v="3"/>
    <n v="-31.536000000000001"/>
    <n v="-2.25"/>
    <n v="1"/>
  </r>
  <r>
    <n v="5095"/>
    <s v="US-2014-140452"/>
    <d v="2014-12-06T00:00:00"/>
    <x v="2"/>
    <s v="Q4"/>
    <x v="20"/>
    <d v="2014-12-10T00:00:00"/>
    <s v="Standard Class"/>
    <x v="318"/>
    <x v="318"/>
    <s v="Consumer"/>
    <s v="United States"/>
    <s v="Chicago"/>
    <x v="10"/>
    <n v="60610"/>
    <x v="2"/>
    <x v="838"/>
    <x v="0"/>
    <x v="3"/>
    <x v="832"/>
    <n v="214.95"/>
    <s v="High"/>
    <n v="5"/>
    <n v="0.5"/>
    <x v="1"/>
    <x v="1"/>
    <n v="-120.372"/>
    <n v="-0.56000000000000005"/>
    <n v="1"/>
  </r>
  <r>
    <n v="5096"/>
    <s v="US-2014-140452"/>
    <d v="2014-12-06T00:00:00"/>
    <x v="2"/>
    <s v="Q4"/>
    <x v="20"/>
    <d v="2014-12-10T00:00:00"/>
    <s v="Standard Class"/>
    <x v="318"/>
    <x v="318"/>
    <s v="Consumer"/>
    <s v="United States"/>
    <s v="Chicago"/>
    <x v="10"/>
    <n v="60610"/>
    <x v="2"/>
    <x v="850"/>
    <x v="2"/>
    <x v="7"/>
    <x v="843"/>
    <n v="35.04"/>
    <s v="Medium"/>
    <n v="4"/>
    <n v="0.2"/>
    <x v="2"/>
    <x v="2"/>
    <n v="-7.008"/>
    <n v="-0.2"/>
    <n v="1"/>
  </r>
  <r>
    <n v="5097"/>
    <s v="US-2014-140452"/>
    <d v="2014-12-06T00:00:00"/>
    <x v="2"/>
    <s v="Q4"/>
    <x v="20"/>
    <d v="2014-12-10T00:00:00"/>
    <s v="Standard Class"/>
    <x v="318"/>
    <x v="318"/>
    <s v="Consumer"/>
    <s v="United States"/>
    <s v="Chicago"/>
    <x v="10"/>
    <n v="60610"/>
    <x v="2"/>
    <x v="1104"/>
    <x v="0"/>
    <x v="5"/>
    <x v="1093"/>
    <n v="10.776"/>
    <s v="Low"/>
    <n v="3"/>
    <n v="0.6"/>
    <x v="1"/>
    <x v="6"/>
    <n v="-4.8491999999999997"/>
    <n v="-0.45"/>
    <n v="1"/>
  </r>
  <r>
    <n v="5098"/>
    <s v="US-2014-140452"/>
    <d v="2014-12-06T00:00:00"/>
    <x v="2"/>
    <s v="Q4"/>
    <x v="20"/>
    <d v="2014-12-10T00:00:00"/>
    <s v="Standard Class"/>
    <x v="318"/>
    <x v="318"/>
    <s v="Consumer"/>
    <s v="United States"/>
    <s v="Chicago"/>
    <x v="10"/>
    <n v="60610"/>
    <x v="2"/>
    <x v="1023"/>
    <x v="1"/>
    <x v="8"/>
    <x v="1014"/>
    <n v="4.5999999999999996"/>
    <s v="Low"/>
    <n v="2"/>
    <n v="0.8"/>
    <x v="1"/>
    <x v="3"/>
    <n v="-8.0500000000000007"/>
    <n v="-1.7500000000000002"/>
    <n v="1"/>
  </r>
  <r>
    <n v="5099"/>
    <s v="US-2014-140452"/>
    <d v="2014-12-06T00:00:00"/>
    <x v="2"/>
    <s v="Q4"/>
    <x v="20"/>
    <d v="2014-12-10T00:00:00"/>
    <s v="Standard Class"/>
    <x v="318"/>
    <x v="318"/>
    <s v="Consumer"/>
    <s v="United States"/>
    <s v="Chicago"/>
    <x v="10"/>
    <n v="60610"/>
    <x v="2"/>
    <x v="210"/>
    <x v="1"/>
    <x v="4"/>
    <x v="211"/>
    <n v="35.167999999999999"/>
    <s v="Medium"/>
    <n v="2"/>
    <n v="0.2"/>
    <x v="2"/>
    <x v="2"/>
    <n v="-8.3523999999999994"/>
    <n v="-0.23749999999999999"/>
    <n v="1"/>
  </r>
  <r>
    <n v="5100"/>
    <s v="CA-2015-141936"/>
    <d v="2015-08-07T00:00:00"/>
    <x v="1"/>
    <s v="Q3"/>
    <x v="37"/>
    <d v="2015-08-12T00:00:00"/>
    <s v="Standard Class"/>
    <x v="43"/>
    <x v="43"/>
    <s v="Home Office"/>
    <s v="United States"/>
    <s v="Bakersfield"/>
    <x v="1"/>
    <n v="93309"/>
    <x v="1"/>
    <x v="416"/>
    <x v="1"/>
    <x v="8"/>
    <x v="416"/>
    <n v="19.152000000000001"/>
    <s v="Low"/>
    <n v="3"/>
    <n v="0.2"/>
    <x v="2"/>
    <x v="2"/>
    <n v="6.4638"/>
    <n v="0.33749999999999997"/>
    <n v="0"/>
  </r>
  <r>
    <n v="5101"/>
    <s v="CA-2014-158442"/>
    <d v="2014-03-17T00:00:00"/>
    <x v="2"/>
    <s v="Q1"/>
    <x v="34"/>
    <d v="2014-03-17T00:00:00"/>
    <s v="Same Day"/>
    <x v="616"/>
    <x v="616"/>
    <s v="Consumer"/>
    <s v="United States"/>
    <s v="Dallas"/>
    <x v="5"/>
    <n v="75217"/>
    <x v="2"/>
    <x v="324"/>
    <x v="1"/>
    <x v="6"/>
    <x v="324"/>
    <n v="4.4480000000000004"/>
    <s v="Low"/>
    <n v="2"/>
    <n v="0.2"/>
    <x v="2"/>
    <x v="2"/>
    <n v="0.33360000000000001"/>
    <n v="7.4999999999999997E-2"/>
    <n v="0"/>
  </r>
  <r>
    <n v="5102"/>
    <s v="CA-2014-158442"/>
    <d v="2014-03-17T00:00:00"/>
    <x v="2"/>
    <s v="Q1"/>
    <x v="34"/>
    <d v="2014-03-17T00:00:00"/>
    <s v="Same Day"/>
    <x v="616"/>
    <x v="616"/>
    <s v="Consumer"/>
    <s v="United States"/>
    <s v="Dallas"/>
    <x v="5"/>
    <n v="75217"/>
    <x v="2"/>
    <x v="727"/>
    <x v="1"/>
    <x v="10"/>
    <x v="1552"/>
    <n v="5.1840000000000002"/>
    <s v="Low"/>
    <n v="1"/>
    <n v="0.2"/>
    <x v="2"/>
    <x v="2"/>
    <n v="1.8792"/>
    <n v="0.36249999999999999"/>
    <n v="0"/>
  </r>
  <r>
    <n v="5103"/>
    <s v="CA-2014-158442"/>
    <d v="2014-03-17T00:00:00"/>
    <x v="2"/>
    <s v="Q1"/>
    <x v="34"/>
    <d v="2014-03-17T00:00:00"/>
    <s v="Same Day"/>
    <x v="616"/>
    <x v="616"/>
    <s v="Consumer"/>
    <s v="United States"/>
    <s v="Dallas"/>
    <x v="5"/>
    <n v="75217"/>
    <x v="2"/>
    <x v="12"/>
    <x v="1"/>
    <x v="10"/>
    <x v="12"/>
    <n v="15.552"/>
    <s v="Low"/>
    <n v="3"/>
    <n v="0.2"/>
    <x v="2"/>
    <x v="2"/>
    <n v="5.4432"/>
    <n v="0.35000000000000003"/>
    <n v="0"/>
  </r>
  <r>
    <n v="5104"/>
    <s v="CA-2015-167374"/>
    <d v="2015-03-26T00:00:00"/>
    <x v="1"/>
    <s v="Q1"/>
    <x v="29"/>
    <d v="2015-03-30T00:00:00"/>
    <s v="Second Class"/>
    <x v="421"/>
    <x v="421"/>
    <s v="Consumer"/>
    <s v="United States"/>
    <s v="Philadelphia"/>
    <x v="9"/>
    <n v="19140"/>
    <x v="3"/>
    <x v="144"/>
    <x v="1"/>
    <x v="10"/>
    <x v="145"/>
    <n v="40.031999999999996"/>
    <s v="Medium"/>
    <n v="6"/>
    <n v="0.2"/>
    <x v="2"/>
    <x v="2"/>
    <n v="12.51"/>
    <n v="0.3125"/>
    <n v="0"/>
  </r>
  <r>
    <n v="5105"/>
    <s v="CA-2015-167374"/>
    <d v="2015-03-26T00:00:00"/>
    <x v="1"/>
    <s v="Q1"/>
    <x v="29"/>
    <d v="2015-03-30T00:00:00"/>
    <s v="Second Class"/>
    <x v="421"/>
    <x v="421"/>
    <s v="Consumer"/>
    <s v="United States"/>
    <s v="Philadelphia"/>
    <x v="9"/>
    <n v="19140"/>
    <x v="3"/>
    <x v="60"/>
    <x v="2"/>
    <x v="11"/>
    <x v="60"/>
    <n v="16.776"/>
    <s v="Low"/>
    <n v="3"/>
    <n v="0.2"/>
    <x v="2"/>
    <x v="2"/>
    <n v="5.0327999999999999"/>
    <n v="0.3"/>
    <n v="0"/>
  </r>
  <r>
    <n v="5106"/>
    <s v="CA-2014-116568"/>
    <d v="2014-12-14T00:00:00"/>
    <x v="2"/>
    <s v="Q4"/>
    <x v="20"/>
    <d v="2014-12-20T00:00:00"/>
    <s v="Standard Class"/>
    <x v="298"/>
    <x v="298"/>
    <s v="Consumer"/>
    <s v="United States"/>
    <s v="Deltona"/>
    <x v="2"/>
    <n v="32725"/>
    <x v="0"/>
    <x v="1340"/>
    <x v="0"/>
    <x v="1"/>
    <x v="1325"/>
    <n v="186.304"/>
    <s v="High"/>
    <n v="4"/>
    <n v="0.2"/>
    <x v="2"/>
    <x v="2"/>
    <n v="13.972799999999999"/>
    <n v="7.4999999999999997E-2"/>
    <n v="0"/>
  </r>
  <r>
    <n v="5107"/>
    <s v="CA-2015-147102"/>
    <d v="2015-09-19T00:00:00"/>
    <x v="1"/>
    <s v="Q3"/>
    <x v="11"/>
    <d v="2015-09-26T00:00:00"/>
    <s v="Standard Class"/>
    <x v="468"/>
    <x v="468"/>
    <s v="Corporate"/>
    <s v="United States"/>
    <s v="Columbus"/>
    <x v="32"/>
    <n v="31907"/>
    <x v="0"/>
    <x v="1350"/>
    <x v="2"/>
    <x v="11"/>
    <x v="1336"/>
    <n v="66.36"/>
    <s v="Medium"/>
    <n v="4"/>
    <n v="0"/>
    <x v="0"/>
    <x v="0"/>
    <n v="23.225999999999999"/>
    <n v="0.35"/>
    <n v="0"/>
  </r>
  <r>
    <n v="5108"/>
    <s v="CA-2017-132213"/>
    <d v="2017-04-25T00:00:00"/>
    <x v="3"/>
    <s v="Q2"/>
    <x v="4"/>
    <d v="2017-04-26T00:00:00"/>
    <s v="First Class"/>
    <x v="43"/>
    <x v="43"/>
    <s v="Home Office"/>
    <s v="United States"/>
    <s v="Nashville"/>
    <x v="18"/>
    <n v="37211"/>
    <x v="0"/>
    <x v="512"/>
    <x v="1"/>
    <x v="6"/>
    <x v="512"/>
    <n v="42.048000000000002"/>
    <s v="Medium"/>
    <n v="9"/>
    <n v="0.2"/>
    <x v="2"/>
    <x v="2"/>
    <n v="5.2560000000000002"/>
    <n v="0.125"/>
    <n v="0"/>
  </r>
  <r>
    <n v="5109"/>
    <s v="CA-2017-132213"/>
    <d v="2017-04-25T00:00:00"/>
    <x v="3"/>
    <s v="Q2"/>
    <x v="4"/>
    <d v="2017-04-26T00:00:00"/>
    <s v="First Class"/>
    <x v="43"/>
    <x v="43"/>
    <s v="Home Office"/>
    <s v="United States"/>
    <s v="Nashville"/>
    <x v="18"/>
    <n v="37211"/>
    <x v="0"/>
    <x v="207"/>
    <x v="1"/>
    <x v="6"/>
    <x v="208"/>
    <n v="67.92"/>
    <s v="Medium"/>
    <n v="5"/>
    <n v="0.2"/>
    <x v="2"/>
    <x v="2"/>
    <n v="6.7919999999999998"/>
    <n v="9.9999999999999992E-2"/>
    <n v="0"/>
  </r>
  <r>
    <n v="5110"/>
    <s v="CA-2014-138450"/>
    <d v="2014-10-18T00:00:00"/>
    <x v="2"/>
    <s v="Q4"/>
    <x v="18"/>
    <d v="2014-10-22T00:00:00"/>
    <s v="Standard Class"/>
    <x v="553"/>
    <x v="553"/>
    <s v="Corporate"/>
    <s v="United States"/>
    <s v="Philadelphia"/>
    <x v="9"/>
    <n v="19134"/>
    <x v="3"/>
    <x v="466"/>
    <x v="1"/>
    <x v="12"/>
    <x v="467"/>
    <n v="52.512"/>
    <s v="Medium"/>
    <n v="6"/>
    <n v="0.2"/>
    <x v="2"/>
    <x v="2"/>
    <n v="19.692"/>
    <n v="0.375"/>
    <n v="0"/>
  </r>
  <r>
    <n v="5111"/>
    <s v="CA-2014-138450"/>
    <d v="2014-10-18T00:00:00"/>
    <x v="2"/>
    <s v="Q4"/>
    <x v="18"/>
    <d v="2014-10-22T00:00:00"/>
    <s v="Standard Class"/>
    <x v="553"/>
    <x v="553"/>
    <s v="Corporate"/>
    <s v="United States"/>
    <s v="Philadelphia"/>
    <x v="9"/>
    <n v="19134"/>
    <x v="3"/>
    <x v="41"/>
    <x v="1"/>
    <x v="4"/>
    <x v="41"/>
    <n v="186.91200000000001"/>
    <s v="High"/>
    <n v="6"/>
    <n v="0.2"/>
    <x v="2"/>
    <x v="2"/>
    <n v="-35.045999999999999"/>
    <n v="-0.1875"/>
    <n v="1"/>
  </r>
  <r>
    <n v="5112"/>
    <s v="CA-2014-138450"/>
    <d v="2014-10-18T00:00:00"/>
    <x v="2"/>
    <s v="Q4"/>
    <x v="18"/>
    <d v="2014-10-22T00:00:00"/>
    <s v="Standard Class"/>
    <x v="553"/>
    <x v="553"/>
    <s v="Corporate"/>
    <s v="United States"/>
    <s v="Philadelphia"/>
    <x v="9"/>
    <n v="19134"/>
    <x v="3"/>
    <x v="1407"/>
    <x v="1"/>
    <x v="10"/>
    <x v="1394"/>
    <n v="10.048"/>
    <s v="Low"/>
    <n v="4"/>
    <n v="0.2"/>
    <x v="2"/>
    <x v="2"/>
    <n v="3.14"/>
    <n v="0.3125"/>
    <n v="0"/>
  </r>
  <r>
    <n v="5113"/>
    <s v="CA-2015-153073"/>
    <d v="2015-11-13T00:00:00"/>
    <x v="1"/>
    <s v="Q4"/>
    <x v="6"/>
    <d v="2015-11-13T00:00:00"/>
    <s v="Same Day"/>
    <x v="456"/>
    <x v="456"/>
    <s v="Consumer"/>
    <s v="United States"/>
    <s v="Chicago"/>
    <x v="10"/>
    <n v="60610"/>
    <x v="2"/>
    <x v="1721"/>
    <x v="0"/>
    <x v="5"/>
    <x v="1708"/>
    <n v="17.495999999999999"/>
    <s v="Low"/>
    <n v="9"/>
    <n v="0.6"/>
    <x v="1"/>
    <x v="6"/>
    <n v="-7.4358000000000004"/>
    <n v="-0.42500000000000004"/>
    <n v="1"/>
  </r>
  <r>
    <n v="5114"/>
    <s v="CA-2016-147970"/>
    <d v="2016-01-31T00:00:00"/>
    <x v="0"/>
    <s v="Q1"/>
    <x v="12"/>
    <d v="2016-02-02T00:00:00"/>
    <s v="Second Class"/>
    <x v="492"/>
    <x v="492"/>
    <s v="Consumer"/>
    <s v="United States"/>
    <s v="Dallas"/>
    <x v="5"/>
    <n v="75220"/>
    <x v="2"/>
    <x v="1307"/>
    <x v="1"/>
    <x v="10"/>
    <x v="1292"/>
    <n v="15.552"/>
    <s v="Low"/>
    <n v="3"/>
    <n v="0.2"/>
    <x v="2"/>
    <x v="2"/>
    <n v="5.4432"/>
    <n v="0.35000000000000003"/>
    <n v="0"/>
  </r>
  <r>
    <n v="5115"/>
    <s v="CA-2016-150658"/>
    <d v="2016-11-17T00:00:00"/>
    <x v="0"/>
    <s v="Q4"/>
    <x v="0"/>
    <d v="2016-11-22T00:00:00"/>
    <s v="Standard Class"/>
    <x v="333"/>
    <x v="333"/>
    <s v="Consumer"/>
    <s v="United States"/>
    <s v="Carlsbad"/>
    <x v="27"/>
    <n v="88220"/>
    <x v="1"/>
    <x v="307"/>
    <x v="1"/>
    <x v="8"/>
    <x v="307"/>
    <n v="10.776"/>
    <s v="Low"/>
    <n v="3"/>
    <n v="0.2"/>
    <x v="2"/>
    <x v="2"/>
    <n v="3.3675000000000002"/>
    <n v="0.3125"/>
    <n v="0"/>
  </r>
  <r>
    <n v="5116"/>
    <s v="CA-2017-125640"/>
    <d v="2017-07-25T00:00:00"/>
    <x v="3"/>
    <s v="Q3"/>
    <x v="10"/>
    <d v="2017-07-29T00:00:00"/>
    <s v="Standard Class"/>
    <x v="732"/>
    <x v="732"/>
    <s v="Consumer"/>
    <s v="United States"/>
    <s v="Philadelphia"/>
    <x v="9"/>
    <n v="19134"/>
    <x v="3"/>
    <x v="1722"/>
    <x v="1"/>
    <x v="2"/>
    <x v="1709"/>
    <n v="3.3039999999999998"/>
    <s v="Low"/>
    <n v="1"/>
    <n v="0.2"/>
    <x v="2"/>
    <x v="2"/>
    <n v="1.0738000000000001"/>
    <n v="0.32500000000000007"/>
    <n v="0"/>
  </r>
  <r>
    <n v="5117"/>
    <s v="CA-2017-154137"/>
    <d v="2017-11-11T00:00:00"/>
    <x v="3"/>
    <s v="Q4"/>
    <x v="23"/>
    <d v="2017-11-17T00:00:00"/>
    <s v="Standard Class"/>
    <x v="363"/>
    <x v="363"/>
    <s v="Consumer"/>
    <s v="United States"/>
    <s v="New York City"/>
    <x v="15"/>
    <n v="10009"/>
    <x v="3"/>
    <x v="1032"/>
    <x v="1"/>
    <x v="4"/>
    <x v="1023"/>
    <n v="35.479999999999997"/>
    <s v="Medium"/>
    <n v="1"/>
    <n v="0"/>
    <x v="0"/>
    <x v="0"/>
    <n v="0"/>
    <n v="0"/>
    <n v="0"/>
  </r>
  <r>
    <n v="5118"/>
    <s v="CA-2015-127173"/>
    <d v="2015-09-26T00:00:00"/>
    <x v="1"/>
    <s v="Q3"/>
    <x v="11"/>
    <d v="2015-10-03T00:00:00"/>
    <s v="Standard Class"/>
    <x v="421"/>
    <x v="421"/>
    <s v="Consumer"/>
    <s v="United States"/>
    <s v="Oceanside"/>
    <x v="15"/>
    <n v="11572"/>
    <x v="3"/>
    <x v="271"/>
    <x v="1"/>
    <x v="13"/>
    <x v="271"/>
    <n v="34.44"/>
    <s v="Medium"/>
    <n v="3"/>
    <n v="0"/>
    <x v="0"/>
    <x v="0"/>
    <n v="16.186800000000002"/>
    <n v="0.47000000000000008"/>
    <n v="0"/>
  </r>
  <r>
    <n v="5119"/>
    <s v="CA-2015-127173"/>
    <d v="2015-09-26T00:00:00"/>
    <x v="1"/>
    <s v="Q3"/>
    <x v="11"/>
    <d v="2015-10-03T00:00:00"/>
    <s v="Standard Class"/>
    <x v="421"/>
    <x v="421"/>
    <s v="Consumer"/>
    <s v="United States"/>
    <s v="Oceanside"/>
    <x v="15"/>
    <n v="11572"/>
    <x v="3"/>
    <x v="1548"/>
    <x v="2"/>
    <x v="15"/>
    <x v="1536"/>
    <n v="629.92999999999995"/>
    <s v="High"/>
    <n v="7"/>
    <n v="0"/>
    <x v="0"/>
    <x v="0"/>
    <n v="296.06709999999998"/>
    <n v="0.47000000000000003"/>
    <n v="0"/>
  </r>
  <r>
    <n v="5120"/>
    <s v="CA-2015-127173"/>
    <d v="2015-09-26T00:00:00"/>
    <x v="1"/>
    <s v="Q3"/>
    <x v="11"/>
    <d v="2015-10-03T00:00:00"/>
    <s v="Standard Class"/>
    <x v="421"/>
    <x v="421"/>
    <s v="Consumer"/>
    <s v="United States"/>
    <s v="Oceanside"/>
    <x v="15"/>
    <n v="11572"/>
    <x v="3"/>
    <x v="1045"/>
    <x v="1"/>
    <x v="8"/>
    <x v="1034"/>
    <n v="79.055999999999997"/>
    <s v="Medium"/>
    <n v="9"/>
    <n v="0.2"/>
    <x v="2"/>
    <x v="2"/>
    <n v="28.657800000000002"/>
    <n v="0.36250000000000004"/>
    <n v="0"/>
  </r>
  <r>
    <n v="5121"/>
    <s v="CA-2014-149538"/>
    <d v="2014-04-04T00:00:00"/>
    <x v="2"/>
    <s v="Q2"/>
    <x v="41"/>
    <d v="2014-04-08T00:00:00"/>
    <s v="Standard Class"/>
    <x v="10"/>
    <x v="10"/>
    <s v="Corporate"/>
    <s v="United States"/>
    <s v="Lafayette"/>
    <x v="28"/>
    <n v="70506"/>
    <x v="0"/>
    <x v="243"/>
    <x v="1"/>
    <x v="4"/>
    <x v="244"/>
    <n v="232.55"/>
    <s v="High"/>
    <n v="5"/>
    <n v="0"/>
    <x v="0"/>
    <x v="0"/>
    <n v="9.3019999999999996"/>
    <n v="3.9999999999999994E-2"/>
    <n v="0"/>
  </r>
  <r>
    <n v="5122"/>
    <s v="CA-2014-149538"/>
    <d v="2014-04-04T00:00:00"/>
    <x v="2"/>
    <s v="Q2"/>
    <x v="41"/>
    <d v="2014-04-08T00:00:00"/>
    <s v="Standard Class"/>
    <x v="10"/>
    <x v="10"/>
    <s v="Corporate"/>
    <s v="United States"/>
    <s v="Lafayette"/>
    <x v="28"/>
    <n v="70506"/>
    <x v="0"/>
    <x v="1135"/>
    <x v="2"/>
    <x v="11"/>
    <x v="1123"/>
    <n v="99.98"/>
    <s v="Medium"/>
    <n v="2"/>
    <n v="0"/>
    <x v="0"/>
    <x v="0"/>
    <n v="42.991399999999999"/>
    <n v="0.43"/>
    <n v="0"/>
  </r>
  <r>
    <n v="5123"/>
    <s v="CA-2014-149538"/>
    <d v="2014-04-04T00:00:00"/>
    <x v="2"/>
    <s v="Q2"/>
    <x v="41"/>
    <d v="2014-04-08T00:00:00"/>
    <s v="Standard Class"/>
    <x v="10"/>
    <x v="10"/>
    <s v="Corporate"/>
    <s v="United States"/>
    <s v="Lafayette"/>
    <x v="28"/>
    <n v="70506"/>
    <x v="0"/>
    <x v="1723"/>
    <x v="1"/>
    <x v="10"/>
    <x v="1710"/>
    <n v="19.440000000000001"/>
    <s v="Low"/>
    <n v="3"/>
    <n v="0"/>
    <x v="0"/>
    <x v="0"/>
    <n v="9.3312000000000008"/>
    <n v="0.48000000000000004"/>
    <n v="0"/>
  </r>
  <r>
    <n v="5124"/>
    <s v="CA-2014-149538"/>
    <d v="2014-04-04T00:00:00"/>
    <x v="2"/>
    <s v="Q2"/>
    <x v="41"/>
    <d v="2014-04-08T00:00:00"/>
    <s v="Standard Class"/>
    <x v="10"/>
    <x v="10"/>
    <s v="Corporate"/>
    <s v="United States"/>
    <s v="Lafayette"/>
    <x v="28"/>
    <n v="70506"/>
    <x v="0"/>
    <x v="727"/>
    <x v="1"/>
    <x v="10"/>
    <x v="1552"/>
    <n v="12.96"/>
    <s v="Low"/>
    <n v="2"/>
    <n v="0"/>
    <x v="0"/>
    <x v="0"/>
    <n v="6.3503999999999996"/>
    <n v="0.48999999999999994"/>
    <n v="0"/>
  </r>
  <r>
    <n v="5125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977"/>
    <x v="0"/>
    <x v="3"/>
    <x v="832"/>
    <n v="464.29199999999997"/>
    <s v="High"/>
    <n v="9"/>
    <n v="0.4"/>
    <x v="1"/>
    <x v="7"/>
    <n v="-108.3348"/>
    <n v="-0.23333333333333334"/>
    <n v="1"/>
  </r>
  <r>
    <n v="5126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706"/>
    <x v="1"/>
    <x v="12"/>
    <x v="153"/>
    <n v="68.459999999999994"/>
    <s v="Medium"/>
    <n v="7"/>
    <n v="0"/>
    <x v="0"/>
    <x v="0"/>
    <n v="31.491599999999998"/>
    <n v="0.46"/>
    <n v="0"/>
  </r>
  <r>
    <n v="5127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814"/>
    <x v="2"/>
    <x v="15"/>
    <x v="810"/>
    <n v="2799.96"/>
    <s v="High"/>
    <n v="4"/>
    <n v="0"/>
    <x v="0"/>
    <x v="0"/>
    <n v="1371.9803999999999"/>
    <n v="0.49"/>
    <n v="0"/>
  </r>
  <r>
    <n v="5128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227"/>
    <x v="1"/>
    <x v="9"/>
    <x v="228"/>
    <n v="601.29999999999995"/>
    <s v="High"/>
    <n v="2"/>
    <n v="0"/>
    <x v="0"/>
    <x v="0"/>
    <n v="198.429"/>
    <n v="0.33"/>
    <n v="0"/>
  </r>
  <r>
    <n v="5129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1259"/>
    <x v="2"/>
    <x v="7"/>
    <x v="1243"/>
    <n v="16.989999999999998"/>
    <s v="Low"/>
    <n v="1"/>
    <n v="0"/>
    <x v="0"/>
    <x v="0"/>
    <n v="4.4173999999999998"/>
    <n v="0.26"/>
    <n v="0"/>
  </r>
  <r>
    <n v="5130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1485"/>
    <x v="2"/>
    <x v="7"/>
    <x v="1472"/>
    <n v="287.97000000000003"/>
    <s v="High"/>
    <n v="3"/>
    <n v="0"/>
    <x v="0"/>
    <x v="0"/>
    <n v="80.631600000000006"/>
    <n v="0.27999999999999997"/>
    <n v="0"/>
  </r>
  <r>
    <n v="5131"/>
    <s v="CA-2014-160766"/>
    <d v="2014-09-14T00:00:00"/>
    <x v="2"/>
    <s v="Q3"/>
    <x v="30"/>
    <d v="2014-09-14T00:00:00"/>
    <s v="Same Day"/>
    <x v="661"/>
    <x v="661"/>
    <s v="Consumer"/>
    <s v="United States"/>
    <s v="New York City"/>
    <x v="15"/>
    <n v="10009"/>
    <x v="3"/>
    <x v="1463"/>
    <x v="1"/>
    <x v="10"/>
    <x v="1449"/>
    <n v="44.82"/>
    <s v="Medium"/>
    <n v="9"/>
    <n v="0"/>
    <x v="0"/>
    <x v="0"/>
    <n v="21.0654"/>
    <n v="0.47000000000000003"/>
    <n v="0"/>
  </r>
  <r>
    <n v="5132"/>
    <s v="CA-2017-146626"/>
    <d v="2017-12-29T00:00:00"/>
    <x v="3"/>
    <s v="Q4"/>
    <x v="22"/>
    <d v="2018-01-05T00:00:00"/>
    <s v="Standard Class"/>
    <x v="130"/>
    <x v="130"/>
    <s v="Corporate"/>
    <s v="United States"/>
    <s v="Anaheim"/>
    <x v="1"/>
    <n v="92804"/>
    <x v="1"/>
    <x v="1308"/>
    <x v="0"/>
    <x v="5"/>
    <x v="1293"/>
    <n v="101.12"/>
    <s v="Medium"/>
    <n v="8"/>
    <n v="0"/>
    <x v="0"/>
    <x v="0"/>
    <n v="37.414400000000001"/>
    <n v="0.37"/>
    <n v="0"/>
  </r>
  <r>
    <n v="5133"/>
    <s v="CA-2015-123330"/>
    <d v="2015-06-21T00:00:00"/>
    <x v="1"/>
    <s v="Q2"/>
    <x v="40"/>
    <d v="2015-06-27T00:00:00"/>
    <s v="Standard Class"/>
    <x v="212"/>
    <x v="212"/>
    <s v="Consumer"/>
    <s v="United States"/>
    <s v="Deltona"/>
    <x v="2"/>
    <n v="32725"/>
    <x v="0"/>
    <x v="817"/>
    <x v="2"/>
    <x v="7"/>
    <x v="813"/>
    <n v="107.976"/>
    <s v="Medium"/>
    <n v="3"/>
    <n v="0.2"/>
    <x v="2"/>
    <x v="2"/>
    <n v="37.791600000000003"/>
    <n v="0.35000000000000003"/>
    <n v="0"/>
  </r>
  <r>
    <n v="5134"/>
    <s v="CA-2017-155607"/>
    <d v="2017-11-26T00:00:00"/>
    <x v="3"/>
    <s v="Q4"/>
    <x v="23"/>
    <d v="2017-11-30T00:00:00"/>
    <s v="Standard Class"/>
    <x v="435"/>
    <x v="435"/>
    <s v="Home Office"/>
    <s v="United States"/>
    <s v="New York City"/>
    <x v="15"/>
    <n v="10009"/>
    <x v="3"/>
    <x v="1612"/>
    <x v="1"/>
    <x v="9"/>
    <x v="1603"/>
    <n v="58.73"/>
    <s v="Medium"/>
    <n v="7"/>
    <n v="0"/>
    <x v="0"/>
    <x v="0"/>
    <n v="14.682499999999999"/>
    <n v="0.25"/>
    <n v="0"/>
  </r>
  <r>
    <n v="5135"/>
    <s v="CA-2017-155607"/>
    <d v="2017-11-26T00:00:00"/>
    <x v="3"/>
    <s v="Q4"/>
    <x v="23"/>
    <d v="2017-11-30T00:00:00"/>
    <s v="Standard Class"/>
    <x v="435"/>
    <x v="435"/>
    <s v="Home Office"/>
    <s v="United States"/>
    <s v="New York City"/>
    <x v="15"/>
    <n v="10009"/>
    <x v="3"/>
    <x v="705"/>
    <x v="1"/>
    <x v="8"/>
    <x v="705"/>
    <n v="93.343999999999994"/>
    <s v="Medium"/>
    <n v="4"/>
    <n v="0.2"/>
    <x v="2"/>
    <x v="2"/>
    <n v="32.670400000000001"/>
    <n v="0.35000000000000003"/>
    <n v="0"/>
  </r>
  <r>
    <n v="5136"/>
    <s v="CA-2016-151323"/>
    <d v="2016-10-23T00:00:00"/>
    <x v="0"/>
    <s v="Q4"/>
    <x v="32"/>
    <d v="2016-10-28T00:00:00"/>
    <s v="Standard Class"/>
    <x v="437"/>
    <x v="437"/>
    <s v="Home Office"/>
    <s v="United States"/>
    <s v="Seattle"/>
    <x v="4"/>
    <n v="98103"/>
    <x v="1"/>
    <x v="263"/>
    <x v="1"/>
    <x v="13"/>
    <x v="263"/>
    <n v="17.05"/>
    <s v="Low"/>
    <n v="5"/>
    <n v="0"/>
    <x v="0"/>
    <x v="0"/>
    <n v="8.1839999999999993"/>
    <n v="0.47999999999999993"/>
    <n v="0"/>
  </r>
  <r>
    <n v="5137"/>
    <s v="CA-2015-146696"/>
    <d v="2015-12-14T00:00:00"/>
    <x v="1"/>
    <s v="Q4"/>
    <x v="14"/>
    <d v="2015-12-19T00:00:00"/>
    <s v="Standard Class"/>
    <x v="502"/>
    <x v="502"/>
    <s v="Consumer"/>
    <s v="United States"/>
    <s v="San Diego"/>
    <x v="1"/>
    <n v="92105"/>
    <x v="1"/>
    <x v="881"/>
    <x v="1"/>
    <x v="8"/>
    <x v="875"/>
    <n v="8.0960000000000001"/>
    <s v="Low"/>
    <n v="2"/>
    <n v="0.2"/>
    <x v="2"/>
    <x v="2"/>
    <n v="2.7324000000000002"/>
    <n v="0.33750000000000002"/>
    <n v="0"/>
  </r>
  <r>
    <n v="5138"/>
    <s v="CA-2016-128972"/>
    <d v="2016-11-13T00:00:00"/>
    <x v="0"/>
    <s v="Q4"/>
    <x v="0"/>
    <d v="2016-11-17T00:00:00"/>
    <s v="Standard Class"/>
    <x v="747"/>
    <x v="747"/>
    <s v="Corporate"/>
    <s v="United States"/>
    <s v="Oklahoma City"/>
    <x v="26"/>
    <n v="73120"/>
    <x v="2"/>
    <x v="560"/>
    <x v="0"/>
    <x v="5"/>
    <x v="559"/>
    <n v="30.36"/>
    <s v="Medium"/>
    <n v="4"/>
    <n v="0"/>
    <x v="0"/>
    <x v="0"/>
    <n v="13.0548"/>
    <n v="0.43"/>
    <n v="0"/>
  </r>
  <r>
    <n v="5139"/>
    <s v="CA-2017-128335"/>
    <d v="2017-09-29T00:00:00"/>
    <x v="3"/>
    <s v="Q3"/>
    <x v="15"/>
    <d v="2017-10-05T00:00:00"/>
    <s v="Standard Class"/>
    <x v="350"/>
    <x v="350"/>
    <s v="Consumer"/>
    <s v="United States"/>
    <s v="Mount Vernon"/>
    <x v="15"/>
    <n v="10550"/>
    <x v="3"/>
    <x v="837"/>
    <x v="1"/>
    <x v="12"/>
    <x v="153"/>
    <n v="23.34"/>
    <s v="Low"/>
    <n v="3"/>
    <n v="0"/>
    <x v="0"/>
    <x v="0"/>
    <n v="10.969799999999999"/>
    <n v="0.47"/>
    <n v="0"/>
  </r>
  <r>
    <n v="5140"/>
    <s v="CA-2017-128335"/>
    <d v="2017-09-29T00:00:00"/>
    <x v="3"/>
    <s v="Q3"/>
    <x v="15"/>
    <d v="2017-10-05T00:00:00"/>
    <s v="Standard Class"/>
    <x v="350"/>
    <x v="350"/>
    <s v="Consumer"/>
    <s v="United States"/>
    <s v="Mount Vernon"/>
    <x v="15"/>
    <n v="10550"/>
    <x v="3"/>
    <x v="1540"/>
    <x v="1"/>
    <x v="10"/>
    <x v="1528"/>
    <n v="51.55"/>
    <s v="Medium"/>
    <n v="5"/>
    <n v="0"/>
    <x v="0"/>
    <x v="0"/>
    <n v="24.2285"/>
    <n v="0.47000000000000003"/>
    <n v="0"/>
  </r>
  <r>
    <n v="5141"/>
    <s v="CA-2015-154886"/>
    <d v="2015-11-08T00:00:00"/>
    <x v="1"/>
    <s v="Q4"/>
    <x v="6"/>
    <d v="2015-11-12T00:00:00"/>
    <s v="Standard Class"/>
    <x v="517"/>
    <x v="517"/>
    <s v="Consumer"/>
    <s v="United States"/>
    <s v="San Francisco"/>
    <x v="1"/>
    <n v="94109"/>
    <x v="1"/>
    <x v="259"/>
    <x v="2"/>
    <x v="11"/>
    <x v="259"/>
    <n v="119.9"/>
    <s v="Medium"/>
    <n v="2"/>
    <n v="0"/>
    <x v="0"/>
    <x v="0"/>
    <n v="43.164000000000001"/>
    <n v="0.36"/>
    <n v="0"/>
  </r>
  <r>
    <n v="5142"/>
    <s v="CA-2016-111213"/>
    <d v="2016-04-01T00:00:00"/>
    <x v="0"/>
    <s v="Q2"/>
    <x v="25"/>
    <d v="2016-04-05T00:00:00"/>
    <s v="Standard Class"/>
    <x v="224"/>
    <x v="224"/>
    <s v="Consumer"/>
    <s v="United States"/>
    <s v="New York City"/>
    <x v="15"/>
    <n v="10009"/>
    <x v="3"/>
    <x v="1"/>
    <x v="0"/>
    <x v="1"/>
    <x v="1"/>
    <n v="1317.492"/>
    <s v="High"/>
    <n v="6"/>
    <n v="0.1"/>
    <x v="3"/>
    <x v="8"/>
    <n v="292.77600000000001"/>
    <n v="0.22222222222222224"/>
    <n v="0"/>
  </r>
  <r>
    <n v="5143"/>
    <s v="CA-2016-111213"/>
    <d v="2016-04-01T00:00:00"/>
    <x v="0"/>
    <s v="Q2"/>
    <x v="25"/>
    <d v="2016-04-05T00:00:00"/>
    <s v="Standard Class"/>
    <x v="224"/>
    <x v="224"/>
    <s v="Consumer"/>
    <s v="United States"/>
    <s v="New York City"/>
    <x v="15"/>
    <n v="10009"/>
    <x v="3"/>
    <x v="1444"/>
    <x v="1"/>
    <x v="14"/>
    <x v="327"/>
    <n v="63.84"/>
    <s v="Medium"/>
    <n v="8"/>
    <n v="0"/>
    <x v="0"/>
    <x v="0"/>
    <n v="18.5136"/>
    <n v="0.28999999999999998"/>
    <n v="0"/>
  </r>
  <r>
    <n v="5144"/>
    <s v="CA-2016-111213"/>
    <d v="2016-04-01T00:00:00"/>
    <x v="0"/>
    <s v="Q2"/>
    <x v="25"/>
    <d v="2016-04-05T00:00:00"/>
    <s v="Standard Class"/>
    <x v="224"/>
    <x v="224"/>
    <s v="Consumer"/>
    <s v="United States"/>
    <s v="New York City"/>
    <x v="15"/>
    <n v="10009"/>
    <x v="3"/>
    <x v="307"/>
    <x v="1"/>
    <x v="8"/>
    <x v="307"/>
    <n v="3.5920000000000001"/>
    <s v="Low"/>
    <n v="1"/>
    <n v="0.2"/>
    <x v="2"/>
    <x v="2"/>
    <n v="1.1225000000000001"/>
    <n v="0.3125"/>
    <n v="0"/>
  </r>
  <r>
    <n v="5145"/>
    <s v="CA-2017-161333"/>
    <d v="2017-02-02T00:00:00"/>
    <x v="3"/>
    <s v="Q1"/>
    <x v="31"/>
    <d v="2017-02-07T00:00:00"/>
    <s v="Standard Class"/>
    <x v="252"/>
    <x v="252"/>
    <s v="Consumer"/>
    <s v="United States"/>
    <s v="Los Angeles"/>
    <x v="1"/>
    <n v="90045"/>
    <x v="1"/>
    <x v="484"/>
    <x v="0"/>
    <x v="5"/>
    <x v="484"/>
    <n v="86.26"/>
    <s v="Medium"/>
    <n v="2"/>
    <n v="0"/>
    <x v="0"/>
    <x v="0"/>
    <n v="29.328399999999998"/>
    <n v="0.33999999999999997"/>
    <n v="0"/>
  </r>
  <r>
    <n v="5146"/>
    <s v="CA-2017-161333"/>
    <d v="2017-02-02T00:00:00"/>
    <x v="3"/>
    <s v="Q1"/>
    <x v="31"/>
    <d v="2017-02-07T00:00:00"/>
    <s v="Standard Class"/>
    <x v="252"/>
    <x v="252"/>
    <s v="Consumer"/>
    <s v="United States"/>
    <s v="Los Angeles"/>
    <x v="1"/>
    <n v="90045"/>
    <x v="1"/>
    <x v="1156"/>
    <x v="1"/>
    <x v="4"/>
    <x v="1144"/>
    <n v="139.04"/>
    <s v="High"/>
    <n v="4"/>
    <n v="0"/>
    <x v="0"/>
    <x v="0"/>
    <n v="38.931199999999997"/>
    <n v="0.27999999999999997"/>
    <n v="0"/>
  </r>
  <r>
    <n v="5147"/>
    <s v="CA-2017-161333"/>
    <d v="2017-02-02T00:00:00"/>
    <x v="3"/>
    <s v="Q1"/>
    <x v="31"/>
    <d v="2017-02-07T00:00:00"/>
    <s v="Standard Class"/>
    <x v="252"/>
    <x v="252"/>
    <s v="Consumer"/>
    <s v="United States"/>
    <s v="Los Angeles"/>
    <x v="1"/>
    <n v="90045"/>
    <x v="1"/>
    <x v="1267"/>
    <x v="1"/>
    <x v="9"/>
    <x v="1251"/>
    <n v="46.8"/>
    <s v="Medium"/>
    <n v="4"/>
    <n v="0"/>
    <x v="0"/>
    <x v="0"/>
    <n v="16.38"/>
    <n v="0.35"/>
    <n v="0"/>
  </r>
  <r>
    <n v="5148"/>
    <s v="CA-2017-128734"/>
    <d v="2017-12-24T00:00:00"/>
    <x v="3"/>
    <s v="Q4"/>
    <x v="22"/>
    <d v="2017-12-31T00:00:00"/>
    <s v="Standard Class"/>
    <x v="311"/>
    <x v="311"/>
    <s v="Home Office"/>
    <s v="United States"/>
    <s v="Chandler"/>
    <x v="16"/>
    <n v="85224"/>
    <x v="1"/>
    <x v="1565"/>
    <x v="0"/>
    <x v="5"/>
    <x v="1556"/>
    <n v="8.5440000000000005"/>
    <s v="Low"/>
    <n v="4"/>
    <n v="0.2"/>
    <x v="2"/>
    <x v="2"/>
    <n v="1.9224000000000001"/>
    <n v="0.22500000000000001"/>
    <n v="0"/>
  </r>
  <r>
    <n v="5149"/>
    <s v="CA-2017-128734"/>
    <d v="2017-12-24T00:00:00"/>
    <x v="3"/>
    <s v="Q4"/>
    <x v="22"/>
    <d v="2017-12-31T00:00:00"/>
    <s v="Standard Class"/>
    <x v="311"/>
    <x v="311"/>
    <s v="Home Office"/>
    <s v="United States"/>
    <s v="Chandler"/>
    <x v="16"/>
    <n v="85224"/>
    <x v="1"/>
    <x v="654"/>
    <x v="0"/>
    <x v="1"/>
    <x v="654"/>
    <n v="842.37599999999998"/>
    <s v="High"/>
    <n v="3"/>
    <n v="0.2"/>
    <x v="2"/>
    <x v="2"/>
    <n v="105.297"/>
    <n v="0.125"/>
    <n v="0"/>
  </r>
  <r>
    <n v="5150"/>
    <s v="CA-2014-141796"/>
    <d v="2014-06-21T00:00:00"/>
    <x v="2"/>
    <s v="Q2"/>
    <x v="3"/>
    <d v="2014-06-21T00:00:00"/>
    <s v="Same Day"/>
    <x v="506"/>
    <x v="506"/>
    <s v="Consumer"/>
    <s v="United States"/>
    <s v="Long Beach"/>
    <x v="15"/>
    <n v="11561"/>
    <x v="3"/>
    <x v="1246"/>
    <x v="2"/>
    <x v="7"/>
    <x v="1230"/>
    <n v="1214.8499999999999"/>
    <s v="High"/>
    <n v="3"/>
    <n v="0"/>
    <x v="0"/>
    <x v="0"/>
    <n v="352.30650000000003"/>
    <n v="0.29000000000000004"/>
    <n v="0"/>
  </r>
  <r>
    <n v="5151"/>
    <s v="CA-2017-125101"/>
    <d v="2017-03-06T00:00:00"/>
    <x v="3"/>
    <s v="Q1"/>
    <x v="42"/>
    <d v="2017-03-10T00:00:00"/>
    <s v="Second Class"/>
    <x v="64"/>
    <x v="64"/>
    <s v="Corporate"/>
    <s v="United States"/>
    <s v="San Francisco"/>
    <x v="1"/>
    <n v="94109"/>
    <x v="1"/>
    <x v="298"/>
    <x v="1"/>
    <x v="4"/>
    <x v="298"/>
    <n v="67.78"/>
    <s v="Medium"/>
    <n v="2"/>
    <n v="0"/>
    <x v="0"/>
    <x v="0"/>
    <n v="16.945"/>
    <n v="0.25"/>
    <n v="0"/>
  </r>
  <r>
    <n v="5152"/>
    <s v="CA-2017-169929"/>
    <d v="2017-09-25T00:00:00"/>
    <x v="3"/>
    <s v="Q3"/>
    <x v="15"/>
    <d v="2017-09-28T00:00:00"/>
    <s v="First Class"/>
    <x v="624"/>
    <x v="624"/>
    <s v="Corporate"/>
    <s v="United States"/>
    <s v="Helena"/>
    <x v="37"/>
    <n v="59601"/>
    <x v="1"/>
    <x v="861"/>
    <x v="1"/>
    <x v="4"/>
    <x v="855"/>
    <n v="39.9"/>
    <s v="Medium"/>
    <n v="5"/>
    <n v="0"/>
    <x v="0"/>
    <x v="0"/>
    <n v="10.374000000000001"/>
    <n v="0.26"/>
    <n v="0"/>
  </r>
  <r>
    <n v="5153"/>
    <s v="US-2014-121566"/>
    <d v="2014-06-30T00:00:00"/>
    <x v="2"/>
    <s v="Q2"/>
    <x v="3"/>
    <d v="2014-07-06T00:00:00"/>
    <s v="Standard Class"/>
    <x v="750"/>
    <x v="750"/>
    <s v="Consumer"/>
    <s v="United States"/>
    <s v="New York City"/>
    <x v="15"/>
    <n v="10011"/>
    <x v="3"/>
    <x v="472"/>
    <x v="1"/>
    <x v="8"/>
    <x v="473"/>
    <n v="2.6880000000000002"/>
    <s v="Low"/>
    <n v="1"/>
    <n v="0.2"/>
    <x v="2"/>
    <x v="2"/>
    <n v="0.84"/>
    <n v="0.31249999999999994"/>
    <n v="0"/>
  </r>
  <r>
    <n v="5154"/>
    <s v="US-2014-121566"/>
    <d v="2014-06-30T00:00:00"/>
    <x v="2"/>
    <s v="Q2"/>
    <x v="3"/>
    <d v="2014-07-06T00:00:00"/>
    <s v="Standard Class"/>
    <x v="750"/>
    <x v="750"/>
    <s v="Consumer"/>
    <s v="United States"/>
    <s v="New York City"/>
    <x v="15"/>
    <n v="10011"/>
    <x v="3"/>
    <x v="208"/>
    <x v="1"/>
    <x v="6"/>
    <x v="209"/>
    <n v="6.6"/>
    <s v="Low"/>
    <n v="3"/>
    <n v="0"/>
    <x v="0"/>
    <x v="0"/>
    <n v="2.9039999999999999"/>
    <n v="0.44"/>
    <n v="0"/>
  </r>
  <r>
    <n v="5155"/>
    <s v="US-2015-124219"/>
    <d v="2015-08-07T00:00:00"/>
    <x v="1"/>
    <s v="Q3"/>
    <x v="37"/>
    <d v="2015-08-08T00:00:00"/>
    <s v="First Class"/>
    <x v="608"/>
    <x v="608"/>
    <s v="Consumer"/>
    <s v="United States"/>
    <s v="Kirkwood"/>
    <x v="25"/>
    <n v="63122"/>
    <x v="2"/>
    <x v="20"/>
    <x v="1"/>
    <x v="8"/>
    <x v="20"/>
    <n v="28.4"/>
    <s v="Medium"/>
    <n v="4"/>
    <n v="0"/>
    <x v="0"/>
    <x v="0"/>
    <n v="13.064"/>
    <n v="0.46"/>
    <n v="0"/>
  </r>
  <r>
    <n v="5156"/>
    <s v="US-2015-124219"/>
    <d v="2015-08-07T00:00:00"/>
    <x v="1"/>
    <s v="Q3"/>
    <x v="37"/>
    <d v="2015-08-08T00:00:00"/>
    <s v="First Class"/>
    <x v="608"/>
    <x v="608"/>
    <s v="Consumer"/>
    <s v="United States"/>
    <s v="Kirkwood"/>
    <x v="25"/>
    <n v="63122"/>
    <x v="2"/>
    <x v="1460"/>
    <x v="0"/>
    <x v="5"/>
    <x v="1446"/>
    <n v="212.94"/>
    <s v="High"/>
    <n v="3"/>
    <n v="0"/>
    <x v="0"/>
    <x v="0"/>
    <n v="34.070399999999999"/>
    <n v="0.16"/>
    <n v="0"/>
  </r>
  <r>
    <n v="5157"/>
    <s v="CA-2017-163006"/>
    <d v="2017-06-30T00:00:00"/>
    <x v="3"/>
    <s v="Q2"/>
    <x v="27"/>
    <d v="2017-07-04T00:00:00"/>
    <s v="Second Class"/>
    <x v="689"/>
    <x v="689"/>
    <s v="Home Office"/>
    <s v="United States"/>
    <s v="Chicago"/>
    <x v="10"/>
    <n v="60653"/>
    <x v="2"/>
    <x v="1718"/>
    <x v="2"/>
    <x v="7"/>
    <x v="1705"/>
    <n v="1001.5839999999999"/>
    <s v="High"/>
    <n v="2"/>
    <n v="0.2"/>
    <x v="2"/>
    <x v="2"/>
    <n v="125.19799999999999"/>
    <n v="0.125"/>
    <n v="0"/>
  </r>
  <r>
    <n v="5158"/>
    <s v="CA-2017-163006"/>
    <d v="2017-06-30T00:00:00"/>
    <x v="3"/>
    <s v="Q2"/>
    <x v="27"/>
    <d v="2017-07-04T00:00:00"/>
    <s v="Second Class"/>
    <x v="689"/>
    <x v="689"/>
    <s v="Home Office"/>
    <s v="United States"/>
    <s v="Chicago"/>
    <x v="10"/>
    <n v="60653"/>
    <x v="2"/>
    <x v="1631"/>
    <x v="0"/>
    <x v="1"/>
    <x v="1621"/>
    <n v="569.05799999999999"/>
    <s v="High"/>
    <n v="3"/>
    <n v="0.3"/>
    <x v="1"/>
    <x v="4"/>
    <n v="-178.8468"/>
    <n v="-0.31428571428571428"/>
    <n v="1"/>
  </r>
  <r>
    <n v="5159"/>
    <s v="CA-2017-163006"/>
    <d v="2017-06-30T00:00:00"/>
    <x v="3"/>
    <s v="Q2"/>
    <x v="27"/>
    <d v="2017-07-04T00:00:00"/>
    <s v="Second Class"/>
    <x v="689"/>
    <x v="689"/>
    <s v="Home Office"/>
    <s v="United States"/>
    <s v="Chicago"/>
    <x v="10"/>
    <n v="60653"/>
    <x v="2"/>
    <x v="90"/>
    <x v="0"/>
    <x v="5"/>
    <x v="90"/>
    <n v="14.224"/>
    <s v="Low"/>
    <n v="2"/>
    <n v="0.6"/>
    <x v="1"/>
    <x v="6"/>
    <n v="-10.3124"/>
    <n v="-0.72499999999999998"/>
    <n v="1"/>
  </r>
  <r>
    <n v="5160"/>
    <s v="CA-2015-156146"/>
    <d v="2015-10-26T00:00:00"/>
    <x v="1"/>
    <s v="Q4"/>
    <x v="2"/>
    <d v="2015-10-30T00:00:00"/>
    <s v="Second Class"/>
    <x v="122"/>
    <x v="122"/>
    <s v="Corporate"/>
    <s v="United States"/>
    <s v="Peoria"/>
    <x v="16"/>
    <n v="85345"/>
    <x v="1"/>
    <x v="194"/>
    <x v="2"/>
    <x v="7"/>
    <x v="195"/>
    <n v="105.584"/>
    <s v="Medium"/>
    <n v="2"/>
    <n v="0.2"/>
    <x v="2"/>
    <x v="2"/>
    <n v="9.2385999999999999"/>
    <n v="8.7499999999999994E-2"/>
    <n v="0"/>
  </r>
  <r>
    <n v="5161"/>
    <s v="CA-2015-156146"/>
    <d v="2015-10-26T00:00:00"/>
    <x v="1"/>
    <s v="Q4"/>
    <x v="2"/>
    <d v="2015-10-30T00:00:00"/>
    <s v="Second Class"/>
    <x v="122"/>
    <x v="122"/>
    <s v="Corporate"/>
    <s v="United States"/>
    <s v="Peoria"/>
    <x v="16"/>
    <n v="85345"/>
    <x v="1"/>
    <x v="1300"/>
    <x v="2"/>
    <x v="7"/>
    <x v="1285"/>
    <n v="68.72"/>
    <s v="Medium"/>
    <n v="2"/>
    <n v="0.2"/>
    <x v="2"/>
    <x v="2"/>
    <n v="-14.603"/>
    <n v="-0.21249999999999999"/>
    <n v="1"/>
  </r>
  <r>
    <n v="5162"/>
    <s v="CA-2014-111192"/>
    <d v="2014-07-30T00:00:00"/>
    <x v="2"/>
    <s v="Q3"/>
    <x v="39"/>
    <d v="2014-08-05T00:00:00"/>
    <s v="Standard Class"/>
    <x v="747"/>
    <x v="747"/>
    <s v="Corporate"/>
    <s v="United States"/>
    <s v="Seattle"/>
    <x v="4"/>
    <n v="98103"/>
    <x v="1"/>
    <x v="1528"/>
    <x v="0"/>
    <x v="0"/>
    <x v="1515"/>
    <n v="1367.84"/>
    <s v="High"/>
    <n v="8"/>
    <n v="0"/>
    <x v="0"/>
    <x v="0"/>
    <n v="259.88959999999997"/>
    <n v="0.19"/>
    <n v="0"/>
  </r>
  <r>
    <n v="5163"/>
    <s v="CA-2016-115378"/>
    <d v="2016-11-18T00:00:00"/>
    <x v="0"/>
    <s v="Q4"/>
    <x v="0"/>
    <d v="2016-11-23T00:00:00"/>
    <s v="Second Class"/>
    <x v="219"/>
    <x v="219"/>
    <s v="Consumer"/>
    <s v="United States"/>
    <s v="Taylor"/>
    <x v="12"/>
    <n v="48180"/>
    <x v="2"/>
    <x v="83"/>
    <x v="0"/>
    <x v="1"/>
    <x v="83"/>
    <n v="301.95999999999998"/>
    <s v="High"/>
    <n v="2"/>
    <n v="0"/>
    <x v="0"/>
    <x v="0"/>
    <n v="33.215600000000002"/>
    <n v="0.11000000000000001"/>
    <n v="0"/>
  </r>
  <r>
    <n v="5164"/>
    <s v="CA-2015-161627"/>
    <d v="2015-07-06T00:00:00"/>
    <x v="1"/>
    <s v="Q3"/>
    <x v="38"/>
    <d v="2015-07-11T00:00:00"/>
    <s v="Standard Class"/>
    <x v="695"/>
    <x v="695"/>
    <s v="Consumer"/>
    <s v="United States"/>
    <s v="Pasadena"/>
    <x v="1"/>
    <n v="91104"/>
    <x v="1"/>
    <x v="56"/>
    <x v="0"/>
    <x v="1"/>
    <x v="56"/>
    <n v="170.352"/>
    <s v="High"/>
    <n v="3"/>
    <n v="0.2"/>
    <x v="2"/>
    <x v="2"/>
    <n v="-17.0352"/>
    <n v="-9.9999999999999992E-2"/>
    <n v="1"/>
  </r>
  <r>
    <n v="5165"/>
    <s v="CA-2014-121006"/>
    <d v="2014-11-10T00:00:00"/>
    <x v="2"/>
    <s v="Q4"/>
    <x v="7"/>
    <d v="2014-11-16T00:00:00"/>
    <s v="Standard Class"/>
    <x v="710"/>
    <x v="710"/>
    <s v="Consumer"/>
    <s v="United States"/>
    <s v="Midland"/>
    <x v="12"/>
    <n v="48640"/>
    <x v="2"/>
    <x v="130"/>
    <x v="1"/>
    <x v="6"/>
    <x v="1544"/>
    <n v="3.9"/>
    <s v="Low"/>
    <n v="2"/>
    <n v="0"/>
    <x v="0"/>
    <x v="0"/>
    <n v="1.5209999999999999"/>
    <n v="0.38999999999999996"/>
    <n v="0"/>
  </r>
  <r>
    <n v="5166"/>
    <s v="CA-2014-121006"/>
    <d v="2014-11-10T00:00:00"/>
    <x v="2"/>
    <s v="Q4"/>
    <x v="7"/>
    <d v="2014-11-16T00:00:00"/>
    <s v="Standard Class"/>
    <x v="710"/>
    <x v="710"/>
    <s v="Consumer"/>
    <s v="United States"/>
    <s v="Midland"/>
    <x v="12"/>
    <n v="48640"/>
    <x v="2"/>
    <x v="1012"/>
    <x v="1"/>
    <x v="10"/>
    <x v="1004"/>
    <n v="12.84"/>
    <s v="Low"/>
    <n v="3"/>
    <n v="0"/>
    <x v="0"/>
    <x v="0"/>
    <n v="5.7779999999999996"/>
    <n v="0.44999999999999996"/>
    <n v="0"/>
  </r>
  <r>
    <n v="5167"/>
    <s v="CA-2014-121006"/>
    <d v="2014-11-10T00:00:00"/>
    <x v="2"/>
    <s v="Q4"/>
    <x v="7"/>
    <d v="2014-11-16T00:00:00"/>
    <s v="Standard Class"/>
    <x v="710"/>
    <x v="710"/>
    <s v="Consumer"/>
    <s v="United States"/>
    <s v="Midland"/>
    <x v="12"/>
    <n v="48640"/>
    <x v="2"/>
    <x v="218"/>
    <x v="1"/>
    <x v="10"/>
    <x v="219"/>
    <n v="15.84"/>
    <s v="Low"/>
    <n v="3"/>
    <n v="0"/>
    <x v="0"/>
    <x v="0"/>
    <n v="7.1280000000000001"/>
    <n v="0.45"/>
    <n v="0"/>
  </r>
  <r>
    <n v="5168"/>
    <s v="CA-2014-121006"/>
    <d v="2014-11-10T00:00:00"/>
    <x v="2"/>
    <s v="Q4"/>
    <x v="7"/>
    <d v="2014-11-16T00:00:00"/>
    <s v="Standard Class"/>
    <x v="710"/>
    <x v="710"/>
    <s v="Consumer"/>
    <s v="United States"/>
    <s v="Midland"/>
    <x v="12"/>
    <n v="48640"/>
    <x v="2"/>
    <x v="499"/>
    <x v="0"/>
    <x v="1"/>
    <x v="499"/>
    <n v="563.94000000000005"/>
    <s v="High"/>
    <n v="3"/>
    <n v="0"/>
    <x v="0"/>
    <x v="0"/>
    <n v="112.788"/>
    <n v="0.19999999999999998"/>
    <n v="0"/>
  </r>
  <r>
    <n v="5169"/>
    <s v="CA-2014-121006"/>
    <d v="2014-11-10T00:00:00"/>
    <x v="2"/>
    <s v="Q4"/>
    <x v="7"/>
    <d v="2014-11-16T00:00:00"/>
    <s v="Standard Class"/>
    <x v="710"/>
    <x v="710"/>
    <s v="Consumer"/>
    <s v="United States"/>
    <s v="Midland"/>
    <x v="12"/>
    <n v="48640"/>
    <x v="2"/>
    <x v="1018"/>
    <x v="1"/>
    <x v="4"/>
    <x v="1009"/>
    <n v="62.94"/>
    <s v="Medium"/>
    <n v="3"/>
    <n v="0"/>
    <x v="0"/>
    <x v="0"/>
    <n v="11.958600000000001"/>
    <n v="0.19"/>
    <n v="0"/>
  </r>
  <r>
    <n v="5170"/>
    <s v="CA-2014-121006"/>
    <d v="2014-11-10T00:00:00"/>
    <x v="2"/>
    <s v="Q4"/>
    <x v="7"/>
    <d v="2014-11-16T00:00:00"/>
    <s v="Standard Class"/>
    <x v="710"/>
    <x v="710"/>
    <s v="Consumer"/>
    <s v="United States"/>
    <s v="Midland"/>
    <x v="12"/>
    <n v="48640"/>
    <x v="2"/>
    <x v="518"/>
    <x v="1"/>
    <x v="4"/>
    <x v="518"/>
    <n v="535.41"/>
    <s v="High"/>
    <n v="3"/>
    <n v="0"/>
    <x v="0"/>
    <x v="0"/>
    <n v="160.62299999999999"/>
    <n v="0.3"/>
    <n v="0"/>
  </r>
  <r>
    <n v="5171"/>
    <s v="CA-2016-122903"/>
    <d v="2016-05-27T00:00:00"/>
    <x v="0"/>
    <s v="Q2"/>
    <x v="35"/>
    <d v="2016-05-29T00:00:00"/>
    <s v="Second Class"/>
    <x v="156"/>
    <x v="156"/>
    <s v="Corporate"/>
    <s v="United States"/>
    <s v="Detroit"/>
    <x v="12"/>
    <n v="48205"/>
    <x v="2"/>
    <x v="483"/>
    <x v="0"/>
    <x v="1"/>
    <x v="483"/>
    <n v="3504.9"/>
    <s v="High"/>
    <n v="5"/>
    <n v="0"/>
    <x v="0"/>
    <x v="0"/>
    <n v="700.98"/>
    <n v="0.2"/>
    <n v="0"/>
  </r>
  <r>
    <n v="5172"/>
    <s v="CA-2016-122903"/>
    <d v="2016-05-27T00:00:00"/>
    <x v="0"/>
    <s v="Q2"/>
    <x v="35"/>
    <d v="2016-05-29T00:00:00"/>
    <s v="Second Class"/>
    <x v="156"/>
    <x v="156"/>
    <s v="Corporate"/>
    <s v="United States"/>
    <s v="Detroit"/>
    <x v="12"/>
    <n v="48205"/>
    <x v="2"/>
    <x v="694"/>
    <x v="1"/>
    <x v="10"/>
    <x v="694"/>
    <n v="144.12"/>
    <s v="High"/>
    <n v="3"/>
    <n v="0"/>
    <x v="0"/>
    <x v="0"/>
    <n v="69.177599999999998"/>
    <n v="0.48"/>
    <n v="0"/>
  </r>
  <r>
    <n v="5173"/>
    <s v="CA-2016-122903"/>
    <d v="2016-05-27T00:00:00"/>
    <x v="0"/>
    <s v="Q2"/>
    <x v="35"/>
    <d v="2016-05-29T00:00:00"/>
    <s v="Second Class"/>
    <x v="156"/>
    <x v="156"/>
    <s v="Corporate"/>
    <s v="United States"/>
    <s v="Detroit"/>
    <x v="12"/>
    <n v="48205"/>
    <x v="2"/>
    <x v="921"/>
    <x v="1"/>
    <x v="10"/>
    <x v="913"/>
    <n v="314.55"/>
    <s v="High"/>
    <n v="3"/>
    <n v="0"/>
    <x v="0"/>
    <x v="0"/>
    <n v="150.98400000000001"/>
    <n v="0.48000000000000004"/>
    <n v="0"/>
  </r>
  <r>
    <n v="5174"/>
    <s v="CA-2015-107741"/>
    <d v="2015-03-08T00:00:00"/>
    <x v="1"/>
    <s v="Q1"/>
    <x v="29"/>
    <d v="2015-03-10T00:00:00"/>
    <s v="First Class"/>
    <x v="712"/>
    <x v="712"/>
    <s v="Corporate"/>
    <s v="United States"/>
    <s v="Pueblo"/>
    <x v="22"/>
    <n v="81001"/>
    <x v="1"/>
    <x v="319"/>
    <x v="1"/>
    <x v="6"/>
    <x v="319"/>
    <n v="3.4079999999999999"/>
    <s v="Low"/>
    <n v="1"/>
    <n v="0.2"/>
    <x v="2"/>
    <x v="2"/>
    <n v="0.89459999999999995"/>
    <n v="0.26250000000000001"/>
    <n v="0"/>
  </r>
  <r>
    <n v="5175"/>
    <s v="CA-2017-106432"/>
    <d v="2017-10-19T00:00:00"/>
    <x v="3"/>
    <s v="Q4"/>
    <x v="13"/>
    <d v="2017-10-24T00:00:00"/>
    <s v="Standard Class"/>
    <x v="244"/>
    <x v="244"/>
    <s v="Consumer"/>
    <s v="United States"/>
    <s v="Waco"/>
    <x v="5"/>
    <n v="76706"/>
    <x v="2"/>
    <x v="1472"/>
    <x v="1"/>
    <x v="8"/>
    <x v="1459"/>
    <n v="2.0720000000000001"/>
    <s v="Low"/>
    <n v="2"/>
    <n v="0.8"/>
    <x v="1"/>
    <x v="3"/>
    <n v="-3.5224000000000002"/>
    <n v="-1.7"/>
    <n v="1"/>
  </r>
  <r>
    <n v="5176"/>
    <s v="CA-2017-106432"/>
    <d v="2017-10-19T00:00:00"/>
    <x v="3"/>
    <s v="Q4"/>
    <x v="13"/>
    <d v="2017-10-24T00:00:00"/>
    <s v="Standard Class"/>
    <x v="244"/>
    <x v="244"/>
    <s v="Consumer"/>
    <s v="United States"/>
    <s v="Waco"/>
    <x v="5"/>
    <n v="76706"/>
    <x v="2"/>
    <x v="1627"/>
    <x v="0"/>
    <x v="0"/>
    <x v="1617"/>
    <n v="328.39920000000001"/>
    <s v="High"/>
    <n v="3"/>
    <n v="0.32"/>
    <x v="1"/>
    <x v="7"/>
    <n v="-91.758600000000001"/>
    <n v="-0.27941176470588236"/>
    <n v="1"/>
  </r>
  <r>
    <n v="5177"/>
    <s v="CA-2016-148908"/>
    <d v="2016-11-05T00:00:00"/>
    <x v="0"/>
    <s v="Q4"/>
    <x v="0"/>
    <d v="2016-11-08T00:00:00"/>
    <s v="First Class"/>
    <x v="98"/>
    <x v="98"/>
    <s v="Consumer"/>
    <s v="United States"/>
    <s v="San Francisco"/>
    <x v="1"/>
    <n v="94109"/>
    <x v="1"/>
    <x v="1197"/>
    <x v="1"/>
    <x v="8"/>
    <x v="1182"/>
    <n v="53.247999999999998"/>
    <s v="Medium"/>
    <n v="2"/>
    <n v="0.2"/>
    <x v="2"/>
    <x v="2"/>
    <n v="19.968"/>
    <n v="0.375"/>
    <n v="0"/>
  </r>
  <r>
    <n v="5178"/>
    <s v="CA-2016-123015"/>
    <d v="2016-12-26T00:00:00"/>
    <x v="0"/>
    <s v="Q4"/>
    <x v="5"/>
    <d v="2016-12-30T00:00:00"/>
    <s v="Standard Class"/>
    <x v="295"/>
    <x v="295"/>
    <s v="Corporate"/>
    <s v="United States"/>
    <s v="New York City"/>
    <x v="15"/>
    <n v="10024"/>
    <x v="3"/>
    <x v="255"/>
    <x v="1"/>
    <x v="8"/>
    <x v="256"/>
    <n v="4.992"/>
    <s v="Low"/>
    <n v="3"/>
    <n v="0.2"/>
    <x v="2"/>
    <x v="2"/>
    <n v="1.6848000000000001"/>
    <n v="0.33750000000000002"/>
    <n v="0"/>
  </r>
  <r>
    <n v="5179"/>
    <s v="US-2015-120502"/>
    <d v="2015-04-13T00:00:00"/>
    <x v="1"/>
    <s v="Q2"/>
    <x v="19"/>
    <d v="2015-04-19T00:00:00"/>
    <s v="Standard Class"/>
    <x v="387"/>
    <x v="387"/>
    <s v="Corporate"/>
    <s v="United States"/>
    <s v="Los Angeles"/>
    <x v="1"/>
    <n v="90036"/>
    <x v="1"/>
    <x v="1155"/>
    <x v="0"/>
    <x v="5"/>
    <x v="1143"/>
    <n v="37.68"/>
    <s v="Medium"/>
    <n v="2"/>
    <n v="0"/>
    <x v="0"/>
    <x v="0"/>
    <n v="15.8256"/>
    <n v="0.42"/>
    <n v="0"/>
  </r>
  <r>
    <n v="5180"/>
    <s v="US-2015-120502"/>
    <d v="2015-04-13T00:00:00"/>
    <x v="1"/>
    <s v="Q2"/>
    <x v="19"/>
    <d v="2015-04-19T00:00:00"/>
    <s v="Standard Class"/>
    <x v="387"/>
    <x v="387"/>
    <s v="Corporate"/>
    <s v="United States"/>
    <s v="Los Angeles"/>
    <x v="1"/>
    <n v="90036"/>
    <x v="1"/>
    <x v="297"/>
    <x v="2"/>
    <x v="7"/>
    <x v="297"/>
    <n v="258.57600000000002"/>
    <s v="High"/>
    <n v="2"/>
    <n v="0.2"/>
    <x v="2"/>
    <x v="2"/>
    <n v="19.3932"/>
    <n v="7.4999999999999997E-2"/>
    <n v="0"/>
  </r>
  <r>
    <n v="5181"/>
    <s v="US-2015-120502"/>
    <d v="2015-04-13T00:00:00"/>
    <x v="1"/>
    <s v="Q2"/>
    <x v="19"/>
    <d v="2015-04-19T00:00:00"/>
    <s v="Standard Class"/>
    <x v="387"/>
    <x v="387"/>
    <s v="Corporate"/>
    <s v="United States"/>
    <s v="Los Angeles"/>
    <x v="1"/>
    <n v="90036"/>
    <x v="1"/>
    <x v="983"/>
    <x v="1"/>
    <x v="9"/>
    <x v="976"/>
    <n v="75.84"/>
    <s v="Medium"/>
    <n v="2"/>
    <n v="0"/>
    <x v="0"/>
    <x v="0"/>
    <n v="29.5776"/>
    <n v="0.39"/>
    <n v="0"/>
  </r>
  <r>
    <n v="5182"/>
    <s v="CA-2017-108749"/>
    <d v="2017-09-12T00:00:00"/>
    <x v="3"/>
    <s v="Q3"/>
    <x v="15"/>
    <d v="2017-09-15T00:00:00"/>
    <s v="First Class"/>
    <x v="137"/>
    <x v="137"/>
    <s v="Corporate"/>
    <s v="United States"/>
    <s v="Woonsocket"/>
    <x v="34"/>
    <n v="2895"/>
    <x v="3"/>
    <x v="1723"/>
    <x v="1"/>
    <x v="10"/>
    <x v="1710"/>
    <n v="45.36"/>
    <s v="Medium"/>
    <n v="7"/>
    <n v="0"/>
    <x v="0"/>
    <x v="0"/>
    <n v="21.7728"/>
    <n v="0.48"/>
    <n v="0"/>
  </r>
  <r>
    <n v="5183"/>
    <s v="CA-2017-108749"/>
    <d v="2017-09-12T00:00:00"/>
    <x v="3"/>
    <s v="Q3"/>
    <x v="15"/>
    <d v="2017-09-15T00:00:00"/>
    <s v="First Class"/>
    <x v="137"/>
    <x v="137"/>
    <s v="Corporate"/>
    <s v="United States"/>
    <s v="Woonsocket"/>
    <x v="34"/>
    <n v="2895"/>
    <x v="3"/>
    <x v="785"/>
    <x v="1"/>
    <x v="8"/>
    <x v="784"/>
    <n v="45.78"/>
    <s v="Medium"/>
    <n v="3"/>
    <n v="0"/>
    <x v="0"/>
    <x v="0"/>
    <n v="22.89"/>
    <n v="0.5"/>
    <n v="0"/>
  </r>
  <r>
    <n v="5184"/>
    <s v="CA-2017-163335"/>
    <d v="2017-09-24T00:00:00"/>
    <x v="3"/>
    <s v="Q3"/>
    <x v="15"/>
    <d v="2017-09-27T00:00:00"/>
    <s v="First Class"/>
    <x v="165"/>
    <x v="165"/>
    <s v="Consumer"/>
    <s v="United States"/>
    <s v="Columbus"/>
    <x v="32"/>
    <n v="31907"/>
    <x v="0"/>
    <x v="1678"/>
    <x v="1"/>
    <x v="4"/>
    <x v="1666"/>
    <n v="40.29"/>
    <s v="Medium"/>
    <n v="3"/>
    <n v="0"/>
    <x v="0"/>
    <x v="0"/>
    <n v="10.0725"/>
    <n v="0.25"/>
    <n v="0"/>
  </r>
  <r>
    <n v="5185"/>
    <s v="CA-2017-163335"/>
    <d v="2017-09-24T00:00:00"/>
    <x v="3"/>
    <s v="Q3"/>
    <x v="15"/>
    <d v="2017-09-27T00:00:00"/>
    <s v="First Class"/>
    <x v="165"/>
    <x v="165"/>
    <s v="Consumer"/>
    <s v="United States"/>
    <s v="Columbus"/>
    <x v="32"/>
    <n v="31907"/>
    <x v="0"/>
    <x v="555"/>
    <x v="1"/>
    <x v="8"/>
    <x v="554"/>
    <n v="38.71"/>
    <s v="Medium"/>
    <n v="7"/>
    <n v="0"/>
    <x v="0"/>
    <x v="0"/>
    <n v="17.8066"/>
    <n v="0.45999999999999996"/>
    <n v="0"/>
  </r>
  <r>
    <n v="5186"/>
    <s v="CA-2015-134719"/>
    <d v="2015-10-10T00:00:00"/>
    <x v="1"/>
    <s v="Q4"/>
    <x v="2"/>
    <d v="2015-10-15T00:00:00"/>
    <s v="Standard Class"/>
    <x v="479"/>
    <x v="479"/>
    <s v="Consumer"/>
    <s v="United States"/>
    <s v="Jacksonville"/>
    <x v="2"/>
    <n v="32216"/>
    <x v="0"/>
    <x v="458"/>
    <x v="1"/>
    <x v="4"/>
    <x v="459"/>
    <n v="1801.6320000000001"/>
    <s v="High"/>
    <n v="6"/>
    <n v="0.2"/>
    <x v="2"/>
    <x v="2"/>
    <n v="-337.80599999999998"/>
    <n v="-0.18749999999999997"/>
    <n v="1"/>
  </r>
  <r>
    <n v="5187"/>
    <s v="US-2015-154389"/>
    <d v="2015-11-27T00:00:00"/>
    <x v="1"/>
    <s v="Q4"/>
    <x v="6"/>
    <d v="2015-12-03T00:00:00"/>
    <s v="Standard Class"/>
    <x v="258"/>
    <x v="258"/>
    <s v="Home Office"/>
    <s v="United States"/>
    <s v="Philadelphia"/>
    <x v="9"/>
    <n v="19140"/>
    <x v="3"/>
    <x v="1594"/>
    <x v="2"/>
    <x v="7"/>
    <x v="1586"/>
    <n v="748.75199999999995"/>
    <s v="High"/>
    <n v="8"/>
    <n v="0.4"/>
    <x v="1"/>
    <x v="7"/>
    <n v="-162.2296"/>
    <n v="-0.21666666666666667"/>
    <n v="1"/>
  </r>
  <r>
    <n v="5188"/>
    <s v="CA-2015-115567"/>
    <d v="2015-09-13T00:00:00"/>
    <x v="1"/>
    <s v="Q3"/>
    <x v="11"/>
    <d v="2015-09-18T00:00:00"/>
    <s v="Standard Class"/>
    <x v="233"/>
    <x v="233"/>
    <s v="Consumer"/>
    <s v="United States"/>
    <s v="Columbus"/>
    <x v="14"/>
    <n v="47201"/>
    <x v="2"/>
    <x v="959"/>
    <x v="2"/>
    <x v="11"/>
    <x v="952"/>
    <n v="199.96"/>
    <s v="High"/>
    <n v="4"/>
    <n v="0"/>
    <x v="0"/>
    <x v="0"/>
    <n v="15.9968"/>
    <n v="0.08"/>
    <n v="0"/>
  </r>
  <r>
    <n v="5189"/>
    <s v="CA-2015-115567"/>
    <d v="2015-09-13T00:00:00"/>
    <x v="1"/>
    <s v="Q3"/>
    <x v="11"/>
    <d v="2015-09-18T00:00:00"/>
    <s v="Standard Class"/>
    <x v="233"/>
    <x v="233"/>
    <s v="Consumer"/>
    <s v="United States"/>
    <s v="Columbus"/>
    <x v="14"/>
    <n v="47201"/>
    <x v="2"/>
    <x v="377"/>
    <x v="0"/>
    <x v="1"/>
    <x v="378"/>
    <n v="1516.2"/>
    <s v="High"/>
    <n v="7"/>
    <n v="0"/>
    <x v="0"/>
    <x v="0"/>
    <n v="394.21199999999999"/>
    <n v="0.26"/>
    <n v="0"/>
  </r>
  <r>
    <n v="5190"/>
    <s v="US-2017-136679"/>
    <d v="2017-11-14T00:00:00"/>
    <x v="3"/>
    <s v="Q4"/>
    <x v="23"/>
    <d v="2017-11-18T00:00:00"/>
    <s v="Standard Class"/>
    <x v="190"/>
    <x v="190"/>
    <s v="Consumer"/>
    <s v="United States"/>
    <s v="Pasadena"/>
    <x v="5"/>
    <n v="77506"/>
    <x v="2"/>
    <x v="1067"/>
    <x v="2"/>
    <x v="11"/>
    <x v="1056"/>
    <n v="167.952"/>
    <s v="High"/>
    <n v="6"/>
    <n v="0.2"/>
    <x v="2"/>
    <x v="2"/>
    <n v="-27.292200000000001"/>
    <n v="-0.16250000000000001"/>
    <n v="1"/>
  </r>
  <r>
    <n v="5191"/>
    <s v="US-2017-136679"/>
    <d v="2017-11-14T00:00:00"/>
    <x v="3"/>
    <s v="Q4"/>
    <x v="23"/>
    <d v="2017-11-18T00:00:00"/>
    <s v="Standard Class"/>
    <x v="190"/>
    <x v="190"/>
    <s v="Consumer"/>
    <s v="United States"/>
    <s v="Pasadena"/>
    <x v="5"/>
    <n v="77506"/>
    <x v="2"/>
    <x v="1473"/>
    <x v="1"/>
    <x v="6"/>
    <x v="1460"/>
    <n v="45.04"/>
    <s v="Medium"/>
    <n v="2"/>
    <n v="0.2"/>
    <x v="2"/>
    <x v="2"/>
    <n v="4.5039999999999996"/>
    <n v="9.9999999999999992E-2"/>
    <n v="0"/>
  </r>
  <r>
    <n v="5192"/>
    <s v="US-2017-141943"/>
    <d v="2017-05-05T00:00:00"/>
    <x v="3"/>
    <s v="Q2"/>
    <x v="24"/>
    <d v="2017-05-09T00:00:00"/>
    <s v="Standard Class"/>
    <x v="213"/>
    <x v="213"/>
    <s v="Consumer"/>
    <s v="United States"/>
    <s v="San Francisco"/>
    <x v="1"/>
    <n v="94122"/>
    <x v="1"/>
    <x v="1724"/>
    <x v="1"/>
    <x v="12"/>
    <x v="1711"/>
    <n v="23.16"/>
    <s v="Low"/>
    <n v="2"/>
    <n v="0"/>
    <x v="0"/>
    <x v="0"/>
    <n v="11.58"/>
    <n v="0.5"/>
    <n v="0"/>
  </r>
  <r>
    <n v="5193"/>
    <s v="CA-2014-101560"/>
    <d v="2014-11-28T00:00:00"/>
    <x v="2"/>
    <s v="Q4"/>
    <x v="7"/>
    <d v="2014-12-01T00:00:00"/>
    <s v="Second Class"/>
    <x v="294"/>
    <x v="294"/>
    <s v="Corporate"/>
    <s v="United States"/>
    <s v="Columbia"/>
    <x v="20"/>
    <n v="29203"/>
    <x v="0"/>
    <x v="124"/>
    <x v="0"/>
    <x v="5"/>
    <x v="125"/>
    <n v="397.6"/>
    <s v="High"/>
    <n v="5"/>
    <n v="0"/>
    <x v="0"/>
    <x v="0"/>
    <n v="43.735999999999997"/>
    <n v="0.10999999999999999"/>
    <n v="0"/>
  </r>
  <r>
    <n v="5194"/>
    <s v="CA-2014-101560"/>
    <d v="2014-11-28T00:00:00"/>
    <x v="2"/>
    <s v="Q4"/>
    <x v="7"/>
    <d v="2014-12-01T00:00:00"/>
    <s v="Second Class"/>
    <x v="294"/>
    <x v="294"/>
    <s v="Corporate"/>
    <s v="United States"/>
    <s v="Columbia"/>
    <x v="20"/>
    <n v="29203"/>
    <x v="0"/>
    <x v="1635"/>
    <x v="1"/>
    <x v="10"/>
    <x v="1625"/>
    <n v="85.96"/>
    <s v="Medium"/>
    <n v="7"/>
    <n v="0"/>
    <x v="0"/>
    <x v="0"/>
    <n v="40.401200000000003"/>
    <n v="0.47000000000000008"/>
    <n v="0"/>
  </r>
  <r>
    <n v="5195"/>
    <s v="CA-2014-101560"/>
    <d v="2014-11-28T00:00:00"/>
    <x v="2"/>
    <s v="Q4"/>
    <x v="7"/>
    <d v="2014-12-01T00:00:00"/>
    <s v="Second Class"/>
    <x v="294"/>
    <x v="294"/>
    <s v="Corporate"/>
    <s v="United States"/>
    <s v="Columbia"/>
    <x v="20"/>
    <n v="29203"/>
    <x v="0"/>
    <x v="346"/>
    <x v="1"/>
    <x v="6"/>
    <x v="346"/>
    <n v="13.12"/>
    <s v="Low"/>
    <n v="4"/>
    <n v="0"/>
    <x v="0"/>
    <x v="0"/>
    <n v="4.3296000000000001"/>
    <n v="0.33"/>
    <n v="0"/>
  </r>
  <r>
    <n v="5196"/>
    <s v="CA-2014-101560"/>
    <d v="2014-11-28T00:00:00"/>
    <x v="2"/>
    <s v="Q4"/>
    <x v="7"/>
    <d v="2014-12-01T00:00:00"/>
    <s v="Second Class"/>
    <x v="294"/>
    <x v="294"/>
    <s v="Corporate"/>
    <s v="United States"/>
    <s v="Columbia"/>
    <x v="20"/>
    <n v="29203"/>
    <x v="0"/>
    <x v="338"/>
    <x v="1"/>
    <x v="8"/>
    <x v="338"/>
    <n v="45.66"/>
    <s v="Medium"/>
    <n v="3"/>
    <n v="0"/>
    <x v="0"/>
    <x v="0"/>
    <n v="22.3734"/>
    <n v="0.49000000000000005"/>
    <n v="0"/>
  </r>
  <r>
    <n v="5197"/>
    <s v="CA-2014-159709"/>
    <d v="2014-05-10T00:00:00"/>
    <x v="2"/>
    <s v="Q2"/>
    <x v="8"/>
    <d v="2014-05-15T00:00:00"/>
    <s v="Standard Class"/>
    <x v="482"/>
    <x v="482"/>
    <s v="Consumer"/>
    <s v="United States"/>
    <s v="Kent"/>
    <x v="4"/>
    <n v="98031"/>
    <x v="1"/>
    <x v="439"/>
    <x v="1"/>
    <x v="12"/>
    <x v="439"/>
    <n v="158.13"/>
    <s v="High"/>
    <n v="3"/>
    <n v="0"/>
    <x v="0"/>
    <x v="0"/>
    <n v="77.483699999999999"/>
    <n v="0.49"/>
    <n v="0"/>
  </r>
  <r>
    <n v="5198"/>
    <s v="CA-2014-159709"/>
    <d v="2014-05-10T00:00:00"/>
    <x v="2"/>
    <s v="Q2"/>
    <x v="8"/>
    <d v="2014-05-15T00:00:00"/>
    <s v="Standard Class"/>
    <x v="482"/>
    <x v="482"/>
    <s v="Consumer"/>
    <s v="United States"/>
    <s v="Kent"/>
    <x v="4"/>
    <n v="98031"/>
    <x v="1"/>
    <x v="47"/>
    <x v="2"/>
    <x v="7"/>
    <x v="47"/>
    <n v="43.6"/>
    <s v="Medium"/>
    <n v="5"/>
    <n v="0.2"/>
    <x v="2"/>
    <x v="2"/>
    <n v="4.3600000000000003"/>
    <n v="0.1"/>
    <n v="0"/>
  </r>
  <r>
    <n v="5199"/>
    <s v="CA-2016-103982"/>
    <d v="2016-03-03T00:00:00"/>
    <x v="0"/>
    <s v="Q1"/>
    <x v="17"/>
    <d v="2016-03-08T00:00:00"/>
    <s v="Standard Class"/>
    <x v="397"/>
    <x v="397"/>
    <s v="Consumer"/>
    <s v="United States"/>
    <s v="Round Rock"/>
    <x v="5"/>
    <n v="78664"/>
    <x v="2"/>
    <x v="1359"/>
    <x v="1"/>
    <x v="14"/>
    <x v="1345"/>
    <n v="3930.0720000000001"/>
    <s v="High"/>
    <n v="3"/>
    <n v="0.2"/>
    <x v="2"/>
    <x v="2"/>
    <n v="-786.01440000000002"/>
    <n v="-0.2"/>
    <n v="1"/>
  </r>
  <r>
    <n v="5200"/>
    <s v="CA-2016-103982"/>
    <d v="2016-03-03T00:00:00"/>
    <x v="0"/>
    <s v="Q1"/>
    <x v="17"/>
    <d v="2016-03-08T00:00:00"/>
    <s v="Standard Class"/>
    <x v="397"/>
    <x v="397"/>
    <s v="Consumer"/>
    <s v="United States"/>
    <s v="Round Rock"/>
    <x v="5"/>
    <n v="78664"/>
    <x v="2"/>
    <x v="1579"/>
    <x v="1"/>
    <x v="13"/>
    <x v="1570"/>
    <n v="2.3039999999999998"/>
    <s v="Low"/>
    <n v="1"/>
    <n v="0.2"/>
    <x v="2"/>
    <x v="2"/>
    <n v="0.77759999999999996"/>
    <n v="0.33750000000000002"/>
    <n v="0"/>
  </r>
  <r>
    <n v="5201"/>
    <s v="CA-2016-103982"/>
    <d v="2016-03-03T00:00:00"/>
    <x v="0"/>
    <s v="Q1"/>
    <x v="17"/>
    <d v="2016-03-08T00:00:00"/>
    <s v="Standard Class"/>
    <x v="397"/>
    <x v="397"/>
    <s v="Consumer"/>
    <s v="United States"/>
    <s v="Round Rock"/>
    <x v="5"/>
    <n v="78664"/>
    <x v="2"/>
    <x v="1149"/>
    <x v="2"/>
    <x v="7"/>
    <x v="1137"/>
    <n v="431.976"/>
    <s v="High"/>
    <n v="3"/>
    <n v="0.2"/>
    <x v="2"/>
    <x v="2"/>
    <n v="32.398200000000003"/>
    <n v="7.5000000000000011E-2"/>
    <n v="0"/>
  </r>
  <r>
    <n v="5202"/>
    <s v="CA-2016-103982"/>
    <d v="2016-03-03T00:00:00"/>
    <x v="0"/>
    <s v="Q1"/>
    <x v="17"/>
    <d v="2016-03-08T00:00:00"/>
    <s v="Standard Class"/>
    <x v="397"/>
    <x v="397"/>
    <s v="Consumer"/>
    <s v="United States"/>
    <s v="Round Rock"/>
    <x v="5"/>
    <n v="78664"/>
    <x v="2"/>
    <x v="540"/>
    <x v="2"/>
    <x v="11"/>
    <x v="540"/>
    <n v="41.72"/>
    <s v="Medium"/>
    <n v="7"/>
    <n v="0.2"/>
    <x v="2"/>
    <x v="2"/>
    <n v="5.7365000000000004"/>
    <n v="0.13750000000000001"/>
    <n v="0"/>
  </r>
  <r>
    <n v="5203"/>
    <s v="CA-2015-142454"/>
    <d v="2015-08-15T00:00:00"/>
    <x v="1"/>
    <s v="Q3"/>
    <x v="37"/>
    <d v="2015-08-19T00:00:00"/>
    <s v="Standard Class"/>
    <x v="681"/>
    <x v="681"/>
    <s v="Consumer"/>
    <s v="United States"/>
    <s v="Oakland"/>
    <x v="1"/>
    <n v="94601"/>
    <x v="1"/>
    <x v="943"/>
    <x v="0"/>
    <x v="5"/>
    <x v="936"/>
    <n v="104.23"/>
    <s v="Medium"/>
    <n v="7"/>
    <n v="0"/>
    <x v="0"/>
    <x v="0"/>
    <n v="28.142099999999999"/>
    <n v="0.26999999999999996"/>
    <n v="0"/>
  </r>
  <r>
    <n v="5204"/>
    <s v="CA-2015-142454"/>
    <d v="2015-08-15T00:00:00"/>
    <x v="1"/>
    <s v="Q3"/>
    <x v="37"/>
    <d v="2015-08-19T00:00:00"/>
    <s v="Standard Class"/>
    <x v="681"/>
    <x v="681"/>
    <s v="Consumer"/>
    <s v="United States"/>
    <s v="Oakland"/>
    <x v="1"/>
    <n v="94601"/>
    <x v="1"/>
    <x v="1247"/>
    <x v="1"/>
    <x v="4"/>
    <x v="1231"/>
    <n v="70.260000000000005"/>
    <s v="Medium"/>
    <n v="3"/>
    <n v="0"/>
    <x v="0"/>
    <x v="0"/>
    <n v="18.970199999999998"/>
    <n v="0.26999999999999996"/>
    <n v="0"/>
  </r>
  <r>
    <n v="5205"/>
    <s v="CA-2015-102015"/>
    <d v="2015-09-12T00:00:00"/>
    <x v="1"/>
    <s v="Q3"/>
    <x v="11"/>
    <d v="2015-09-18T00:00:00"/>
    <s v="Standard Class"/>
    <x v="612"/>
    <x v="612"/>
    <s v="Consumer"/>
    <s v="United States"/>
    <s v="Auburn"/>
    <x v="15"/>
    <n v="13021"/>
    <x v="3"/>
    <x v="182"/>
    <x v="1"/>
    <x v="6"/>
    <x v="183"/>
    <n v="9.26"/>
    <s v="Low"/>
    <n v="2"/>
    <n v="0"/>
    <x v="0"/>
    <x v="0"/>
    <n v="3.0558000000000001"/>
    <n v="0.33"/>
    <n v="0"/>
  </r>
  <r>
    <n v="5206"/>
    <s v="CA-2015-102015"/>
    <d v="2015-09-12T00:00:00"/>
    <x v="1"/>
    <s v="Q3"/>
    <x v="11"/>
    <d v="2015-09-18T00:00:00"/>
    <s v="Standard Class"/>
    <x v="612"/>
    <x v="612"/>
    <s v="Consumer"/>
    <s v="United States"/>
    <s v="Auburn"/>
    <x v="15"/>
    <n v="13021"/>
    <x v="3"/>
    <x v="45"/>
    <x v="1"/>
    <x v="4"/>
    <x v="45"/>
    <n v="105.98"/>
    <s v="Medium"/>
    <n v="2"/>
    <n v="0"/>
    <x v="0"/>
    <x v="0"/>
    <n v="4.2392000000000003"/>
    <n v="0.04"/>
    <n v="0"/>
  </r>
  <r>
    <n v="5207"/>
    <s v="CA-2015-102015"/>
    <d v="2015-09-12T00:00:00"/>
    <x v="1"/>
    <s v="Q3"/>
    <x v="11"/>
    <d v="2015-09-18T00:00:00"/>
    <s v="Standard Class"/>
    <x v="612"/>
    <x v="612"/>
    <s v="Consumer"/>
    <s v="United States"/>
    <s v="Auburn"/>
    <x v="15"/>
    <n v="13021"/>
    <x v="3"/>
    <x v="310"/>
    <x v="1"/>
    <x v="13"/>
    <x v="310"/>
    <n v="1.24"/>
    <s v="Low"/>
    <n v="1"/>
    <n v="0"/>
    <x v="0"/>
    <x v="0"/>
    <n v="0.58279999999999998"/>
    <n v="0.47"/>
    <n v="0"/>
  </r>
  <r>
    <n v="5208"/>
    <s v="CA-2015-102015"/>
    <d v="2015-09-12T00:00:00"/>
    <x v="1"/>
    <s v="Q3"/>
    <x v="11"/>
    <d v="2015-09-18T00:00:00"/>
    <s v="Standard Class"/>
    <x v="612"/>
    <x v="612"/>
    <s v="Consumer"/>
    <s v="United States"/>
    <s v="Auburn"/>
    <x v="15"/>
    <n v="13021"/>
    <x v="3"/>
    <x v="254"/>
    <x v="1"/>
    <x v="2"/>
    <x v="255"/>
    <n v="20.7"/>
    <s v="Low"/>
    <n v="2"/>
    <n v="0"/>
    <x v="0"/>
    <x v="0"/>
    <n v="9.9359999999999999"/>
    <n v="0.48000000000000004"/>
    <n v="0"/>
  </r>
  <r>
    <n v="5209"/>
    <s v="CA-2015-102015"/>
    <d v="2015-09-12T00:00:00"/>
    <x v="1"/>
    <s v="Q3"/>
    <x v="11"/>
    <d v="2015-09-18T00:00:00"/>
    <s v="Standard Class"/>
    <x v="612"/>
    <x v="612"/>
    <s v="Consumer"/>
    <s v="United States"/>
    <s v="Auburn"/>
    <x v="15"/>
    <n v="13021"/>
    <x v="3"/>
    <x v="1010"/>
    <x v="1"/>
    <x v="10"/>
    <x v="1002"/>
    <n v="28.9"/>
    <s v="Medium"/>
    <n v="5"/>
    <n v="0"/>
    <x v="0"/>
    <x v="0"/>
    <n v="14.161"/>
    <n v="0.49"/>
    <n v="0"/>
  </r>
  <r>
    <n v="5210"/>
    <s v="CA-2015-102015"/>
    <d v="2015-09-12T00:00:00"/>
    <x v="1"/>
    <s v="Q3"/>
    <x v="11"/>
    <d v="2015-09-18T00:00:00"/>
    <s v="Standard Class"/>
    <x v="612"/>
    <x v="612"/>
    <s v="Consumer"/>
    <s v="United States"/>
    <s v="Auburn"/>
    <x v="15"/>
    <n v="13021"/>
    <x v="3"/>
    <x v="113"/>
    <x v="1"/>
    <x v="12"/>
    <x v="113"/>
    <n v="27.18"/>
    <s v="Medium"/>
    <n v="1"/>
    <n v="0"/>
    <x v="0"/>
    <x v="0"/>
    <n v="12.7746"/>
    <n v="0.47"/>
    <n v="0"/>
  </r>
  <r>
    <n v="5211"/>
    <s v="CA-2015-156755"/>
    <d v="2015-01-12T00:00:00"/>
    <x v="1"/>
    <s v="Q1"/>
    <x v="26"/>
    <d v="2015-01-18T00:00:00"/>
    <s v="Standard Class"/>
    <x v="453"/>
    <x v="453"/>
    <s v="Corporate"/>
    <s v="United States"/>
    <s v="Newark"/>
    <x v="13"/>
    <n v="19711"/>
    <x v="3"/>
    <x v="1449"/>
    <x v="1"/>
    <x v="4"/>
    <x v="1436"/>
    <n v="465.18"/>
    <s v="High"/>
    <n v="3"/>
    <n v="0"/>
    <x v="0"/>
    <x v="0"/>
    <n v="120.9468"/>
    <n v="0.26"/>
    <n v="0"/>
  </r>
  <r>
    <n v="5212"/>
    <s v="CA-2015-130876"/>
    <d v="2015-05-12T00:00:00"/>
    <x v="1"/>
    <s v="Q2"/>
    <x v="33"/>
    <d v="2015-05-16T00:00:00"/>
    <s v="Second Class"/>
    <x v="616"/>
    <x v="616"/>
    <s v="Consumer"/>
    <s v="United States"/>
    <s v="New York City"/>
    <x v="15"/>
    <n v="10024"/>
    <x v="3"/>
    <x v="762"/>
    <x v="1"/>
    <x v="4"/>
    <x v="761"/>
    <n v="36.630000000000003"/>
    <s v="Medium"/>
    <n v="3"/>
    <n v="0"/>
    <x v="0"/>
    <x v="0"/>
    <n v="9.8901000000000003"/>
    <n v="0.27"/>
    <n v="0"/>
  </r>
  <r>
    <n v="5213"/>
    <s v="CA-2016-145898"/>
    <d v="2016-09-26T00:00:00"/>
    <x v="0"/>
    <s v="Q3"/>
    <x v="21"/>
    <d v="2016-09-26T00:00:00"/>
    <s v="Same Day"/>
    <x v="320"/>
    <x v="320"/>
    <s v="Consumer"/>
    <s v="United States"/>
    <s v="Redlands"/>
    <x v="1"/>
    <n v="92374"/>
    <x v="1"/>
    <x v="456"/>
    <x v="1"/>
    <x v="4"/>
    <x v="457"/>
    <n v="51.45"/>
    <s v="Medium"/>
    <n v="3"/>
    <n v="0"/>
    <x v="0"/>
    <x v="0"/>
    <n v="13.891500000000001"/>
    <n v="0.27"/>
    <n v="0"/>
  </r>
  <r>
    <n v="5214"/>
    <s v="CA-2016-145898"/>
    <d v="2016-09-26T00:00:00"/>
    <x v="0"/>
    <s v="Q3"/>
    <x v="21"/>
    <d v="2016-09-26T00:00:00"/>
    <s v="Same Day"/>
    <x v="320"/>
    <x v="320"/>
    <s v="Consumer"/>
    <s v="United States"/>
    <s v="Redlands"/>
    <x v="1"/>
    <n v="92374"/>
    <x v="1"/>
    <x v="948"/>
    <x v="1"/>
    <x v="2"/>
    <x v="941"/>
    <n v="7.83"/>
    <s v="Low"/>
    <n v="3"/>
    <n v="0"/>
    <x v="0"/>
    <x v="0"/>
    <n v="3.6017999999999999"/>
    <n v="0.45999999999999996"/>
    <n v="0"/>
  </r>
  <r>
    <n v="5215"/>
    <s v="CA-2016-145898"/>
    <d v="2016-09-26T00:00:00"/>
    <x v="0"/>
    <s v="Q3"/>
    <x v="21"/>
    <d v="2016-09-26T00:00:00"/>
    <s v="Same Day"/>
    <x v="320"/>
    <x v="320"/>
    <s v="Consumer"/>
    <s v="United States"/>
    <s v="Redlands"/>
    <x v="1"/>
    <n v="92374"/>
    <x v="1"/>
    <x v="1658"/>
    <x v="1"/>
    <x v="6"/>
    <x v="1646"/>
    <n v="35.4"/>
    <s v="Medium"/>
    <n v="5"/>
    <n v="0"/>
    <x v="0"/>
    <x v="0"/>
    <n v="13.452"/>
    <n v="0.38"/>
    <n v="0"/>
  </r>
  <r>
    <n v="5216"/>
    <s v="CA-2016-145898"/>
    <d v="2016-09-26T00:00:00"/>
    <x v="0"/>
    <s v="Q3"/>
    <x v="21"/>
    <d v="2016-09-26T00:00:00"/>
    <s v="Same Day"/>
    <x v="320"/>
    <x v="320"/>
    <s v="Consumer"/>
    <s v="United States"/>
    <s v="Redlands"/>
    <x v="1"/>
    <n v="92374"/>
    <x v="1"/>
    <x v="457"/>
    <x v="1"/>
    <x v="10"/>
    <x v="458"/>
    <n v="29.9"/>
    <s v="Medium"/>
    <n v="5"/>
    <n v="0"/>
    <x v="0"/>
    <x v="0"/>
    <n v="13.455"/>
    <n v="0.45"/>
    <n v="0"/>
  </r>
  <r>
    <n v="5217"/>
    <s v="US-2017-159562"/>
    <d v="2017-09-09T00:00:00"/>
    <x v="3"/>
    <s v="Q3"/>
    <x v="15"/>
    <d v="2017-09-15T00:00:00"/>
    <s v="Standard Class"/>
    <x v="677"/>
    <x v="677"/>
    <s v="Consumer"/>
    <s v="United States"/>
    <s v="Roseville"/>
    <x v="12"/>
    <n v="48066"/>
    <x v="2"/>
    <x v="755"/>
    <x v="1"/>
    <x v="12"/>
    <x v="753"/>
    <n v="17.48"/>
    <s v="Low"/>
    <n v="2"/>
    <n v="0"/>
    <x v="0"/>
    <x v="0"/>
    <n v="8.2156000000000002"/>
    <n v="0.47000000000000003"/>
    <n v="0"/>
  </r>
  <r>
    <n v="5218"/>
    <s v="CA-2017-134635"/>
    <d v="2017-04-15T00:00:00"/>
    <x v="3"/>
    <s v="Q2"/>
    <x v="4"/>
    <d v="2017-04-17T00:00:00"/>
    <s v="Second Class"/>
    <x v="374"/>
    <x v="374"/>
    <s v="Corporate"/>
    <s v="United States"/>
    <s v="Los Angeles"/>
    <x v="1"/>
    <n v="90049"/>
    <x v="1"/>
    <x v="145"/>
    <x v="1"/>
    <x v="10"/>
    <x v="146"/>
    <n v="79.14"/>
    <s v="Medium"/>
    <n v="3"/>
    <n v="0"/>
    <x v="0"/>
    <x v="0"/>
    <n v="36.404400000000003"/>
    <n v="0.46"/>
    <n v="0"/>
  </r>
  <r>
    <n v="5219"/>
    <s v="CA-2017-167080"/>
    <d v="2017-06-10T00:00:00"/>
    <x v="3"/>
    <s v="Q2"/>
    <x v="27"/>
    <d v="2017-06-14T00:00:00"/>
    <s v="Standard Class"/>
    <x v="18"/>
    <x v="18"/>
    <s v="Corporate"/>
    <s v="United States"/>
    <s v="New York City"/>
    <x v="15"/>
    <n v="10011"/>
    <x v="3"/>
    <x v="59"/>
    <x v="1"/>
    <x v="6"/>
    <x v="59"/>
    <n v="8.4"/>
    <s v="Low"/>
    <n v="5"/>
    <n v="0"/>
    <x v="0"/>
    <x v="0"/>
    <n v="4.2"/>
    <n v="0.5"/>
    <n v="0"/>
  </r>
  <r>
    <n v="5220"/>
    <s v="CA-2017-145653"/>
    <d v="2017-09-01T00:00:00"/>
    <x v="3"/>
    <s v="Q3"/>
    <x v="15"/>
    <d v="2017-09-01T00:00:00"/>
    <s v="Same Day"/>
    <x v="222"/>
    <x v="222"/>
    <s v="Consumer"/>
    <s v="United States"/>
    <s v="Detroit"/>
    <x v="12"/>
    <n v="48205"/>
    <x v="2"/>
    <x v="1459"/>
    <x v="0"/>
    <x v="1"/>
    <x v="1445"/>
    <n v="498.26"/>
    <s v="High"/>
    <n v="7"/>
    <n v="0"/>
    <x v="0"/>
    <x v="0"/>
    <n v="134.53020000000001"/>
    <n v="0.27"/>
    <n v="0"/>
  </r>
  <r>
    <n v="5221"/>
    <s v="CA-2014-140487"/>
    <d v="2014-06-14T00:00:00"/>
    <x v="2"/>
    <s v="Q2"/>
    <x v="3"/>
    <d v="2014-06-20T00:00:00"/>
    <s v="Standard Class"/>
    <x v="676"/>
    <x v="676"/>
    <s v="Home Office"/>
    <s v="United States"/>
    <s v="Detroit"/>
    <x v="12"/>
    <n v="48234"/>
    <x v="2"/>
    <x v="1624"/>
    <x v="0"/>
    <x v="0"/>
    <x v="1614"/>
    <n v="212.94"/>
    <s v="High"/>
    <n v="3"/>
    <n v="0"/>
    <x v="0"/>
    <x v="0"/>
    <n v="57.4938"/>
    <n v="0.27"/>
    <n v="0"/>
  </r>
  <r>
    <n v="5222"/>
    <s v="CA-2017-117401"/>
    <d v="2017-05-18T00:00:00"/>
    <x v="3"/>
    <s v="Q2"/>
    <x v="24"/>
    <d v="2017-05-22T00:00:00"/>
    <s v="Second Class"/>
    <x v="452"/>
    <x v="452"/>
    <s v="Home Office"/>
    <s v="United States"/>
    <s v="Springfield"/>
    <x v="25"/>
    <n v="65807"/>
    <x v="2"/>
    <x v="1725"/>
    <x v="1"/>
    <x v="9"/>
    <x v="1712"/>
    <n v="706.86"/>
    <s v="High"/>
    <n v="7"/>
    <n v="0"/>
    <x v="0"/>
    <x v="0"/>
    <n v="197.92080000000001"/>
    <n v="0.28000000000000003"/>
    <n v="0"/>
  </r>
  <r>
    <n v="5223"/>
    <s v="CA-2017-117401"/>
    <d v="2017-05-18T00:00:00"/>
    <x v="3"/>
    <s v="Q2"/>
    <x v="24"/>
    <d v="2017-05-22T00:00:00"/>
    <s v="Second Class"/>
    <x v="452"/>
    <x v="452"/>
    <s v="Home Office"/>
    <s v="United States"/>
    <s v="Springfield"/>
    <x v="25"/>
    <n v="65807"/>
    <x v="2"/>
    <x v="461"/>
    <x v="2"/>
    <x v="7"/>
    <x v="462"/>
    <n v="114.95"/>
    <s v="Medium"/>
    <n v="5"/>
    <n v="0"/>
    <x v="0"/>
    <x v="0"/>
    <n v="2.2989999999999999"/>
    <n v="0.02"/>
    <n v="0"/>
  </r>
  <r>
    <n v="5224"/>
    <s v="CA-2017-117401"/>
    <d v="2017-05-18T00:00:00"/>
    <x v="3"/>
    <s v="Q2"/>
    <x v="24"/>
    <d v="2017-05-22T00:00:00"/>
    <s v="Second Class"/>
    <x v="452"/>
    <x v="452"/>
    <s v="Home Office"/>
    <s v="United States"/>
    <s v="Springfield"/>
    <x v="25"/>
    <n v="65807"/>
    <x v="2"/>
    <x v="1488"/>
    <x v="1"/>
    <x v="8"/>
    <x v="1475"/>
    <n v="43.19"/>
    <s v="Medium"/>
    <n v="7"/>
    <n v="0"/>
    <x v="0"/>
    <x v="0"/>
    <n v="20.731200000000001"/>
    <n v="0.48000000000000004"/>
    <n v="0"/>
  </r>
  <r>
    <n v="5225"/>
    <s v="US-2017-109582"/>
    <d v="2017-09-12T00:00:00"/>
    <x v="3"/>
    <s v="Q3"/>
    <x v="15"/>
    <d v="2017-09-17T00:00:00"/>
    <s v="Second Class"/>
    <x v="622"/>
    <x v="622"/>
    <s v="Consumer"/>
    <s v="United States"/>
    <s v="Los Angeles"/>
    <x v="1"/>
    <n v="90036"/>
    <x v="1"/>
    <x v="417"/>
    <x v="1"/>
    <x v="10"/>
    <x v="417"/>
    <n v="166.44"/>
    <s v="High"/>
    <n v="3"/>
    <n v="0"/>
    <x v="0"/>
    <x v="0"/>
    <n v="79.891199999999998"/>
    <n v="0.48"/>
    <n v="0"/>
  </r>
  <r>
    <n v="5226"/>
    <s v="CA-2016-119865"/>
    <d v="2016-06-21T00:00:00"/>
    <x v="0"/>
    <s v="Q2"/>
    <x v="1"/>
    <d v="2016-06-26T00:00:00"/>
    <s v="Standard Class"/>
    <x v="548"/>
    <x v="548"/>
    <s v="Consumer"/>
    <s v="United States"/>
    <s v="New York City"/>
    <x v="15"/>
    <n v="10011"/>
    <x v="3"/>
    <x v="1316"/>
    <x v="1"/>
    <x v="8"/>
    <x v="1302"/>
    <n v="36.56"/>
    <s v="Medium"/>
    <n v="5"/>
    <n v="0.2"/>
    <x v="2"/>
    <x v="2"/>
    <n v="12.795999999999999"/>
    <n v="0.35"/>
    <n v="0"/>
  </r>
  <r>
    <n v="5227"/>
    <s v="CA-2016-119865"/>
    <d v="2016-06-21T00:00:00"/>
    <x v="0"/>
    <s v="Q2"/>
    <x v="1"/>
    <d v="2016-06-26T00:00:00"/>
    <s v="Standard Class"/>
    <x v="548"/>
    <x v="548"/>
    <s v="Consumer"/>
    <s v="United States"/>
    <s v="New York City"/>
    <x v="15"/>
    <n v="10011"/>
    <x v="3"/>
    <x v="1561"/>
    <x v="1"/>
    <x v="8"/>
    <x v="1551"/>
    <n v="186.14400000000001"/>
    <s v="High"/>
    <n v="6"/>
    <n v="0.2"/>
    <x v="2"/>
    <x v="2"/>
    <n v="60.4968"/>
    <n v="0.32500000000000001"/>
    <n v="0"/>
  </r>
  <r>
    <n v="5228"/>
    <s v="CA-2016-119865"/>
    <d v="2016-06-21T00:00:00"/>
    <x v="0"/>
    <s v="Q2"/>
    <x v="1"/>
    <d v="2016-06-26T00:00:00"/>
    <s v="Standard Class"/>
    <x v="548"/>
    <x v="548"/>
    <s v="Consumer"/>
    <s v="United States"/>
    <s v="New York City"/>
    <x v="15"/>
    <n v="10011"/>
    <x v="3"/>
    <x v="587"/>
    <x v="0"/>
    <x v="0"/>
    <x v="587"/>
    <n v="353.56799999999998"/>
    <s v="High"/>
    <n v="2"/>
    <n v="0.2"/>
    <x v="2"/>
    <x v="2"/>
    <n v="-44.195999999999998"/>
    <n v="-0.125"/>
    <n v="1"/>
  </r>
  <r>
    <n v="5229"/>
    <s v="US-2014-147648"/>
    <d v="2014-11-26T00:00:00"/>
    <x v="2"/>
    <s v="Q4"/>
    <x v="7"/>
    <d v="2014-12-01T00:00:00"/>
    <s v="Standard Class"/>
    <x v="60"/>
    <x v="60"/>
    <s v="Home Office"/>
    <s v="United States"/>
    <s v="San Francisco"/>
    <x v="1"/>
    <n v="94109"/>
    <x v="1"/>
    <x v="1522"/>
    <x v="1"/>
    <x v="10"/>
    <x v="1509"/>
    <n v="81.98"/>
    <s v="Medium"/>
    <n v="2"/>
    <n v="0"/>
    <x v="0"/>
    <x v="0"/>
    <n v="40.170200000000001"/>
    <n v="0.49"/>
    <n v="0"/>
  </r>
  <r>
    <n v="5230"/>
    <s v="CA-2017-124436"/>
    <d v="2017-03-19T00:00:00"/>
    <x v="3"/>
    <s v="Q1"/>
    <x v="42"/>
    <d v="2017-03-22T00:00:00"/>
    <s v="Second Class"/>
    <x v="193"/>
    <x v="193"/>
    <s v="Consumer"/>
    <s v="United States"/>
    <s v="Fresno"/>
    <x v="1"/>
    <n v="93727"/>
    <x v="1"/>
    <x v="1316"/>
    <x v="1"/>
    <x v="8"/>
    <x v="1302"/>
    <n v="14.624000000000001"/>
    <s v="Low"/>
    <n v="2"/>
    <n v="0.2"/>
    <x v="2"/>
    <x v="2"/>
    <n v="5.1184000000000003"/>
    <n v="0.35000000000000003"/>
    <n v="0"/>
  </r>
  <r>
    <n v="5231"/>
    <s v="CA-2017-124436"/>
    <d v="2017-03-19T00:00:00"/>
    <x v="3"/>
    <s v="Q1"/>
    <x v="42"/>
    <d v="2017-03-22T00:00:00"/>
    <s v="Second Class"/>
    <x v="193"/>
    <x v="193"/>
    <s v="Consumer"/>
    <s v="United States"/>
    <s v="Fresno"/>
    <x v="1"/>
    <n v="93727"/>
    <x v="1"/>
    <x v="616"/>
    <x v="0"/>
    <x v="3"/>
    <x v="616"/>
    <n v="697.16"/>
    <s v="High"/>
    <n v="5"/>
    <n v="0.2"/>
    <x v="2"/>
    <x v="2"/>
    <n v="8.7144999999999992"/>
    <n v="1.2499999999999999E-2"/>
    <n v="0"/>
  </r>
  <r>
    <n v="5232"/>
    <s v="CA-2017-124436"/>
    <d v="2017-03-19T00:00:00"/>
    <x v="3"/>
    <s v="Q1"/>
    <x v="42"/>
    <d v="2017-03-22T00:00:00"/>
    <s v="Second Class"/>
    <x v="193"/>
    <x v="193"/>
    <s v="Consumer"/>
    <s v="United States"/>
    <s v="Fresno"/>
    <x v="1"/>
    <n v="93727"/>
    <x v="1"/>
    <x v="1435"/>
    <x v="0"/>
    <x v="5"/>
    <x v="1423"/>
    <n v="30.93"/>
    <s v="Medium"/>
    <n v="1"/>
    <n v="0"/>
    <x v="0"/>
    <x v="0"/>
    <n v="12.6813"/>
    <n v="0.41000000000000003"/>
    <n v="0"/>
  </r>
  <r>
    <n v="5233"/>
    <s v="CA-2017-124436"/>
    <d v="2017-03-19T00:00:00"/>
    <x v="3"/>
    <s v="Q1"/>
    <x v="42"/>
    <d v="2017-03-22T00:00:00"/>
    <s v="Second Class"/>
    <x v="193"/>
    <x v="193"/>
    <s v="Consumer"/>
    <s v="United States"/>
    <s v="Fresno"/>
    <x v="1"/>
    <n v="93727"/>
    <x v="1"/>
    <x v="185"/>
    <x v="1"/>
    <x v="8"/>
    <x v="186"/>
    <n v="27.495999999999999"/>
    <s v="Medium"/>
    <n v="7"/>
    <n v="0.2"/>
    <x v="2"/>
    <x v="2"/>
    <n v="9.2798999999999996"/>
    <n v="0.33750000000000002"/>
    <n v="0"/>
  </r>
  <r>
    <n v="5234"/>
    <s v="CA-2014-115084"/>
    <d v="2014-10-18T00:00:00"/>
    <x v="2"/>
    <s v="Q4"/>
    <x v="18"/>
    <d v="2014-10-22T00:00:00"/>
    <s v="Standard Class"/>
    <x v="624"/>
    <x v="624"/>
    <s v="Corporate"/>
    <s v="United States"/>
    <s v="Texarkana"/>
    <x v="36"/>
    <n v="71854"/>
    <x v="0"/>
    <x v="1719"/>
    <x v="0"/>
    <x v="1"/>
    <x v="1706"/>
    <n v="605.34"/>
    <s v="High"/>
    <n v="6"/>
    <n v="0"/>
    <x v="0"/>
    <x v="0"/>
    <n v="145.2816"/>
    <n v="0.24"/>
    <n v="0"/>
  </r>
  <r>
    <n v="5235"/>
    <s v="CA-2017-131037"/>
    <d v="2017-08-22T00:00:00"/>
    <x v="3"/>
    <s v="Q3"/>
    <x v="43"/>
    <d v="2017-08-23T00:00:00"/>
    <s v="First Class"/>
    <x v="746"/>
    <x v="746"/>
    <s v="Consumer"/>
    <s v="United States"/>
    <s v="San Francisco"/>
    <x v="1"/>
    <n v="94110"/>
    <x v="1"/>
    <x v="114"/>
    <x v="0"/>
    <x v="3"/>
    <x v="114"/>
    <n v="210.00800000000001"/>
    <s v="High"/>
    <n v="1"/>
    <n v="0.2"/>
    <x v="2"/>
    <x v="2"/>
    <n v="2.6251000000000002"/>
    <n v="1.2500000000000001E-2"/>
    <n v="0"/>
  </r>
  <r>
    <n v="5236"/>
    <s v="CA-2016-111143"/>
    <d v="2016-11-19T00:00:00"/>
    <x v="0"/>
    <s v="Q4"/>
    <x v="0"/>
    <d v="2016-11-22T00:00:00"/>
    <s v="First Class"/>
    <x v="640"/>
    <x v="640"/>
    <s v="Corporate"/>
    <s v="United States"/>
    <s v="Indianapolis"/>
    <x v="14"/>
    <n v="46203"/>
    <x v="2"/>
    <x v="1549"/>
    <x v="1"/>
    <x v="9"/>
    <x v="1537"/>
    <n v="54.96"/>
    <s v="Medium"/>
    <n v="3"/>
    <n v="0"/>
    <x v="0"/>
    <x v="0"/>
    <n v="15.9384"/>
    <n v="0.28999999999999998"/>
    <n v="0"/>
  </r>
  <r>
    <n v="5237"/>
    <s v="CA-2014-166744"/>
    <d v="2014-09-20T00:00:00"/>
    <x v="2"/>
    <s v="Q3"/>
    <x v="30"/>
    <d v="2014-09-24T00:00:00"/>
    <s v="Standard Class"/>
    <x v="35"/>
    <x v="35"/>
    <s v="Consumer"/>
    <s v="United States"/>
    <s v="Columbia"/>
    <x v="39"/>
    <n v="21044"/>
    <x v="3"/>
    <x v="859"/>
    <x v="0"/>
    <x v="5"/>
    <x v="853"/>
    <n v="164.22"/>
    <s v="High"/>
    <n v="3"/>
    <n v="0"/>
    <x v="0"/>
    <x v="0"/>
    <n v="50.908200000000001"/>
    <n v="0.31"/>
    <n v="0"/>
  </r>
  <r>
    <n v="5238"/>
    <s v="CA-2014-166744"/>
    <d v="2014-09-20T00:00:00"/>
    <x v="2"/>
    <s v="Q3"/>
    <x v="30"/>
    <d v="2014-09-24T00:00:00"/>
    <s v="Standard Class"/>
    <x v="35"/>
    <x v="35"/>
    <s v="Consumer"/>
    <s v="United States"/>
    <s v="Columbia"/>
    <x v="39"/>
    <n v="21044"/>
    <x v="3"/>
    <x v="430"/>
    <x v="0"/>
    <x v="0"/>
    <x v="430"/>
    <n v="362.94"/>
    <s v="High"/>
    <n v="3"/>
    <n v="0"/>
    <x v="0"/>
    <x v="0"/>
    <n v="36.293999999999997"/>
    <n v="9.9999999999999992E-2"/>
    <n v="0"/>
  </r>
  <r>
    <n v="5239"/>
    <s v="CA-2014-166744"/>
    <d v="2014-09-20T00:00:00"/>
    <x v="2"/>
    <s v="Q3"/>
    <x v="30"/>
    <d v="2014-09-24T00:00:00"/>
    <s v="Standard Class"/>
    <x v="35"/>
    <x v="35"/>
    <s v="Consumer"/>
    <s v="United States"/>
    <s v="Columbia"/>
    <x v="39"/>
    <n v="21044"/>
    <x v="3"/>
    <x v="246"/>
    <x v="2"/>
    <x v="11"/>
    <x v="247"/>
    <n v="59.98"/>
    <s v="Medium"/>
    <n v="2"/>
    <n v="0"/>
    <x v="0"/>
    <x v="0"/>
    <n v="26.391200000000001"/>
    <n v="0.44000000000000006"/>
    <n v="0"/>
  </r>
  <r>
    <n v="5240"/>
    <s v="CA-2016-116561"/>
    <d v="2016-09-11T00:00:00"/>
    <x v="0"/>
    <s v="Q3"/>
    <x v="21"/>
    <d v="2016-09-17T00:00:00"/>
    <s v="Standard Class"/>
    <x v="686"/>
    <x v="686"/>
    <s v="Consumer"/>
    <s v="United States"/>
    <s v="San Jose"/>
    <x v="1"/>
    <n v="95123"/>
    <x v="1"/>
    <x v="16"/>
    <x v="1"/>
    <x v="4"/>
    <x v="16"/>
    <n v="332.94"/>
    <s v="High"/>
    <n v="3"/>
    <n v="0"/>
    <x v="0"/>
    <x v="0"/>
    <n v="6.6588000000000003"/>
    <n v="0.02"/>
    <n v="0"/>
  </r>
  <r>
    <n v="5241"/>
    <s v="CA-2016-116561"/>
    <d v="2016-09-11T00:00:00"/>
    <x v="0"/>
    <s v="Q3"/>
    <x v="21"/>
    <d v="2016-09-17T00:00:00"/>
    <s v="Standard Class"/>
    <x v="686"/>
    <x v="686"/>
    <s v="Consumer"/>
    <s v="United States"/>
    <s v="San Jose"/>
    <x v="1"/>
    <n v="95123"/>
    <x v="1"/>
    <x v="444"/>
    <x v="1"/>
    <x v="8"/>
    <x v="444"/>
    <n v="39.872"/>
    <s v="Medium"/>
    <n v="2"/>
    <n v="0.2"/>
    <x v="2"/>
    <x v="2"/>
    <n v="12.958399999999999"/>
    <n v="0.32499999999999996"/>
    <n v="0"/>
  </r>
  <r>
    <n v="5242"/>
    <s v="CA-2016-110730"/>
    <d v="2016-09-23T00:00:00"/>
    <x v="0"/>
    <s v="Q3"/>
    <x v="21"/>
    <d v="2016-09-26T00:00:00"/>
    <s v="Second Class"/>
    <x v="698"/>
    <x v="698"/>
    <s v="Corporate"/>
    <s v="United States"/>
    <s v="Seattle"/>
    <x v="4"/>
    <n v="98115"/>
    <x v="1"/>
    <x v="1726"/>
    <x v="1"/>
    <x v="14"/>
    <x v="1713"/>
    <n v="13.68"/>
    <s v="Low"/>
    <n v="2"/>
    <n v="0"/>
    <x v="0"/>
    <x v="0"/>
    <n v="3.6936"/>
    <n v="0.27"/>
    <n v="0"/>
  </r>
  <r>
    <n v="5243"/>
    <s v="CA-2017-146367"/>
    <d v="2017-08-04T00:00:00"/>
    <x v="3"/>
    <s v="Q3"/>
    <x v="43"/>
    <d v="2017-08-08T00:00:00"/>
    <s v="Standard Class"/>
    <x v="447"/>
    <x v="447"/>
    <s v="Corporate"/>
    <s v="United States"/>
    <s v="Carrollton"/>
    <x v="5"/>
    <n v="75007"/>
    <x v="2"/>
    <x v="555"/>
    <x v="1"/>
    <x v="8"/>
    <x v="554"/>
    <n v="3.3180000000000001"/>
    <s v="Low"/>
    <n v="3"/>
    <n v="0.8"/>
    <x v="1"/>
    <x v="3"/>
    <n v="-5.6406000000000001"/>
    <n v="-1.7"/>
    <n v="1"/>
  </r>
  <r>
    <n v="5244"/>
    <s v="CA-2016-149454"/>
    <d v="2016-07-25T00:00:00"/>
    <x v="0"/>
    <s v="Q3"/>
    <x v="16"/>
    <d v="2016-07-26T00:00:00"/>
    <s v="First Class"/>
    <x v="454"/>
    <x v="454"/>
    <s v="Home Office"/>
    <s v="United States"/>
    <s v="Arlington"/>
    <x v="17"/>
    <n v="22204"/>
    <x v="0"/>
    <x v="864"/>
    <x v="1"/>
    <x v="8"/>
    <x v="858"/>
    <n v="10.44"/>
    <s v="Low"/>
    <n v="1"/>
    <n v="0"/>
    <x v="0"/>
    <x v="0"/>
    <n v="4.8023999999999996"/>
    <n v="0.45999999999999996"/>
    <n v="0"/>
  </r>
  <r>
    <n v="5245"/>
    <s v="CA-2016-156265"/>
    <d v="2016-08-02T00:00:00"/>
    <x v="0"/>
    <s v="Q3"/>
    <x v="28"/>
    <d v="2016-08-04T00:00:00"/>
    <s v="Second Class"/>
    <x v="292"/>
    <x v="292"/>
    <s v="Corporate"/>
    <s v="United States"/>
    <s v="Los Angeles"/>
    <x v="1"/>
    <n v="90032"/>
    <x v="1"/>
    <x v="1727"/>
    <x v="0"/>
    <x v="3"/>
    <x v="1714"/>
    <n v="136.464"/>
    <s v="High"/>
    <n v="2"/>
    <n v="0.2"/>
    <x v="2"/>
    <x v="2"/>
    <n v="15.3522"/>
    <n v="0.1125"/>
    <n v="0"/>
  </r>
  <r>
    <n v="5246"/>
    <s v="CA-2016-156265"/>
    <d v="2016-08-02T00:00:00"/>
    <x v="0"/>
    <s v="Q3"/>
    <x v="28"/>
    <d v="2016-08-04T00:00:00"/>
    <s v="Second Class"/>
    <x v="292"/>
    <x v="292"/>
    <s v="Corporate"/>
    <s v="United States"/>
    <s v="Los Angeles"/>
    <x v="1"/>
    <n v="90032"/>
    <x v="1"/>
    <x v="192"/>
    <x v="2"/>
    <x v="7"/>
    <x v="193"/>
    <n v="333.57600000000002"/>
    <s v="High"/>
    <n v="3"/>
    <n v="0.2"/>
    <x v="2"/>
    <x v="2"/>
    <n v="33.357599999999998"/>
    <n v="9.9999999999999992E-2"/>
    <n v="0"/>
  </r>
  <r>
    <n v="5247"/>
    <s v="CA-2016-156265"/>
    <d v="2016-08-02T00:00:00"/>
    <x v="0"/>
    <s v="Q3"/>
    <x v="28"/>
    <d v="2016-08-04T00:00:00"/>
    <s v="Second Class"/>
    <x v="292"/>
    <x v="292"/>
    <s v="Corporate"/>
    <s v="United States"/>
    <s v="Los Angeles"/>
    <x v="1"/>
    <n v="90032"/>
    <x v="1"/>
    <x v="460"/>
    <x v="1"/>
    <x v="8"/>
    <x v="461"/>
    <n v="12.544"/>
    <s v="Low"/>
    <n v="2"/>
    <n v="0.2"/>
    <x v="2"/>
    <x v="2"/>
    <n v="4.7039999999999997"/>
    <n v="0.37499999999999994"/>
    <n v="0"/>
  </r>
  <r>
    <n v="5248"/>
    <s v="US-2015-168914"/>
    <d v="2015-05-21T00:00:00"/>
    <x v="1"/>
    <s v="Q2"/>
    <x v="33"/>
    <d v="2015-05-27T00:00:00"/>
    <s v="Standard Class"/>
    <x v="32"/>
    <x v="32"/>
    <s v="Consumer"/>
    <s v="United States"/>
    <s v="Frankfort"/>
    <x v="10"/>
    <n v="60423"/>
    <x v="2"/>
    <x v="95"/>
    <x v="1"/>
    <x v="9"/>
    <x v="95"/>
    <n v="20.768000000000001"/>
    <s v="Low"/>
    <n v="8"/>
    <n v="0.8"/>
    <x v="1"/>
    <x v="3"/>
    <n v="-52.958399999999997"/>
    <n v="-2.5499999999999998"/>
    <n v="1"/>
  </r>
  <r>
    <n v="5249"/>
    <s v="US-2017-110989"/>
    <d v="2017-11-03T00:00:00"/>
    <x v="3"/>
    <s v="Q4"/>
    <x v="23"/>
    <d v="2017-11-05T00:00:00"/>
    <s v="Second Class"/>
    <x v="412"/>
    <x v="412"/>
    <s v="Consumer"/>
    <s v="United States"/>
    <s v="Seattle"/>
    <x v="4"/>
    <n v="98105"/>
    <x v="1"/>
    <x v="174"/>
    <x v="2"/>
    <x v="11"/>
    <x v="175"/>
    <n v="43.5"/>
    <s v="Medium"/>
    <n v="3"/>
    <n v="0"/>
    <x v="0"/>
    <x v="0"/>
    <n v="10.875"/>
    <n v="0.25"/>
    <n v="0"/>
  </r>
  <r>
    <n v="5250"/>
    <s v="CA-2015-106215"/>
    <d v="2015-04-16T00:00:00"/>
    <x v="1"/>
    <s v="Q2"/>
    <x v="19"/>
    <d v="2015-04-21T00:00:00"/>
    <s v="Standard Class"/>
    <x v="272"/>
    <x v="272"/>
    <s v="Corporate"/>
    <s v="United States"/>
    <s v="Philadelphia"/>
    <x v="9"/>
    <n v="19143"/>
    <x v="3"/>
    <x v="1328"/>
    <x v="1"/>
    <x v="13"/>
    <x v="128"/>
    <n v="12.576000000000001"/>
    <s v="Low"/>
    <n v="4"/>
    <n v="0.2"/>
    <x v="2"/>
    <x v="2"/>
    <n v="4.0872000000000002"/>
    <n v="0.32500000000000001"/>
    <n v="0"/>
  </r>
  <r>
    <n v="5251"/>
    <s v="US-2016-169369"/>
    <d v="2016-12-12T00:00:00"/>
    <x v="0"/>
    <s v="Q4"/>
    <x v="5"/>
    <d v="2016-12-18T00:00:00"/>
    <s v="Standard Class"/>
    <x v="685"/>
    <x v="685"/>
    <s v="Consumer"/>
    <s v="United States"/>
    <s v="Columbus"/>
    <x v="32"/>
    <n v="31907"/>
    <x v="0"/>
    <x v="959"/>
    <x v="2"/>
    <x v="11"/>
    <x v="952"/>
    <n v="249.95"/>
    <s v="High"/>
    <n v="5"/>
    <n v="0"/>
    <x v="0"/>
    <x v="0"/>
    <n v="19.995999999999999"/>
    <n v="0.08"/>
    <n v="0"/>
  </r>
  <r>
    <n v="5252"/>
    <s v="US-2016-169369"/>
    <d v="2016-12-12T00:00:00"/>
    <x v="0"/>
    <s v="Q4"/>
    <x v="5"/>
    <d v="2016-12-18T00:00:00"/>
    <s v="Standard Class"/>
    <x v="685"/>
    <x v="685"/>
    <s v="Consumer"/>
    <s v="United States"/>
    <s v="Columbus"/>
    <x v="32"/>
    <n v="31907"/>
    <x v="0"/>
    <x v="1493"/>
    <x v="1"/>
    <x v="10"/>
    <x v="1481"/>
    <n v="49.12"/>
    <s v="Medium"/>
    <n v="4"/>
    <n v="0"/>
    <x v="0"/>
    <x v="0"/>
    <n v="23.086400000000001"/>
    <n v="0.47000000000000003"/>
    <n v="0"/>
  </r>
  <r>
    <n v="5253"/>
    <s v="CA-2015-132318"/>
    <d v="2015-10-30T00:00:00"/>
    <x v="1"/>
    <s v="Q4"/>
    <x v="2"/>
    <d v="2015-11-02T00:00:00"/>
    <s v="First Class"/>
    <x v="627"/>
    <x v="627"/>
    <s v="Consumer"/>
    <s v="United States"/>
    <s v="Virginia Beach"/>
    <x v="17"/>
    <n v="23464"/>
    <x v="0"/>
    <x v="1306"/>
    <x v="1"/>
    <x v="9"/>
    <x v="1291"/>
    <n v="182.91"/>
    <s v="High"/>
    <n v="3"/>
    <n v="0"/>
    <x v="0"/>
    <x v="0"/>
    <n v="53.043900000000001"/>
    <n v="0.29000000000000004"/>
    <n v="0"/>
  </r>
  <r>
    <n v="5254"/>
    <s v="US-2014-131982"/>
    <d v="2014-03-07T00:00:00"/>
    <x v="2"/>
    <s v="Q1"/>
    <x v="34"/>
    <d v="2014-03-11T00:00:00"/>
    <s v="Second Class"/>
    <x v="472"/>
    <x v="472"/>
    <s v="Home Office"/>
    <s v="United States"/>
    <s v="Des Moines"/>
    <x v="4"/>
    <n v="98198"/>
    <x v="1"/>
    <x v="1080"/>
    <x v="1"/>
    <x v="8"/>
    <x v="1070"/>
    <n v="107.648"/>
    <s v="Medium"/>
    <n v="2"/>
    <n v="0.2"/>
    <x v="2"/>
    <x v="2"/>
    <n v="33.64"/>
    <n v="0.3125"/>
    <n v="0"/>
  </r>
  <r>
    <n v="5255"/>
    <s v="CA-2015-125185"/>
    <d v="2015-03-05T00:00:00"/>
    <x v="1"/>
    <s v="Q1"/>
    <x v="29"/>
    <d v="2015-03-07T00:00:00"/>
    <s v="Second Class"/>
    <x v="124"/>
    <x v="124"/>
    <s v="Corporate"/>
    <s v="United States"/>
    <s v="Bethlehem"/>
    <x v="9"/>
    <n v="18018"/>
    <x v="3"/>
    <x v="474"/>
    <x v="0"/>
    <x v="1"/>
    <x v="475"/>
    <n v="99.372"/>
    <s v="Medium"/>
    <n v="2"/>
    <n v="0.3"/>
    <x v="1"/>
    <x v="4"/>
    <n v="-7.0979999999999999"/>
    <n v="-7.1428571428571425E-2"/>
    <n v="1"/>
  </r>
  <r>
    <n v="5256"/>
    <s v="CA-2015-125185"/>
    <d v="2015-03-05T00:00:00"/>
    <x v="1"/>
    <s v="Q1"/>
    <x v="29"/>
    <d v="2015-03-07T00:00:00"/>
    <s v="Second Class"/>
    <x v="124"/>
    <x v="124"/>
    <s v="Corporate"/>
    <s v="United States"/>
    <s v="Bethlehem"/>
    <x v="9"/>
    <n v="18018"/>
    <x v="3"/>
    <x v="1478"/>
    <x v="0"/>
    <x v="5"/>
    <x v="1465"/>
    <n v="33.567999999999998"/>
    <s v="Medium"/>
    <n v="2"/>
    <n v="0.2"/>
    <x v="2"/>
    <x v="2"/>
    <n v="-5.4547999999999996"/>
    <n v="-0.16250000000000001"/>
    <n v="1"/>
  </r>
  <r>
    <n v="5257"/>
    <s v="CA-2016-130078"/>
    <d v="2016-08-08T00:00:00"/>
    <x v="0"/>
    <s v="Q3"/>
    <x v="28"/>
    <d v="2016-08-14T00:00:00"/>
    <s v="Standard Class"/>
    <x v="230"/>
    <x v="230"/>
    <s v="Consumer"/>
    <s v="United States"/>
    <s v="Oklahoma City"/>
    <x v="26"/>
    <n v="73120"/>
    <x v="2"/>
    <x v="1436"/>
    <x v="1"/>
    <x v="10"/>
    <x v="1424"/>
    <n v="10.56"/>
    <s v="Low"/>
    <n v="2"/>
    <n v="0"/>
    <x v="0"/>
    <x v="0"/>
    <n v="4.7519999999999998"/>
    <n v="0.44999999999999996"/>
    <n v="0"/>
  </r>
  <r>
    <n v="5258"/>
    <s v="US-2017-114034"/>
    <d v="2017-01-03T00:00:00"/>
    <x v="3"/>
    <s v="Q1"/>
    <x v="44"/>
    <d v="2017-01-08T00:00:00"/>
    <s v="Standard Class"/>
    <x v="111"/>
    <x v="111"/>
    <s v="Consumer"/>
    <s v="United States"/>
    <s v="Rancho Cucamonga"/>
    <x v="1"/>
    <n v="91730"/>
    <x v="1"/>
    <x v="832"/>
    <x v="1"/>
    <x v="10"/>
    <x v="827"/>
    <n v="38.880000000000003"/>
    <s v="Medium"/>
    <n v="6"/>
    <n v="0"/>
    <x v="0"/>
    <x v="0"/>
    <n v="18.662400000000002"/>
    <n v="0.48000000000000004"/>
    <n v="0"/>
  </r>
  <r>
    <n v="5259"/>
    <s v="US-2017-115595"/>
    <d v="2017-10-09T00:00:00"/>
    <x v="3"/>
    <s v="Q4"/>
    <x v="13"/>
    <d v="2017-10-11T00:00:00"/>
    <s v="First Class"/>
    <x v="190"/>
    <x v="190"/>
    <s v="Consumer"/>
    <s v="United States"/>
    <s v="Los Angeles"/>
    <x v="1"/>
    <n v="90032"/>
    <x v="1"/>
    <x v="728"/>
    <x v="1"/>
    <x v="10"/>
    <x v="727"/>
    <n v="35.200000000000003"/>
    <s v="Medium"/>
    <n v="5"/>
    <n v="0"/>
    <x v="0"/>
    <x v="0"/>
    <n v="16.544"/>
    <n v="0.47"/>
    <n v="0"/>
  </r>
  <r>
    <n v="5260"/>
    <s v="CA-2017-158722"/>
    <d v="2017-10-20T00:00:00"/>
    <x v="3"/>
    <s v="Q4"/>
    <x v="13"/>
    <d v="2017-10-26T00:00:00"/>
    <s v="Standard Class"/>
    <x v="15"/>
    <x v="15"/>
    <s v="Home Office"/>
    <s v="United States"/>
    <s v="Philadelphia"/>
    <x v="9"/>
    <n v="19120"/>
    <x v="3"/>
    <x v="640"/>
    <x v="1"/>
    <x v="10"/>
    <x v="640"/>
    <n v="45.527999999999999"/>
    <s v="Medium"/>
    <n v="3"/>
    <n v="0.2"/>
    <x v="2"/>
    <x v="2"/>
    <n v="15.934799999999999"/>
    <n v="0.35"/>
    <n v="0"/>
  </r>
  <r>
    <n v="5261"/>
    <s v="CA-2014-105165"/>
    <d v="2014-09-07T00:00:00"/>
    <x v="2"/>
    <s v="Q3"/>
    <x v="30"/>
    <d v="2014-09-10T00:00:00"/>
    <s v="First Class"/>
    <x v="449"/>
    <x v="449"/>
    <s v="Home Office"/>
    <s v="United States"/>
    <s v="Houston"/>
    <x v="5"/>
    <n v="77036"/>
    <x v="2"/>
    <x v="1361"/>
    <x v="2"/>
    <x v="7"/>
    <x v="1347"/>
    <n v="196.77600000000001"/>
    <s v="High"/>
    <n v="3"/>
    <n v="0.2"/>
    <x v="2"/>
    <x v="2"/>
    <n v="14.7582"/>
    <n v="7.4999999999999997E-2"/>
    <n v="0"/>
  </r>
  <r>
    <n v="5262"/>
    <s v="CA-2014-105165"/>
    <d v="2014-09-07T00:00:00"/>
    <x v="2"/>
    <s v="Q3"/>
    <x v="30"/>
    <d v="2014-09-10T00:00:00"/>
    <s v="First Class"/>
    <x v="449"/>
    <x v="449"/>
    <s v="Home Office"/>
    <s v="United States"/>
    <s v="Houston"/>
    <x v="5"/>
    <n v="77036"/>
    <x v="2"/>
    <x v="347"/>
    <x v="1"/>
    <x v="8"/>
    <x v="347"/>
    <n v="2.92"/>
    <s v="Low"/>
    <n v="2"/>
    <n v="0.8"/>
    <x v="1"/>
    <x v="3"/>
    <n v="-4.8179999999999996"/>
    <n v="-1.65"/>
    <n v="1"/>
  </r>
  <r>
    <n v="5263"/>
    <s v="CA-2014-105165"/>
    <d v="2014-09-07T00:00:00"/>
    <x v="2"/>
    <s v="Q3"/>
    <x v="30"/>
    <d v="2014-09-10T00:00:00"/>
    <s v="First Class"/>
    <x v="449"/>
    <x v="449"/>
    <s v="Home Office"/>
    <s v="United States"/>
    <s v="Houston"/>
    <x v="5"/>
    <n v="77036"/>
    <x v="2"/>
    <x v="738"/>
    <x v="0"/>
    <x v="3"/>
    <x v="737"/>
    <n v="200.79499999999999"/>
    <s v="High"/>
    <n v="1"/>
    <n v="0.3"/>
    <x v="1"/>
    <x v="4"/>
    <n v="-22.948"/>
    <n v="-0.1142857142857143"/>
    <n v="1"/>
  </r>
  <r>
    <n v="5264"/>
    <s v="CA-2014-105165"/>
    <d v="2014-09-07T00:00:00"/>
    <x v="2"/>
    <s v="Q3"/>
    <x v="30"/>
    <d v="2014-09-10T00:00:00"/>
    <s v="First Class"/>
    <x v="449"/>
    <x v="449"/>
    <s v="Home Office"/>
    <s v="United States"/>
    <s v="Houston"/>
    <x v="5"/>
    <n v="77036"/>
    <x v="2"/>
    <x v="1207"/>
    <x v="2"/>
    <x v="11"/>
    <x v="1192"/>
    <n v="46.688000000000002"/>
    <s v="Medium"/>
    <n v="4"/>
    <n v="0.2"/>
    <x v="2"/>
    <x v="2"/>
    <n v="-2.9180000000000001"/>
    <n v="-6.25E-2"/>
    <n v="1"/>
  </r>
  <r>
    <n v="5265"/>
    <s v="CA-2014-105165"/>
    <d v="2014-09-07T00:00:00"/>
    <x v="2"/>
    <s v="Q3"/>
    <x v="30"/>
    <d v="2014-09-10T00:00:00"/>
    <s v="First Class"/>
    <x v="449"/>
    <x v="449"/>
    <s v="Home Office"/>
    <s v="United States"/>
    <s v="Houston"/>
    <x v="5"/>
    <n v="77036"/>
    <x v="2"/>
    <x v="1583"/>
    <x v="1"/>
    <x v="6"/>
    <x v="1574"/>
    <n v="21.864000000000001"/>
    <s v="Low"/>
    <n v="3"/>
    <n v="0.2"/>
    <x v="2"/>
    <x v="2"/>
    <n v="3.5529000000000002"/>
    <n v="0.16250000000000001"/>
    <n v="0"/>
  </r>
  <r>
    <n v="5266"/>
    <s v="CA-2017-147452"/>
    <d v="2017-09-30T00:00:00"/>
    <x v="3"/>
    <s v="Q3"/>
    <x v="15"/>
    <d v="2017-10-03T00:00:00"/>
    <s v="First Class"/>
    <x v="688"/>
    <x v="688"/>
    <s v="Corporate"/>
    <s v="United States"/>
    <s v="Seattle"/>
    <x v="4"/>
    <n v="98103"/>
    <x v="1"/>
    <x v="1017"/>
    <x v="1"/>
    <x v="10"/>
    <x v="1008"/>
    <n v="11.76"/>
    <s v="Low"/>
    <n v="2"/>
    <n v="0"/>
    <x v="0"/>
    <x v="0"/>
    <n v="5.7624000000000004"/>
    <n v="0.49000000000000005"/>
    <n v="0"/>
  </r>
  <r>
    <n v="5267"/>
    <s v="CA-2017-147452"/>
    <d v="2017-09-30T00:00:00"/>
    <x v="3"/>
    <s v="Q3"/>
    <x v="15"/>
    <d v="2017-10-03T00:00:00"/>
    <s v="First Class"/>
    <x v="688"/>
    <x v="688"/>
    <s v="Corporate"/>
    <s v="United States"/>
    <s v="Seattle"/>
    <x v="4"/>
    <n v="98103"/>
    <x v="1"/>
    <x v="1558"/>
    <x v="1"/>
    <x v="10"/>
    <x v="1547"/>
    <n v="167.94"/>
    <s v="High"/>
    <n v="3"/>
    <n v="0"/>
    <x v="0"/>
    <x v="0"/>
    <n v="82.290599999999998"/>
    <n v="0.49"/>
    <n v="0"/>
  </r>
  <r>
    <n v="5268"/>
    <s v="CA-2017-147452"/>
    <d v="2017-09-30T00:00:00"/>
    <x v="3"/>
    <s v="Q3"/>
    <x v="15"/>
    <d v="2017-10-03T00:00:00"/>
    <s v="First Class"/>
    <x v="688"/>
    <x v="688"/>
    <s v="Corporate"/>
    <s v="United States"/>
    <s v="Seattle"/>
    <x v="4"/>
    <n v="98103"/>
    <x v="1"/>
    <x v="1034"/>
    <x v="1"/>
    <x v="9"/>
    <x v="1025"/>
    <n v="3.89"/>
    <s v="Low"/>
    <n v="1"/>
    <n v="0"/>
    <x v="0"/>
    <x v="0"/>
    <n v="1.0114000000000001"/>
    <n v="0.26"/>
    <n v="0"/>
  </r>
  <r>
    <n v="5269"/>
    <s v="US-2017-114657"/>
    <d v="2017-11-16T00:00:00"/>
    <x v="3"/>
    <s v="Q4"/>
    <x v="23"/>
    <d v="2017-11-21T00:00:00"/>
    <s v="Standard Class"/>
    <x v="414"/>
    <x v="414"/>
    <s v="Home Office"/>
    <s v="United States"/>
    <s v="Yonkers"/>
    <x v="15"/>
    <n v="10701"/>
    <x v="3"/>
    <x v="1728"/>
    <x v="2"/>
    <x v="15"/>
    <x v="1715"/>
    <n v="52.44"/>
    <s v="Medium"/>
    <n v="4"/>
    <n v="0"/>
    <x v="0"/>
    <x v="0"/>
    <n v="24.122399999999999"/>
    <n v="0.46"/>
    <n v="0"/>
  </r>
  <r>
    <n v="5270"/>
    <s v="CA-2017-144484"/>
    <d v="2017-09-11T00:00:00"/>
    <x v="3"/>
    <s v="Q3"/>
    <x v="15"/>
    <d v="2017-09-11T00:00:00"/>
    <s v="Same Day"/>
    <x v="90"/>
    <x v="90"/>
    <s v="Consumer"/>
    <s v="United States"/>
    <s v="San Francisco"/>
    <x v="1"/>
    <n v="94110"/>
    <x v="1"/>
    <x v="74"/>
    <x v="0"/>
    <x v="5"/>
    <x v="74"/>
    <n v="32.36"/>
    <s v="Medium"/>
    <n v="4"/>
    <n v="0"/>
    <x v="0"/>
    <x v="0"/>
    <n v="11.6496"/>
    <n v="0.36"/>
    <n v="0"/>
  </r>
  <r>
    <n v="5271"/>
    <s v="CA-2017-144484"/>
    <d v="2017-09-11T00:00:00"/>
    <x v="3"/>
    <s v="Q3"/>
    <x v="15"/>
    <d v="2017-09-11T00:00:00"/>
    <s v="Same Day"/>
    <x v="90"/>
    <x v="90"/>
    <s v="Consumer"/>
    <s v="United States"/>
    <s v="San Francisco"/>
    <x v="1"/>
    <n v="94110"/>
    <x v="1"/>
    <x v="723"/>
    <x v="1"/>
    <x v="9"/>
    <x v="722"/>
    <n v="406.6"/>
    <s v="High"/>
    <n v="5"/>
    <n v="0"/>
    <x v="0"/>
    <x v="0"/>
    <n v="113.848"/>
    <n v="0.27999999999999997"/>
    <n v="0"/>
  </r>
  <r>
    <n v="5272"/>
    <s v="CA-2017-125913"/>
    <d v="2017-01-16T00:00:00"/>
    <x v="3"/>
    <s v="Q1"/>
    <x v="44"/>
    <d v="2017-01-16T00:00:00"/>
    <s v="Same Day"/>
    <x v="705"/>
    <x v="705"/>
    <s v="Corporate"/>
    <s v="United States"/>
    <s v="Los Angeles"/>
    <x v="1"/>
    <n v="90008"/>
    <x v="1"/>
    <x v="5"/>
    <x v="0"/>
    <x v="5"/>
    <x v="5"/>
    <n v="27.92"/>
    <s v="Medium"/>
    <n v="4"/>
    <n v="0"/>
    <x v="0"/>
    <x v="0"/>
    <n v="8.0968"/>
    <n v="0.28999999999999998"/>
    <n v="0"/>
  </r>
  <r>
    <n v="5273"/>
    <s v="CA-2017-125913"/>
    <d v="2017-01-16T00:00:00"/>
    <x v="3"/>
    <s v="Q1"/>
    <x v="44"/>
    <d v="2017-01-16T00:00:00"/>
    <s v="Same Day"/>
    <x v="705"/>
    <x v="705"/>
    <s v="Corporate"/>
    <s v="United States"/>
    <s v="Los Angeles"/>
    <x v="1"/>
    <n v="90008"/>
    <x v="1"/>
    <x v="719"/>
    <x v="0"/>
    <x v="3"/>
    <x v="718"/>
    <n v="399.67200000000003"/>
    <s v="High"/>
    <n v="7"/>
    <n v="0.2"/>
    <x v="2"/>
    <x v="2"/>
    <n v="-14.9877"/>
    <n v="-3.7499999999999999E-2"/>
    <n v="1"/>
  </r>
  <r>
    <n v="5274"/>
    <s v="US-2016-158309"/>
    <d v="2016-11-26T00:00:00"/>
    <x v="0"/>
    <s v="Q4"/>
    <x v="0"/>
    <d v="2016-11-29T00:00:00"/>
    <s v="First Class"/>
    <x v="50"/>
    <x v="50"/>
    <s v="Home Office"/>
    <s v="United States"/>
    <s v="Miami"/>
    <x v="2"/>
    <n v="33142"/>
    <x v="0"/>
    <x v="744"/>
    <x v="1"/>
    <x v="8"/>
    <x v="742"/>
    <n v="3.7440000000000002"/>
    <s v="Low"/>
    <n v="4"/>
    <n v="0.7"/>
    <x v="1"/>
    <x v="5"/>
    <n v="-2.6208"/>
    <n v="-0.7"/>
    <n v="1"/>
  </r>
  <r>
    <n v="5275"/>
    <s v="CA-2015-162887"/>
    <d v="2015-11-07T00:00:00"/>
    <x v="1"/>
    <s v="Q4"/>
    <x v="6"/>
    <d v="2015-11-09T00:00:00"/>
    <s v="Second Class"/>
    <x v="647"/>
    <x v="647"/>
    <s v="Consumer"/>
    <s v="United States"/>
    <s v="Burlington"/>
    <x v="42"/>
    <s v="05408"/>
    <x v="3"/>
    <x v="467"/>
    <x v="0"/>
    <x v="1"/>
    <x v="468"/>
    <n v="715.2"/>
    <s v="High"/>
    <n v="3"/>
    <n v="0"/>
    <x v="0"/>
    <x v="0"/>
    <n v="178.8"/>
    <n v="0.25"/>
    <n v="0"/>
  </r>
  <r>
    <n v="5276"/>
    <s v="CA-2017-147333"/>
    <d v="2017-12-14T00:00:00"/>
    <x v="3"/>
    <s v="Q4"/>
    <x v="22"/>
    <d v="2017-12-20T00:00:00"/>
    <s v="Standard Class"/>
    <x v="126"/>
    <x v="126"/>
    <s v="Corporate"/>
    <s v="United States"/>
    <s v="Fayetteville"/>
    <x v="36"/>
    <n v="72701"/>
    <x v="0"/>
    <x v="240"/>
    <x v="2"/>
    <x v="11"/>
    <x v="241"/>
    <n v="159.80000000000001"/>
    <s v="High"/>
    <n v="4"/>
    <n v="0"/>
    <x v="0"/>
    <x v="0"/>
    <n v="70.311999999999998"/>
    <n v="0.43999999999999995"/>
    <n v="0"/>
  </r>
  <r>
    <n v="5277"/>
    <s v="CA-2017-147333"/>
    <d v="2017-12-14T00:00:00"/>
    <x v="3"/>
    <s v="Q4"/>
    <x v="22"/>
    <d v="2017-12-20T00:00:00"/>
    <s v="Standard Class"/>
    <x v="126"/>
    <x v="126"/>
    <s v="Corporate"/>
    <s v="United States"/>
    <s v="Fayetteville"/>
    <x v="36"/>
    <n v="72701"/>
    <x v="0"/>
    <x v="1044"/>
    <x v="2"/>
    <x v="11"/>
    <x v="1033"/>
    <n v="44.75"/>
    <s v="Medium"/>
    <n v="5"/>
    <n v="0"/>
    <x v="0"/>
    <x v="0"/>
    <n v="8.5024999999999995"/>
    <n v="0.19"/>
    <n v="0"/>
  </r>
  <r>
    <n v="5278"/>
    <s v="CA-2014-113859"/>
    <d v="2014-09-13T00:00:00"/>
    <x v="2"/>
    <s v="Q3"/>
    <x v="30"/>
    <d v="2014-09-17T00:00:00"/>
    <s v="Standard Class"/>
    <x v="604"/>
    <x v="604"/>
    <s v="Home Office"/>
    <s v="United States"/>
    <s v="Odessa"/>
    <x v="5"/>
    <n v="79762"/>
    <x v="2"/>
    <x v="167"/>
    <x v="0"/>
    <x v="1"/>
    <x v="168"/>
    <n v="340.11599999999999"/>
    <s v="High"/>
    <n v="6"/>
    <n v="0.3"/>
    <x v="1"/>
    <x v="4"/>
    <n v="-9.7175999999999991"/>
    <n v="-2.8571428571428571E-2"/>
    <n v="1"/>
  </r>
  <r>
    <n v="5279"/>
    <s v="CA-2014-159681"/>
    <d v="2014-12-07T00:00:00"/>
    <x v="2"/>
    <s v="Q4"/>
    <x v="20"/>
    <d v="2014-12-13T00:00:00"/>
    <s v="Standard Class"/>
    <x v="138"/>
    <x v="138"/>
    <s v="Consumer"/>
    <s v="United States"/>
    <s v="Virginia Beach"/>
    <x v="17"/>
    <n v="23464"/>
    <x v="0"/>
    <x v="954"/>
    <x v="1"/>
    <x v="10"/>
    <x v="947"/>
    <n v="105.52"/>
    <s v="Medium"/>
    <n v="4"/>
    <n v="0"/>
    <x v="0"/>
    <x v="0"/>
    <n v="48.539200000000001"/>
    <n v="0.46"/>
    <n v="0"/>
  </r>
  <r>
    <n v="5280"/>
    <s v="US-2017-104094"/>
    <d v="2017-09-07T00:00:00"/>
    <x v="3"/>
    <s v="Q3"/>
    <x v="15"/>
    <d v="2017-09-11T00:00:00"/>
    <s v="Standard Class"/>
    <x v="165"/>
    <x v="165"/>
    <s v="Consumer"/>
    <s v="United States"/>
    <s v="Milwaukee"/>
    <x v="6"/>
    <n v="53209"/>
    <x v="2"/>
    <x v="1556"/>
    <x v="2"/>
    <x v="11"/>
    <x v="1545"/>
    <n v="13.48"/>
    <s v="Low"/>
    <n v="1"/>
    <n v="0"/>
    <x v="0"/>
    <x v="0"/>
    <n v="1.8872"/>
    <n v="0.13999999999999999"/>
    <n v="0"/>
  </r>
  <r>
    <n v="5281"/>
    <s v="CA-2017-152709"/>
    <d v="2017-10-07T00:00:00"/>
    <x v="3"/>
    <s v="Q4"/>
    <x v="13"/>
    <d v="2017-10-12T00:00:00"/>
    <s v="Standard Class"/>
    <x v="203"/>
    <x v="203"/>
    <s v="Consumer"/>
    <s v="United States"/>
    <s v="Detroit"/>
    <x v="12"/>
    <n v="48234"/>
    <x v="2"/>
    <x v="1354"/>
    <x v="1"/>
    <x v="4"/>
    <x v="1340"/>
    <n v="85.52"/>
    <s v="Medium"/>
    <n v="2"/>
    <n v="0"/>
    <x v="0"/>
    <x v="0"/>
    <n v="22.235199999999999"/>
    <n v="0.26"/>
    <n v="0"/>
  </r>
  <r>
    <n v="5282"/>
    <s v="CA-2015-105158"/>
    <d v="2015-09-05T00:00:00"/>
    <x v="1"/>
    <s v="Q3"/>
    <x v="11"/>
    <d v="2015-09-10T00:00:00"/>
    <s v="Standard Class"/>
    <x v="133"/>
    <x v="133"/>
    <s v="Corporate"/>
    <s v="United States"/>
    <s v="Rochester"/>
    <x v="11"/>
    <n v="55901"/>
    <x v="2"/>
    <x v="50"/>
    <x v="0"/>
    <x v="5"/>
    <x v="50"/>
    <n v="6.16"/>
    <s v="Low"/>
    <n v="2"/>
    <n v="0"/>
    <x v="0"/>
    <x v="0"/>
    <n v="2.9567999999999999"/>
    <n v="0.48"/>
    <n v="0"/>
  </r>
  <r>
    <n v="5283"/>
    <s v="CA-2015-105158"/>
    <d v="2015-09-05T00:00:00"/>
    <x v="1"/>
    <s v="Q3"/>
    <x v="11"/>
    <d v="2015-09-10T00:00:00"/>
    <s v="Standard Class"/>
    <x v="133"/>
    <x v="133"/>
    <s v="Corporate"/>
    <s v="United States"/>
    <s v="Rochester"/>
    <x v="11"/>
    <n v="55901"/>
    <x v="2"/>
    <x v="314"/>
    <x v="1"/>
    <x v="10"/>
    <x v="314"/>
    <n v="36.840000000000003"/>
    <s v="Medium"/>
    <n v="3"/>
    <n v="0"/>
    <x v="0"/>
    <x v="0"/>
    <n v="17.314800000000002"/>
    <n v="0.47000000000000003"/>
    <n v="0"/>
  </r>
  <r>
    <n v="5284"/>
    <s v="CA-2014-133424"/>
    <d v="2014-03-30T00:00:00"/>
    <x v="2"/>
    <s v="Q1"/>
    <x v="34"/>
    <d v="2014-04-04T00:00:00"/>
    <s v="Standard Class"/>
    <x v="114"/>
    <x v="114"/>
    <s v="Corporate"/>
    <s v="United States"/>
    <s v="Seattle"/>
    <x v="4"/>
    <n v="98105"/>
    <x v="1"/>
    <x v="1505"/>
    <x v="1"/>
    <x v="4"/>
    <x v="1492"/>
    <n v="15.84"/>
    <s v="Low"/>
    <n v="3"/>
    <n v="0"/>
    <x v="0"/>
    <x v="0"/>
    <n v="0"/>
    <n v="0"/>
    <n v="0"/>
  </r>
  <r>
    <n v="5285"/>
    <s v="CA-2014-133424"/>
    <d v="2014-03-30T00:00:00"/>
    <x v="2"/>
    <s v="Q1"/>
    <x v="34"/>
    <d v="2014-04-04T00:00:00"/>
    <s v="Standard Class"/>
    <x v="114"/>
    <x v="114"/>
    <s v="Corporate"/>
    <s v="United States"/>
    <s v="Seattle"/>
    <x v="4"/>
    <n v="98105"/>
    <x v="1"/>
    <x v="579"/>
    <x v="1"/>
    <x v="2"/>
    <x v="579"/>
    <n v="44.4"/>
    <s v="Medium"/>
    <n v="3"/>
    <n v="0"/>
    <x v="0"/>
    <x v="0"/>
    <n v="22.2"/>
    <n v="0.5"/>
    <n v="0"/>
  </r>
  <r>
    <n v="5286"/>
    <s v="CA-2017-105991"/>
    <d v="2017-05-05T00:00:00"/>
    <x v="3"/>
    <s v="Q2"/>
    <x v="24"/>
    <d v="2017-05-06T00:00:00"/>
    <s v="First Class"/>
    <x v="293"/>
    <x v="293"/>
    <s v="Consumer"/>
    <s v="United States"/>
    <s v="Louisville"/>
    <x v="22"/>
    <n v="80027"/>
    <x v="1"/>
    <x v="111"/>
    <x v="1"/>
    <x v="12"/>
    <x v="111"/>
    <n v="21.24"/>
    <s v="Low"/>
    <n v="9"/>
    <n v="0.2"/>
    <x v="2"/>
    <x v="2"/>
    <n v="7.4340000000000002"/>
    <n v="0.35000000000000003"/>
    <n v="0"/>
  </r>
  <r>
    <n v="5287"/>
    <s v="CA-2017-105991"/>
    <d v="2017-05-05T00:00:00"/>
    <x v="3"/>
    <s v="Q2"/>
    <x v="24"/>
    <d v="2017-05-06T00:00:00"/>
    <s v="First Class"/>
    <x v="293"/>
    <x v="293"/>
    <s v="Consumer"/>
    <s v="United States"/>
    <s v="Louisville"/>
    <x v="22"/>
    <n v="80027"/>
    <x v="1"/>
    <x v="122"/>
    <x v="1"/>
    <x v="8"/>
    <x v="122"/>
    <n v="9.5519999999999996"/>
    <s v="Low"/>
    <n v="8"/>
    <n v="0.7"/>
    <x v="1"/>
    <x v="5"/>
    <n v="-7.3231999999999999"/>
    <n v="-0.76666666666666672"/>
    <n v="1"/>
  </r>
  <r>
    <n v="5288"/>
    <s v="CA-2017-105991"/>
    <d v="2017-05-05T00:00:00"/>
    <x v="3"/>
    <s v="Q2"/>
    <x v="24"/>
    <d v="2017-05-06T00:00:00"/>
    <s v="First Class"/>
    <x v="293"/>
    <x v="293"/>
    <s v="Consumer"/>
    <s v="United States"/>
    <s v="Louisville"/>
    <x v="22"/>
    <n v="80027"/>
    <x v="1"/>
    <x v="899"/>
    <x v="0"/>
    <x v="0"/>
    <x v="892"/>
    <n v="89.991"/>
    <s v="Medium"/>
    <n v="3"/>
    <n v="0.7"/>
    <x v="1"/>
    <x v="5"/>
    <n v="-152.9847"/>
    <n v="-1.7"/>
    <n v="1"/>
  </r>
  <r>
    <n v="5289"/>
    <s v="US-2017-136784"/>
    <d v="2017-04-30T00:00:00"/>
    <x v="3"/>
    <s v="Q2"/>
    <x v="4"/>
    <d v="2017-05-05T00:00:00"/>
    <s v="Standard Class"/>
    <x v="57"/>
    <x v="57"/>
    <s v="Home Office"/>
    <s v="United States"/>
    <s v="San Francisco"/>
    <x v="1"/>
    <n v="94122"/>
    <x v="1"/>
    <x v="1127"/>
    <x v="1"/>
    <x v="10"/>
    <x v="1115"/>
    <n v="163.96"/>
    <s v="High"/>
    <n v="4"/>
    <n v="0"/>
    <x v="0"/>
    <x v="0"/>
    <n v="80.340400000000002"/>
    <n v="0.49"/>
    <n v="0"/>
  </r>
  <r>
    <n v="5290"/>
    <s v="CA-2014-146283"/>
    <d v="2014-09-08T00:00:00"/>
    <x v="2"/>
    <s v="Q3"/>
    <x v="30"/>
    <d v="2014-09-15T00:00:00"/>
    <s v="Standard Class"/>
    <x v="446"/>
    <x v="446"/>
    <s v="Consumer"/>
    <s v="United States"/>
    <s v="Houston"/>
    <x v="5"/>
    <n v="77036"/>
    <x v="2"/>
    <x v="862"/>
    <x v="1"/>
    <x v="10"/>
    <x v="856"/>
    <n v="17.904"/>
    <s v="Low"/>
    <n v="2"/>
    <n v="0.2"/>
    <x v="2"/>
    <x v="2"/>
    <n v="6.2664"/>
    <n v="0.35"/>
    <n v="0"/>
  </r>
  <r>
    <n v="5291"/>
    <s v="CA-2014-146283"/>
    <d v="2014-09-08T00:00:00"/>
    <x v="2"/>
    <s v="Q3"/>
    <x v="30"/>
    <d v="2014-09-15T00:00:00"/>
    <s v="Standard Class"/>
    <x v="446"/>
    <x v="446"/>
    <s v="Consumer"/>
    <s v="United States"/>
    <s v="Houston"/>
    <x v="5"/>
    <n v="77036"/>
    <x v="2"/>
    <x v="157"/>
    <x v="0"/>
    <x v="1"/>
    <x v="158"/>
    <n v="966.7"/>
    <s v="High"/>
    <n v="5"/>
    <n v="0.3"/>
    <x v="1"/>
    <x v="4"/>
    <n v="-13.81"/>
    <n v="-1.4285714285714285E-2"/>
    <n v="1"/>
  </r>
  <r>
    <n v="5292"/>
    <s v="CA-2014-146283"/>
    <d v="2014-09-08T00:00:00"/>
    <x v="2"/>
    <s v="Q3"/>
    <x v="30"/>
    <d v="2014-09-15T00:00:00"/>
    <s v="Standard Class"/>
    <x v="446"/>
    <x v="446"/>
    <s v="Consumer"/>
    <s v="United States"/>
    <s v="Houston"/>
    <x v="5"/>
    <n v="77036"/>
    <x v="2"/>
    <x v="67"/>
    <x v="1"/>
    <x v="10"/>
    <x v="67"/>
    <n v="182.11199999999999"/>
    <s v="High"/>
    <n v="6"/>
    <n v="0.2"/>
    <x v="2"/>
    <x v="2"/>
    <n v="61.462800000000001"/>
    <n v="0.33750000000000002"/>
    <n v="0"/>
  </r>
  <r>
    <n v="5293"/>
    <s v="CA-2017-151218"/>
    <d v="2017-06-20T00:00:00"/>
    <x v="3"/>
    <s v="Q2"/>
    <x v="27"/>
    <d v="2017-06-23T00:00:00"/>
    <s v="First Class"/>
    <x v="307"/>
    <x v="307"/>
    <s v="Consumer"/>
    <s v="United States"/>
    <s v="Miami"/>
    <x v="2"/>
    <n v="33180"/>
    <x v="0"/>
    <x v="1427"/>
    <x v="1"/>
    <x v="4"/>
    <x v="1415"/>
    <n v="4.4640000000000004"/>
    <s v="Low"/>
    <n v="1"/>
    <n v="0.2"/>
    <x v="2"/>
    <x v="2"/>
    <n v="0.33479999999999999"/>
    <n v="7.4999999999999983E-2"/>
    <n v="0"/>
  </r>
  <r>
    <n v="5294"/>
    <s v="CA-2015-111073"/>
    <d v="2015-12-26T00:00:00"/>
    <x v="1"/>
    <s v="Q4"/>
    <x v="14"/>
    <d v="2015-12-30T00:00:00"/>
    <s v="Standard Class"/>
    <x v="498"/>
    <x v="498"/>
    <s v="Consumer"/>
    <s v="United States"/>
    <s v="Medina"/>
    <x v="24"/>
    <n v="44256"/>
    <x v="3"/>
    <x v="838"/>
    <x v="0"/>
    <x v="3"/>
    <x v="832"/>
    <n v="51.588000000000001"/>
    <s v="Medium"/>
    <n v="1"/>
    <n v="0.4"/>
    <x v="1"/>
    <x v="7"/>
    <n v="-15.4764"/>
    <n v="-0.3"/>
    <n v="1"/>
  </r>
  <r>
    <n v="5295"/>
    <s v="CA-2017-144883"/>
    <d v="2017-08-15T00:00:00"/>
    <x v="3"/>
    <s v="Q3"/>
    <x v="43"/>
    <d v="2017-08-19T00:00:00"/>
    <s v="Standard Class"/>
    <x v="635"/>
    <x v="635"/>
    <s v="Corporate"/>
    <s v="United States"/>
    <s v="Roseville"/>
    <x v="11"/>
    <n v="55113"/>
    <x v="2"/>
    <x v="1729"/>
    <x v="1"/>
    <x v="2"/>
    <x v="1716"/>
    <n v="50.4"/>
    <s v="Medium"/>
    <n v="8"/>
    <n v="0"/>
    <x v="0"/>
    <x v="0"/>
    <n v="23.184000000000001"/>
    <n v="0.46"/>
    <n v="0"/>
  </r>
  <r>
    <n v="5296"/>
    <s v="CA-2017-142174"/>
    <d v="2017-03-04T00:00:00"/>
    <x v="3"/>
    <s v="Q1"/>
    <x v="42"/>
    <d v="2017-03-09T00:00:00"/>
    <s v="Standard Class"/>
    <x v="24"/>
    <x v="24"/>
    <s v="Consumer"/>
    <s v="United States"/>
    <s v="Houston"/>
    <x v="5"/>
    <n v="77041"/>
    <x v="2"/>
    <x v="964"/>
    <x v="1"/>
    <x v="10"/>
    <x v="957"/>
    <n v="89.567999999999998"/>
    <s v="Medium"/>
    <n v="2"/>
    <n v="0.2"/>
    <x v="2"/>
    <x v="2"/>
    <n v="32.468400000000003"/>
    <n v="0.36250000000000004"/>
    <n v="0"/>
  </r>
  <r>
    <n v="5297"/>
    <s v="CA-2017-108791"/>
    <d v="2017-07-27T00:00:00"/>
    <x v="3"/>
    <s v="Q3"/>
    <x v="10"/>
    <d v="2017-07-31T00:00:00"/>
    <s v="Standard Class"/>
    <x v="746"/>
    <x v="746"/>
    <s v="Consumer"/>
    <s v="United States"/>
    <s v="Yonkers"/>
    <x v="15"/>
    <n v="10701"/>
    <x v="3"/>
    <x v="943"/>
    <x v="0"/>
    <x v="5"/>
    <x v="936"/>
    <n v="14.89"/>
    <s v="Low"/>
    <n v="1"/>
    <n v="0"/>
    <x v="0"/>
    <x v="0"/>
    <n v="4.0202999999999998"/>
    <n v="0.26999999999999996"/>
    <n v="0"/>
  </r>
  <r>
    <n v="5298"/>
    <s v="CA-2017-108791"/>
    <d v="2017-07-27T00:00:00"/>
    <x v="3"/>
    <s v="Q3"/>
    <x v="10"/>
    <d v="2017-07-31T00:00:00"/>
    <s v="Standard Class"/>
    <x v="746"/>
    <x v="746"/>
    <s v="Consumer"/>
    <s v="United States"/>
    <s v="Yonkers"/>
    <x v="15"/>
    <n v="10701"/>
    <x v="3"/>
    <x v="704"/>
    <x v="2"/>
    <x v="7"/>
    <x v="704"/>
    <n v="543.91999999999996"/>
    <s v="High"/>
    <n v="8"/>
    <n v="0"/>
    <x v="0"/>
    <x v="0"/>
    <n v="135.97999999999999"/>
    <n v="0.25"/>
    <n v="0"/>
  </r>
  <r>
    <n v="5299"/>
    <s v="CA-2016-106656"/>
    <d v="2016-09-23T00:00:00"/>
    <x v="0"/>
    <s v="Q3"/>
    <x v="21"/>
    <d v="2016-09-26T00:00:00"/>
    <s v="First Class"/>
    <x v="1"/>
    <x v="1"/>
    <s v="Corporate"/>
    <s v="United States"/>
    <s v="San Diego"/>
    <x v="1"/>
    <n v="92037"/>
    <x v="1"/>
    <x v="29"/>
    <x v="1"/>
    <x v="12"/>
    <x v="29"/>
    <n v="4.08"/>
    <s v="Low"/>
    <n v="2"/>
    <n v="0"/>
    <x v="0"/>
    <x v="0"/>
    <n v="1.9176"/>
    <n v="0.47"/>
    <n v="0"/>
  </r>
  <r>
    <n v="5300"/>
    <s v="CA-2016-106656"/>
    <d v="2016-09-23T00:00:00"/>
    <x v="0"/>
    <s v="Q3"/>
    <x v="21"/>
    <d v="2016-09-26T00:00:00"/>
    <s v="First Class"/>
    <x v="1"/>
    <x v="1"/>
    <s v="Corporate"/>
    <s v="United States"/>
    <s v="San Diego"/>
    <x v="1"/>
    <n v="92037"/>
    <x v="1"/>
    <x v="165"/>
    <x v="1"/>
    <x v="2"/>
    <x v="166"/>
    <n v="18.899999999999999"/>
    <s v="Low"/>
    <n v="3"/>
    <n v="0"/>
    <x v="0"/>
    <x v="0"/>
    <n v="8.6940000000000008"/>
    <n v="0.46000000000000008"/>
    <n v="0"/>
  </r>
  <r>
    <n v="5301"/>
    <s v="CA-2016-113831"/>
    <d v="2016-05-30T00:00:00"/>
    <x v="0"/>
    <s v="Q2"/>
    <x v="35"/>
    <d v="2016-06-03T00:00:00"/>
    <s v="Standard Class"/>
    <x v="706"/>
    <x v="706"/>
    <s v="Corporate"/>
    <s v="United States"/>
    <s v="Springfield"/>
    <x v="17"/>
    <n v="22153"/>
    <x v="0"/>
    <x v="1337"/>
    <x v="0"/>
    <x v="3"/>
    <x v="1322"/>
    <n v="2275.5"/>
    <s v="High"/>
    <n v="10"/>
    <n v="0"/>
    <x v="0"/>
    <x v="0"/>
    <n v="386.83499999999998"/>
    <n v="0.16999999999999998"/>
    <n v="0"/>
  </r>
  <r>
    <n v="5302"/>
    <s v="CA-2016-113831"/>
    <d v="2016-05-30T00:00:00"/>
    <x v="0"/>
    <s v="Q2"/>
    <x v="35"/>
    <d v="2016-06-03T00:00:00"/>
    <s v="Standard Class"/>
    <x v="706"/>
    <x v="706"/>
    <s v="Corporate"/>
    <s v="United States"/>
    <s v="Springfield"/>
    <x v="17"/>
    <n v="22153"/>
    <x v="0"/>
    <x v="764"/>
    <x v="2"/>
    <x v="11"/>
    <x v="763"/>
    <n v="1979.7"/>
    <s v="High"/>
    <n v="6"/>
    <n v="0"/>
    <x v="0"/>
    <x v="0"/>
    <n v="653.30100000000004"/>
    <n v="0.33"/>
    <n v="0"/>
  </r>
  <r>
    <n v="5303"/>
    <s v="CA-2016-113831"/>
    <d v="2016-05-30T00:00:00"/>
    <x v="0"/>
    <s v="Q2"/>
    <x v="35"/>
    <d v="2016-06-03T00:00:00"/>
    <s v="Standard Class"/>
    <x v="706"/>
    <x v="706"/>
    <s v="Corporate"/>
    <s v="United States"/>
    <s v="Springfield"/>
    <x v="17"/>
    <n v="22153"/>
    <x v="0"/>
    <x v="488"/>
    <x v="1"/>
    <x v="2"/>
    <x v="488"/>
    <n v="62.1"/>
    <s v="Medium"/>
    <n v="6"/>
    <n v="0"/>
    <x v="0"/>
    <x v="0"/>
    <n v="29.808"/>
    <n v="0.48"/>
    <n v="0"/>
  </r>
  <r>
    <n v="5304"/>
    <s v="US-2014-139500"/>
    <d v="2014-11-16T00:00:00"/>
    <x v="2"/>
    <s v="Q4"/>
    <x v="7"/>
    <d v="2014-11-20T00:00:00"/>
    <s v="Standard Class"/>
    <x v="269"/>
    <x v="269"/>
    <s v="Consumer"/>
    <s v="United States"/>
    <s v="Decatur"/>
    <x v="10"/>
    <n v="62521"/>
    <x v="2"/>
    <x v="1391"/>
    <x v="0"/>
    <x v="1"/>
    <x v="1377"/>
    <n v="37.295999999999999"/>
    <s v="Medium"/>
    <n v="2"/>
    <n v="0.3"/>
    <x v="1"/>
    <x v="4"/>
    <n v="-1.0656000000000001"/>
    <n v="-2.8571428571428574E-2"/>
    <n v="1"/>
  </r>
  <r>
    <n v="5305"/>
    <s v="US-2014-166310"/>
    <d v="2014-09-21T00:00:00"/>
    <x v="2"/>
    <s v="Q3"/>
    <x v="30"/>
    <d v="2014-09-23T00:00:00"/>
    <s v="First Class"/>
    <x v="185"/>
    <x v="185"/>
    <s v="Home Office"/>
    <s v="United States"/>
    <s v="Garland"/>
    <x v="5"/>
    <n v="75043"/>
    <x v="2"/>
    <x v="1445"/>
    <x v="0"/>
    <x v="5"/>
    <x v="1432"/>
    <n v="8.5440000000000005"/>
    <s v="Low"/>
    <n v="2"/>
    <n v="0.6"/>
    <x v="1"/>
    <x v="6"/>
    <n v="-7.476"/>
    <n v="-0.875"/>
    <n v="1"/>
  </r>
  <r>
    <n v="5306"/>
    <s v="US-2016-168410"/>
    <d v="2016-02-21T00:00:00"/>
    <x v="0"/>
    <s v="Q1"/>
    <x v="47"/>
    <d v="2016-02-26T00:00:00"/>
    <s v="Standard Class"/>
    <x v="296"/>
    <x v="296"/>
    <s v="Corporate"/>
    <s v="United States"/>
    <s v="Oceanside"/>
    <x v="15"/>
    <n v="11572"/>
    <x v="3"/>
    <x v="93"/>
    <x v="0"/>
    <x v="5"/>
    <x v="93"/>
    <n v="68.95"/>
    <s v="Medium"/>
    <n v="5"/>
    <n v="0"/>
    <x v="0"/>
    <x v="0"/>
    <n v="28.959"/>
    <n v="0.42"/>
    <n v="0"/>
  </r>
  <r>
    <n v="5307"/>
    <s v="US-2016-168410"/>
    <d v="2016-02-21T00:00:00"/>
    <x v="0"/>
    <s v="Q1"/>
    <x v="47"/>
    <d v="2016-02-26T00:00:00"/>
    <s v="Standard Class"/>
    <x v="296"/>
    <x v="296"/>
    <s v="Corporate"/>
    <s v="United States"/>
    <s v="Oceanside"/>
    <x v="15"/>
    <n v="11572"/>
    <x v="3"/>
    <x v="595"/>
    <x v="1"/>
    <x v="4"/>
    <x v="595"/>
    <n v="296.37"/>
    <s v="High"/>
    <n v="3"/>
    <n v="0"/>
    <x v="0"/>
    <x v="0"/>
    <n v="80.019900000000007"/>
    <n v="0.27"/>
    <n v="0"/>
  </r>
  <r>
    <n v="5308"/>
    <s v="US-2016-168410"/>
    <d v="2016-02-21T00:00:00"/>
    <x v="0"/>
    <s v="Q1"/>
    <x v="47"/>
    <d v="2016-02-26T00:00:00"/>
    <s v="Standard Class"/>
    <x v="296"/>
    <x v="296"/>
    <s v="Corporate"/>
    <s v="United States"/>
    <s v="Oceanside"/>
    <x v="15"/>
    <n v="11572"/>
    <x v="3"/>
    <x v="1730"/>
    <x v="2"/>
    <x v="7"/>
    <x v="1717"/>
    <n v="39.979999999999997"/>
    <s v="Medium"/>
    <n v="2"/>
    <n v="0"/>
    <x v="0"/>
    <x v="0"/>
    <n v="1.9990000000000001"/>
    <n v="5.000000000000001E-2"/>
    <n v="0"/>
  </r>
  <r>
    <n v="5309"/>
    <s v="CA-2017-131254"/>
    <d v="2017-11-19T00:00:00"/>
    <x v="3"/>
    <s v="Q4"/>
    <x v="23"/>
    <d v="2017-11-21T00:00:00"/>
    <s v="First Class"/>
    <x v="720"/>
    <x v="720"/>
    <s v="Consumer"/>
    <s v="United States"/>
    <s v="Houston"/>
    <x v="5"/>
    <n v="77095"/>
    <x v="2"/>
    <x v="1209"/>
    <x v="0"/>
    <x v="1"/>
    <x v="1194"/>
    <n v="191.05799999999999"/>
    <s v="High"/>
    <n v="3"/>
    <n v="0.3"/>
    <x v="1"/>
    <x v="4"/>
    <n v="-46.399799999999999"/>
    <n v="-0.24285714285714285"/>
    <n v="1"/>
  </r>
  <r>
    <n v="5310"/>
    <s v="CA-2017-131254"/>
    <d v="2017-11-19T00:00:00"/>
    <x v="3"/>
    <s v="Q4"/>
    <x v="23"/>
    <d v="2017-11-21T00:00:00"/>
    <s v="First Class"/>
    <x v="720"/>
    <x v="720"/>
    <s v="Consumer"/>
    <s v="United States"/>
    <s v="Houston"/>
    <x v="5"/>
    <n v="77095"/>
    <x v="2"/>
    <x v="1731"/>
    <x v="1"/>
    <x v="6"/>
    <x v="1718"/>
    <n v="13.04"/>
    <s v="Low"/>
    <n v="5"/>
    <n v="0.2"/>
    <x v="2"/>
    <x v="2"/>
    <n v="3.9119999999999999"/>
    <n v="0.3"/>
    <n v="0"/>
  </r>
  <r>
    <n v="5311"/>
    <s v="CA-2017-131254"/>
    <d v="2017-11-19T00:00:00"/>
    <x v="3"/>
    <s v="Q4"/>
    <x v="23"/>
    <d v="2017-11-21T00:00:00"/>
    <s v="First Class"/>
    <x v="720"/>
    <x v="720"/>
    <s v="Consumer"/>
    <s v="United States"/>
    <s v="Houston"/>
    <x v="5"/>
    <n v="77095"/>
    <x v="2"/>
    <x v="450"/>
    <x v="1"/>
    <x v="8"/>
    <x v="451"/>
    <n v="1525.1880000000001"/>
    <s v="High"/>
    <n v="6"/>
    <n v="0.8"/>
    <x v="1"/>
    <x v="3"/>
    <n v="-2287.7820000000002"/>
    <n v="-1.5"/>
    <n v="1"/>
  </r>
  <r>
    <n v="5312"/>
    <s v="CA-2016-123414"/>
    <d v="2016-08-21T00:00:00"/>
    <x v="0"/>
    <s v="Q3"/>
    <x v="28"/>
    <d v="2016-08-27T00:00:00"/>
    <s v="Standard Class"/>
    <x v="711"/>
    <x v="711"/>
    <s v="Home Office"/>
    <s v="United States"/>
    <s v="Greenville"/>
    <x v="3"/>
    <n v="27834"/>
    <x v="0"/>
    <x v="1363"/>
    <x v="1"/>
    <x v="2"/>
    <x v="1349"/>
    <n v="9.2159999999999993"/>
    <s v="Low"/>
    <n v="4"/>
    <n v="0.2"/>
    <x v="2"/>
    <x v="2"/>
    <n v="3.3408000000000002"/>
    <n v="0.36250000000000004"/>
    <n v="0"/>
  </r>
  <r>
    <n v="5313"/>
    <s v="CA-2016-123414"/>
    <d v="2016-08-21T00:00:00"/>
    <x v="0"/>
    <s v="Q3"/>
    <x v="28"/>
    <d v="2016-08-27T00:00:00"/>
    <s v="Standard Class"/>
    <x v="711"/>
    <x v="711"/>
    <s v="Home Office"/>
    <s v="United States"/>
    <s v="Greenville"/>
    <x v="3"/>
    <n v="27834"/>
    <x v="0"/>
    <x v="354"/>
    <x v="1"/>
    <x v="14"/>
    <x v="354"/>
    <n v="28.047999999999998"/>
    <s v="Medium"/>
    <n v="2"/>
    <n v="0.2"/>
    <x v="2"/>
    <x v="2"/>
    <n v="3.5059999999999998"/>
    <n v="0.125"/>
    <n v="0"/>
  </r>
  <r>
    <n v="5314"/>
    <s v="CA-2017-137876"/>
    <d v="2017-04-30T00:00:00"/>
    <x v="3"/>
    <s v="Q2"/>
    <x v="4"/>
    <d v="2017-05-05T00:00:00"/>
    <s v="Standard Class"/>
    <x v="137"/>
    <x v="137"/>
    <s v="Corporate"/>
    <s v="United States"/>
    <s v="San Francisco"/>
    <x v="1"/>
    <n v="94110"/>
    <x v="1"/>
    <x v="596"/>
    <x v="0"/>
    <x v="5"/>
    <x v="596"/>
    <n v="64.959999999999994"/>
    <s v="Medium"/>
    <n v="2"/>
    <n v="0"/>
    <x v="0"/>
    <x v="0"/>
    <n v="21.436800000000002"/>
    <n v="0.33000000000000007"/>
    <n v="0"/>
  </r>
  <r>
    <n v="5315"/>
    <s v="CA-2017-137876"/>
    <d v="2017-04-30T00:00:00"/>
    <x v="3"/>
    <s v="Q2"/>
    <x v="4"/>
    <d v="2017-05-05T00:00:00"/>
    <s v="Standard Class"/>
    <x v="137"/>
    <x v="137"/>
    <s v="Corporate"/>
    <s v="United States"/>
    <s v="San Francisco"/>
    <x v="1"/>
    <n v="94110"/>
    <x v="1"/>
    <x v="588"/>
    <x v="1"/>
    <x v="12"/>
    <x v="588"/>
    <n v="30.56"/>
    <s v="Medium"/>
    <n v="4"/>
    <n v="0"/>
    <x v="0"/>
    <x v="0"/>
    <n v="14.974399999999999"/>
    <n v="0.49"/>
    <n v="0"/>
  </r>
  <r>
    <n v="5316"/>
    <s v="CA-2016-154060"/>
    <d v="2016-05-02T00:00:00"/>
    <x v="0"/>
    <s v="Q2"/>
    <x v="35"/>
    <d v="2016-05-08T00:00:00"/>
    <s v="Standard Class"/>
    <x v="297"/>
    <x v="297"/>
    <s v="Consumer"/>
    <s v="United States"/>
    <s v="Greensboro"/>
    <x v="3"/>
    <n v="27405"/>
    <x v="0"/>
    <x v="792"/>
    <x v="0"/>
    <x v="1"/>
    <x v="790"/>
    <n v="187.05600000000001"/>
    <s v="High"/>
    <n v="9"/>
    <n v="0.2"/>
    <x v="2"/>
    <x v="2"/>
    <n v="11.691000000000001"/>
    <n v="6.25E-2"/>
    <n v="0"/>
  </r>
  <r>
    <n v="5317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1256"/>
    <x v="0"/>
    <x v="5"/>
    <x v="1240"/>
    <n v="11.808"/>
    <s v="Low"/>
    <n v="2"/>
    <n v="0.2"/>
    <x v="2"/>
    <x v="2"/>
    <n v="1.3284"/>
    <n v="0.1125"/>
    <n v="0"/>
  </r>
  <r>
    <n v="5318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441"/>
    <x v="0"/>
    <x v="5"/>
    <x v="1719"/>
    <n v="9.6560000000000006"/>
    <s v="Low"/>
    <n v="1"/>
    <n v="0.2"/>
    <x v="2"/>
    <x v="2"/>
    <n v="1.5690999999999999"/>
    <n v="0.16249999999999998"/>
    <n v="0"/>
  </r>
  <r>
    <n v="5319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860"/>
    <x v="1"/>
    <x v="10"/>
    <x v="854"/>
    <n v="20.736000000000001"/>
    <s v="Low"/>
    <n v="4"/>
    <n v="0.2"/>
    <x v="2"/>
    <x v="2"/>
    <n v="7.2576000000000001"/>
    <n v="0.35"/>
    <n v="0"/>
  </r>
  <r>
    <n v="5320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999"/>
    <x v="1"/>
    <x v="8"/>
    <x v="991"/>
    <n v="27.36"/>
    <s v="Medium"/>
    <n v="3"/>
    <n v="0.7"/>
    <x v="1"/>
    <x v="5"/>
    <n v="-21.888000000000002"/>
    <n v="-0.8"/>
    <n v="1"/>
  </r>
  <r>
    <n v="5321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594"/>
    <x v="0"/>
    <x v="3"/>
    <x v="594"/>
    <n v="2314.116"/>
    <s v="High"/>
    <n v="7"/>
    <n v="0.4"/>
    <x v="1"/>
    <x v="7"/>
    <n v="-1002.7836"/>
    <n v="-0.43333333333333335"/>
    <n v="1"/>
  </r>
  <r>
    <n v="5322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697"/>
    <x v="1"/>
    <x v="8"/>
    <x v="697"/>
    <n v="34.235999999999997"/>
    <s v="Medium"/>
    <n v="4"/>
    <n v="0.7"/>
    <x v="1"/>
    <x v="5"/>
    <n v="-26.247599999999998"/>
    <n v="-0.76666666666666672"/>
    <n v="1"/>
  </r>
  <r>
    <n v="5323"/>
    <s v="US-2017-162558"/>
    <d v="2017-10-02T00:00:00"/>
    <x v="3"/>
    <s v="Q4"/>
    <x v="13"/>
    <d v="2017-10-05T00:00:00"/>
    <s v="First Class"/>
    <x v="656"/>
    <x v="656"/>
    <s v="Home Office"/>
    <s v="United States"/>
    <s v="Knoxville"/>
    <x v="18"/>
    <n v="37918"/>
    <x v="0"/>
    <x v="893"/>
    <x v="0"/>
    <x v="5"/>
    <x v="886"/>
    <n v="19.760000000000002"/>
    <s v="Low"/>
    <n v="2"/>
    <n v="0.2"/>
    <x v="2"/>
    <x v="2"/>
    <n v="5.9279999999999999"/>
    <n v="0.3"/>
    <n v="0"/>
  </r>
  <r>
    <n v="5324"/>
    <s v="CA-2017-134439"/>
    <d v="2017-09-18T00:00:00"/>
    <x v="3"/>
    <s v="Q3"/>
    <x v="15"/>
    <d v="2017-09-23T00:00:00"/>
    <s v="Second Class"/>
    <x v="612"/>
    <x v="612"/>
    <s v="Consumer"/>
    <s v="United States"/>
    <s v="Grand Island"/>
    <x v="8"/>
    <n v="68801"/>
    <x v="2"/>
    <x v="226"/>
    <x v="1"/>
    <x v="10"/>
    <x v="227"/>
    <n v="15.96"/>
    <s v="Low"/>
    <n v="2"/>
    <n v="0"/>
    <x v="0"/>
    <x v="0"/>
    <n v="7.98"/>
    <n v="0.5"/>
    <n v="0"/>
  </r>
  <r>
    <n v="5325"/>
    <s v="CA-2015-119508"/>
    <d v="2015-12-04T00:00:00"/>
    <x v="1"/>
    <s v="Q4"/>
    <x v="14"/>
    <d v="2015-12-09T00:00:00"/>
    <s v="Standard Class"/>
    <x v="356"/>
    <x v="356"/>
    <s v="Consumer"/>
    <s v="United States"/>
    <s v="Lakewood"/>
    <x v="1"/>
    <n v="90712"/>
    <x v="1"/>
    <x v="1173"/>
    <x v="1"/>
    <x v="6"/>
    <x v="1159"/>
    <n v="16.899999999999999"/>
    <s v="Low"/>
    <n v="5"/>
    <n v="0"/>
    <x v="0"/>
    <x v="0"/>
    <n v="6.2530000000000001"/>
    <n v="0.37000000000000005"/>
    <n v="0"/>
  </r>
  <r>
    <n v="5326"/>
    <s v="CA-2015-119508"/>
    <d v="2015-12-04T00:00:00"/>
    <x v="1"/>
    <s v="Q4"/>
    <x v="14"/>
    <d v="2015-12-09T00:00:00"/>
    <s v="Standard Class"/>
    <x v="356"/>
    <x v="356"/>
    <s v="Consumer"/>
    <s v="United States"/>
    <s v="Lakewood"/>
    <x v="1"/>
    <n v="90712"/>
    <x v="1"/>
    <x v="1006"/>
    <x v="0"/>
    <x v="5"/>
    <x v="998"/>
    <n v="25.08"/>
    <s v="Medium"/>
    <n v="6"/>
    <n v="0"/>
    <x v="0"/>
    <x v="0"/>
    <n v="9.0288000000000004"/>
    <n v="0.36000000000000004"/>
    <n v="0"/>
  </r>
  <r>
    <n v="5327"/>
    <s v="CA-2015-152681"/>
    <d v="2015-01-17T00:00:00"/>
    <x v="1"/>
    <s v="Q1"/>
    <x v="26"/>
    <d v="2015-01-22T00:00:00"/>
    <s v="Standard Class"/>
    <x v="609"/>
    <x v="609"/>
    <s v="Corporate"/>
    <s v="United States"/>
    <s v="Lawrence"/>
    <x v="31"/>
    <n v="1841"/>
    <x v="3"/>
    <x v="1412"/>
    <x v="1"/>
    <x v="6"/>
    <x v="1399"/>
    <n v="6.68"/>
    <s v="Low"/>
    <n v="2"/>
    <n v="0"/>
    <x v="0"/>
    <x v="0"/>
    <n v="2.004"/>
    <n v="0.3"/>
    <n v="0"/>
  </r>
  <r>
    <n v="5328"/>
    <s v="CA-2014-130813"/>
    <d v="2014-01-06T00:00:00"/>
    <x v="2"/>
    <s v="Q1"/>
    <x v="46"/>
    <d v="2014-01-08T00:00:00"/>
    <s v="Second Class"/>
    <x v="721"/>
    <x v="721"/>
    <s v="Consumer"/>
    <s v="United States"/>
    <s v="Los Angeles"/>
    <x v="1"/>
    <n v="90049"/>
    <x v="1"/>
    <x v="510"/>
    <x v="1"/>
    <x v="10"/>
    <x v="510"/>
    <n v="19.440000000000001"/>
    <s v="Low"/>
    <n v="3"/>
    <n v="0"/>
    <x v="0"/>
    <x v="0"/>
    <n v="9.3312000000000008"/>
    <n v="0.48000000000000004"/>
    <n v="0"/>
  </r>
  <r>
    <n v="5329"/>
    <s v="CA-2015-120320"/>
    <d v="2015-03-05T00:00:00"/>
    <x v="1"/>
    <s v="Q1"/>
    <x v="29"/>
    <d v="2015-03-09T00:00:00"/>
    <s v="Standard Class"/>
    <x v="160"/>
    <x v="160"/>
    <s v="Consumer"/>
    <s v="United States"/>
    <s v="Houston"/>
    <x v="5"/>
    <n v="77036"/>
    <x v="2"/>
    <x v="424"/>
    <x v="2"/>
    <x v="7"/>
    <x v="424"/>
    <n v="31.92"/>
    <s v="Medium"/>
    <n v="2"/>
    <n v="0.2"/>
    <x v="2"/>
    <x v="2"/>
    <n v="2.3940000000000001"/>
    <n v="7.4999999999999997E-2"/>
    <n v="0"/>
  </r>
  <r>
    <n v="5330"/>
    <s v="CA-2016-111941"/>
    <d v="2016-12-25T00:00:00"/>
    <x v="0"/>
    <s v="Q4"/>
    <x v="5"/>
    <d v="2016-12-28T00:00:00"/>
    <s v="Second Class"/>
    <x v="379"/>
    <x v="379"/>
    <s v="Consumer"/>
    <s v="United States"/>
    <s v="New York City"/>
    <x v="15"/>
    <n v="10035"/>
    <x v="3"/>
    <x v="301"/>
    <x v="1"/>
    <x v="8"/>
    <x v="301"/>
    <n v="33.567999999999998"/>
    <s v="Medium"/>
    <n v="2"/>
    <n v="0.2"/>
    <x v="2"/>
    <x v="2"/>
    <n v="11.748799999999999"/>
    <n v="0.35"/>
    <n v="0"/>
  </r>
  <r>
    <n v="5331"/>
    <s v="CA-2016-123120"/>
    <d v="2016-09-04T00:00:00"/>
    <x v="0"/>
    <s v="Q3"/>
    <x v="21"/>
    <d v="2016-09-08T00:00:00"/>
    <s v="Standard Class"/>
    <x v="610"/>
    <x v="610"/>
    <s v="Consumer"/>
    <s v="United States"/>
    <s v="New York City"/>
    <x v="15"/>
    <n v="10011"/>
    <x v="3"/>
    <x v="1268"/>
    <x v="0"/>
    <x v="5"/>
    <x v="1252"/>
    <n v="63.94"/>
    <s v="Medium"/>
    <n v="1"/>
    <n v="0"/>
    <x v="0"/>
    <x v="0"/>
    <n v="24.936599999999999"/>
    <n v="0.39"/>
    <n v="0"/>
  </r>
  <r>
    <n v="5332"/>
    <s v="CA-2016-123120"/>
    <d v="2016-09-04T00:00:00"/>
    <x v="0"/>
    <s v="Q3"/>
    <x v="21"/>
    <d v="2016-09-08T00:00:00"/>
    <s v="Standard Class"/>
    <x v="610"/>
    <x v="610"/>
    <s v="Consumer"/>
    <s v="United States"/>
    <s v="New York City"/>
    <x v="15"/>
    <n v="10011"/>
    <x v="3"/>
    <x v="58"/>
    <x v="1"/>
    <x v="8"/>
    <x v="58"/>
    <n v="60.6"/>
    <s v="Medium"/>
    <n v="5"/>
    <n v="0.2"/>
    <x v="2"/>
    <x v="2"/>
    <n v="20.452500000000001"/>
    <n v="0.33750000000000002"/>
    <n v="0"/>
  </r>
  <r>
    <n v="5333"/>
    <s v="CA-2016-123120"/>
    <d v="2016-09-04T00:00:00"/>
    <x v="0"/>
    <s v="Q3"/>
    <x v="21"/>
    <d v="2016-09-08T00:00:00"/>
    <s v="Standard Class"/>
    <x v="610"/>
    <x v="610"/>
    <s v="Consumer"/>
    <s v="United States"/>
    <s v="New York City"/>
    <x v="15"/>
    <n v="10011"/>
    <x v="3"/>
    <x v="675"/>
    <x v="1"/>
    <x v="14"/>
    <x v="675"/>
    <n v="22.72"/>
    <s v="Low"/>
    <n v="4"/>
    <n v="0"/>
    <x v="0"/>
    <x v="0"/>
    <n v="6.5888"/>
    <n v="0.29000000000000004"/>
    <n v="0"/>
  </r>
  <r>
    <n v="5334"/>
    <s v="CA-2014-103331"/>
    <d v="2014-08-26T00:00:00"/>
    <x v="2"/>
    <s v="Q3"/>
    <x v="9"/>
    <d v="2014-09-01T00:00:00"/>
    <s v="Standard Class"/>
    <x v="41"/>
    <x v="41"/>
    <s v="Consumer"/>
    <s v="United States"/>
    <s v="Newark"/>
    <x v="13"/>
    <n v="19711"/>
    <x v="3"/>
    <x v="1565"/>
    <x v="0"/>
    <x v="5"/>
    <x v="1556"/>
    <n v="10.68"/>
    <s v="Low"/>
    <n v="4"/>
    <n v="0"/>
    <x v="0"/>
    <x v="0"/>
    <n v="4.0583999999999998"/>
    <n v="0.38"/>
    <n v="0"/>
  </r>
  <r>
    <n v="5335"/>
    <s v="CA-2014-103331"/>
    <d v="2014-08-26T00:00:00"/>
    <x v="2"/>
    <s v="Q3"/>
    <x v="9"/>
    <d v="2014-09-01T00:00:00"/>
    <s v="Standard Class"/>
    <x v="41"/>
    <x v="41"/>
    <s v="Consumer"/>
    <s v="United States"/>
    <s v="Newark"/>
    <x v="13"/>
    <n v="19711"/>
    <x v="3"/>
    <x v="1215"/>
    <x v="1"/>
    <x v="10"/>
    <x v="1199"/>
    <n v="17.34"/>
    <s v="Low"/>
    <n v="3"/>
    <n v="0"/>
    <x v="0"/>
    <x v="0"/>
    <n v="8.4966000000000008"/>
    <n v="0.49000000000000005"/>
    <n v="0"/>
  </r>
  <r>
    <n v="5336"/>
    <s v="CA-2014-103331"/>
    <d v="2014-08-26T00:00:00"/>
    <x v="2"/>
    <s v="Q3"/>
    <x v="9"/>
    <d v="2014-09-01T00:00:00"/>
    <s v="Standard Class"/>
    <x v="41"/>
    <x v="41"/>
    <s v="Consumer"/>
    <s v="United States"/>
    <s v="Newark"/>
    <x v="13"/>
    <n v="19711"/>
    <x v="3"/>
    <x v="938"/>
    <x v="1"/>
    <x v="10"/>
    <x v="931"/>
    <n v="3.38"/>
    <s v="Low"/>
    <n v="1"/>
    <n v="0"/>
    <x v="0"/>
    <x v="0"/>
    <n v="1.5548"/>
    <n v="0.46"/>
    <n v="0"/>
  </r>
  <r>
    <n v="5337"/>
    <s v="CA-2015-169278"/>
    <d v="2015-05-21T00:00:00"/>
    <x v="1"/>
    <s v="Q2"/>
    <x v="33"/>
    <d v="2015-05-25T00:00:00"/>
    <s v="Standard Class"/>
    <x v="545"/>
    <x v="545"/>
    <s v="Corporate"/>
    <s v="United States"/>
    <s v="Seattle"/>
    <x v="4"/>
    <n v="98105"/>
    <x v="1"/>
    <x v="674"/>
    <x v="1"/>
    <x v="8"/>
    <x v="674"/>
    <n v="26.975999999999999"/>
    <s v="Medium"/>
    <n v="4"/>
    <n v="0.2"/>
    <x v="2"/>
    <x v="2"/>
    <n v="8.7672000000000008"/>
    <n v="0.32500000000000007"/>
    <n v="0"/>
  </r>
  <r>
    <n v="5338"/>
    <s v="CA-2017-111577"/>
    <d v="2017-10-16T00:00:00"/>
    <x v="3"/>
    <s v="Q4"/>
    <x v="13"/>
    <d v="2017-10-21T00:00:00"/>
    <s v="Standard Class"/>
    <x v="321"/>
    <x v="321"/>
    <s v="Corporate"/>
    <s v="United States"/>
    <s v="Scottsdale"/>
    <x v="16"/>
    <n v="85254"/>
    <x v="1"/>
    <x v="1397"/>
    <x v="1"/>
    <x v="10"/>
    <x v="1384"/>
    <n v="307.77600000000001"/>
    <s v="High"/>
    <n v="7"/>
    <n v="0.2"/>
    <x v="2"/>
    <x v="2"/>
    <n v="111.5688"/>
    <n v="0.36249999999999999"/>
    <n v="0"/>
  </r>
  <r>
    <n v="5339"/>
    <s v="CA-2015-146486"/>
    <d v="2015-11-09T00:00:00"/>
    <x v="1"/>
    <s v="Q4"/>
    <x v="6"/>
    <d v="2015-11-14T00:00:00"/>
    <s v="Second Class"/>
    <x v="231"/>
    <x v="231"/>
    <s v="Consumer"/>
    <s v="United States"/>
    <s v="Oceanside"/>
    <x v="15"/>
    <n v="11572"/>
    <x v="3"/>
    <x v="1166"/>
    <x v="1"/>
    <x v="4"/>
    <x v="1153"/>
    <n v="244.55"/>
    <s v="High"/>
    <n v="5"/>
    <n v="0"/>
    <x v="0"/>
    <x v="0"/>
    <n v="4.891"/>
    <n v="0.02"/>
    <n v="0"/>
  </r>
  <r>
    <n v="5340"/>
    <s v="CA-2015-146486"/>
    <d v="2015-11-09T00:00:00"/>
    <x v="1"/>
    <s v="Q4"/>
    <x v="6"/>
    <d v="2015-11-14T00:00:00"/>
    <s v="Second Class"/>
    <x v="231"/>
    <x v="231"/>
    <s v="Consumer"/>
    <s v="United States"/>
    <s v="Oceanside"/>
    <x v="15"/>
    <n v="11572"/>
    <x v="3"/>
    <x v="29"/>
    <x v="1"/>
    <x v="12"/>
    <x v="29"/>
    <n v="12.24"/>
    <s v="Low"/>
    <n v="6"/>
    <n v="0"/>
    <x v="0"/>
    <x v="0"/>
    <n v="5.7527999999999997"/>
    <n v="0.47"/>
    <n v="0"/>
  </r>
  <r>
    <n v="5341"/>
    <s v="CA-2015-146486"/>
    <d v="2015-11-09T00:00:00"/>
    <x v="1"/>
    <s v="Q4"/>
    <x v="6"/>
    <d v="2015-11-14T00:00:00"/>
    <s v="Second Class"/>
    <x v="231"/>
    <x v="231"/>
    <s v="Consumer"/>
    <s v="United States"/>
    <s v="Oceanside"/>
    <x v="15"/>
    <n v="11572"/>
    <x v="3"/>
    <x v="1695"/>
    <x v="2"/>
    <x v="11"/>
    <x v="1683"/>
    <n v="13.98"/>
    <s v="Low"/>
    <n v="2"/>
    <n v="0"/>
    <x v="0"/>
    <x v="0"/>
    <n v="6.0114000000000001"/>
    <n v="0.43"/>
    <n v="0"/>
  </r>
  <r>
    <n v="5342"/>
    <s v="CA-2015-146486"/>
    <d v="2015-11-09T00:00:00"/>
    <x v="1"/>
    <s v="Q4"/>
    <x v="6"/>
    <d v="2015-11-14T00:00:00"/>
    <s v="Second Class"/>
    <x v="231"/>
    <x v="231"/>
    <s v="Consumer"/>
    <s v="United States"/>
    <s v="Oceanside"/>
    <x v="15"/>
    <n v="11572"/>
    <x v="3"/>
    <x v="1332"/>
    <x v="2"/>
    <x v="11"/>
    <x v="1317"/>
    <n v="899.95"/>
    <s v="High"/>
    <n v="5"/>
    <n v="0"/>
    <x v="0"/>
    <x v="0"/>
    <n v="53.997"/>
    <n v="0.06"/>
    <n v="0"/>
  </r>
  <r>
    <n v="5343"/>
    <s v="US-2014-168501"/>
    <d v="2014-11-21T00:00:00"/>
    <x v="2"/>
    <s v="Q4"/>
    <x v="7"/>
    <d v="2014-11-27T00:00:00"/>
    <s v="Standard Class"/>
    <x v="759"/>
    <x v="759"/>
    <s v="Corporate"/>
    <s v="United States"/>
    <s v="Dallas"/>
    <x v="5"/>
    <n v="75220"/>
    <x v="2"/>
    <x v="29"/>
    <x v="1"/>
    <x v="12"/>
    <x v="29"/>
    <n v="1.6319999999999999"/>
    <s v="Low"/>
    <n v="1"/>
    <n v="0.2"/>
    <x v="2"/>
    <x v="2"/>
    <n v="0.55079999999999996"/>
    <n v="0.33750000000000002"/>
    <n v="0"/>
  </r>
  <r>
    <n v="5344"/>
    <s v="US-2014-168501"/>
    <d v="2014-11-21T00:00:00"/>
    <x v="2"/>
    <s v="Q4"/>
    <x v="7"/>
    <d v="2014-11-27T00:00:00"/>
    <s v="Standard Class"/>
    <x v="759"/>
    <x v="759"/>
    <s v="Corporate"/>
    <s v="United States"/>
    <s v="Dallas"/>
    <x v="5"/>
    <n v="75220"/>
    <x v="2"/>
    <x v="1086"/>
    <x v="2"/>
    <x v="7"/>
    <x v="1076"/>
    <n v="267.95999999999998"/>
    <s v="High"/>
    <n v="5"/>
    <n v="0.2"/>
    <x v="2"/>
    <x v="2"/>
    <n v="16.747499999999999"/>
    <n v="6.25E-2"/>
    <n v="0"/>
  </r>
  <r>
    <n v="5345"/>
    <s v="CA-2015-112053"/>
    <d v="2015-10-11T00:00:00"/>
    <x v="1"/>
    <s v="Q4"/>
    <x v="2"/>
    <d v="2015-10-13T00:00:00"/>
    <s v="Second Class"/>
    <x v="129"/>
    <x v="129"/>
    <s v="Consumer"/>
    <s v="United States"/>
    <s v="Rochester"/>
    <x v="15"/>
    <n v="14609"/>
    <x v="3"/>
    <x v="1365"/>
    <x v="2"/>
    <x v="11"/>
    <x v="1548"/>
    <n v="31.95"/>
    <s v="Medium"/>
    <n v="1"/>
    <n v="0"/>
    <x v="0"/>
    <x v="0"/>
    <n v="2.2364999999999999"/>
    <n v="6.9999999999999993E-2"/>
    <n v="0"/>
  </r>
  <r>
    <n v="5346"/>
    <s v="CA-2017-108539"/>
    <d v="2017-03-21T00:00:00"/>
    <x v="3"/>
    <s v="Q1"/>
    <x v="42"/>
    <d v="2017-03-23T00:00:00"/>
    <s v="Second Class"/>
    <x v="56"/>
    <x v="56"/>
    <s v="Consumer"/>
    <s v="United States"/>
    <s v="Los Angeles"/>
    <x v="1"/>
    <n v="90045"/>
    <x v="1"/>
    <x v="245"/>
    <x v="1"/>
    <x v="4"/>
    <x v="246"/>
    <n v="725.84"/>
    <s v="High"/>
    <n v="4"/>
    <n v="0"/>
    <x v="0"/>
    <x v="0"/>
    <n v="210.49359999999999"/>
    <n v="0.28999999999999998"/>
    <n v="0"/>
  </r>
  <r>
    <n v="5347"/>
    <s v="CA-2017-108539"/>
    <d v="2017-03-21T00:00:00"/>
    <x v="3"/>
    <s v="Q1"/>
    <x v="42"/>
    <d v="2017-03-23T00:00:00"/>
    <s v="Second Class"/>
    <x v="56"/>
    <x v="56"/>
    <s v="Consumer"/>
    <s v="United States"/>
    <s v="Los Angeles"/>
    <x v="1"/>
    <n v="90045"/>
    <x v="1"/>
    <x v="109"/>
    <x v="1"/>
    <x v="8"/>
    <x v="109"/>
    <n v="10.896000000000001"/>
    <s v="Low"/>
    <n v="3"/>
    <n v="0.2"/>
    <x v="2"/>
    <x v="2"/>
    <n v="3.9498000000000002"/>
    <n v="0.36249999999999999"/>
    <n v="0"/>
  </r>
  <r>
    <n v="5348"/>
    <s v="CA-2017-108539"/>
    <d v="2017-03-21T00:00:00"/>
    <x v="3"/>
    <s v="Q1"/>
    <x v="42"/>
    <d v="2017-03-23T00:00:00"/>
    <s v="Second Class"/>
    <x v="56"/>
    <x v="56"/>
    <s v="Consumer"/>
    <s v="United States"/>
    <s v="Los Angeles"/>
    <x v="1"/>
    <n v="90045"/>
    <x v="1"/>
    <x v="880"/>
    <x v="1"/>
    <x v="8"/>
    <x v="874"/>
    <n v="8.5440000000000005"/>
    <s v="Low"/>
    <n v="2"/>
    <n v="0.2"/>
    <x v="2"/>
    <x v="2"/>
    <n v="2.8835999999999999"/>
    <n v="0.33749999999999997"/>
    <n v="0"/>
  </r>
  <r>
    <n v="5349"/>
    <s v="CA-2015-149811"/>
    <d v="2015-01-04T00:00:00"/>
    <x v="1"/>
    <s v="Q1"/>
    <x v="26"/>
    <d v="2015-01-10T00:00:00"/>
    <s v="Standard Class"/>
    <x v="294"/>
    <x v="294"/>
    <s v="Corporate"/>
    <s v="United States"/>
    <s v="Woodbury"/>
    <x v="11"/>
    <n v="55125"/>
    <x v="2"/>
    <x v="828"/>
    <x v="1"/>
    <x v="8"/>
    <x v="824"/>
    <n v="32.340000000000003"/>
    <s v="Medium"/>
    <n v="3"/>
    <n v="0"/>
    <x v="0"/>
    <x v="0"/>
    <n v="15.523199999999999"/>
    <n v="0.47999999999999993"/>
    <n v="0"/>
  </r>
  <r>
    <n v="5350"/>
    <s v="CA-2015-149811"/>
    <d v="2015-01-04T00:00:00"/>
    <x v="1"/>
    <s v="Q1"/>
    <x v="26"/>
    <d v="2015-01-10T00:00:00"/>
    <s v="Standard Class"/>
    <x v="294"/>
    <x v="294"/>
    <s v="Corporate"/>
    <s v="United States"/>
    <s v="Woodbury"/>
    <x v="11"/>
    <n v="55125"/>
    <x v="2"/>
    <x v="226"/>
    <x v="1"/>
    <x v="10"/>
    <x v="227"/>
    <n v="39.9"/>
    <s v="Medium"/>
    <n v="5"/>
    <n v="0"/>
    <x v="0"/>
    <x v="0"/>
    <n v="19.95"/>
    <n v="0.5"/>
    <n v="0"/>
  </r>
  <r>
    <n v="5351"/>
    <s v="US-2017-103814"/>
    <d v="2017-12-09T00:00:00"/>
    <x v="3"/>
    <s v="Q4"/>
    <x v="22"/>
    <d v="2017-12-16T00:00:00"/>
    <s v="Standard Class"/>
    <x v="23"/>
    <x v="23"/>
    <s v="Consumer"/>
    <s v="United States"/>
    <s v="Park Ridge"/>
    <x v="10"/>
    <n v="60068"/>
    <x v="2"/>
    <x v="681"/>
    <x v="1"/>
    <x v="10"/>
    <x v="681"/>
    <n v="143.85599999999999"/>
    <s v="High"/>
    <n v="9"/>
    <n v="0.2"/>
    <x v="2"/>
    <x v="2"/>
    <n v="48.551400000000001"/>
    <n v="0.33750000000000002"/>
    <n v="0"/>
  </r>
  <r>
    <n v="5352"/>
    <s v="CA-2016-123932"/>
    <d v="2016-09-06T00:00:00"/>
    <x v="0"/>
    <s v="Q3"/>
    <x v="21"/>
    <d v="2016-09-12T00:00:00"/>
    <s v="Standard Class"/>
    <x v="289"/>
    <x v="289"/>
    <s v="Corporate"/>
    <s v="United States"/>
    <s v="Dallas"/>
    <x v="5"/>
    <n v="75217"/>
    <x v="2"/>
    <x v="1402"/>
    <x v="1"/>
    <x v="10"/>
    <x v="1389"/>
    <n v="41.92"/>
    <s v="Medium"/>
    <n v="4"/>
    <n v="0.2"/>
    <x v="2"/>
    <x v="2"/>
    <n v="15.196"/>
    <n v="0.36249999999999999"/>
    <n v="0"/>
  </r>
  <r>
    <n v="5353"/>
    <s v="CA-2016-123932"/>
    <d v="2016-09-06T00:00:00"/>
    <x v="0"/>
    <s v="Q3"/>
    <x v="21"/>
    <d v="2016-09-12T00:00:00"/>
    <s v="Standard Class"/>
    <x v="289"/>
    <x v="289"/>
    <s v="Corporate"/>
    <s v="United States"/>
    <s v="Dallas"/>
    <x v="5"/>
    <n v="75217"/>
    <x v="2"/>
    <x v="53"/>
    <x v="2"/>
    <x v="7"/>
    <x v="53"/>
    <n v="329.584"/>
    <s v="High"/>
    <n v="2"/>
    <n v="0.2"/>
    <x v="2"/>
    <x v="2"/>
    <n v="37.078200000000002"/>
    <n v="0.1125"/>
    <n v="0"/>
  </r>
  <r>
    <n v="5354"/>
    <s v="US-2016-101616"/>
    <d v="2016-09-03T00:00:00"/>
    <x v="0"/>
    <s v="Q3"/>
    <x v="21"/>
    <d v="2016-09-06T00:00:00"/>
    <s v="First Class"/>
    <x v="388"/>
    <x v="388"/>
    <s v="Corporate"/>
    <s v="United States"/>
    <s v="Monroe"/>
    <x v="28"/>
    <n v="71203"/>
    <x v="0"/>
    <x v="634"/>
    <x v="1"/>
    <x v="8"/>
    <x v="634"/>
    <n v="87.28"/>
    <s v="Medium"/>
    <n v="8"/>
    <n v="0"/>
    <x v="0"/>
    <x v="0"/>
    <n v="41.021599999999999"/>
    <n v="0.47"/>
    <n v="0"/>
  </r>
  <r>
    <n v="5355"/>
    <s v="CA-2014-113768"/>
    <d v="2014-05-13T00:00:00"/>
    <x v="2"/>
    <s v="Q2"/>
    <x v="8"/>
    <d v="2014-05-19T00:00:00"/>
    <s v="Standard Class"/>
    <x v="692"/>
    <x v="692"/>
    <s v="Corporate"/>
    <s v="United States"/>
    <s v="Los Angeles"/>
    <x v="1"/>
    <n v="90004"/>
    <x v="1"/>
    <x v="1340"/>
    <x v="0"/>
    <x v="1"/>
    <x v="1325"/>
    <n v="279.45600000000002"/>
    <s v="High"/>
    <n v="6"/>
    <n v="0.2"/>
    <x v="2"/>
    <x v="2"/>
    <n v="20.959199999999999"/>
    <n v="7.4999999999999997E-2"/>
    <n v="0"/>
  </r>
  <r>
    <n v="5356"/>
    <s v="CA-2014-113768"/>
    <d v="2014-05-13T00:00:00"/>
    <x v="2"/>
    <s v="Q2"/>
    <x v="8"/>
    <d v="2014-05-19T00:00:00"/>
    <s v="Standard Class"/>
    <x v="692"/>
    <x v="692"/>
    <s v="Corporate"/>
    <s v="United States"/>
    <s v="Los Angeles"/>
    <x v="1"/>
    <n v="90004"/>
    <x v="1"/>
    <x v="1732"/>
    <x v="1"/>
    <x v="10"/>
    <x v="1720"/>
    <n v="8"/>
    <s v="Low"/>
    <n v="2"/>
    <n v="0"/>
    <x v="0"/>
    <x v="0"/>
    <n v="3.84"/>
    <n v="0.48"/>
    <n v="0"/>
  </r>
  <r>
    <n v="5357"/>
    <s v="CA-2016-138037"/>
    <d v="2016-09-29T00:00:00"/>
    <x v="0"/>
    <s v="Q3"/>
    <x v="21"/>
    <d v="2016-10-03T00:00:00"/>
    <s v="Standard Class"/>
    <x v="481"/>
    <x v="481"/>
    <s v="Consumer"/>
    <s v="United States"/>
    <s v="San Francisco"/>
    <x v="1"/>
    <n v="94109"/>
    <x v="1"/>
    <x v="1282"/>
    <x v="1"/>
    <x v="8"/>
    <x v="1267"/>
    <n v="27.24"/>
    <s v="Medium"/>
    <n v="5"/>
    <n v="0.2"/>
    <x v="2"/>
    <x v="2"/>
    <n v="9.5340000000000007"/>
    <n v="0.35000000000000003"/>
    <n v="0"/>
  </r>
  <r>
    <n v="5358"/>
    <s v="CA-2014-150490"/>
    <d v="2014-08-05T00:00:00"/>
    <x v="2"/>
    <s v="Q3"/>
    <x v="9"/>
    <d v="2014-08-11T00:00:00"/>
    <s v="Standard Class"/>
    <x v="196"/>
    <x v="196"/>
    <s v="Consumer"/>
    <s v="United States"/>
    <s v="San Francisco"/>
    <x v="1"/>
    <n v="94122"/>
    <x v="1"/>
    <x v="960"/>
    <x v="2"/>
    <x v="11"/>
    <x v="953"/>
    <n v="16.36"/>
    <s v="Low"/>
    <n v="1"/>
    <n v="0"/>
    <x v="0"/>
    <x v="0"/>
    <n v="1.6359999999999999"/>
    <n v="9.9999999999999992E-2"/>
    <n v="0"/>
  </r>
  <r>
    <n v="5359"/>
    <s v="CA-2014-150490"/>
    <d v="2014-08-05T00:00:00"/>
    <x v="2"/>
    <s v="Q3"/>
    <x v="9"/>
    <d v="2014-08-11T00:00:00"/>
    <s v="Standard Class"/>
    <x v="196"/>
    <x v="196"/>
    <s v="Consumer"/>
    <s v="United States"/>
    <s v="San Francisco"/>
    <x v="1"/>
    <n v="94122"/>
    <x v="1"/>
    <x v="1555"/>
    <x v="1"/>
    <x v="4"/>
    <x v="1543"/>
    <n v="15.78"/>
    <s v="Low"/>
    <n v="2"/>
    <n v="0"/>
    <x v="0"/>
    <x v="0"/>
    <n v="0.63119999999999998"/>
    <n v="0.04"/>
    <n v="0"/>
  </r>
  <r>
    <n v="5360"/>
    <s v="CA-2014-150490"/>
    <d v="2014-08-05T00:00:00"/>
    <x v="2"/>
    <s v="Q3"/>
    <x v="9"/>
    <d v="2014-08-11T00:00:00"/>
    <s v="Standard Class"/>
    <x v="196"/>
    <x v="196"/>
    <s v="Consumer"/>
    <s v="United States"/>
    <s v="San Francisco"/>
    <x v="1"/>
    <n v="94122"/>
    <x v="1"/>
    <x v="1243"/>
    <x v="1"/>
    <x v="6"/>
    <x v="1226"/>
    <n v="45.98"/>
    <s v="Medium"/>
    <n v="2"/>
    <n v="0"/>
    <x v="0"/>
    <x v="0"/>
    <n v="12.8744"/>
    <n v="0.28000000000000003"/>
    <n v="0"/>
  </r>
  <r>
    <n v="5361"/>
    <s v="US-2017-126060"/>
    <d v="2017-04-14T00:00:00"/>
    <x v="3"/>
    <s v="Q2"/>
    <x v="4"/>
    <d v="2017-04-18T00:00:00"/>
    <s v="Standard Class"/>
    <x v="61"/>
    <x v="61"/>
    <s v="Corporate"/>
    <s v="United States"/>
    <s v="Fayetteville"/>
    <x v="3"/>
    <n v="28314"/>
    <x v="0"/>
    <x v="927"/>
    <x v="0"/>
    <x v="0"/>
    <x v="920"/>
    <n v="198.27199999999999"/>
    <s v="High"/>
    <n v="8"/>
    <n v="0.2"/>
    <x v="2"/>
    <x v="2"/>
    <n v="-32.219200000000001"/>
    <n v="-0.16250000000000001"/>
    <n v="1"/>
  </r>
  <r>
    <n v="5362"/>
    <s v="CA-2017-100951"/>
    <d v="2017-06-09T00:00:00"/>
    <x v="3"/>
    <s v="Q2"/>
    <x v="27"/>
    <d v="2017-06-10T00:00:00"/>
    <s v="First Class"/>
    <x v="544"/>
    <x v="544"/>
    <s v="Corporate"/>
    <s v="United States"/>
    <s v="Dallas"/>
    <x v="5"/>
    <n v="75217"/>
    <x v="2"/>
    <x v="734"/>
    <x v="1"/>
    <x v="4"/>
    <x v="733"/>
    <n v="720.76"/>
    <s v="High"/>
    <n v="5"/>
    <n v="0.2"/>
    <x v="2"/>
    <x v="2"/>
    <n v="54.057000000000002"/>
    <n v="7.4999999999999997E-2"/>
    <n v="0"/>
  </r>
  <r>
    <n v="5363"/>
    <s v="CA-2016-122017"/>
    <d v="2016-12-29T00:00:00"/>
    <x v="0"/>
    <s v="Q4"/>
    <x v="5"/>
    <d v="2017-01-02T00:00:00"/>
    <s v="Standard Class"/>
    <x v="303"/>
    <x v="303"/>
    <s v="Consumer"/>
    <s v="United States"/>
    <s v="Wichita"/>
    <x v="41"/>
    <n v="67212"/>
    <x v="2"/>
    <x v="1530"/>
    <x v="0"/>
    <x v="5"/>
    <x v="1517"/>
    <n v="70.56"/>
    <s v="Medium"/>
    <n v="6"/>
    <n v="0"/>
    <x v="0"/>
    <x v="0"/>
    <n v="23.990400000000001"/>
    <n v="0.34"/>
    <n v="0"/>
  </r>
  <r>
    <n v="5364"/>
    <s v="CA-2016-122017"/>
    <d v="2016-12-29T00:00:00"/>
    <x v="0"/>
    <s v="Q4"/>
    <x v="5"/>
    <d v="2017-01-02T00:00:00"/>
    <s v="Standard Class"/>
    <x v="303"/>
    <x v="303"/>
    <s v="Consumer"/>
    <s v="United States"/>
    <s v="Wichita"/>
    <x v="41"/>
    <n v="67212"/>
    <x v="2"/>
    <x v="1360"/>
    <x v="1"/>
    <x v="9"/>
    <x v="1346"/>
    <n v="81.96"/>
    <s v="Medium"/>
    <n v="2"/>
    <n v="0"/>
    <x v="0"/>
    <x v="0"/>
    <n v="22.948799999999999"/>
    <n v="0.28000000000000003"/>
    <n v="0"/>
  </r>
  <r>
    <n v="5365"/>
    <s v="CA-2014-123477"/>
    <d v="2014-01-18T00:00:00"/>
    <x v="2"/>
    <s v="Q1"/>
    <x v="46"/>
    <d v="2014-01-21T00:00:00"/>
    <s v="Second Class"/>
    <x v="694"/>
    <x v="694"/>
    <s v="Corporate"/>
    <s v="United States"/>
    <s v="Springfield"/>
    <x v="21"/>
    <n v="97477"/>
    <x v="1"/>
    <x v="1266"/>
    <x v="1"/>
    <x v="9"/>
    <x v="1250"/>
    <n v="64.864000000000004"/>
    <s v="Medium"/>
    <n v="4"/>
    <n v="0.2"/>
    <x v="2"/>
    <x v="2"/>
    <n v="6.4863999999999997"/>
    <n v="9.9999999999999992E-2"/>
    <n v="0"/>
  </r>
  <r>
    <n v="5366"/>
    <s v="CA-2016-107790"/>
    <d v="2016-11-20T00:00:00"/>
    <x v="0"/>
    <s v="Q4"/>
    <x v="0"/>
    <d v="2016-11-24T00:00:00"/>
    <s v="Standard Class"/>
    <x v="552"/>
    <x v="552"/>
    <s v="Consumer"/>
    <s v="United States"/>
    <s v="Houston"/>
    <x v="5"/>
    <n v="77041"/>
    <x v="2"/>
    <x v="867"/>
    <x v="2"/>
    <x v="7"/>
    <x v="861"/>
    <n v="151.19200000000001"/>
    <s v="High"/>
    <n v="1"/>
    <n v="0.2"/>
    <x v="2"/>
    <x v="2"/>
    <n v="13.2293"/>
    <n v="8.7499999999999994E-2"/>
    <n v="0"/>
  </r>
  <r>
    <n v="5367"/>
    <s v="CA-2017-158071"/>
    <d v="2017-06-10T00:00:00"/>
    <x v="3"/>
    <s v="Q2"/>
    <x v="27"/>
    <d v="2017-06-15T00:00:00"/>
    <s v="Standard Class"/>
    <x v="217"/>
    <x v="217"/>
    <s v="Consumer"/>
    <s v="United States"/>
    <s v="Seattle"/>
    <x v="4"/>
    <n v="98103"/>
    <x v="1"/>
    <x v="687"/>
    <x v="2"/>
    <x v="7"/>
    <x v="687"/>
    <n v="88.775999999999996"/>
    <s v="Medium"/>
    <n v="3"/>
    <n v="0.2"/>
    <x v="2"/>
    <x v="2"/>
    <n v="7.7679"/>
    <n v="8.7500000000000008E-2"/>
    <n v="0"/>
  </r>
  <r>
    <n v="5368"/>
    <s v="CA-2017-158071"/>
    <d v="2017-06-10T00:00:00"/>
    <x v="3"/>
    <s v="Q2"/>
    <x v="27"/>
    <d v="2017-06-15T00:00:00"/>
    <s v="Standard Class"/>
    <x v="217"/>
    <x v="217"/>
    <s v="Consumer"/>
    <s v="United States"/>
    <s v="Seattle"/>
    <x v="4"/>
    <n v="98103"/>
    <x v="1"/>
    <x v="264"/>
    <x v="1"/>
    <x v="2"/>
    <x v="264"/>
    <n v="11.56"/>
    <s v="Low"/>
    <n v="4"/>
    <n v="0"/>
    <x v="0"/>
    <x v="0"/>
    <n v="5.4332000000000003"/>
    <n v="0.47000000000000003"/>
    <n v="0"/>
  </r>
  <r>
    <n v="5369"/>
    <s v="CA-2017-158071"/>
    <d v="2017-06-10T00:00:00"/>
    <x v="3"/>
    <s v="Q2"/>
    <x v="27"/>
    <d v="2017-06-15T00:00:00"/>
    <s v="Standard Class"/>
    <x v="217"/>
    <x v="217"/>
    <s v="Consumer"/>
    <s v="United States"/>
    <s v="Seattle"/>
    <x v="4"/>
    <n v="98103"/>
    <x v="1"/>
    <x v="230"/>
    <x v="1"/>
    <x v="4"/>
    <x v="450"/>
    <n v="15.58"/>
    <s v="Low"/>
    <n v="1"/>
    <n v="0"/>
    <x v="0"/>
    <x v="0"/>
    <n v="3.895"/>
    <n v="0.25"/>
    <n v="0"/>
  </r>
  <r>
    <n v="5370"/>
    <s v="CA-2017-147403"/>
    <d v="2017-09-10T00:00:00"/>
    <x v="3"/>
    <s v="Q3"/>
    <x v="15"/>
    <d v="2017-09-13T00:00:00"/>
    <s v="First Class"/>
    <x v="175"/>
    <x v="175"/>
    <s v="Corporate"/>
    <s v="United States"/>
    <s v="Akron"/>
    <x v="24"/>
    <n v="44312"/>
    <x v="3"/>
    <x v="1733"/>
    <x v="1"/>
    <x v="10"/>
    <x v="1721"/>
    <n v="85.055999999999997"/>
    <s v="Medium"/>
    <n v="3"/>
    <n v="0.2"/>
    <x v="2"/>
    <x v="2"/>
    <n v="28.706399999999999"/>
    <n v="0.33749999999999997"/>
    <n v="0"/>
  </r>
  <r>
    <n v="5371"/>
    <s v="US-2017-136721"/>
    <d v="2017-04-08T00:00:00"/>
    <x v="3"/>
    <s v="Q2"/>
    <x v="4"/>
    <d v="2017-04-12T00:00:00"/>
    <s v="Standard Class"/>
    <x v="468"/>
    <x v="468"/>
    <s v="Corporate"/>
    <s v="United States"/>
    <s v="Oak Park"/>
    <x v="12"/>
    <n v="48237"/>
    <x v="2"/>
    <x v="1369"/>
    <x v="0"/>
    <x v="5"/>
    <x v="1354"/>
    <n v="273.95999999999998"/>
    <s v="High"/>
    <n v="2"/>
    <n v="0"/>
    <x v="0"/>
    <x v="0"/>
    <n v="71.229600000000005"/>
    <n v="0.26000000000000006"/>
    <n v="0"/>
  </r>
  <r>
    <n v="5372"/>
    <s v="US-2017-136721"/>
    <d v="2017-04-08T00:00:00"/>
    <x v="3"/>
    <s v="Q2"/>
    <x v="4"/>
    <d v="2017-04-12T00:00:00"/>
    <s v="Standard Class"/>
    <x v="468"/>
    <x v="468"/>
    <s v="Corporate"/>
    <s v="United States"/>
    <s v="Oak Park"/>
    <x v="12"/>
    <n v="48237"/>
    <x v="2"/>
    <x v="743"/>
    <x v="0"/>
    <x v="5"/>
    <x v="741"/>
    <n v="306.89999999999998"/>
    <s v="High"/>
    <n v="3"/>
    <n v="0"/>
    <x v="0"/>
    <x v="0"/>
    <n v="79.793999999999997"/>
    <n v="0.26"/>
    <n v="0"/>
  </r>
  <r>
    <n v="5373"/>
    <s v="CA-2015-118738"/>
    <d v="2015-10-24T00:00:00"/>
    <x v="1"/>
    <s v="Q4"/>
    <x v="2"/>
    <d v="2015-10-30T00:00:00"/>
    <s v="Standard Class"/>
    <x v="122"/>
    <x v="122"/>
    <s v="Corporate"/>
    <s v="United States"/>
    <s v="Houston"/>
    <x v="5"/>
    <n v="77041"/>
    <x v="2"/>
    <x v="89"/>
    <x v="1"/>
    <x v="10"/>
    <x v="89"/>
    <n v="15.552"/>
    <s v="Low"/>
    <n v="3"/>
    <n v="0.2"/>
    <x v="2"/>
    <x v="2"/>
    <n v="5.4432"/>
    <n v="0.35000000000000003"/>
    <n v="0"/>
  </r>
  <r>
    <n v="5374"/>
    <s v="CA-2015-118738"/>
    <d v="2015-10-24T00:00:00"/>
    <x v="1"/>
    <s v="Q4"/>
    <x v="2"/>
    <d v="2015-10-30T00:00:00"/>
    <s v="Standard Class"/>
    <x v="122"/>
    <x v="122"/>
    <s v="Corporate"/>
    <s v="United States"/>
    <s v="Houston"/>
    <x v="5"/>
    <n v="77041"/>
    <x v="2"/>
    <x v="223"/>
    <x v="0"/>
    <x v="3"/>
    <x v="224"/>
    <n v="347.36099999999999"/>
    <s v="High"/>
    <n v="7"/>
    <n v="0.3"/>
    <x v="1"/>
    <x v="4"/>
    <n v="-69.472200000000001"/>
    <n v="-0.2"/>
    <n v="1"/>
  </r>
  <r>
    <n v="5375"/>
    <s v="CA-2015-118738"/>
    <d v="2015-10-24T00:00:00"/>
    <x v="1"/>
    <s v="Q4"/>
    <x v="2"/>
    <d v="2015-10-30T00:00:00"/>
    <s v="Standard Class"/>
    <x v="122"/>
    <x v="122"/>
    <s v="Corporate"/>
    <s v="United States"/>
    <s v="Houston"/>
    <x v="5"/>
    <n v="77041"/>
    <x v="2"/>
    <x v="778"/>
    <x v="1"/>
    <x v="10"/>
    <x v="777"/>
    <n v="10.368"/>
    <s v="Low"/>
    <n v="2"/>
    <n v="0.2"/>
    <x v="2"/>
    <x v="2"/>
    <n v="3.6288"/>
    <n v="0.35"/>
    <n v="0"/>
  </r>
  <r>
    <n v="5376"/>
    <s v="CA-2017-134152"/>
    <d v="2017-05-27T00:00:00"/>
    <x v="3"/>
    <s v="Q2"/>
    <x v="24"/>
    <d v="2017-05-31T00:00:00"/>
    <s v="Standard Class"/>
    <x v="532"/>
    <x v="532"/>
    <s v="Corporate"/>
    <s v="United States"/>
    <s v="Seattle"/>
    <x v="4"/>
    <n v="98103"/>
    <x v="1"/>
    <x v="960"/>
    <x v="2"/>
    <x v="11"/>
    <x v="953"/>
    <n v="98.16"/>
    <s v="Medium"/>
    <n v="6"/>
    <n v="0"/>
    <x v="0"/>
    <x v="0"/>
    <n v="9.8160000000000007"/>
    <n v="0.1"/>
    <n v="0"/>
  </r>
  <r>
    <n v="5377"/>
    <s v="CA-2017-134152"/>
    <d v="2017-05-27T00:00:00"/>
    <x v="3"/>
    <s v="Q2"/>
    <x v="24"/>
    <d v="2017-05-31T00:00:00"/>
    <s v="Standard Class"/>
    <x v="532"/>
    <x v="532"/>
    <s v="Corporate"/>
    <s v="United States"/>
    <s v="Seattle"/>
    <x v="4"/>
    <n v="98103"/>
    <x v="1"/>
    <x v="1554"/>
    <x v="1"/>
    <x v="6"/>
    <x v="772"/>
    <n v="31.44"/>
    <s v="Medium"/>
    <n v="3"/>
    <n v="0"/>
    <x v="0"/>
    <x v="0"/>
    <n v="7.86"/>
    <n v="0.25"/>
    <n v="0"/>
  </r>
  <r>
    <n v="5378"/>
    <s v="CA-2014-125542"/>
    <d v="2014-12-05T00:00:00"/>
    <x v="2"/>
    <s v="Q4"/>
    <x v="20"/>
    <d v="2014-12-07T00:00:00"/>
    <s v="First Class"/>
    <x v="240"/>
    <x v="240"/>
    <s v="Corporate"/>
    <s v="United States"/>
    <s v="Philadelphia"/>
    <x v="9"/>
    <n v="19134"/>
    <x v="3"/>
    <x v="633"/>
    <x v="1"/>
    <x v="12"/>
    <x v="633"/>
    <n v="348.488"/>
    <s v="High"/>
    <n v="7"/>
    <n v="0.2"/>
    <x v="2"/>
    <x v="2"/>
    <n v="117.6147"/>
    <n v="0.33750000000000002"/>
    <n v="0"/>
  </r>
  <r>
    <n v="5379"/>
    <s v="CA-2014-125542"/>
    <d v="2014-12-05T00:00:00"/>
    <x v="2"/>
    <s v="Q4"/>
    <x v="20"/>
    <d v="2014-12-07T00:00:00"/>
    <s v="First Class"/>
    <x v="240"/>
    <x v="240"/>
    <s v="Corporate"/>
    <s v="United States"/>
    <s v="Philadelphia"/>
    <x v="9"/>
    <n v="19134"/>
    <x v="3"/>
    <x v="398"/>
    <x v="1"/>
    <x v="4"/>
    <x v="399"/>
    <n v="172.73599999999999"/>
    <s v="High"/>
    <n v="4"/>
    <n v="0.2"/>
    <x v="2"/>
    <x v="2"/>
    <n v="-30.2288"/>
    <n v="-0.17500000000000002"/>
    <n v="1"/>
  </r>
  <r>
    <n v="5380"/>
    <s v="CA-2016-136021"/>
    <d v="2016-08-14T00:00:00"/>
    <x v="0"/>
    <s v="Q3"/>
    <x v="28"/>
    <d v="2016-08-18T00:00:00"/>
    <s v="Standard Class"/>
    <x v="758"/>
    <x v="758"/>
    <s v="Consumer"/>
    <s v="United States"/>
    <s v="Los Angeles"/>
    <x v="1"/>
    <n v="90045"/>
    <x v="1"/>
    <x v="1262"/>
    <x v="1"/>
    <x v="10"/>
    <x v="1246"/>
    <n v="15.54"/>
    <s v="Low"/>
    <n v="3"/>
    <n v="0"/>
    <x v="0"/>
    <x v="0"/>
    <n v="7.6146000000000003"/>
    <n v="0.49000000000000005"/>
    <n v="0"/>
  </r>
  <r>
    <n v="5381"/>
    <s v="CA-2016-136021"/>
    <d v="2016-08-14T00:00:00"/>
    <x v="0"/>
    <s v="Q3"/>
    <x v="28"/>
    <d v="2016-08-18T00:00:00"/>
    <s v="Standard Class"/>
    <x v="758"/>
    <x v="758"/>
    <s v="Consumer"/>
    <s v="United States"/>
    <s v="Los Angeles"/>
    <x v="1"/>
    <n v="90045"/>
    <x v="1"/>
    <x v="1734"/>
    <x v="2"/>
    <x v="15"/>
    <x v="1722"/>
    <n v="105.55200000000001"/>
    <s v="Medium"/>
    <n v="6"/>
    <n v="0.2"/>
    <x v="2"/>
    <x v="2"/>
    <n v="35.623800000000003"/>
    <n v="0.33750000000000002"/>
    <n v="0"/>
  </r>
  <r>
    <n v="5382"/>
    <s v="CA-2016-149195"/>
    <d v="2016-09-05T00:00:00"/>
    <x v="0"/>
    <s v="Q3"/>
    <x v="21"/>
    <d v="2016-09-07T00:00:00"/>
    <s v="Second Class"/>
    <x v="760"/>
    <x v="760"/>
    <s v="Corporate"/>
    <s v="United States"/>
    <s v="Houston"/>
    <x v="5"/>
    <n v="77070"/>
    <x v="2"/>
    <x v="680"/>
    <x v="1"/>
    <x v="10"/>
    <x v="680"/>
    <n v="25.92"/>
    <s v="Medium"/>
    <n v="5"/>
    <n v="0.2"/>
    <x v="2"/>
    <x v="2"/>
    <n v="9.0719999999999992"/>
    <n v="0.34999999999999992"/>
    <n v="0"/>
  </r>
  <r>
    <n v="5383"/>
    <s v="CA-2016-149195"/>
    <d v="2016-09-05T00:00:00"/>
    <x v="0"/>
    <s v="Q3"/>
    <x v="21"/>
    <d v="2016-09-07T00:00:00"/>
    <s v="Second Class"/>
    <x v="760"/>
    <x v="760"/>
    <s v="Corporate"/>
    <s v="United States"/>
    <s v="Houston"/>
    <x v="5"/>
    <n v="77070"/>
    <x v="2"/>
    <x v="1099"/>
    <x v="1"/>
    <x v="13"/>
    <x v="128"/>
    <n v="15.808"/>
    <s v="Low"/>
    <n v="8"/>
    <n v="0.2"/>
    <x v="2"/>
    <x v="2"/>
    <n v="5.3352000000000004"/>
    <n v="0.33750000000000002"/>
    <n v="0"/>
  </r>
  <r>
    <n v="5384"/>
    <s v="CA-2016-149195"/>
    <d v="2016-09-05T00:00:00"/>
    <x v="0"/>
    <s v="Q3"/>
    <x v="21"/>
    <d v="2016-09-07T00:00:00"/>
    <s v="Second Class"/>
    <x v="760"/>
    <x v="760"/>
    <s v="Corporate"/>
    <s v="United States"/>
    <s v="Houston"/>
    <x v="5"/>
    <n v="77070"/>
    <x v="2"/>
    <x v="329"/>
    <x v="1"/>
    <x v="10"/>
    <x v="329"/>
    <n v="10.368"/>
    <s v="Low"/>
    <n v="2"/>
    <n v="0.2"/>
    <x v="2"/>
    <x v="2"/>
    <n v="3.7584"/>
    <n v="0.36249999999999999"/>
    <n v="0"/>
  </r>
  <r>
    <n v="5385"/>
    <s v="CA-2017-161410"/>
    <d v="2017-06-26T00:00:00"/>
    <x v="3"/>
    <s v="Q2"/>
    <x v="27"/>
    <d v="2017-07-03T00:00:00"/>
    <s v="Standard Class"/>
    <x v="417"/>
    <x v="417"/>
    <s v="Consumer"/>
    <s v="United States"/>
    <s v="Philadelphia"/>
    <x v="9"/>
    <n v="19143"/>
    <x v="3"/>
    <x v="256"/>
    <x v="2"/>
    <x v="7"/>
    <x v="257"/>
    <n v="358.2"/>
    <s v="High"/>
    <n v="3"/>
    <n v="0.4"/>
    <x v="1"/>
    <x v="7"/>
    <n v="41.79"/>
    <n v="0.11666666666666667"/>
    <n v="0"/>
  </r>
  <r>
    <n v="5386"/>
    <s v="CA-2017-161410"/>
    <d v="2017-06-26T00:00:00"/>
    <x v="3"/>
    <s v="Q2"/>
    <x v="27"/>
    <d v="2017-07-03T00:00:00"/>
    <s v="Standard Class"/>
    <x v="417"/>
    <x v="417"/>
    <s v="Consumer"/>
    <s v="United States"/>
    <s v="Philadelphia"/>
    <x v="9"/>
    <n v="19143"/>
    <x v="3"/>
    <x v="1417"/>
    <x v="2"/>
    <x v="7"/>
    <x v="1405"/>
    <n v="545.91600000000005"/>
    <s v="High"/>
    <n v="14"/>
    <n v="0.4"/>
    <x v="1"/>
    <x v="7"/>
    <n v="72.788799999999995"/>
    <n v="0.1333333333333333"/>
    <n v="0"/>
  </r>
  <r>
    <n v="5387"/>
    <s v="CA-2017-152786"/>
    <d v="2017-03-12T00:00:00"/>
    <x v="3"/>
    <s v="Q1"/>
    <x v="42"/>
    <d v="2017-03-17T00:00:00"/>
    <s v="Standard Class"/>
    <x v="315"/>
    <x v="315"/>
    <s v="Consumer"/>
    <s v="United States"/>
    <s v="Rogers"/>
    <x v="36"/>
    <n v="72756"/>
    <x v="0"/>
    <x v="1366"/>
    <x v="1"/>
    <x v="8"/>
    <x v="307"/>
    <n v="40.409999999999997"/>
    <s v="Medium"/>
    <n v="9"/>
    <n v="0"/>
    <x v="0"/>
    <x v="0"/>
    <n v="18.5886"/>
    <n v="0.46"/>
    <n v="0"/>
  </r>
  <r>
    <n v="5388"/>
    <s v="CA-2017-164707"/>
    <d v="2017-02-18T00:00:00"/>
    <x v="3"/>
    <s v="Q1"/>
    <x v="31"/>
    <d v="2017-02-21T00:00:00"/>
    <s v="Second Class"/>
    <x v="51"/>
    <x v="51"/>
    <s v="Corporate"/>
    <s v="United States"/>
    <s v="Los Angeles"/>
    <x v="1"/>
    <n v="90045"/>
    <x v="1"/>
    <x v="431"/>
    <x v="2"/>
    <x v="7"/>
    <x v="431"/>
    <n v="167.976"/>
    <s v="High"/>
    <n v="3"/>
    <n v="0.2"/>
    <x v="2"/>
    <x v="2"/>
    <n v="10.4985"/>
    <n v="6.25E-2"/>
    <n v="0"/>
  </r>
  <r>
    <n v="5389"/>
    <s v="CA-2017-164707"/>
    <d v="2017-02-18T00:00:00"/>
    <x v="3"/>
    <s v="Q1"/>
    <x v="31"/>
    <d v="2017-02-21T00:00:00"/>
    <s v="Second Class"/>
    <x v="51"/>
    <x v="51"/>
    <s v="Corporate"/>
    <s v="United States"/>
    <s v="Los Angeles"/>
    <x v="1"/>
    <n v="90045"/>
    <x v="1"/>
    <x v="1312"/>
    <x v="2"/>
    <x v="11"/>
    <x v="1298"/>
    <n v="109.53"/>
    <s v="Medium"/>
    <n v="3"/>
    <n v="0"/>
    <x v="0"/>
    <x v="0"/>
    <n v="47.097900000000003"/>
    <n v="0.43"/>
    <n v="0"/>
  </r>
  <r>
    <n v="5390"/>
    <s v="CA-2017-164707"/>
    <d v="2017-02-18T00:00:00"/>
    <x v="3"/>
    <s v="Q1"/>
    <x v="31"/>
    <d v="2017-02-21T00:00:00"/>
    <s v="Second Class"/>
    <x v="51"/>
    <x v="51"/>
    <s v="Corporate"/>
    <s v="United States"/>
    <s v="Los Angeles"/>
    <x v="1"/>
    <n v="90045"/>
    <x v="1"/>
    <x v="522"/>
    <x v="1"/>
    <x v="2"/>
    <x v="522"/>
    <n v="9.82"/>
    <s v="Low"/>
    <n v="2"/>
    <n v="0"/>
    <x v="0"/>
    <x v="0"/>
    <n v="4.8117999999999999"/>
    <n v="0.49"/>
    <n v="0"/>
  </r>
  <r>
    <n v="5391"/>
    <s v="CA-2017-163874"/>
    <d v="2017-11-10T00:00:00"/>
    <x v="3"/>
    <s v="Q4"/>
    <x v="23"/>
    <d v="2017-11-12T00:00:00"/>
    <s v="Second Class"/>
    <x v="714"/>
    <x v="714"/>
    <s v="Corporate"/>
    <s v="United States"/>
    <s v="Seattle"/>
    <x v="4"/>
    <n v="98105"/>
    <x v="1"/>
    <x v="1045"/>
    <x v="1"/>
    <x v="8"/>
    <x v="1034"/>
    <n v="26.352"/>
    <s v="Medium"/>
    <n v="3"/>
    <n v="0.2"/>
    <x v="2"/>
    <x v="2"/>
    <n v="9.5526"/>
    <n v="0.36249999999999999"/>
    <n v="0"/>
  </r>
  <r>
    <n v="5392"/>
    <s v="US-2014-123183"/>
    <d v="2014-11-19T00:00:00"/>
    <x v="2"/>
    <s v="Q4"/>
    <x v="7"/>
    <d v="2014-11-25T00:00:00"/>
    <s v="Standard Class"/>
    <x v="744"/>
    <x v="744"/>
    <s v="Corporate"/>
    <s v="United States"/>
    <s v="Wilmington"/>
    <x v="13"/>
    <n v="19805"/>
    <x v="3"/>
    <x v="547"/>
    <x v="1"/>
    <x v="2"/>
    <x v="547"/>
    <n v="22.5"/>
    <s v="Low"/>
    <n v="6"/>
    <n v="0"/>
    <x v="0"/>
    <x v="0"/>
    <n v="10.8"/>
    <n v="0.48000000000000004"/>
    <n v="0"/>
  </r>
  <r>
    <n v="5393"/>
    <s v="US-2014-123183"/>
    <d v="2014-11-19T00:00:00"/>
    <x v="2"/>
    <s v="Q4"/>
    <x v="7"/>
    <d v="2014-11-25T00:00:00"/>
    <s v="Standard Class"/>
    <x v="744"/>
    <x v="744"/>
    <s v="Corporate"/>
    <s v="United States"/>
    <s v="Wilmington"/>
    <x v="13"/>
    <n v="19805"/>
    <x v="3"/>
    <x v="639"/>
    <x v="1"/>
    <x v="2"/>
    <x v="639"/>
    <n v="9.9600000000000009"/>
    <s v="Low"/>
    <n v="2"/>
    <n v="0"/>
    <x v="0"/>
    <x v="0"/>
    <n v="4.5815999999999999"/>
    <n v="0.45999999999999996"/>
    <n v="0"/>
  </r>
  <r>
    <n v="5394"/>
    <s v="US-2014-123183"/>
    <d v="2014-11-19T00:00:00"/>
    <x v="2"/>
    <s v="Q4"/>
    <x v="7"/>
    <d v="2014-11-25T00:00:00"/>
    <s v="Standard Class"/>
    <x v="744"/>
    <x v="744"/>
    <s v="Corporate"/>
    <s v="United States"/>
    <s v="Wilmington"/>
    <x v="13"/>
    <n v="19805"/>
    <x v="3"/>
    <x v="471"/>
    <x v="1"/>
    <x v="8"/>
    <x v="472"/>
    <n v="213.08"/>
    <s v="High"/>
    <n v="7"/>
    <n v="0"/>
    <x v="0"/>
    <x v="0"/>
    <n v="102.2784"/>
    <n v="0.48"/>
    <n v="0"/>
  </r>
  <r>
    <n v="5395"/>
    <s v="US-2014-123183"/>
    <d v="2014-11-19T00:00:00"/>
    <x v="2"/>
    <s v="Q4"/>
    <x v="7"/>
    <d v="2014-11-25T00:00:00"/>
    <s v="Standard Class"/>
    <x v="744"/>
    <x v="744"/>
    <s v="Corporate"/>
    <s v="United States"/>
    <s v="Wilmington"/>
    <x v="13"/>
    <n v="19805"/>
    <x v="3"/>
    <x v="1057"/>
    <x v="0"/>
    <x v="0"/>
    <x v="1046"/>
    <n v="1025.8800000000001"/>
    <s v="High"/>
    <n v="6"/>
    <n v="0"/>
    <x v="0"/>
    <x v="0"/>
    <n v="235.95240000000001"/>
    <n v="0.22999999999999998"/>
    <n v="0"/>
  </r>
  <r>
    <n v="5396"/>
    <s v="CA-2014-104829"/>
    <d v="2014-11-18T00:00:00"/>
    <x v="2"/>
    <s v="Q4"/>
    <x v="7"/>
    <d v="2014-11-21T00:00:00"/>
    <s v="Second Class"/>
    <x v="189"/>
    <x v="189"/>
    <s v="Corporate"/>
    <s v="United States"/>
    <s v="Provo"/>
    <x v="7"/>
    <n v="84604"/>
    <x v="1"/>
    <x v="1407"/>
    <x v="1"/>
    <x v="10"/>
    <x v="1394"/>
    <n v="21.98"/>
    <s v="Low"/>
    <n v="7"/>
    <n v="0"/>
    <x v="0"/>
    <x v="0"/>
    <n v="9.891"/>
    <n v="0.45"/>
    <n v="0"/>
  </r>
  <r>
    <n v="5397"/>
    <s v="US-2016-147340"/>
    <d v="2016-09-24T00:00:00"/>
    <x v="0"/>
    <s v="Q3"/>
    <x v="21"/>
    <d v="2016-09-24T00:00:00"/>
    <s v="Same Day"/>
    <x v="494"/>
    <x v="494"/>
    <s v="Corporate"/>
    <s v="United States"/>
    <s v="San Francisco"/>
    <x v="1"/>
    <n v="94110"/>
    <x v="1"/>
    <x v="1308"/>
    <x v="0"/>
    <x v="5"/>
    <x v="1293"/>
    <n v="63.2"/>
    <s v="Medium"/>
    <n v="5"/>
    <n v="0"/>
    <x v="0"/>
    <x v="0"/>
    <n v="23.384"/>
    <n v="0.37"/>
    <n v="0"/>
  </r>
  <r>
    <n v="5398"/>
    <s v="CA-2016-145492"/>
    <d v="2016-11-20T00:00:00"/>
    <x v="0"/>
    <s v="Q4"/>
    <x v="0"/>
    <d v="2016-11-27T00:00:00"/>
    <s v="Standard Class"/>
    <x v="204"/>
    <x v="204"/>
    <s v="Corporate"/>
    <s v="United States"/>
    <s v="Los Angeles"/>
    <x v="1"/>
    <n v="90004"/>
    <x v="1"/>
    <x v="189"/>
    <x v="1"/>
    <x v="9"/>
    <x v="190"/>
    <n v="39"/>
    <s v="Medium"/>
    <n v="12"/>
    <n v="0"/>
    <x v="0"/>
    <x v="0"/>
    <n v="11.31"/>
    <n v="0.29000000000000004"/>
    <n v="0"/>
  </r>
  <r>
    <n v="5399"/>
    <s v="CA-2016-163202"/>
    <d v="2016-09-27T00:00:00"/>
    <x v="0"/>
    <s v="Q3"/>
    <x v="21"/>
    <d v="2016-10-02T00:00:00"/>
    <s v="Standard Class"/>
    <x v="312"/>
    <x v="312"/>
    <s v="Corporate"/>
    <s v="United States"/>
    <s v="Lancaster"/>
    <x v="24"/>
    <n v="43130"/>
    <x v="3"/>
    <x v="507"/>
    <x v="1"/>
    <x v="8"/>
    <x v="507"/>
    <n v="2.907"/>
    <s v="Low"/>
    <n v="3"/>
    <n v="0.7"/>
    <x v="1"/>
    <x v="5"/>
    <n v="-2.0348999999999999"/>
    <n v="-0.7"/>
    <n v="1"/>
  </r>
  <r>
    <n v="5400"/>
    <s v="CA-2016-117681"/>
    <d v="2016-04-09T00:00:00"/>
    <x v="0"/>
    <s v="Q2"/>
    <x v="25"/>
    <d v="2016-04-14T00:00:00"/>
    <s v="Standard Class"/>
    <x v="520"/>
    <x v="520"/>
    <s v="Consumer"/>
    <s v="United States"/>
    <s v="Los Angeles"/>
    <x v="1"/>
    <n v="90004"/>
    <x v="1"/>
    <x v="0"/>
    <x v="0"/>
    <x v="0"/>
    <x v="0"/>
    <n v="556.66499999999996"/>
    <s v="High"/>
    <n v="5"/>
    <n v="0.15"/>
    <x v="2"/>
    <x v="2"/>
    <n v="6.5490000000000004"/>
    <n v="1.1764705882352943E-2"/>
    <n v="0"/>
  </r>
  <r>
    <n v="5401"/>
    <s v="CA-2017-132262"/>
    <d v="2017-09-21T00:00:00"/>
    <x v="3"/>
    <s v="Q3"/>
    <x v="15"/>
    <d v="2017-09-23T00:00:00"/>
    <s v="First Class"/>
    <x v="761"/>
    <x v="761"/>
    <s v="Consumer"/>
    <s v="United States"/>
    <s v="Seattle"/>
    <x v="4"/>
    <n v="98103"/>
    <x v="1"/>
    <x v="357"/>
    <x v="2"/>
    <x v="11"/>
    <x v="357"/>
    <n v="71.98"/>
    <s v="Medium"/>
    <n v="2"/>
    <n v="0"/>
    <x v="0"/>
    <x v="0"/>
    <n v="15.1158"/>
    <n v="0.21"/>
    <n v="0"/>
  </r>
  <r>
    <n v="5402"/>
    <s v="CA-2017-132262"/>
    <d v="2017-09-21T00:00:00"/>
    <x v="3"/>
    <s v="Q3"/>
    <x v="15"/>
    <d v="2017-09-23T00:00:00"/>
    <s v="First Class"/>
    <x v="761"/>
    <x v="761"/>
    <s v="Consumer"/>
    <s v="United States"/>
    <s v="Seattle"/>
    <x v="4"/>
    <n v="98103"/>
    <x v="1"/>
    <x v="434"/>
    <x v="2"/>
    <x v="11"/>
    <x v="434"/>
    <n v="79.98"/>
    <s v="Medium"/>
    <n v="2"/>
    <n v="0"/>
    <x v="0"/>
    <x v="0"/>
    <n v="26.3934"/>
    <n v="0.32999999999999996"/>
    <n v="0"/>
  </r>
  <r>
    <n v="5403"/>
    <s v="CA-2017-123043"/>
    <d v="2017-08-24T00:00:00"/>
    <x v="3"/>
    <s v="Q3"/>
    <x v="43"/>
    <d v="2017-08-29T00:00:00"/>
    <s v="Standard Class"/>
    <x v="124"/>
    <x v="124"/>
    <s v="Corporate"/>
    <s v="United States"/>
    <s v="New York City"/>
    <x v="15"/>
    <n v="10024"/>
    <x v="3"/>
    <x v="8"/>
    <x v="1"/>
    <x v="8"/>
    <x v="8"/>
    <n v="24.672000000000001"/>
    <s v="Low"/>
    <n v="4"/>
    <n v="0.2"/>
    <x v="2"/>
    <x v="2"/>
    <n v="7.71"/>
    <n v="0.3125"/>
    <n v="0"/>
  </r>
  <r>
    <n v="5404"/>
    <s v="CA-2017-123043"/>
    <d v="2017-08-24T00:00:00"/>
    <x v="3"/>
    <s v="Q3"/>
    <x v="43"/>
    <d v="2017-08-29T00:00:00"/>
    <s v="Standard Class"/>
    <x v="124"/>
    <x v="124"/>
    <s v="Corporate"/>
    <s v="United States"/>
    <s v="New York City"/>
    <x v="15"/>
    <n v="10024"/>
    <x v="3"/>
    <x v="605"/>
    <x v="1"/>
    <x v="8"/>
    <x v="605"/>
    <n v="3.7440000000000002"/>
    <s v="Low"/>
    <n v="1"/>
    <n v="0.2"/>
    <x v="2"/>
    <x v="2"/>
    <n v="1.3104"/>
    <n v="0.35"/>
    <n v="0"/>
  </r>
  <r>
    <n v="5405"/>
    <s v="US-2016-143280"/>
    <d v="2016-02-22T00:00:00"/>
    <x v="0"/>
    <s v="Q1"/>
    <x v="47"/>
    <d v="2016-02-26T00:00:00"/>
    <s v="Standard Class"/>
    <x v="356"/>
    <x v="356"/>
    <s v="Consumer"/>
    <s v="United States"/>
    <s v="Los Angeles"/>
    <x v="1"/>
    <n v="90045"/>
    <x v="1"/>
    <x v="288"/>
    <x v="2"/>
    <x v="7"/>
    <x v="288"/>
    <n v="445.96"/>
    <s v="High"/>
    <n v="5"/>
    <n v="0.2"/>
    <x v="2"/>
    <x v="2"/>
    <n v="55.744999999999997"/>
    <n v="0.125"/>
    <n v="0"/>
  </r>
  <r>
    <n v="5406"/>
    <s v="US-2016-143280"/>
    <d v="2016-02-22T00:00:00"/>
    <x v="0"/>
    <s v="Q1"/>
    <x v="47"/>
    <d v="2016-02-26T00:00:00"/>
    <s v="Standard Class"/>
    <x v="356"/>
    <x v="356"/>
    <s v="Consumer"/>
    <s v="United States"/>
    <s v="Los Angeles"/>
    <x v="1"/>
    <n v="90045"/>
    <x v="1"/>
    <x v="1519"/>
    <x v="2"/>
    <x v="11"/>
    <x v="1506"/>
    <n v="36.24"/>
    <s v="Medium"/>
    <n v="1"/>
    <n v="0"/>
    <x v="0"/>
    <x v="0"/>
    <n v="15.220800000000001"/>
    <n v="0.42"/>
    <n v="0"/>
  </r>
  <r>
    <n v="5407"/>
    <s v="US-2016-143280"/>
    <d v="2016-02-22T00:00:00"/>
    <x v="0"/>
    <s v="Q1"/>
    <x v="47"/>
    <d v="2016-02-26T00:00:00"/>
    <s v="Standard Class"/>
    <x v="356"/>
    <x v="356"/>
    <s v="Consumer"/>
    <s v="United States"/>
    <s v="Los Angeles"/>
    <x v="1"/>
    <n v="90045"/>
    <x v="1"/>
    <x v="1053"/>
    <x v="1"/>
    <x v="13"/>
    <x v="1042"/>
    <n v="10.65"/>
    <s v="Low"/>
    <n v="3"/>
    <n v="0"/>
    <x v="0"/>
    <x v="0"/>
    <n v="5.0054999999999996"/>
    <n v="0.47"/>
    <n v="0"/>
  </r>
  <r>
    <n v="5408"/>
    <s v="CA-2017-108854"/>
    <d v="2017-12-08T00:00:00"/>
    <x v="3"/>
    <s v="Q4"/>
    <x v="22"/>
    <d v="2017-12-14T00:00:00"/>
    <s v="Standard Class"/>
    <x v="664"/>
    <x v="664"/>
    <s v="Corporate"/>
    <s v="United States"/>
    <s v="San Francisco"/>
    <x v="1"/>
    <n v="94109"/>
    <x v="1"/>
    <x v="1665"/>
    <x v="1"/>
    <x v="10"/>
    <x v="1723"/>
    <n v="87.92"/>
    <s v="Medium"/>
    <n v="4"/>
    <n v="0"/>
    <x v="0"/>
    <x v="0"/>
    <n v="40.443199999999997"/>
    <n v="0.45999999999999996"/>
    <n v="0"/>
  </r>
  <r>
    <n v="5409"/>
    <s v="CA-2017-108854"/>
    <d v="2017-12-08T00:00:00"/>
    <x v="3"/>
    <s v="Q4"/>
    <x v="22"/>
    <d v="2017-12-14T00:00:00"/>
    <s v="Standard Class"/>
    <x v="664"/>
    <x v="664"/>
    <s v="Corporate"/>
    <s v="United States"/>
    <s v="San Francisco"/>
    <x v="1"/>
    <n v="94109"/>
    <x v="1"/>
    <x v="912"/>
    <x v="1"/>
    <x v="8"/>
    <x v="904"/>
    <n v="22.423999999999999"/>
    <s v="Low"/>
    <n v="1"/>
    <n v="0.2"/>
    <x v="2"/>
    <x v="2"/>
    <n v="8.4090000000000007"/>
    <n v="0.37500000000000006"/>
    <n v="0"/>
  </r>
  <r>
    <n v="5410"/>
    <s v="CA-2017-108854"/>
    <d v="2017-12-08T00:00:00"/>
    <x v="3"/>
    <s v="Q4"/>
    <x v="22"/>
    <d v="2017-12-14T00:00:00"/>
    <s v="Standard Class"/>
    <x v="664"/>
    <x v="664"/>
    <s v="Corporate"/>
    <s v="United States"/>
    <s v="San Francisco"/>
    <x v="1"/>
    <n v="94109"/>
    <x v="1"/>
    <x v="443"/>
    <x v="1"/>
    <x v="8"/>
    <x v="443"/>
    <n v="90.48"/>
    <s v="Medium"/>
    <n v="3"/>
    <n v="0.2"/>
    <x v="2"/>
    <x v="2"/>
    <n v="33.93"/>
    <n v="0.375"/>
    <n v="0"/>
  </r>
  <r>
    <n v="5411"/>
    <s v="CA-2017-108854"/>
    <d v="2017-12-08T00:00:00"/>
    <x v="3"/>
    <s v="Q4"/>
    <x v="22"/>
    <d v="2017-12-14T00:00:00"/>
    <s v="Standard Class"/>
    <x v="664"/>
    <x v="664"/>
    <s v="Corporate"/>
    <s v="United States"/>
    <s v="San Francisco"/>
    <x v="1"/>
    <n v="94109"/>
    <x v="1"/>
    <x v="1354"/>
    <x v="1"/>
    <x v="4"/>
    <x v="1340"/>
    <n v="42.76"/>
    <s v="Medium"/>
    <n v="1"/>
    <n v="0"/>
    <x v="0"/>
    <x v="0"/>
    <n v="11.117599999999999"/>
    <n v="0.26"/>
    <n v="0"/>
  </r>
  <r>
    <n v="5412"/>
    <s v="CA-2017-166856"/>
    <d v="2017-09-18T00:00:00"/>
    <x v="3"/>
    <s v="Q3"/>
    <x v="15"/>
    <d v="2017-09-22T00:00:00"/>
    <s v="Standard Class"/>
    <x v="700"/>
    <x v="700"/>
    <s v="Consumer"/>
    <s v="United States"/>
    <s v="Clovis"/>
    <x v="27"/>
    <n v="88101"/>
    <x v="1"/>
    <x v="751"/>
    <x v="1"/>
    <x v="8"/>
    <x v="749"/>
    <n v="10.08"/>
    <s v="Low"/>
    <n v="7"/>
    <n v="0.2"/>
    <x v="2"/>
    <x v="2"/>
    <n v="3.528"/>
    <n v="0.35"/>
    <n v="0"/>
  </r>
  <r>
    <n v="5413"/>
    <s v="CA-2017-166856"/>
    <d v="2017-09-18T00:00:00"/>
    <x v="3"/>
    <s v="Q3"/>
    <x v="15"/>
    <d v="2017-09-22T00:00:00"/>
    <s v="Standard Class"/>
    <x v="700"/>
    <x v="700"/>
    <s v="Consumer"/>
    <s v="United States"/>
    <s v="Clovis"/>
    <x v="27"/>
    <n v="88101"/>
    <x v="1"/>
    <x v="1735"/>
    <x v="2"/>
    <x v="11"/>
    <x v="1724"/>
    <n v="101.34"/>
    <s v="Medium"/>
    <n v="3"/>
    <n v="0"/>
    <x v="0"/>
    <x v="0"/>
    <n v="8.1072000000000006"/>
    <n v="0.08"/>
    <n v="0"/>
  </r>
  <r>
    <n v="5414"/>
    <s v="CA-2016-153157"/>
    <d v="2016-09-11T00:00:00"/>
    <x v="0"/>
    <s v="Q3"/>
    <x v="21"/>
    <d v="2016-09-14T00:00:00"/>
    <s v="First Class"/>
    <x v="577"/>
    <x v="577"/>
    <s v="Consumer"/>
    <s v="United States"/>
    <s v="Wichita"/>
    <x v="41"/>
    <n v="67212"/>
    <x v="2"/>
    <x v="1517"/>
    <x v="2"/>
    <x v="7"/>
    <x v="1504"/>
    <n v="224.75"/>
    <s v="High"/>
    <n v="5"/>
    <n v="0"/>
    <x v="0"/>
    <x v="0"/>
    <n v="62.93"/>
    <n v="0.27999999999999997"/>
    <n v="0"/>
  </r>
  <r>
    <n v="5415"/>
    <s v="US-2017-125647"/>
    <d v="2017-09-23T00:00:00"/>
    <x v="3"/>
    <s v="Q3"/>
    <x v="15"/>
    <d v="2017-09-28T00:00:00"/>
    <s v="Standard Class"/>
    <x v="48"/>
    <x v="48"/>
    <s v="Consumer"/>
    <s v="United States"/>
    <s v="Chicago"/>
    <x v="10"/>
    <n v="60653"/>
    <x v="2"/>
    <x v="1712"/>
    <x v="1"/>
    <x v="9"/>
    <x v="1700"/>
    <n v="73.176000000000002"/>
    <s v="Medium"/>
    <n v="6"/>
    <n v="0.8"/>
    <x v="1"/>
    <x v="3"/>
    <n v="-197.5752"/>
    <n v="-2.6999999999999997"/>
    <n v="1"/>
  </r>
  <r>
    <n v="5416"/>
    <s v="US-2017-125647"/>
    <d v="2017-09-23T00:00:00"/>
    <x v="3"/>
    <s v="Q3"/>
    <x v="15"/>
    <d v="2017-09-28T00:00:00"/>
    <s v="Standard Class"/>
    <x v="48"/>
    <x v="48"/>
    <s v="Consumer"/>
    <s v="United States"/>
    <s v="Chicago"/>
    <x v="10"/>
    <n v="60653"/>
    <x v="2"/>
    <x v="974"/>
    <x v="1"/>
    <x v="10"/>
    <x v="968"/>
    <n v="20.736000000000001"/>
    <s v="Low"/>
    <n v="4"/>
    <n v="0.2"/>
    <x v="2"/>
    <x v="2"/>
    <n v="7.2576000000000001"/>
    <n v="0.35"/>
    <n v="0"/>
  </r>
  <r>
    <n v="5417"/>
    <s v="US-2017-125647"/>
    <d v="2017-09-23T00:00:00"/>
    <x v="3"/>
    <s v="Q3"/>
    <x v="15"/>
    <d v="2017-09-28T00:00:00"/>
    <s v="Standard Class"/>
    <x v="48"/>
    <x v="48"/>
    <s v="Consumer"/>
    <s v="United States"/>
    <s v="Chicago"/>
    <x v="10"/>
    <n v="60653"/>
    <x v="2"/>
    <x v="771"/>
    <x v="2"/>
    <x v="7"/>
    <x v="770"/>
    <n v="39.984000000000002"/>
    <s v="Medium"/>
    <n v="2"/>
    <n v="0.2"/>
    <x v="2"/>
    <x v="2"/>
    <n v="-8.9963999999999995"/>
    <n v="-0.22499999999999998"/>
    <n v="1"/>
  </r>
  <r>
    <n v="5418"/>
    <s v="CA-2014-132542"/>
    <d v="2014-10-06T00:00:00"/>
    <x v="2"/>
    <s v="Q4"/>
    <x v="18"/>
    <d v="2014-10-08T00:00:00"/>
    <s v="Second Class"/>
    <x v="87"/>
    <x v="87"/>
    <s v="Corporate"/>
    <s v="United States"/>
    <s v="Omaha"/>
    <x v="8"/>
    <n v="68104"/>
    <x v="2"/>
    <x v="1736"/>
    <x v="1"/>
    <x v="8"/>
    <x v="1725"/>
    <n v="15.36"/>
    <s v="Low"/>
    <n v="2"/>
    <n v="0"/>
    <x v="0"/>
    <x v="0"/>
    <n v="7.68"/>
    <n v="0.5"/>
    <n v="0"/>
  </r>
  <r>
    <n v="5419"/>
    <s v="CA-2015-110877"/>
    <d v="2015-10-23T00:00:00"/>
    <x v="1"/>
    <s v="Q4"/>
    <x v="2"/>
    <d v="2015-10-26T00:00:00"/>
    <s v="First Class"/>
    <x v="555"/>
    <x v="555"/>
    <s v="Consumer"/>
    <s v="United States"/>
    <s v="Houston"/>
    <x v="5"/>
    <n v="77041"/>
    <x v="2"/>
    <x v="747"/>
    <x v="1"/>
    <x v="10"/>
    <x v="745"/>
    <n v="36.287999999999997"/>
    <s v="Medium"/>
    <n v="7"/>
    <n v="0.2"/>
    <x v="2"/>
    <x v="2"/>
    <n v="12.700799999999999"/>
    <n v="0.35000000000000003"/>
    <n v="0"/>
  </r>
  <r>
    <n v="5420"/>
    <s v="CA-2015-110877"/>
    <d v="2015-10-23T00:00:00"/>
    <x v="1"/>
    <s v="Q4"/>
    <x v="2"/>
    <d v="2015-10-26T00:00:00"/>
    <s v="First Class"/>
    <x v="555"/>
    <x v="555"/>
    <s v="Consumer"/>
    <s v="United States"/>
    <s v="Houston"/>
    <x v="5"/>
    <n v="77041"/>
    <x v="2"/>
    <x v="539"/>
    <x v="2"/>
    <x v="7"/>
    <x v="539"/>
    <n v="150.38399999999999"/>
    <s v="High"/>
    <n v="2"/>
    <n v="0.2"/>
    <x v="2"/>
    <x v="2"/>
    <n v="15.038399999999999"/>
    <n v="0.1"/>
    <n v="0"/>
  </r>
  <r>
    <n v="5421"/>
    <s v="US-2016-151827"/>
    <d v="2016-03-31T00:00:00"/>
    <x v="0"/>
    <s v="Q1"/>
    <x v="17"/>
    <d v="2016-04-02T00:00:00"/>
    <s v="Second Class"/>
    <x v="229"/>
    <x v="229"/>
    <s v="Consumer"/>
    <s v="United States"/>
    <s v="Philadelphia"/>
    <x v="9"/>
    <n v="19134"/>
    <x v="3"/>
    <x v="1594"/>
    <x v="2"/>
    <x v="7"/>
    <x v="1586"/>
    <n v="280.78199999999998"/>
    <s v="High"/>
    <n v="3"/>
    <n v="0.4"/>
    <x v="1"/>
    <x v="7"/>
    <n v="-60.836100000000002"/>
    <n v="-0.21666666666666667"/>
    <n v="1"/>
  </r>
  <r>
    <n v="5422"/>
    <s v="US-2016-151827"/>
    <d v="2016-03-31T00:00:00"/>
    <x v="0"/>
    <s v="Q1"/>
    <x v="17"/>
    <d v="2016-04-02T00:00:00"/>
    <s v="Second Class"/>
    <x v="229"/>
    <x v="229"/>
    <s v="Consumer"/>
    <s v="United States"/>
    <s v="Philadelphia"/>
    <x v="9"/>
    <n v="19134"/>
    <x v="3"/>
    <x v="1235"/>
    <x v="2"/>
    <x v="11"/>
    <x v="1218"/>
    <n v="31.984000000000002"/>
    <s v="Medium"/>
    <n v="2"/>
    <n v="0.2"/>
    <x v="2"/>
    <x v="2"/>
    <n v="1.1994"/>
    <n v="3.7499999999999999E-2"/>
    <n v="0"/>
  </r>
  <r>
    <n v="5423"/>
    <s v="US-2016-163258"/>
    <d v="2016-12-29T00:00:00"/>
    <x v="0"/>
    <s v="Q4"/>
    <x v="5"/>
    <d v="2017-01-02T00:00:00"/>
    <s v="Standard Class"/>
    <x v="418"/>
    <x v="418"/>
    <s v="Consumer"/>
    <s v="United States"/>
    <s v="Los Angeles"/>
    <x v="1"/>
    <n v="90045"/>
    <x v="1"/>
    <x v="605"/>
    <x v="1"/>
    <x v="8"/>
    <x v="605"/>
    <n v="11.231999999999999"/>
    <s v="Low"/>
    <n v="3"/>
    <n v="0.2"/>
    <x v="2"/>
    <x v="2"/>
    <n v="3.9312"/>
    <n v="0.35000000000000003"/>
    <n v="0"/>
  </r>
  <r>
    <n v="5424"/>
    <s v="CA-2017-103009"/>
    <d v="2017-11-03T00:00:00"/>
    <x v="3"/>
    <s v="Q4"/>
    <x v="23"/>
    <d v="2017-11-05T00:00:00"/>
    <s v="Second Class"/>
    <x v="601"/>
    <x v="601"/>
    <s v="Corporate"/>
    <s v="United States"/>
    <s v="Richmond"/>
    <x v="0"/>
    <n v="40475"/>
    <x v="0"/>
    <x v="1737"/>
    <x v="1"/>
    <x v="10"/>
    <x v="1726"/>
    <n v="26.4"/>
    <s v="Medium"/>
    <n v="5"/>
    <n v="0"/>
    <x v="0"/>
    <x v="0"/>
    <n v="11.88"/>
    <n v="0.45000000000000007"/>
    <n v="0"/>
  </r>
  <r>
    <n v="5425"/>
    <s v="US-2017-120649"/>
    <d v="2017-01-20T00:00:00"/>
    <x v="3"/>
    <s v="Q1"/>
    <x v="44"/>
    <d v="2017-01-26T00:00:00"/>
    <s v="Standard Class"/>
    <x v="223"/>
    <x v="223"/>
    <s v="Consumer"/>
    <s v="United States"/>
    <s v="Waterbury"/>
    <x v="29"/>
    <n v="6708"/>
    <x v="3"/>
    <x v="824"/>
    <x v="1"/>
    <x v="6"/>
    <x v="820"/>
    <n v="3.52"/>
    <s v="Low"/>
    <n v="2"/>
    <n v="0"/>
    <x v="0"/>
    <x v="0"/>
    <n v="1.0207999999999999"/>
    <n v="0.28999999999999998"/>
    <n v="0"/>
  </r>
  <r>
    <n v="5426"/>
    <s v="CA-2016-153598"/>
    <d v="2016-12-03T00:00:00"/>
    <x v="0"/>
    <s v="Q4"/>
    <x v="5"/>
    <d v="2016-12-06T00:00:00"/>
    <s v="First Class"/>
    <x v="392"/>
    <x v="392"/>
    <s v="Consumer"/>
    <s v="United States"/>
    <s v="Los Angeles"/>
    <x v="1"/>
    <n v="90045"/>
    <x v="1"/>
    <x v="1738"/>
    <x v="2"/>
    <x v="11"/>
    <x v="1727"/>
    <n v="1649.95"/>
    <s v="High"/>
    <n v="5"/>
    <n v="0"/>
    <x v="0"/>
    <x v="0"/>
    <n v="659.98"/>
    <n v="0.4"/>
    <n v="0"/>
  </r>
  <r>
    <n v="5427"/>
    <s v="CA-2016-153598"/>
    <d v="2016-12-03T00:00:00"/>
    <x v="0"/>
    <s v="Q4"/>
    <x v="5"/>
    <d v="2016-12-06T00:00:00"/>
    <s v="First Class"/>
    <x v="392"/>
    <x v="392"/>
    <s v="Consumer"/>
    <s v="United States"/>
    <s v="Los Angeles"/>
    <x v="1"/>
    <n v="90045"/>
    <x v="1"/>
    <x v="1608"/>
    <x v="0"/>
    <x v="5"/>
    <x v="1599"/>
    <n v="111.9"/>
    <s v="Medium"/>
    <n v="6"/>
    <n v="0"/>
    <x v="0"/>
    <x v="0"/>
    <n v="51.473999999999997"/>
    <n v="0.45999999999999996"/>
    <n v="0"/>
  </r>
  <r>
    <n v="5428"/>
    <s v="US-2016-108497"/>
    <d v="2016-06-14T00:00:00"/>
    <x v="0"/>
    <s v="Q2"/>
    <x v="1"/>
    <d v="2016-06-14T00:00:00"/>
    <s v="Same Day"/>
    <x v="762"/>
    <x v="762"/>
    <s v="Home Office"/>
    <s v="United States"/>
    <s v="Los Angeles"/>
    <x v="1"/>
    <n v="90036"/>
    <x v="1"/>
    <x v="1601"/>
    <x v="0"/>
    <x v="0"/>
    <x v="1593"/>
    <n v="599.16499999999996"/>
    <s v="High"/>
    <n v="5"/>
    <n v="0.15"/>
    <x v="2"/>
    <x v="2"/>
    <n v="35.244999999999997"/>
    <n v="5.8823529411764705E-2"/>
    <n v="0"/>
  </r>
  <r>
    <n v="5429"/>
    <s v="CA-2016-113096"/>
    <d v="2016-09-02T00:00:00"/>
    <x v="0"/>
    <s v="Q3"/>
    <x v="21"/>
    <d v="2016-09-04T00:00:00"/>
    <s v="First Class"/>
    <x v="449"/>
    <x v="449"/>
    <s v="Home Office"/>
    <s v="United States"/>
    <s v="San Francisco"/>
    <x v="1"/>
    <n v="94122"/>
    <x v="1"/>
    <x v="170"/>
    <x v="1"/>
    <x v="4"/>
    <x v="171"/>
    <n v="46.53"/>
    <s v="Medium"/>
    <n v="3"/>
    <n v="0"/>
    <x v="0"/>
    <x v="0"/>
    <n v="12.097799999999999"/>
    <n v="0.26"/>
    <n v="0"/>
  </r>
  <r>
    <n v="5430"/>
    <s v="CA-2014-136861"/>
    <d v="2014-09-05T00:00:00"/>
    <x v="2"/>
    <s v="Q3"/>
    <x v="30"/>
    <d v="2014-09-07T00:00:00"/>
    <s v="First Class"/>
    <x v="701"/>
    <x v="701"/>
    <s v="Consumer"/>
    <s v="United States"/>
    <s v="Saint Petersburg"/>
    <x v="2"/>
    <n v="33710"/>
    <x v="0"/>
    <x v="296"/>
    <x v="0"/>
    <x v="5"/>
    <x v="296"/>
    <n v="31.984000000000002"/>
    <s v="Medium"/>
    <n v="2"/>
    <n v="0.2"/>
    <x v="2"/>
    <x v="2"/>
    <n v="1.9990000000000001"/>
    <n v="6.25E-2"/>
    <n v="0"/>
  </r>
  <r>
    <n v="5431"/>
    <s v="CA-2017-117422"/>
    <d v="2017-10-21T00:00:00"/>
    <x v="3"/>
    <s v="Q4"/>
    <x v="13"/>
    <d v="2017-10-25T00:00:00"/>
    <s v="Standard Class"/>
    <x v="763"/>
    <x v="763"/>
    <s v="Home Office"/>
    <s v="United States"/>
    <s v="Lakewood"/>
    <x v="24"/>
    <n v="44107"/>
    <x v="3"/>
    <x v="1725"/>
    <x v="1"/>
    <x v="9"/>
    <x v="1712"/>
    <n v="161.56800000000001"/>
    <s v="High"/>
    <n v="2"/>
    <n v="0.2"/>
    <x v="2"/>
    <x v="2"/>
    <n v="16.1568"/>
    <n v="9.9999999999999992E-2"/>
    <n v="0"/>
  </r>
  <r>
    <n v="5432"/>
    <s v="CA-2017-117422"/>
    <d v="2017-10-21T00:00:00"/>
    <x v="3"/>
    <s v="Q4"/>
    <x v="13"/>
    <d v="2017-10-25T00:00:00"/>
    <s v="Standard Class"/>
    <x v="763"/>
    <x v="763"/>
    <s v="Home Office"/>
    <s v="United States"/>
    <s v="Lakewood"/>
    <x v="24"/>
    <n v="44107"/>
    <x v="3"/>
    <x v="727"/>
    <x v="1"/>
    <x v="10"/>
    <x v="726"/>
    <n v="4.0640000000000001"/>
    <s v="Low"/>
    <n v="1"/>
    <n v="0.2"/>
    <x v="2"/>
    <x v="2"/>
    <n v="1.3715999999999999"/>
    <n v="0.33749999999999997"/>
    <n v="0"/>
  </r>
  <r>
    <n v="5433"/>
    <s v="CA-2017-117422"/>
    <d v="2017-10-21T00:00:00"/>
    <x v="3"/>
    <s v="Q4"/>
    <x v="13"/>
    <d v="2017-10-25T00:00:00"/>
    <s v="Standard Class"/>
    <x v="763"/>
    <x v="763"/>
    <s v="Home Office"/>
    <s v="United States"/>
    <s v="Lakewood"/>
    <x v="24"/>
    <n v="44107"/>
    <x v="3"/>
    <x v="1472"/>
    <x v="1"/>
    <x v="8"/>
    <x v="1459"/>
    <n v="6.2160000000000002"/>
    <s v="Low"/>
    <n v="4"/>
    <n v="0.7"/>
    <x v="1"/>
    <x v="5"/>
    <n v="-4.9728000000000003"/>
    <n v="-0.8"/>
    <n v="1"/>
  </r>
  <r>
    <n v="5434"/>
    <s v="CA-2017-129707"/>
    <d v="2017-04-25T00:00:00"/>
    <x v="3"/>
    <s v="Q2"/>
    <x v="4"/>
    <d v="2017-04-29T00:00:00"/>
    <s v="Standard Class"/>
    <x v="405"/>
    <x v="405"/>
    <s v="Consumer"/>
    <s v="United States"/>
    <s v="Chandler"/>
    <x v="16"/>
    <n v="85224"/>
    <x v="1"/>
    <x v="21"/>
    <x v="1"/>
    <x v="6"/>
    <x v="21"/>
    <n v="8.8960000000000008"/>
    <s v="Low"/>
    <n v="4"/>
    <n v="0.2"/>
    <x v="2"/>
    <x v="2"/>
    <n v="0.66720000000000002"/>
    <n v="7.4999999999999997E-2"/>
    <n v="0"/>
  </r>
  <r>
    <n v="5435"/>
    <s v="CA-2015-160171"/>
    <d v="2015-10-19T00:00:00"/>
    <x v="1"/>
    <s v="Q4"/>
    <x v="2"/>
    <d v="2015-10-24T00:00:00"/>
    <s v="Standard Class"/>
    <x v="84"/>
    <x v="84"/>
    <s v="Home Office"/>
    <s v="United States"/>
    <s v="Los Angeles"/>
    <x v="1"/>
    <n v="90008"/>
    <x v="1"/>
    <x v="1739"/>
    <x v="1"/>
    <x v="9"/>
    <x v="1728"/>
    <n v="1640.7"/>
    <s v="High"/>
    <n v="5"/>
    <n v="0"/>
    <x v="0"/>
    <x v="0"/>
    <n v="459.39600000000002"/>
    <n v="0.28000000000000003"/>
    <n v="0"/>
  </r>
  <r>
    <n v="5436"/>
    <s v="CA-2015-160171"/>
    <d v="2015-10-19T00:00:00"/>
    <x v="1"/>
    <s v="Q4"/>
    <x v="2"/>
    <d v="2015-10-24T00:00:00"/>
    <s v="Standard Class"/>
    <x v="84"/>
    <x v="84"/>
    <s v="Home Office"/>
    <s v="United States"/>
    <s v="Los Angeles"/>
    <x v="1"/>
    <n v="90008"/>
    <x v="1"/>
    <x v="293"/>
    <x v="2"/>
    <x v="11"/>
    <x v="293"/>
    <n v="270"/>
    <s v="High"/>
    <n v="3"/>
    <n v="0"/>
    <x v="0"/>
    <x v="0"/>
    <n v="97.2"/>
    <n v="0.36"/>
    <n v="0"/>
  </r>
  <r>
    <n v="5437"/>
    <s v="CA-2014-103317"/>
    <d v="2014-07-05T00:00:00"/>
    <x v="2"/>
    <s v="Q3"/>
    <x v="39"/>
    <d v="2014-07-08T00:00:00"/>
    <s v="First Class"/>
    <x v="760"/>
    <x v="760"/>
    <s v="Corporate"/>
    <s v="United States"/>
    <s v="Palm Coast"/>
    <x v="2"/>
    <n v="32137"/>
    <x v="0"/>
    <x v="1122"/>
    <x v="0"/>
    <x v="5"/>
    <x v="1110"/>
    <n v="19.52"/>
    <s v="Low"/>
    <n v="2"/>
    <n v="0.2"/>
    <x v="2"/>
    <x v="2"/>
    <n v="5.3680000000000003"/>
    <n v="0.27500000000000002"/>
    <n v="0"/>
  </r>
  <r>
    <n v="5438"/>
    <s v="CA-2014-103317"/>
    <d v="2014-07-05T00:00:00"/>
    <x v="2"/>
    <s v="Q3"/>
    <x v="39"/>
    <d v="2014-07-08T00:00:00"/>
    <s v="First Class"/>
    <x v="760"/>
    <x v="760"/>
    <s v="Corporate"/>
    <s v="United States"/>
    <s v="Palm Coast"/>
    <x v="2"/>
    <n v="32137"/>
    <x v="0"/>
    <x v="1504"/>
    <x v="1"/>
    <x v="8"/>
    <x v="1491"/>
    <n v="9.81"/>
    <s v="Low"/>
    <n v="5"/>
    <n v="0.7"/>
    <x v="1"/>
    <x v="5"/>
    <n v="-6.867"/>
    <n v="-0.7"/>
    <n v="1"/>
  </r>
  <r>
    <n v="5439"/>
    <s v="CA-2014-103317"/>
    <d v="2014-07-05T00:00:00"/>
    <x v="2"/>
    <s v="Q3"/>
    <x v="39"/>
    <d v="2014-07-08T00:00:00"/>
    <s v="First Class"/>
    <x v="760"/>
    <x v="760"/>
    <s v="Corporate"/>
    <s v="United States"/>
    <s v="Palm Coast"/>
    <x v="2"/>
    <n v="32137"/>
    <x v="0"/>
    <x v="1740"/>
    <x v="0"/>
    <x v="5"/>
    <x v="1729"/>
    <n v="213.21600000000001"/>
    <s v="High"/>
    <n v="3"/>
    <n v="0.2"/>
    <x v="2"/>
    <x v="2"/>
    <n v="15.991199999999999"/>
    <n v="7.4999999999999997E-2"/>
    <n v="0"/>
  </r>
  <r>
    <n v="5440"/>
    <s v="CA-2016-167115"/>
    <d v="2016-04-04T00:00:00"/>
    <x v="0"/>
    <s v="Q2"/>
    <x v="25"/>
    <d v="2016-04-09T00:00:00"/>
    <s v="Standard Class"/>
    <x v="699"/>
    <x v="699"/>
    <s v="Consumer"/>
    <s v="United States"/>
    <s v="New York City"/>
    <x v="15"/>
    <n v="10035"/>
    <x v="3"/>
    <x v="1498"/>
    <x v="1"/>
    <x v="8"/>
    <x v="1486"/>
    <n v="588.78399999999999"/>
    <s v="High"/>
    <n v="2"/>
    <n v="0.2"/>
    <x v="2"/>
    <x v="2"/>
    <n v="183.995"/>
    <n v="0.3125"/>
    <n v="0"/>
  </r>
  <r>
    <n v="5441"/>
    <s v="US-2017-153633"/>
    <d v="2017-11-13T00:00:00"/>
    <x v="3"/>
    <s v="Q4"/>
    <x v="23"/>
    <d v="2017-11-18T00:00:00"/>
    <s v="Second Class"/>
    <x v="646"/>
    <x v="646"/>
    <s v="Consumer"/>
    <s v="United States"/>
    <s v="Jupiter"/>
    <x v="2"/>
    <n v="33458"/>
    <x v="0"/>
    <x v="679"/>
    <x v="1"/>
    <x v="6"/>
    <x v="679"/>
    <n v="2.0640000000000001"/>
    <s v="Low"/>
    <n v="1"/>
    <n v="0.2"/>
    <x v="2"/>
    <x v="2"/>
    <n v="0.15479999999999999"/>
    <n v="7.4999999999999997E-2"/>
    <n v="0"/>
  </r>
  <r>
    <n v="5442"/>
    <s v="CA-2017-155929"/>
    <d v="2017-09-09T00:00:00"/>
    <x v="3"/>
    <s v="Q3"/>
    <x v="15"/>
    <d v="2017-09-13T00:00:00"/>
    <s v="Standard Class"/>
    <x v="482"/>
    <x v="482"/>
    <s v="Consumer"/>
    <s v="United States"/>
    <s v="Glendale"/>
    <x v="16"/>
    <n v="85301"/>
    <x v="1"/>
    <x v="1741"/>
    <x v="1"/>
    <x v="10"/>
    <x v="1730"/>
    <n v="6.3680000000000003"/>
    <s v="Low"/>
    <n v="2"/>
    <n v="0.2"/>
    <x v="2"/>
    <x v="2"/>
    <n v="2.3879999999999999"/>
    <n v="0.37499999999999994"/>
    <n v="0"/>
  </r>
  <r>
    <n v="5443"/>
    <s v="CA-2015-148712"/>
    <d v="2015-04-17T00:00:00"/>
    <x v="1"/>
    <s v="Q2"/>
    <x v="19"/>
    <d v="2015-04-23T00:00:00"/>
    <s v="Standard Class"/>
    <x v="341"/>
    <x v="341"/>
    <s v="Consumer"/>
    <s v="United States"/>
    <s v="New York City"/>
    <x v="15"/>
    <n v="10035"/>
    <x v="3"/>
    <x v="769"/>
    <x v="2"/>
    <x v="11"/>
    <x v="768"/>
    <n v="99.6"/>
    <s v="Medium"/>
    <n v="1"/>
    <n v="0"/>
    <x v="0"/>
    <x v="0"/>
    <n v="36.851999999999997"/>
    <n v="0.37"/>
    <n v="0"/>
  </r>
  <r>
    <n v="5444"/>
    <s v="CA-2015-148712"/>
    <d v="2015-04-17T00:00:00"/>
    <x v="1"/>
    <s v="Q2"/>
    <x v="19"/>
    <d v="2015-04-23T00:00:00"/>
    <s v="Standard Class"/>
    <x v="341"/>
    <x v="341"/>
    <s v="Consumer"/>
    <s v="United States"/>
    <s v="New York City"/>
    <x v="15"/>
    <n v="10035"/>
    <x v="3"/>
    <x v="1120"/>
    <x v="1"/>
    <x v="8"/>
    <x v="1108"/>
    <n v="62.295999999999999"/>
    <s v="Medium"/>
    <n v="13"/>
    <n v="0.2"/>
    <x v="2"/>
    <x v="2"/>
    <n v="21.024899999999999"/>
    <n v="0.33749999999999997"/>
    <n v="0"/>
  </r>
  <r>
    <n v="5445"/>
    <s v="CA-2015-148712"/>
    <d v="2015-04-17T00:00:00"/>
    <x v="1"/>
    <s v="Q2"/>
    <x v="19"/>
    <d v="2015-04-23T00:00:00"/>
    <s v="Standard Class"/>
    <x v="341"/>
    <x v="341"/>
    <s v="Consumer"/>
    <s v="United States"/>
    <s v="New York City"/>
    <x v="15"/>
    <n v="10035"/>
    <x v="3"/>
    <x v="1742"/>
    <x v="1"/>
    <x v="6"/>
    <x v="1731"/>
    <n v="10.71"/>
    <s v="Low"/>
    <n v="3"/>
    <n v="0"/>
    <x v="0"/>
    <x v="0"/>
    <n v="2.7846000000000002"/>
    <n v="0.26"/>
    <n v="0"/>
  </r>
  <r>
    <n v="5446"/>
    <s v="CA-2016-128307"/>
    <d v="2016-07-25T00:00:00"/>
    <x v="0"/>
    <s v="Q3"/>
    <x v="16"/>
    <d v="2016-07-29T00:00:00"/>
    <s v="Standard Class"/>
    <x v="336"/>
    <x v="336"/>
    <s v="Home Office"/>
    <s v="United States"/>
    <s v="Houston"/>
    <x v="5"/>
    <n v="77041"/>
    <x v="2"/>
    <x v="1249"/>
    <x v="1"/>
    <x v="12"/>
    <x v="1233"/>
    <n v="20.936"/>
    <s v="Low"/>
    <n v="1"/>
    <n v="0.2"/>
    <x v="2"/>
    <x v="2"/>
    <n v="7.0659000000000001"/>
    <n v="0.33750000000000002"/>
    <n v="0"/>
  </r>
  <r>
    <n v="5447"/>
    <s v="US-2016-127425"/>
    <d v="2016-08-26T00:00:00"/>
    <x v="0"/>
    <s v="Q3"/>
    <x v="28"/>
    <d v="2016-08-31T00:00:00"/>
    <s v="Standard Class"/>
    <x v="112"/>
    <x v="112"/>
    <s v="Corporate"/>
    <s v="United States"/>
    <s v="New York City"/>
    <x v="15"/>
    <n v="10035"/>
    <x v="3"/>
    <x v="895"/>
    <x v="2"/>
    <x v="7"/>
    <x v="888"/>
    <n v="33"/>
    <s v="Medium"/>
    <n v="6"/>
    <n v="0"/>
    <x v="0"/>
    <x v="0"/>
    <n v="8.25"/>
    <n v="0.25"/>
    <n v="0"/>
  </r>
  <r>
    <n v="5448"/>
    <s v="US-2016-127425"/>
    <d v="2016-08-26T00:00:00"/>
    <x v="0"/>
    <s v="Q3"/>
    <x v="28"/>
    <d v="2016-08-31T00:00:00"/>
    <s v="Standard Class"/>
    <x v="112"/>
    <x v="112"/>
    <s v="Corporate"/>
    <s v="United States"/>
    <s v="New York City"/>
    <x v="15"/>
    <n v="10035"/>
    <x v="3"/>
    <x v="1233"/>
    <x v="2"/>
    <x v="11"/>
    <x v="1216"/>
    <n v="249.95"/>
    <s v="High"/>
    <n v="5"/>
    <n v="0"/>
    <x v="0"/>
    <x v="0"/>
    <n v="87.482500000000002"/>
    <n v="0.35000000000000003"/>
    <n v="0"/>
  </r>
  <r>
    <n v="5449"/>
    <s v="US-2014-119081"/>
    <d v="2014-09-12T00:00:00"/>
    <x v="2"/>
    <s v="Q3"/>
    <x v="30"/>
    <d v="2014-09-19T00:00:00"/>
    <s v="Standard Class"/>
    <x v="638"/>
    <x v="638"/>
    <s v="Home Office"/>
    <s v="United States"/>
    <s v="Olathe"/>
    <x v="41"/>
    <n v="66062"/>
    <x v="2"/>
    <x v="1420"/>
    <x v="1"/>
    <x v="14"/>
    <x v="1408"/>
    <n v="357.93"/>
    <s v="High"/>
    <n v="3"/>
    <n v="0"/>
    <x v="0"/>
    <x v="0"/>
    <n v="7.1585999999999999"/>
    <n v="0.02"/>
    <n v="0"/>
  </r>
  <r>
    <n v="5450"/>
    <s v="US-2014-119081"/>
    <d v="2014-09-12T00:00:00"/>
    <x v="2"/>
    <s v="Q3"/>
    <x v="30"/>
    <d v="2014-09-19T00:00:00"/>
    <s v="Standard Class"/>
    <x v="638"/>
    <x v="638"/>
    <s v="Home Office"/>
    <s v="United States"/>
    <s v="Olathe"/>
    <x v="41"/>
    <n v="66062"/>
    <x v="2"/>
    <x v="1690"/>
    <x v="2"/>
    <x v="11"/>
    <x v="1678"/>
    <n v="57.4"/>
    <s v="Medium"/>
    <n v="5"/>
    <n v="0"/>
    <x v="0"/>
    <x v="0"/>
    <n v="10.906000000000001"/>
    <n v="0.19"/>
    <n v="0"/>
  </r>
  <r>
    <n v="5451"/>
    <s v="US-2014-119081"/>
    <d v="2014-09-12T00:00:00"/>
    <x v="2"/>
    <s v="Q3"/>
    <x v="30"/>
    <d v="2014-09-19T00:00:00"/>
    <s v="Standard Class"/>
    <x v="638"/>
    <x v="638"/>
    <s v="Home Office"/>
    <s v="United States"/>
    <s v="Olathe"/>
    <x v="41"/>
    <n v="66062"/>
    <x v="2"/>
    <x v="896"/>
    <x v="1"/>
    <x v="8"/>
    <x v="889"/>
    <n v="331.96"/>
    <s v="High"/>
    <n v="2"/>
    <n v="0"/>
    <x v="0"/>
    <x v="0"/>
    <n v="149.38200000000001"/>
    <n v="0.45000000000000007"/>
    <n v="0"/>
  </r>
  <r>
    <n v="5452"/>
    <s v="US-2014-119081"/>
    <d v="2014-09-12T00:00:00"/>
    <x v="2"/>
    <s v="Q3"/>
    <x v="30"/>
    <d v="2014-09-19T00:00:00"/>
    <s v="Standard Class"/>
    <x v="638"/>
    <x v="638"/>
    <s v="Home Office"/>
    <s v="United States"/>
    <s v="Olathe"/>
    <x v="41"/>
    <n v="66062"/>
    <x v="2"/>
    <x v="1492"/>
    <x v="0"/>
    <x v="5"/>
    <x v="1479"/>
    <n v="40.56"/>
    <s v="Medium"/>
    <n v="2"/>
    <n v="0"/>
    <x v="0"/>
    <x v="0"/>
    <n v="12.979200000000001"/>
    <n v="0.32"/>
    <n v="0"/>
  </r>
  <r>
    <n v="5453"/>
    <s v="CA-2016-140613"/>
    <d v="2016-07-22T00:00:00"/>
    <x v="0"/>
    <s v="Q3"/>
    <x v="16"/>
    <d v="2016-07-29T00:00:00"/>
    <s v="Standard Class"/>
    <x v="607"/>
    <x v="607"/>
    <s v="Home Office"/>
    <s v="United States"/>
    <s v="Sparks"/>
    <x v="33"/>
    <n v="89431"/>
    <x v="1"/>
    <x v="610"/>
    <x v="1"/>
    <x v="14"/>
    <x v="610"/>
    <n v="86.2"/>
    <s v="Medium"/>
    <n v="5"/>
    <n v="0"/>
    <x v="0"/>
    <x v="0"/>
    <n v="24.998000000000001"/>
    <n v="0.28999999999999998"/>
    <n v="0"/>
  </r>
  <r>
    <n v="5454"/>
    <s v="US-2017-108700"/>
    <d v="2017-05-19T00:00:00"/>
    <x v="3"/>
    <s v="Q2"/>
    <x v="24"/>
    <d v="2017-05-23T00:00:00"/>
    <s v="Standard Class"/>
    <x v="601"/>
    <x v="601"/>
    <s v="Corporate"/>
    <s v="United States"/>
    <s v="Rockford"/>
    <x v="10"/>
    <n v="61107"/>
    <x v="2"/>
    <x v="1588"/>
    <x v="1"/>
    <x v="10"/>
    <x v="1580"/>
    <n v="38.015999999999998"/>
    <s v="Medium"/>
    <n v="6"/>
    <n v="0.2"/>
    <x v="2"/>
    <x v="2"/>
    <n v="13.780799999999999"/>
    <n v="0.36249999999999999"/>
    <n v="0"/>
  </r>
  <r>
    <n v="5455"/>
    <s v="CA-2017-160962"/>
    <d v="2017-04-28T00:00:00"/>
    <x v="3"/>
    <s v="Q2"/>
    <x v="4"/>
    <d v="2017-05-02T00:00:00"/>
    <s v="Standard Class"/>
    <x v="204"/>
    <x v="204"/>
    <s v="Corporate"/>
    <s v="United States"/>
    <s v="Philadelphia"/>
    <x v="9"/>
    <n v="19143"/>
    <x v="3"/>
    <x v="470"/>
    <x v="1"/>
    <x v="4"/>
    <x v="471"/>
    <n v="8.3840000000000003"/>
    <s v="Low"/>
    <n v="1"/>
    <n v="0.2"/>
    <x v="2"/>
    <x v="2"/>
    <n v="0.73360000000000003"/>
    <n v="8.7499999999999994E-2"/>
    <n v="0"/>
  </r>
  <r>
    <n v="5456"/>
    <s v="CA-2017-160962"/>
    <d v="2017-04-28T00:00:00"/>
    <x v="3"/>
    <s v="Q2"/>
    <x v="4"/>
    <d v="2017-05-02T00:00:00"/>
    <s v="Standard Class"/>
    <x v="204"/>
    <x v="204"/>
    <s v="Corporate"/>
    <s v="United States"/>
    <s v="Philadelphia"/>
    <x v="9"/>
    <n v="19143"/>
    <x v="3"/>
    <x v="18"/>
    <x v="1"/>
    <x v="6"/>
    <x v="18"/>
    <n v="6.8479999999999999"/>
    <s v="Low"/>
    <n v="2"/>
    <n v="0.2"/>
    <x v="2"/>
    <x v="2"/>
    <n v="0.77039999999999997"/>
    <n v="0.1125"/>
    <n v="0"/>
  </r>
  <r>
    <n v="5457"/>
    <s v="CA-2017-130631"/>
    <d v="2017-12-29T00:00:00"/>
    <x v="3"/>
    <s v="Q4"/>
    <x v="22"/>
    <d v="2018-01-02T00:00:00"/>
    <s v="Standard Class"/>
    <x v="94"/>
    <x v="94"/>
    <s v="Consumer"/>
    <s v="United States"/>
    <s v="Edmonds"/>
    <x v="4"/>
    <n v="98026"/>
    <x v="1"/>
    <x v="1743"/>
    <x v="1"/>
    <x v="13"/>
    <x v="1732"/>
    <n v="19.600000000000001"/>
    <s v="Low"/>
    <n v="5"/>
    <n v="0"/>
    <x v="0"/>
    <x v="0"/>
    <n v="9.6039999999999992"/>
    <n v="0.48999999999999994"/>
    <n v="0"/>
  </r>
  <r>
    <n v="5458"/>
    <s v="CA-2017-130631"/>
    <d v="2017-12-29T00:00:00"/>
    <x v="3"/>
    <s v="Q4"/>
    <x v="22"/>
    <d v="2018-01-02T00:00:00"/>
    <s v="Standard Class"/>
    <x v="94"/>
    <x v="94"/>
    <s v="Consumer"/>
    <s v="United States"/>
    <s v="Edmonds"/>
    <x v="4"/>
    <n v="98026"/>
    <x v="1"/>
    <x v="1182"/>
    <x v="0"/>
    <x v="5"/>
    <x v="1168"/>
    <n v="68.459999999999994"/>
    <s v="Medium"/>
    <n v="2"/>
    <n v="0"/>
    <x v="0"/>
    <x v="0"/>
    <n v="20.538"/>
    <n v="0.30000000000000004"/>
    <n v="0"/>
  </r>
  <r>
    <n v="5459"/>
    <s v="CA-2017-116680"/>
    <d v="2017-09-04T00:00:00"/>
    <x v="3"/>
    <s v="Q3"/>
    <x v="15"/>
    <d v="2017-09-06T00:00:00"/>
    <s v="Second Class"/>
    <x v="7"/>
    <x v="7"/>
    <s v="Consumer"/>
    <s v="United States"/>
    <s v="San Francisco"/>
    <x v="1"/>
    <n v="94122"/>
    <x v="1"/>
    <x v="757"/>
    <x v="1"/>
    <x v="8"/>
    <x v="755"/>
    <n v="13.343999999999999"/>
    <s v="Low"/>
    <n v="6"/>
    <n v="0.2"/>
    <x v="2"/>
    <x v="2"/>
    <n v="4.3368000000000002"/>
    <n v="0.32500000000000001"/>
    <n v="0"/>
  </r>
  <r>
    <n v="5460"/>
    <s v="CA-2017-116680"/>
    <d v="2017-09-04T00:00:00"/>
    <x v="3"/>
    <s v="Q3"/>
    <x v="15"/>
    <d v="2017-09-06T00:00:00"/>
    <s v="Second Class"/>
    <x v="7"/>
    <x v="7"/>
    <s v="Consumer"/>
    <s v="United States"/>
    <s v="San Francisco"/>
    <x v="1"/>
    <n v="94122"/>
    <x v="1"/>
    <x v="1744"/>
    <x v="0"/>
    <x v="3"/>
    <x v="1733"/>
    <n v="1478.2719999999999"/>
    <s v="High"/>
    <n v="8"/>
    <n v="0.2"/>
    <x v="2"/>
    <x v="2"/>
    <n v="92.391999999999996"/>
    <n v="6.25E-2"/>
    <n v="0"/>
  </r>
  <r>
    <n v="5461"/>
    <s v="US-2014-107405"/>
    <d v="2014-03-21T00:00:00"/>
    <x v="2"/>
    <s v="Q1"/>
    <x v="34"/>
    <d v="2014-03-25T00:00:00"/>
    <s v="Standard Class"/>
    <x v="131"/>
    <x v="131"/>
    <s v="Corporate"/>
    <s v="United States"/>
    <s v="Asheville"/>
    <x v="3"/>
    <n v="28806"/>
    <x v="0"/>
    <x v="1512"/>
    <x v="1"/>
    <x v="4"/>
    <x v="1499"/>
    <n v="16.271999999999998"/>
    <s v="Low"/>
    <n v="1"/>
    <n v="0.2"/>
    <x v="2"/>
    <x v="2"/>
    <n v="-3.8645999999999998"/>
    <n v="-0.23750000000000002"/>
    <n v="1"/>
  </r>
  <r>
    <n v="5462"/>
    <s v="CA-2017-101574"/>
    <d v="2017-09-28T00:00:00"/>
    <x v="3"/>
    <s v="Q3"/>
    <x v="15"/>
    <d v="2017-10-04T00:00:00"/>
    <s v="Standard Class"/>
    <x v="232"/>
    <x v="232"/>
    <s v="Consumer"/>
    <s v="United States"/>
    <s v="Los Angeles"/>
    <x v="1"/>
    <n v="90032"/>
    <x v="1"/>
    <x v="50"/>
    <x v="0"/>
    <x v="5"/>
    <x v="50"/>
    <n v="9.24"/>
    <s v="Low"/>
    <n v="3"/>
    <n v="0"/>
    <x v="0"/>
    <x v="0"/>
    <n v="4.4352"/>
    <n v="0.48"/>
    <n v="0"/>
  </r>
  <r>
    <n v="5463"/>
    <s v="CA-2014-146591"/>
    <d v="2014-01-19T00:00:00"/>
    <x v="2"/>
    <s v="Q1"/>
    <x v="46"/>
    <d v="2014-01-20T00:00:00"/>
    <s v="First Class"/>
    <x v="358"/>
    <x v="358"/>
    <s v="Consumer"/>
    <s v="United States"/>
    <s v="Scottsdale"/>
    <x v="16"/>
    <n v="85254"/>
    <x v="1"/>
    <x v="828"/>
    <x v="1"/>
    <x v="8"/>
    <x v="824"/>
    <n v="32.340000000000003"/>
    <s v="Medium"/>
    <n v="10"/>
    <n v="0.7"/>
    <x v="1"/>
    <x v="5"/>
    <n v="-23.716000000000001"/>
    <n v="-0.73333333333333328"/>
    <n v="1"/>
  </r>
  <r>
    <n v="5464"/>
    <s v="CA-2014-146591"/>
    <d v="2014-01-19T00:00:00"/>
    <x v="2"/>
    <s v="Q1"/>
    <x v="46"/>
    <d v="2014-01-20T00:00:00"/>
    <s v="First Class"/>
    <x v="358"/>
    <x v="358"/>
    <s v="Consumer"/>
    <s v="United States"/>
    <s v="Scottsdale"/>
    <x v="16"/>
    <n v="85254"/>
    <x v="1"/>
    <x v="161"/>
    <x v="1"/>
    <x v="10"/>
    <x v="1295"/>
    <n v="56.064"/>
    <s v="Medium"/>
    <n v="4"/>
    <n v="0.2"/>
    <x v="2"/>
    <x v="2"/>
    <n v="19.622399999999999"/>
    <n v="0.35"/>
    <n v="0"/>
  </r>
  <r>
    <n v="5465"/>
    <s v="CA-2014-146591"/>
    <d v="2014-01-19T00:00:00"/>
    <x v="2"/>
    <s v="Q1"/>
    <x v="46"/>
    <d v="2014-01-20T00:00:00"/>
    <s v="First Class"/>
    <x v="358"/>
    <x v="358"/>
    <s v="Consumer"/>
    <s v="United States"/>
    <s v="Scottsdale"/>
    <x v="16"/>
    <n v="85254"/>
    <x v="1"/>
    <x v="113"/>
    <x v="1"/>
    <x v="12"/>
    <x v="113"/>
    <n v="108.72"/>
    <s v="Medium"/>
    <n v="5"/>
    <n v="0.2"/>
    <x v="2"/>
    <x v="2"/>
    <n v="36.692999999999998"/>
    <n v="0.33749999999999997"/>
    <n v="0"/>
  </r>
  <r>
    <n v="5466"/>
    <s v="CA-2014-146591"/>
    <d v="2014-01-19T00:00:00"/>
    <x v="2"/>
    <s v="Q1"/>
    <x v="46"/>
    <d v="2014-01-20T00:00:00"/>
    <s v="First Class"/>
    <x v="358"/>
    <x v="358"/>
    <s v="Consumer"/>
    <s v="United States"/>
    <s v="Scottsdale"/>
    <x v="16"/>
    <n v="85254"/>
    <x v="1"/>
    <x v="366"/>
    <x v="0"/>
    <x v="0"/>
    <x v="367"/>
    <n v="181.47"/>
    <s v="High"/>
    <n v="5"/>
    <n v="0.7"/>
    <x v="1"/>
    <x v="5"/>
    <n v="-320.59699999999998"/>
    <n v="-1.7666666666666666"/>
    <n v="1"/>
  </r>
  <r>
    <n v="5467"/>
    <s v="CA-2014-107706"/>
    <d v="2014-02-14T00:00:00"/>
    <x v="2"/>
    <s v="Q1"/>
    <x v="45"/>
    <d v="2014-02-19T00:00:00"/>
    <s v="Second Class"/>
    <x v="461"/>
    <x v="461"/>
    <s v="Consumer"/>
    <s v="United States"/>
    <s v="Houston"/>
    <x v="5"/>
    <n v="77095"/>
    <x v="2"/>
    <x v="949"/>
    <x v="1"/>
    <x v="10"/>
    <x v="942"/>
    <n v="16.175999999999998"/>
    <s v="Low"/>
    <n v="3"/>
    <n v="0.2"/>
    <x v="2"/>
    <x v="2"/>
    <n v="6.0659999999999998"/>
    <n v="0.375"/>
    <n v="0"/>
  </r>
  <r>
    <n v="5468"/>
    <s v="CA-2016-122448"/>
    <d v="2016-06-09T00:00:00"/>
    <x v="0"/>
    <s v="Q2"/>
    <x v="1"/>
    <d v="2016-06-14T00:00:00"/>
    <s v="Standard Class"/>
    <x v="203"/>
    <x v="203"/>
    <s v="Consumer"/>
    <s v="United States"/>
    <s v="San Francisco"/>
    <x v="1"/>
    <n v="94109"/>
    <x v="1"/>
    <x v="23"/>
    <x v="0"/>
    <x v="1"/>
    <x v="23"/>
    <n v="122.352"/>
    <s v="Medium"/>
    <n v="3"/>
    <n v="0.2"/>
    <x v="2"/>
    <x v="2"/>
    <n v="13.7646"/>
    <n v="0.11249999999999999"/>
    <n v="0"/>
  </r>
  <r>
    <n v="5469"/>
    <s v="CA-2014-132451"/>
    <d v="2014-09-26T00:00:00"/>
    <x v="2"/>
    <s v="Q3"/>
    <x v="30"/>
    <d v="2014-09-27T00:00:00"/>
    <s v="First Class"/>
    <x v="580"/>
    <x v="580"/>
    <s v="Home Office"/>
    <s v="United States"/>
    <s v="San Diego"/>
    <x v="1"/>
    <n v="92105"/>
    <x v="1"/>
    <x v="1"/>
    <x v="0"/>
    <x v="1"/>
    <x v="1"/>
    <n v="585.55200000000002"/>
    <s v="High"/>
    <n v="3"/>
    <n v="0.2"/>
    <x v="2"/>
    <x v="2"/>
    <n v="73.194000000000003"/>
    <n v="0.125"/>
    <n v="0"/>
  </r>
  <r>
    <n v="5470"/>
    <s v="CA-2014-132451"/>
    <d v="2014-09-26T00:00:00"/>
    <x v="2"/>
    <s v="Q3"/>
    <x v="30"/>
    <d v="2014-09-27T00:00:00"/>
    <s v="First Class"/>
    <x v="580"/>
    <x v="580"/>
    <s v="Home Office"/>
    <s v="United States"/>
    <s v="San Diego"/>
    <x v="1"/>
    <n v="92105"/>
    <x v="1"/>
    <x v="974"/>
    <x v="1"/>
    <x v="10"/>
    <x v="968"/>
    <n v="19.440000000000001"/>
    <s v="Low"/>
    <n v="3"/>
    <n v="0"/>
    <x v="0"/>
    <x v="0"/>
    <n v="9.3312000000000008"/>
    <n v="0.48000000000000004"/>
    <n v="0"/>
  </r>
  <r>
    <n v="5471"/>
    <s v="CA-2016-158547"/>
    <d v="2016-05-30T00:00:00"/>
    <x v="0"/>
    <s v="Q2"/>
    <x v="35"/>
    <d v="2016-06-04T00:00:00"/>
    <s v="Standard Class"/>
    <x v="594"/>
    <x v="594"/>
    <s v="Consumer"/>
    <s v="United States"/>
    <s v="Hamilton"/>
    <x v="24"/>
    <n v="45011"/>
    <x v="3"/>
    <x v="1271"/>
    <x v="1"/>
    <x v="9"/>
    <x v="1256"/>
    <n v="123.92"/>
    <s v="High"/>
    <n v="5"/>
    <n v="0.2"/>
    <x v="2"/>
    <x v="2"/>
    <n v="9.2940000000000005"/>
    <n v="7.4999999999999997E-2"/>
    <n v="0"/>
  </r>
  <r>
    <n v="5472"/>
    <s v="CA-2017-116946"/>
    <d v="2017-12-19T00:00:00"/>
    <x v="3"/>
    <s v="Q4"/>
    <x v="22"/>
    <d v="2017-12-23T00:00:00"/>
    <s v="Standard Class"/>
    <x v="700"/>
    <x v="700"/>
    <s v="Consumer"/>
    <s v="United States"/>
    <s v="Parker"/>
    <x v="22"/>
    <n v="80134"/>
    <x v="1"/>
    <x v="1533"/>
    <x v="0"/>
    <x v="5"/>
    <x v="1521"/>
    <n v="13.36"/>
    <s v="Low"/>
    <n v="5"/>
    <n v="0.2"/>
    <x v="2"/>
    <x v="2"/>
    <n v="4.008"/>
    <n v="0.3"/>
    <n v="0"/>
  </r>
  <r>
    <n v="5473"/>
    <s v="CA-2017-116946"/>
    <d v="2017-12-19T00:00:00"/>
    <x v="3"/>
    <s v="Q4"/>
    <x v="22"/>
    <d v="2017-12-23T00:00:00"/>
    <s v="Standard Class"/>
    <x v="700"/>
    <x v="700"/>
    <s v="Consumer"/>
    <s v="United States"/>
    <s v="Parker"/>
    <x v="22"/>
    <n v="80134"/>
    <x v="1"/>
    <x v="1166"/>
    <x v="1"/>
    <x v="4"/>
    <x v="1153"/>
    <n v="78.256"/>
    <s v="Medium"/>
    <n v="2"/>
    <n v="0.2"/>
    <x v="2"/>
    <x v="2"/>
    <n v="-17.607600000000001"/>
    <n v="-0.22500000000000001"/>
    <n v="1"/>
  </r>
  <r>
    <n v="5474"/>
    <s v="CA-2017-116946"/>
    <d v="2017-12-19T00:00:00"/>
    <x v="3"/>
    <s v="Q4"/>
    <x v="22"/>
    <d v="2017-12-23T00:00:00"/>
    <s v="Standard Class"/>
    <x v="700"/>
    <x v="700"/>
    <s v="Consumer"/>
    <s v="United States"/>
    <s v="Parker"/>
    <x v="22"/>
    <n v="80134"/>
    <x v="1"/>
    <x v="1195"/>
    <x v="0"/>
    <x v="0"/>
    <x v="1180"/>
    <n v="102.018"/>
    <s v="Medium"/>
    <n v="7"/>
    <n v="0.7"/>
    <x v="1"/>
    <x v="5"/>
    <n v="-183.63239999999999"/>
    <n v="-1.7999999999999998"/>
    <n v="1"/>
  </r>
  <r>
    <n v="5475"/>
    <s v="CA-2017-121741"/>
    <d v="2017-12-26T00:00:00"/>
    <x v="3"/>
    <s v="Q4"/>
    <x v="22"/>
    <d v="2017-12-26T00:00:00"/>
    <s v="Same Day"/>
    <x v="289"/>
    <x v="289"/>
    <s v="Corporate"/>
    <s v="United States"/>
    <s v="Fremont"/>
    <x v="8"/>
    <n v="68025"/>
    <x v="2"/>
    <x v="458"/>
    <x v="1"/>
    <x v="4"/>
    <x v="459"/>
    <n v="750.68"/>
    <s v="High"/>
    <n v="2"/>
    <n v="0"/>
    <x v="0"/>
    <x v="0"/>
    <n v="37.533999999999999"/>
    <n v="0.05"/>
    <n v="0"/>
  </r>
  <r>
    <n v="5476"/>
    <s v="CA-2017-169691"/>
    <d v="2017-06-15T00:00:00"/>
    <x v="3"/>
    <s v="Q2"/>
    <x v="27"/>
    <d v="2017-06-18T00:00:00"/>
    <s v="First Class"/>
    <x v="656"/>
    <x v="656"/>
    <s v="Home Office"/>
    <s v="United States"/>
    <s v="Maple Grove"/>
    <x v="11"/>
    <n v="55369"/>
    <x v="2"/>
    <x v="579"/>
    <x v="1"/>
    <x v="2"/>
    <x v="579"/>
    <n v="44.4"/>
    <s v="Medium"/>
    <n v="3"/>
    <n v="0"/>
    <x v="0"/>
    <x v="0"/>
    <n v="22.2"/>
    <n v="0.5"/>
    <n v="0"/>
  </r>
  <r>
    <n v="5477"/>
    <s v="CA-2017-169691"/>
    <d v="2017-06-15T00:00:00"/>
    <x v="3"/>
    <s v="Q2"/>
    <x v="27"/>
    <d v="2017-06-18T00:00:00"/>
    <s v="First Class"/>
    <x v="656"/>
    <x v="656"/>
    <s v="Home Office"/>
    <s v="United States"/>
    <s v="Maple Grove"/>
    <x v="11"/>
    <n v="55369"/>
    <x v="2"/>
    <x v="1036"/>
    <x v="1"/>
    <x v="4"/>
    <x v="1026"/>
    <n v="84.55"/>
    <s v="Medium"/>
    <n v="5"/>
    <n v="0"/>
    <x v="0"/>
    <x v="0"/>
    <n v="22.828499999999998"/>
    <n v="0.26999999999999996"/>
    <n v="0"/>
  </r>
  <r>
    <n v="5478"/>
    <s v="CA-2017-169691"/>
    <d v="2017-06-15T00:00:00"/>
    <x v="3"/>
    <s v="Q2"/>
    <x v="27"/>
    <d v="2017-06-18T00:00:00"/>
    <s v="First Class"/>
    <x v="656"/>
    <x v="656"/>
    <s v="Home Office"/>
    <s v="United States"/>
    <s v="Maple Grove"/>
    <x v="11"/>
    <n v="55369"/>
    <x v="2"/>
    <x v="1665"/>
    <x v="1"/>
    <x v="10"/>
    <x v="1653"/>
    <n v="17.940000000000001"/>
    <s v="Low"/>
    <n v="3"/>
    <n v="0"/>
    <x v="0"/>
    <x v="0"/>
    <n v="8.7905999999999995"/>
    <n v="0.48999999999999994"/>
    <n v="0"/>
  </r>
  <r>
    <n v="5479"/>
    <s v="CA-2016-121356"/>
    <d v="2016-11-20T00:00:00"/>
    <x v="0"/>
    <s v="Q4"/>
    <x v="0"/>
    <d v="2016-11-24T00:00:00"/>
    <s v="Standard Class"/>
    <x v="81"/>
    <x v="81"/>
    <s v="Consumer"/>
    <s v="United States"/>
    <s v="Newark"/>
    <x v="13"/>
    <n v="19711"/>
    <x v="3"/>
    <x v="1160"/>
    <x v="1"/>
    <x v="8"/>
    <x v="1147"/>
    <n v="128.4"/>
    <s v="High"/>
    <n v="3"/>
    <n v="0"/>
    <x v="0"/>
    <x v="0"/>
    <n v="62.915999999999997"/>
    <n v="0.48999999999999994"/>
    <n v="0"/>
  </r>
  <r>
    <n v="5480"/>
    <s v="CA-2014-101770"/>
    <d v="2014-03-31T00:00:00"/>
    <x v="2"/>
    <s v="Q1"/>
    <x v="34"/>
    <d v="2014-04-04T00:00:00"/>
    <s v="Standard Class"/>
    <x v="208"/>
    <x v="208"/>
    <s v="Corporate"/>
    <s v="United States"/>
    <s v="Miami"/>
    <x v="2"/>
    <n v="33180"/>
    <x v="0"/>
    <x v="799"/>
    <x v="1"/>
    <x v="8"/>
    <x v="797"/>
    <n v="1.869"/>
    <s v="Low"/>
    <n v="1"/>
    <n v="0.7"/>
    <x v="1"/>
    <x v="5"/>
    <n v="-1.3083"/>
    <n v="-0.70000000000000007"/>
    <n v="1"/>
  </r>
  <r>
    <n v="5481"/>
    <s v="CA-2017-105487"/>
    <d v="2017-10-08T00:00:00"/>
    <x v="3"/>
    <s v="Q4"/>
    <x v="13"/>
    <d v="2017-10-14T00:00:00"/>
    <s v="Standard Class"/>
    <x v="294"/>
    <x v="294"/>
    <s v="Corporate"/>
    <s v="United States"/>
    <s v="San Diego"/>
    <x v="1"/>
    <n v="92105"/>
    <x v="1"/>
    <x v="957"/>
    <x v="2"/>
    <x v="7"/>
    <x v="950"/>
    <n v="103.19199999999999"/>
    <s v="Medium"/>
    <n v="1"/>
    <n v="0.2"/>
    <x v="2"/>
    <x v="2"/>
    <n v="11.6091"/>
    <n v="0.1125"/>
    <n v="0"/>
  </r>
  <r>
    <n v="5482"/>
    <s v="CA-2017-105487"/>
    <d v="2017-10-08T00:00:00"/>
    <x v="3"/>
    <s v="Q4"/>
    <x v="13"/>
    <d v="2017-10-14T00:00:00"/>
    <s v="Standard Class"/>
    <x v="294"/>
    <x v="294"/>
    <s v="Corporate"/>
    <s v="United States"/>
    <s v="San Diego"/>
    <x v="1"/>
    <n v="92105"/>
    <x v="1"/>
    <x v="1542"/>
    <x v="2"/>
    <x v="11"/>
    <x v="1530"/>
    <n v="36"/>
    <s v="Medium"/>
    <n v="2"/>
    <n v="0"/>
    <x v="0"/>
    <x v="0"/>
    <n v="6.48"/>
    <n v="0.18000000000000002"/>
    <n v="0"/>
  </r>
  <r>
    <n v="5483"/>
    <s v="CA-2017-105487"/>
    <d v="2017-10-08T00:00:00"/>
    <x v="3"/>
    <s v="Q4"/>
    <x v="13"/>
    <d v="2017-10-14T00:00:00"/>
    <s v="Standard Class"/>
    <x v="294"/>
    <x v="294"/>
    <s v="Corporate"/>
    <s v="United States"/>
    <s v="San Diego"/>
    <x v="1"/>
    <n v="92105"/>
    <x v="1"/>
    <x v="603"/>
    <x v="2"/>
    <x v="11"/>
    <x v="603"/>
    <n v="239.96"/>
    <s v="High"/>
    <n v="4"/>
    <n v="0"/>
    <x v="0"/>
    <x v="0"/>
    <n v="115.1808"/>
    <n v="0.48"/>
    <n v="0"/>
  </r>
  <r>
    <n v="5484"/>
    <s v="CA-2017-105487"/>
    <d v="2017-10-08T00:00:00"/>
    <x v="3"/>
    <s v="Q4"/>
    <x v="13"/>
    <d v="2017-10-14T00:00:00"/>
    <s v="Standard Class"/>
    <x v="294"/>
    <x v="294"/>
    <s v="Corporate"/>
    <s v="United States"/>
    <s v="San Diego"/>
    <x v="1"/>
    <n v="92105"/>
    <x v="1"/>
    <x v="1512"/>
    <x v="1"/>
    <x v="4"/>
    <x v="1499"/>
    <n v="40.68"/>
    <s v="Medium"/>
    <n v="2"/>
    <n v="0"/>
    <x v="0"/>
    <x v="0"/>
    <n v="0.40679999999999999"/>
    <n v="0.01"/>
    <n v="0"/>
  </r>
  <r>
    <n v="5485"/>
    <s v="CA-2017-148999"/>
    <d v="2017-01-30T00:00:00"/>
    <x v="3"/>
    <s v="Q1"/>
    <x v="44"/>
    <d v="2017-02-04T00:00:00"/>
    <s v="Standard Class"/>
    <x v="12"/>
    <x v="12"/>
    <s v="Consumer"/>
    <s v="United States"/>
    <s v="Miami"/>
    <x v="2"/>
    <n v="33142"/>
    <x v="0"/>
    <x v="1745"/>
    <x v="0"/>
    <x v="1"/>
    <x v="1734"/>
    <n v="419.13600000000002"/>
    <s v="High"/>
    <n v="4"/>
    <n v="0.2"/>
    <x v="2"/>
    <x v="2"/>
    <n v="-68.1096"/>
    <n v="-0.16249999999999998"/>
    <n v="1"/>
  </r>
  <r>
    <n v="5486"/>
    <s v="CA-2014-107573"/>
    <d v="2014-12-12T00:00:00"/>
    <x v="2"/>
    <s v="Q4"/>
    <x v="20"/>
    <d v="2014-12-17T00:00:00"/>
    <s v="Standard Class"/>
    <x v="171"/>
    <x v="171"/>
    <s v="Consumer"/>
    <s v="United States"/>
    <s v="Miami"/>
    <x v="2"/>
    <n v="33178"/>
    <x v="0"/>
    <x v="706"/>
    <x v="1"/>
    <x v="12"/>
    <x v="153"/>
    <n v="23.472000000000001"/>
    <s v="Low"/>
    <n v="3"/>
    <n v="0.2"/>
    <x v="2"/>
    <x v="2"/>
    <n v="7.6284000000000001"/>
    <n v="0.32500000000000001"/>
    <n v="0"/>
  </r>
  <r>
    <n v="5487"/>
    <s v="CA-2015-156608"/>
    <d v="2015-10-24T00:00:00"/>
    <x v="1"/>
    <s v="Q4"/>
    <x v="2"/>
    <d v="2015-10-29T00:00:00"/>
    <s v="Standard Class"/>
    <x v="192"/>
    <x v="192"/>
    <s v="Home Office"/>
    <s v="United States"/>
    <s v="San Antonio"/>
    <x v="5"/>
    <n v="78207"/>
    <x v="2"/>
    <x v="307"/>
    <x v="1"/>
    <x v="8"/>
    <x v="307"/>
    <n v="3.5920000000000001"/>
    <s v="Low"/>
    <n v="4"/>
    <n v="0.8"/>
    <x v="1"/>
    <x v="3"/>
    <n v="-6.2859999999999996"/>
    <n v="-1.7499999999999998"/>
    <n v="1"/>
  </r>
  <r>
    <n v="5488"/>
    <s v="CA-2017-134495"/>
    <d v="2017-04-01T00:00:00"/>
    <x v="3"/>
    <s v="Q2"/>
    <x v="4"/>
    <d v="2017-04-04T00:00:00"/>
    <s v="Second Class"/>
    <x v="292"/>
    <x v="292"/>
    <s v="Corporate"/>
    <s v="United States"/>
    <s v="Jacksonville"/>
    <x v="2"/>
    <n v="32216"/>
    <x v="0"/>
    <x v="1136"/>
    <x v="2"/>
    <x v="7"/>
    <x v="1124"/>
    <n v="23.975999999999999"/>
    <s v="Low"/>
    <n v="3"/>
    <n v="0.2"/>
    <x v="2"/>
    <x v="2"/>
    <n v="-5.6943000000000001"/>
    <n v="-0.23750000000000002"/>
    <n v="1"/>
  </r>
  <r>
    <n v="5489"/>
    <s v="CA-2017-134495"/>
    <d v="2017-04-01T00:00:00"/>
    <x v="3"/>
    <s v="Q2"/>
    <x v="4"/>
    <d v="2017-04-04T00:00:00"/>
    <s v="Second Class"/>
    <x v="292"/>
    <x v="292"/>
    <s v="Corporate"/>
    <s v="United States"/>
    <s v="Jacksonville"/>
    <x v="2"/>
    <n v="32216"/>
    <x v="0"/>
    <x v="948"/>
    <x v="1"/>
    <x v="2"/>
    <x v="941"/>
    <n v="6.2640000000000002"/>
    <s v="Low"/>
    <n v="3"/>
    <n v="0.2"/>
    <x v="2"/>
    <x v="2"/>
    <n v="2.0358000000000001"/>
    <n v="0.32500000000000001"/>
    <n v="0"/>
  </r>
  <r>
    <n v="5490"/>
    <s v="CA-2017-134495"/>
    <d v="2017-04-01T00:00:00"/>
    <x v="3"/>
    <s v="Q2"/>
    <x v="4"/>
    <d v="2017-04-04T00:00:00"/>
    <s v="Second Class"/>
    <x v="292"/>
    <x v="292"/>
    <s v="Corporate"/>
    <s v="United States"/>
    <s v="Jacksonville"/>
    <x v="2"/>
    <n v="32216"/>
    <x v="0"/>
    <x v="1295"/>
    <x v="1"/>
    <x v="9"/>
    <x v="360"/>
    <n v="20.808"/>
    <s v="Low"/>
    <n v="3"/>
    <n v="0.2"/>
    <x v="2"/>
    <x v="2"/>
    <n v="1.8207"/>
    <n v="8.7499999999999994E-2"/>
    <n v="0"/>
  </r>
  <r>
    <n v="5491"/>
    <s v="CA-2017-134495"/>
    <d v="2017-04-01T00:00:00"/>
    <x v="3"/>
    <s v="Q2"/>
    <x v="4"/>
    <d v="2017-04-04T00:00:00"/>
    <s v="Second Class"/>
    <x v="292"/>
    <x v="292"/>
    <s v="Corporate"/>
    <s v="United States"/>
    <s v="Jacksonville"/>
    <x v="2"/>
    <n v="32216"/>
    <x v="0"/>
    <x v="1209"/>
    <x v="0"/>
    <x v="1"/>
    <x v="1194"/>
    <n v="218.352"/>
    <s v="High"/>
    <n v="3"/>
    <n v="0.2"/>
    <x v="2"/>
    <x v="2"/>
    <n v="-19.105799999999999"/>
    <n v="-8.7499999999999994E-2"/>
    <n v="1"/>
  </r>
  <r>
    <n v="5492"/>
    <s v="CA-2017-164098"/>
    <d v="2017-01-26T00:00:00"/>
    <x v="3"/>
    <s v="Q1"/>
    <x v="44"/>
    <d v="2017-01-27T00:00:00"/>
    <s v="First Class"/>
    <x v="0"/>
    <x v="0"/>
    <s v="Consumer"/>
    <s v="United States"/>
    <s v="Houston"/>
    <x v="5"/>
    <n v="77070"/>
    <x v="2"/>
    <x v="75"/>
    <x v="1"/>
    <x v="4"/>
    <x v="75"/>
    <n v="18.16"/>
    <s v="Low"/>
    <n v="2"/>
    <n v="0.2"/>
    <x v="2"/>
    <x v="2"/>
    <n v="1.8160000000000001"/>
    <n v="0.1"/>
    <n v="0"/>
  </r>
  <r>
    <n v="5493"/>
    <s v="CA-2014-105249"/>
    <d v="2014-11-28T00:00:00"/>
    <x v="2"/>
    <s v="Q4"/>
    <x v="7"/>
    <d v="2014-11-28T00:00:00"/>
    <s v="Same Day"/>
    <x v="723"/>
    <x v="723"/>
    <s v="Home Office"/>
    <s v="United States"/>
    <s v="San Francisco"/>
    <x v="1"/>
    <n v="94122"/>
    <x v="1"/>
    <x v="327"/>
    <x v="1"/>
    <x v="14"/>
    <x v="327"/>
    <n v="7.36"/>
    <s v="Low"/>
    <n v="2"/>
    <n v="0"/>
    <x v="0"/>
    <x v="0"/>
    <n v="0.1472"/>
    <n v="0.02"/>
    <n v="0"/>
  </r>
  <r>
    <n v="5494"/>
    <s v="CA-2014-105249"/>
    <d v="2014-11-28T00:00:00"/>
    <x v="2"/>
    <s v="Q4"/>
    <x v="7"/>
    <d v="2014-11-28T00:00:00"/>
    <s v="Same Day"/>
    <x v="723"/>
    <x v="723"/>
    <s v="Home Office"/>
    <s v="United States"/>
    <s v="San Francisco"/>
    <x v="1"/>
    <n v="94122"/>
    <x v="1"/>
    <x v="254"/>
    <x v="1"/>
    <x v="2"/>
    <x v="255"/>
    <n v="41.4"/>
    <s v="Medium"/>
    <n v="4"/>
    <n v="0"/>
    <x v="0"/>
    <x v="0"/>
    <n v="19.872"/>
    <n v="0.48000000000000004"/>
    <n v="0"/>
  </r>
  <r>
    <n v="5495"/>
    <s v="CA-2014-105249"/>
    <d v="2014-11-28T00:00:00"/>
    <x v="2"/>
    <s v="Q4"/>
    <x v="7"/>
    <d v="2014-11-28T00:00:00"/>
    <s v="Same Day"/>
    <x v="723"/>
    <x v="723"/>
    <s v="Home Office"/>
    <s v="United States"/>
    <s v="San Francisco"/>
    <x v="1"/>
    <n v="94122"/>
    <x v="1"/>
    <x v="1119"/>
    <x v="0"/>
    <x v="0"/>
    <x v="1107"/>
    <n v="411.33199999999999"/>
    <s v="High"/>
    <n v="4"/>
    <n v="0.15"/>
    <x v="2"/>
    <x v="2"/>
    <n v="-4.8391999999999999"/>
    <n v="-1.1764705882352941E-2"/>
    <n v="1"/>
  </r>
  <r>
    <n v="5496"/>
    <s v="CA-2015-113523"/>
    <d v="2015-09-04T00:00:00"/>
    <x v="1"/>
    <s v="Q3"/>
    <x v="11"/>
    <d v="2015-09-08T00:00:00"/>
    <s v="Standard Class"/>
    <x v="464"/>
    <x v="464"/>
    <s v="Corporate"/>
    <s v="United States"/>
    <s v="Philadelphia"/>
    <x v="9"/>
    <n v="19140"/>
    <x v="3"/>
    <x v="1206"/>
    <x v="1"/>
    <x v="8"/>
    <x v="1191"/>
    <n v="7.6559999999999997"/>
    <s v="Low"/>
    <n v="4"/>
    <n v="0.7"/>
    <x v="1"/>
    <x v="5"/>
    <n v="-6.1247999999999996"/>
    <n v="-0.79999999999999993"/>
    <n v="1"/>
  </r>
  <r>
    <n v="5497"/>
    <s v="CA-2017-117821"/>
    <d v="2017-06-12T00:00:00"/>
    <x v="3"/>
    <s v="Q2"/>
    <x v="27"/>
    <d v="2017-06-16T00:00:00"/>
    <s v="Standard Class"/>
    <x v="643"/>
    <x v="643"/>
    <s v="Consumer"/>
    <s v="United States"/>
    <s v="Marion"/>
    <x v="24"/>
    <n v="43302"/>
    <x v="3"/>
    <x v="240"/>
    <x v="2"/>
    <x v="11"/>
    <x v="241"/>
    <n v="63.92"/>
    <s v="Medium"/>
    <n v="2"/>
    <n v="0.2"/>
    <x v="2"/>
    <x v="2"/>
    <n v="19.175999999999998"/>
    <n v="0.3"/>
    <n v="0"/>
  </r>
  <r>
    <n v="5498"/>
    <s v="CA-2017-164378"/>
    <d v="2017-07-15T00:00:00"/>
    <x v="3"/>
    <s v="Q3"/>
    <x v="10"/>
    <d v="2017-07-18T00:00:00"/>
    <s v="Second Class"/>
    <x v="514"/>
    <x v="514"/>
    <s v="Consumer"/>
    <s v="United States"/>
    <s v="New York City"/>
    <x v="15"/>
    <n v="10024"/>
    <x v="3"/>
    <x v="1241"/>
    <x v="1"/>
    <x v="6"/>
    <x v="1224"/>
    <n v="6.56"/>
    <s v="Low"/>
    <n v="2"/>
    <n v="0"/>
    <x v="0"/>
    <x v="0"/>
    <n v="1.9024000000000001"/>
    <n v="0.29000000000000004"/>
    <n v="0"/>
  </r>
  <r>
    <n v="5499"/>
    <s v="CA-2017-164378"/>
    <d v="2017-07-15T00:00:00"/>
    <x v="3"/>
    <s v="Q3"/>
    <x v="10"/>
    <d v="2017-07-18T00:00:00"/>
    <s v="Second Class"/>
    <x v="514"/>
    <x v="514"/>
    <s v="Consumer"/>
    <s v="United States"/>
    <s v="New York City"/>
    <x v="15"/>
    <n v="10024"/>
    <x v="3"/>
    <x v="286"/>
    <x v="1"/>
    <x v="2"/>
    <x v="286"/>
    <n v="7.83"/>
    <s v="Low"/>
    <n v="3"/>
    <n v="0"/>
    <x v="0"/>
    <x v="0"/>
    <n v="3.6017999999999999"/>
    <n v="0.45999999999999996"/>
    <n v="0"/>
  </r>
  <r>
    <n v="5500"/>
    <s v="CA-2017-164378"/>
    <d v="2017-07-15T00:00:00"/>
    <x v="3"/>
    <s v="Q3"/>
    <x v="10"/>
    <d v="2017-07-18T00:00:00"/>
    <s v="Second Class"/>
    <x v="514"/>
    <x v="514"/>
    <s v="Consumer"/>
    <s v="United States"/>
    <s v="New York City"/>
    <x v="15"/>
    <n v="10024"/>
    <x v="3"/>
    <x v="341"/>
    <x v="2"/>
    <x v="11"/>
    <x v="341"/>
    <n v="41.9"/>
    <s v="Medium"/>
    <n v="2"/>
    <n v="0"/>
    <x v="0"/>
    <x v="0"/>
    <n v="8.7989999999999995"/>
    <n v="0.21"/>
    <n v="0"/>
  </r>
  <r>
    <n v="5501"/>
    <s v="CA-2017-164378"/>
    <d v="2017-07-15T00:00:00"/>
    <x v="3"/>
    <s v="Q3"/>
    <x v="10"/>
    <d v="2017-07-18T00:00:00"/>
    <s v="Second Class"/>
    <x v="514"/>
    <x v="514"/>
    <s v="Consumer"/>
    <s v="United States"/>
    <s v="New York City"/>
    <x v="15"/>
    <n v="10024"/>
    <x v="3"/>
    <x v="1265"/>
    <x v="0"/>
    <x v="1"/>
    <x v="1249"/>
    <n v="664.14599999999996"/>
    <s v="High"/>
    <n v="6"/>
    <n v="0.1"/>
    <x v="3"/>
    <x v="8"/>
    <n v="88.552800000000005"/>
    <n v="0.13333333333333336"/>
    <n v="0"/>
  </r>
  <r>
    <n v="5502"/>
    <s v="CA-2017-164378"/>
    <d v="2017-07-15T00:00:00"/>
    <x v="3"/>
    <s v="Q3"/>
    <x v="10"/>
    <d v="2017-07-18T00:00:00"/>
    <s v="Second Class"/>
    <x v="514"/>
    <x v="514"/>
    <s v="Consumer"/>
    <s v="United States"/>
    <s v="New York City"/>
    <x v="15"/>
    <n v="10024"/>
    <x v="3"/>
    <x v="1056"/>
    <x v="1"/>
    <x v="10"/>
    <x v="1045"/>
    <n v="8.9600000000000009"/>
    <s v="Low"/>
    <n v="2"/>
    <n v="0"/>
    <x v="0"/>
    <x v="0"/>
    <n v="4.3903999999999996"/>
    <n v="0.48999999999999994"/>
    <n v="0"/>
  </r>
  <r>
    <n v="5503"/>
    <s v="CA-2017-127782"/>
    <d v="2017-11-02T00:00:00"/>
    <x v="3"/>
    <s v="Q4"/>
    <x v="23"/>
    <d v="2017-11-06T00:00:00"/>
    <s v="Standard Class"/>
    <x v="764"/>
    <x v="764"/>
    <s v="Corporate"/>
    <s v="United States"/>
    <s v="Philadelphia"/>
    <x v="9"/>
    <n v="19140"/>
    <x v="3"/>
    <x v="1379"/>
    <x v="0"/>
    <x v="5"/>
    <x v="1364"/>
    <n v="3.3119999999999998"/>
    <s v="Low"/>
    <n v="1"/>
    <n v="0.2"/>
    <x v="2"/>
    <x v="2"/>
    <n v="0.66239999999999999"/>
    <n v="0.2"/>
    <n v="0"/>
  </r>
  <r>
    <n v="5504"/>
    <s v="CA-2017-127782"/>
    <d v="2017-11-02T00:00:00"/>
    <x v="3"/>
    <s v="Q4"/>
    <x v="23"/>
    <d v="2017-11-06T00:00:00"/>
    <s v="Standard Class"/>
    <x v="764"/>
    <x v="764"/>
    <s v="Corporate"/>
    <s v="United States"/>
    <s v="Philadelphia"/>
    <x v="9"/>
    <n v="19140"/>
    <x v="3"/>
    <x v="1612"/>
    <x v="1"/>
    <x v="9"/>
    <x v="1603"/>
    <n v="20.135999999999999"/>
    <s v="Low"/>
    <n v="3"/>
    <n v="0.2"/>
    <x v="2"/>
    <x v="2"/>
    <n v="1.2585"/>
    <n v="6.25E-2"/>
    <n v="0"/>
  </r>
  <r>
    <n v="5505"/>
    <s v="CA-2017-127782"/>
    <d v="2017-11-02T00:00:00"/>
    <x v="3"/>
    <s v="Q4"/>
    <x v="23"/>
    <d v="2017-11-06T00:00:00"/>
    <s v="Standard Class"/>
    <x v="764"/>
    <x v="764"/>
    <s v="Corporate"/>
    <s v="United States"/>
    <s v="Philadelphia"/>
    <x v="9"/>
    <n v="19140"/>
    <x v="3"/>
    <x v="436"/>
    <x v="1"/>
    <x v="12"/>
    <x v="436"/>
    <n v="8.8559999999999999"/>
    <s v="Low"/>
    <n v="3"/>
    <n v="0.2"/>
    <x v="2"/>
    <x v="2"/>
    <n v="2.8782000000000001"/>
    <n v="0.32500000000000001"/>
    <n v="0"/>
  </r>
  <r>
    <n v="5506"/>
    <s v="CA-2017-127782"/>
    <d v="2017-11-02T00:00:00"/>
    <x v="3"/>
    <s v="Q4"/>
    <x v="23"/>
    <d v="2017-11-06T00:00:00"/>
    <s v="Standard Class"/>
    <x v="764"/>
    <x v="764"/>
    <s v="Corporate"/>
    <s v="United States"/>
    <s v="Philadelphia"/>
    <x v="9"/>
    <n v="19140"/>
    <x v="3"/>
    <x v="1118"/>
    <x v="2"/>
    <x v="7"/>
    <x v="1106"/>
    <n v="859.2"/>
    <s v="High"/>
    <n v="4"/>
    <n v="0.4"/>
    <x v="1"/>
    <x v="7"/>
    <n v="-186.16"/>
    <n v="-0.21666666666666665"/>
    <n v="1"/>
  </r>
  <r>
    <n v="5507"/>
    <s v="US-2016-162026"/>
    <d v="2016-10-08T00:00:00"/>
    <x v="0"/>
    <s v="Q4"/>
    <x v="32"/>
    <d v="2016-10-08T00:00:00"/>
    <s v="Same Day"/>
    <x v="32"/>
    <x v="32"/>
    <s v="Consumer"/>
    <s v="United States"/>
    <s v="Los Angeles"/>
    <x v="1"/>
    <n v="90036"/>
    <x v="1"/>
    <x v="1090"/>
    <x v="1"/>
    <x v="10"/>
    <x v="1080"/>
    <n v="61.96"/>
    <s v="Medium"/>
    <n v="2"/>
    <n v="0"/>
    <x v="0"/>
    <x v="0"/>
    <n v="27.882000000000001"/>
    <n v="0.45"/>
    <n v="0"/>
  </r>
  <r>
    <n v="5508"/>
    <s v="CA-2016-150000"/>
    <d v="2016-04-08T00:00:00"/>
    <x v="0"/>
    <s v="Q2"/>
    <x v="25"/>
    <d v="2016-04-14T00:00:00"/>
    <s v="Standard Class"/>
    <x v="310"/>
    <x v="310"/>
    <s v="Consumer"/>
    <s v="United States"/>
    <s v="Smyrna"/>
    <x v="32"/>
    <n v="30080"/>
    <x v="0"/>
    <x v="1343"/>
    <x v="1"/>
    <x v="12"/>
    <x v="1328"/>
    <n v="17.920000000000002"/>
    <s v="Low"/>
    <n v="4"/>
    <n v="0"/>
    <x v="0"/>
    <x v="0"/>
    <n v="8.6015999999999995"/>
    <n v="0.47999999999999993"/>
    <n v="0"/>
  </r>
  <r>
    <n v="5509"/>
    <s v="CA-2015-168529"/>
    <d v="2015-10-08T00:00:00"/>
    <x v="1"/>
    <s v="Q4"/>
    <x v="2"/>
    <d v="2015-10-12T00:00:00"/>
    <s v="Standard Class"/>
    <x v="93"/>
    <x v="93"/>
    <s v="Consumer"/>
    <s v="United States"/>
    <s v="San Francisco"/>
    <x v="1"/>
    <n v="94122"/>
    <x v="1"/>
    <x v="287"/>
    <x v="0"/>
    <x v="5"/>
    <x v="287"/>
    <n v="145.9"/>
    <s v="High"/>
    <n v="5"/>
    <n v="0"/>
    <x v="0"/>
    <x v="0"/>
    <n v="62.737000000000002"/>
    <n v="0.43"/>
    <n v="0"/>
  </r>
  <r>
    <n v="5510"/>
    <s v="US-2017-152569"/>
    <d v="2017-05-15T00:00:00"/>
    <x v="3"/>
    <s v="Q2"/>
    <x v="24"/>
    <d v="2017-05-20T00:00:00"/>
    <s v="Standard Class"/>
    <x v="557"/>
    <x v="557"/>
    <s v="Consumer"/>
    <s v="United States"/>
    <s v="Chicago"/>
    <x v="10"/>
    <n v="60653"/>
    <x v="2"/>
    <x v="129"/>
    <x v="1"/>
    <x v="10"/>
    <x v="130"/>
    <n v="56.704000000000001"/>
    <s v="Medium"/>
    <n v="2"/>
    <n v="0.2"/>
    <x v="2"/>
    <x v="2"/>
    <n v="19.137599999999999"/>
    <n v="0.33749999999999997"/>
    <n v="0"/>
  </r>
  <r>
    <n v="5511"/>
    <s v="US-2017-152569"/>
    <d v="2017-05-15T00:00:00"/>
    <x v="3"/>
    <s v="Q2"/>
    <x v="24"/>
    <d v="2017-05-20T00:00:00"/>
    <s v="Standard Class"/>
    <x v="557"/>
    <x v="557"/>
    <s v="Consumer"/>
    <s v="United States"/>
    <s v="Chicago"/>
    <x v="10"/>
    <n v="60653"/>
    <x v="2"/>
    <x v="1091"/>
    <x v="2"/>
    <x v="7"/>
    <x v="1081"/>
    <n v="11.12"/>
    <s v="Low"/>
    <n v="2"/>
    <n v="0.2"/>
    <x v="2"/>
    <x v="2"/>
    <n v="3.4750000000000001"/>
    <n v="0.31250000000000006"/>
    <n v="0"/>
  </r>
  <r>
    <n v="5512"/>
    <s v="US-2014-137680"/>
    <d v="2014-02-24T00:00:00"/>
    <x v="2"/>
    <s v="Q1"/>
    <x v="45"/>
    <d v="2014-03-02T00:00:00"/>
    <s v="Standard Class"/>
    <x v="371"/>
    <x v="371"/>
    <s v="Consumer"/>
    <s v="United States"/>
    <s v="Medford"/>
    <x v="21"/>
    <n v="97504"/>
    <x v="1"/>
    <x v="1536"/>
    <x v="1"/>
    <x v="10"/>
    <x v="1524"/>
    <n v="32.896000000000001"/>
    <s v="Medium"/>
    <n v="4"/>
    <n v="0.2"/>
    <x v="2"/>
    <x v="2"/>
    <n v="11.102399999999999"/>
    <n v="0.33749999999999997"/>
    <n v="0"/>
  </r>
  <r>
    <n v="5513"/>
    <s v="US-2014-137680"/>
    <d v="2014-02-24T00:00:00"/>
    <x v="2"/>
    <s v="Q1"/>
    <x v="45"/>
    <d v="2014-03-02T00:00:00"/>
    <s v="Standard Class"/>
    <x v="371"/>
    <x v="371"/>
    <s v="Consumer"/>
    <s v="United States"/>
    <s v="Medford"/>
    <x v="21"/>
    <n v="97504"/>
    <x v="1"/>
    <x v="1587"/>
    <x v="1"/>
    <x v="10"/>
    <x v="1578"/>
    <n v="22.776"/>
    <s v="Low"/>
    <n v="3"/>
    <n v="0.2"/>
    <x v="2"/>
    <x v="2"/>
    <n v="7.6868999999999996"/>
    <n v="0.33749999999999997"/>
    <n v="0"/>
  </r>
  <r>
    <n v="5514"/>
    <s v="CA-2015-103177"/>
    <d v="2015-05-30T00:00:00"/>
    <x v="1"/>
    <s v="Q2"/>
    <x v="33"/>
    <d v="2015-06-01T00:00:00"/>
    <s v="First Class"/>
    <x v="633"/>
    <x v="633"/>
    <s v="Consumer"/>
    <s v="United States"/>
    <s v="New York City"/>
    <x v="15"/>
    <n v="10009"/>
    <x v="3"/>
    <x v="647"/>
    <x v="2"/>
    <x v="7"/>
    <x v="1735"/>
    <n v="239.97"/>
    <s v="High"/>
    <n v="3"/>
    <n v="0"/>
    <x v="0"/>
    <x v="0"/>
    <n v="2.3997000000000002"/>
    <n v="0.01"/>
    <n v="0"/>
  </r>
  <r>
    <n v="5515"/>
    <s v="CA-2015-103177"/>
    <d v="2015-05-30T00:00:00"/>
    <x v="1"/>
    <s v="Q2"/>
    <x v="33"/>
    <d v="2015-06-01T00:00:00"/>
    <s v="First Class"/>
    <x v="633"/>
    <x v="633"/>
    <s v="Consumer"/>
    <s v="United States"/>
    <s v="New York City"/>
    <x v="15"/>
    <n v="10009"/>
    <x v="3"/>
    <x v="1317"/>
    <x v="1"/>
    <x v="9"/>
    <x v="1303"/>
    <n v="160.32"/>
    <s v="High"/>
    <n v="2"/>
    <n v="0"/>
    <x v="0"/>
    <x v="0"/>
    <n v="44.889600000000002"/>
    <n v="0.28000000000000003"/>
    <n v="0"/>
  </r>
  <r>
    <n v="5516"/>
    <s v="CA-2015-103177"/>
    <d v="2015-05-30T00:00:00"/>
    <x v="1"/>
    <s v="Q2"/>
    <x v="33"/>
    <d v="2015-06-01T00:00:00"/>
    <s v="First Class"/>
    <x v="633"/>
    <x v="633"/>
    <s v="Consumer"/>
    <s v="United States"/>
    <s v="New York City"/>
    <x v="15"/>
    <n v="10009"/>
    <x v="3"/>
    <x v="1300"/>
    <x v="2"/>
    <x v="7"/>
    <x v="1285"/>
    <n v="128.85"/>
    <s v="High"/>
    <n v="3"/>
    <n v="0"/>
    <x v="0"/>
    <x v="0"/>
    <n v="3.8654999999999999"/>
    <n v="3.0000000000000002E-2"/>
    <n v="0"/>
  </r>
  <r>
    <n v="5517"/>
    <s v="US-2016-138408"/>
    <d v="2016-11-18T00:00:00"/>
    <x v="0"/>
    <s v="Q4"/>
    <x v="0"/>
    <d v="2016-11-21T00:00:00"/>
    <s v="Second Class"/>
    <x v="346"/>
    <x v="346"/>
    <s v="Corporate"/>
    <s v="United States"/>
    <s v="Huntsville"/>
    <x v="19"/>
    <n v="35810"/>
    <x v="0"/>
    <x v="1738"/>
    <x v="2"/>
    <x v="11"/>
    <x v="1727"/>
    <n v="1319.96"/>
    <s v="High"/>
    <n v="4"/>
    <n v="0"/>
    <x v="0"/>
    <x v="0"/>
    <n v="527.98400000000004"/>
    <n v="0.4"/>
    <n v="0"/>
  </r>
  <r>
    <n v="5518"/>
    <s v="CA-2017-117667"/>
    <d v="2017-12-04T00:00:00"/>
    <x v="3"/>
    <s v="Q4"/>
    <x v="22"/>
    <d v="2017-12-09T00:00:00"/>
    <s v="Standard Class"/>
    <x v="99"/>
    <x v="99"/>
    <s v="Corporate"/>
    <s v="United States"/>
    <s v="Philadelphia"/>
    <x v="9"/>
    <n v="19134"/>
    <x v="3"/>
    <x v="877"/>
    <x v="0"/>
    <x v="1"/>
    <x v="871"/>
    <n v="239.96"/>
    <s v="High"/>
    <n v="10"/>
    <n v="0.3"/>
    <x v="1"/>
    <x v="4"/>
    <n v="-10.284000000000001"/>
    <n v="-4.2857142857142858E-2"/>
    <n v="1"/>
  </r>
  <r>
    <n v="5519"/>
    <s v="CA-2017-117667"/>
    <d v="2017-12-04T00:00:00"/>
    <x v="3"/>
    <s v="Q4"/>
    <x v="22"/>
    <d v="2017-12-09T00:00:00"/>
    <s v="Standard Class"/>
    <x v="99"/>
    <x v="99"/>
    <s v="Corporate"/>
    <s v="United States"/>
    <s v="Philadelphia"/>
    <x v="9"/>
    <n v="19134"/>
    <x v="3"/>
    <x v="1182"/>
    <x v="0"/>
    <x v="5"/>
    <x v="1168"/>
    <n v="54.768000000000001"/>
    <s v="Medium"/>
    <n v="2"/>
    <n v="0.2"/>
    <x v="2"/>
    <x v="2"/>
    <n v="6.8460000000000001"/>
    <n v="0.125"/>
    <n v="0"/>
  </r>
  <r>
    <n v="5520"/>
    <s v="CA-2017-117667"/>
    <d v="2017-12-04T00:00:00"/>
    <x v="3"/>
    <s v="Q4"/>
    <x v="22"/>
    <d v="2017-12-09T00:00:00"/>
    <s v="Standard Class"/>
    <x v="99"/>
    <x v="99"/>
    <s v="Corporate"/>
    <s v="United States"/>
    <s v="Philadelphia"/>
    <x v="9"/>
    <n v="19134"/>
    <x v="3"/>
    <x v="796"/>
    <x v="1"/>
    <x v="6"/>
    <x v="794"/>
    <n v="13.391999999999999"/>
    <s v="Low"/>
    <n v="3"/>
    <n v="0.2"/>
    <x v="2"/>
    <x v="2"/>
    <n v="3.1806000000000001"/>
    <n v="0.23750000000000002"/>
    <n v="0"/>
  </r>
  <r>
    <n v="5521"/>
    <s v="CA-2017-117667"/>
    <d v="2017-12-04T00:00:00"/>
    <x v="3"/>
    <s v="Q4"/>
    <x v="22"/>
    <d v="2017-12-09T00:00:00"/>
    <s v="Standard Class"/>
    <x v="99"/>
    <x v="99"/>
    <s v="Corporate"/>
    <s v="United States"/>
    <s v="Philadelphia"/>
    <x v="9"/>
    <n v="19134"/>
    <x v="3"/>
    <x v="1679"/>
    <x v="1"/>
    <x v="10"/>
    <x v="1667"/>
    <n v="23.92"/>
    <s v="Low"/>
    <n v="5"/>
    <n v="0.2"/>
    <x v="2"/>
    <x v="2"/>
    <n v="8.6709999999999994"/>
    <n v="0.36249999999999993"/>
    <n v="0"/>
  </r>
  <r>
    <n v="5522"/>
    <s v="CA-2017-117667"/>
    <d v="2017-12-04T00:00:00"/>
    <x v="3"/>
    <s v="Q4"/>
    <x v="22"/>
    <d v="2017-12-09T00:00:00"/>
    <s v="Standard Class"/>
    <x v="99"/>
    <x v="99"/>
    <s v="Corporate"/>
    <s v="United States"/>
    <s v="Philadelphia"/>
    <x v="9"/>
    <n v="19134"/>
    <x v="3"/>
    <x v="914"/>
    <x v="2"/>
    <x v="11"/>
    <x v="906"/>
    <n v="255.96799999999999"/>
    <s v="High"/>
    <n v="4"/>
    <n v="0.2"/>
    <x v="2"/>
    <x v="2"/>
    <n v="-28.796399999999998"/>
    <n v="-0.1125"/>
    <n v="1"/>
  </r>
  <r>
    <n v="5523"/>
    <s v="CA-2016-110982"/>
    <d v="2016-06-05T00:00:00"/>
    <x v="0"/>
    <s v="Q2"/>
    <x v="1"/>
    <d v="2016-06-07T00:00:00"/>
    <s v="First Class"/>
    <x v="237"/>
    <x v="237"/>
    <s v="Consumer"/>
    <s v="United States"/>
    <s v="Santa Clara"/>
    <x v="1"/>
    <n v="95051"/>
    <x v="1"/>
    <x v="1366"/>
    <x v="1"/>
    <x v="8"/>
    <x v="307"/>
    <n v="21.552"/>
    <s v="Low"/>
    <n v="6"/>
    <n v="0.2"/>
    <x v="2"/>
    <x v="2"/>
    <n v="7.0044000000000004"/>
    <n v="0.32500000000000001"/>
    <n v="0"/>
  </r>
  <r>
    <n v="5524"/>
    <s v="CA-2016-110982"/>
    <d v="2016-06-05T00:00:00"/>
    <x v="0"/>
    <s v="Q2"/>
    <x v="1"/>
    <d v="2016-06-07T00:00:00"/>
    <s v="First Class"/>
    <x v="237"/>
    <x v="237"/>
    <s v="Consumer"/>
    <s v="United States"/>
    <s v="Santa Clara"/>
    <x v="1"/>
    <n v="95051"/>
    <x v="1"/>
    <x v="937"/>
    <x v="1"/>
    <x v="9"/>
    <x v="930"/>
    <n v="58.24"/>
    <s v="Medium"/>
    <n v="4"/>
    <n v="0"/>
    <x v="0"/>
    <x v="0"/>
    <n v="15.7248"/>
    <n v="0.27"/>
    <n v="0"/>
  </r>
  <r>
    <n v="5525"/>
    <s v="CA-2016-147123"/>
    <d v="2016-12-10T00:00:00"/>
    <x v="0"/>
    <s v="Q4"/>
    <x v="5"/>
    <d v="2016-12-12T00:00:00"/>
    <s v="First Class"/>
    <x v="319"/>
    <x v="319"/>
    <s v="Home Office"/>
    <s v="United States"/>
    <s v="Long Beach"/>
    <x v="1"/>
    <n v="90805"/>
    <x v="1"/>
    <x v="1070"/>
    <x v="1"/>
    <x v="10"/>
    <x v="1059"/>
    <n v="80.28"/>
    <s v="Medium"/>
    <n v="12"/>
    <n v="0"/>
    <x v="0"/>
    <x v="0"/>
    <n v="36.928800000000003"/>
    <n v="0.46"/>
    <n v="0"/>
  </r>
  <r>
    <n v="5526"/>
    <s v="CA-2017-154501"/>
    <d v="2017-04-30T00:00:00"/>
    <x v="3"/>
    <s v="Q2"/>
    <x v="4"/>
    <d v="2017-05-05T00:00:00"/>
    <s v="Standard Class"/>
    <x v="105"/>
    <x v="105"/>
    <s v="Corporate"/>
    <s v="United States"/>
    <s v="Los Angeles"/>
    <x v="1"/>
    <n v="90008"/>
    <x v="1"/>
    <x v="282"/>
    <x v="1"/>
    <x v="6"/>
    <x v="282"/>
    <n v="9.7799999999999994"/>
    <s v="Low"/>
    <n v="2"/>
    <n v="0"/>
    <x v="0"/>
    <x v="0"/>
    <n v="4.0098000000000003"/>
    <n v="0.41000000000000003"/>
    <n v="0"/>
  </r>
  <r>
    <n v="5527"/>
    <s v="CA-2017-166933"/>
    <d v="2017-04-24T00:00:00"/>
    <x v="3"/>
    <s v="Q2"/>
    <x v="4"/>
    <d v="2017-04-28T00:00:00"/>
    <s v="Standard Class"/>
    <x v="450"/>
    <x v="450"/>
    <s v="Home Office"/>
    <s v="United States"/>
    <s v="Santa Barbara"/>
    <x v="1"/>
    <n v="93101"/>
    <x v="1"/>
    <x v="1088"/>
    <x v="1"/>
    <x v="13"/>
    <x v="1078"/>
    <n v="1.81"/>
    <s v="Low"/>
    <n v="1"/>
    <n v="0"/>
    <x v="0"/>
    <x v="0"/>
    <n v="0.65159999999999996"/>
    <n v="0.36"/>
    <n v="0"/>
  </r>
  <r>
    <n v="5528"/>
    <s v="CA-2015-142055"/>
    <d v="2015-05-08T00:00:00"/>
    <x v="1"/>
    <s v="Q2"/>
    <x v="33"/>
    <d v="2015-05-10T00:00:00"/>
    <s v="First Class"/>
    <x v="437"/>
    <x v="437"/>
    <s v="Home Office"/>
    <s v="United States"/>
    <s v="New York City"/>
    <x v="15"/>
    <n v="10009"/>
    <x v="3"/>
    <x v="423"/>
    <x v="1"/>
    <x v="10"/>
    <x v="423"/>
    <n v="37.94"/>
    <s v="Medium"/>
    <n v="2"/>
    <n v="0"/>
    <x v="0"/>
    <x v="0"/>
    <n v="18.211200000000002"/>
    <n v="0.48000000000000009"/>
    <n v="0"/>
  </r>
  <r>
    <n v="5529"/>
    <s v="CA-2015-137106"/>
    <d v="2015-03-31T00:00:00"/>
    <x v="1"/>
    <s v="Q1"/>
    <x v="29"/>
    <d v="2015-04-04T00:00:00"/>
    <s v="Standard Class"/>
    <x v="609"/>
    <x v="609"/>
    <s v="Corporate"/>
    <s v="United States"/>
    <s v="Jacksonville"/>
    <x v="2"/>
    <n v="32216"/>
    <x v="0"/>
    <x v="222"/>
    <x v="2"/>
    <x v="7"/>
    <x v="223"/>
    <n v="79.959999999999994"/>
    <s v="Medium"/>
    <n v="5"/>
    <n v="0.2"/>
    <x v="2"/>
    <x v="2"/>
    <n v="27.986000000000001"/>
    <n v="0.35000000000000003"/>
    <n v="0"/>
  </r>
  <r>
    <n v="5530"/>
    <s v="CA-2017-136609"/>
    <d v="2017-08-06T00:00:00"/>
    <x v="3"/>
    <s v="Q3"/>
    <x v="43"/>
    <d v="2017-08-11T00:00:00"/>
    <s v="Standard Class"/>
    <x v="422"/>
    <x v="422"/>
    <s v="Corporate"/>
    <s v="United States"/>
    <s v="Cedar Hill"/>
    <x v="5"/>
    <n v="75104"/>
    <x v="2"/>
    <x v="1696"/>
    <x v="1"/>
    <x v="10"/>
    <x v="1684"/>
    <n v="115.29600000000001"/>
    <s v="Medium"/>
    <n v="3"/>
    <n v="0.2"/>
    <x v="2"/>
    <x v="2"/>
    <n v="40.3536"/>
    <n v="0.35"/>
    <n v="0"/>
  </r>
  <r>
    <n v="5531"/>
    <s v="CA-2017-160885"/>
    <d v="2017-12-02T00:00:00"/>
    <x v="3"/>
    <s v="Q4"/>
    <x v="22"/>
    <d v="2017-12-06T00:00:00"/>
    <s v="Standard Class"/>
    <x v="765"/>
    <x v="765"/>
    <s v="Consumer"/>
    <s v="United States"/>
    <s v="Omaha"/>
    <x v="8"/>
    <n v="68104"/>
    <x v="2"/>
    <x v="647"/>
    <x v="2"/>
    <x v="7"/>
    <x v="647"/>
    <n v="2479.96"/>
    <s v="High"/>
    <n v="4"/>
    <n v="0"/>
    <x v="0"/>
    <x v="0"/>
    <n v="743.98800000000006"/>
    <n v="0.30000000000000004"/>
    <n v="0"/>
  </r>
  <r>
    <n v="5532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1016"/>
    <x v="2"/>
    <x v="11"/>
    <x v="1007"/>
    <n v="179.94"/>
    <s v="High"/>
    <n v="6"/>
    <n v="0"/>
    <x v="0"/>
    <x v="0"/>
    <n v="75.574799999999996"/>
    <n v="0.42"/>
    <n v="0"/>
  </r>
  <r>
    <n v="5533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1044"/>
    <x v="2"/>
    <x v="11"/>
    <x v="1033"/>
    <n v="26.85"/>
    <s v="Medium"/>
    <n v="3"/>
    <n v="0"/>
    <x v="0"/>
    <x v="0"/>
    <n v="5.1014999999999997"/>
    <n v="0.18999999999999997"/>
    <n v="0"/>
  </r>
  <r>
    <n v="5534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619"/>
    <x v="2"/>
    <x v="11"/>
    <x v="619"/>
    <n v="323.37"/>
    <s v="High"/>
    <n v="3"/>
    <n v="0"/>
    <x v="0"/>
    <x v="0"/>
    <n v="129.34800000000001"/>
    <n v="0.4"/>
    <n v="0"/>
  </r>
  <r>
    <n v="5535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368"/>
    <x v="1"/>
    <x v="10"/>
    <x v="369"/>
    <n v="59.94"/>
    <s v="Medium"/>
    <n v="3"/>
    <n v="0"/>
    <x v="0"/>
    <x v="0"/>
    <n v="28.171800000000001"/>
    <n v="0.47000000000000003"/>
    <n v="0"/>
  </r>
  <r>
    <n v="5536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94"/>
    <x v="1"/>
    <x v="8"/>
    <x v="94"/>
    <n v="64.14"/>
    <s v="Medium"/>
    <n v="3"/>
    <n v="0"/>
    <x v="0"/>
    <x v="0"/>
    <n v="30.787199999999999"/>
    <n v="0.48"/>
    <n v="0"/>
  </r>
  <r>
    <n v="5537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1065"/>
    <x v="1"/>
    <x v="8"/>
    <x v="1054"/>
    <n v="11.67"/>
    <s v="Low"/>
    <n v="3"/>
    <n v="0"/>
    <x v="0"/>
    <x v="0"/>
    <n v="5.6016000000000004"/>
    <n v="0.48000000000000004"/>
    <n v="0"/>
  </r>
  <r>
    <n v="5538"/>
    <s v="US-2016-167472"/>
    <d v="2016-06-06T00:00:00"/>
    <x v="0"/>
    <s v="Q2"/>
    <x v="1"/>
    <d v="2016-06-07T00:00:00"/>
    <s v="First Class"/>
    <x v="242"/>
    <x v="242"/>
    <s v="Consumer"/>
    <s v="United States"/>
    <s v="Little Rock"/>
    <x v="36"/>
    <n v="72209"/>
    <x v="0"/>
    <x v="1483"/>
    <x v="1"/>
    <x v="10"/>
    <x v="1470"/>
    <n v="12.96"/>
    <s v="Low"/>
    <n v="2"/>
    <n v="0"/>
    <x v="0"/>
    <x v="0"/>
    <n v="6.2207999999999997"/>
    <n v="0.47999999999999993"/>
    <n v="0"/>
  </r>
  <r>
    <n v="5539"/>
    <s v="CA-2015-120551"/>
    <d v="2015-04-13T00:00:00"/>
    <x v="1"/>
    <s v="Q2"/>
    <x v="19"/>
    <d v="2015-04-20T00:00:00"/>
    <s v="Standard Class"/>
    <x v="196"/>
    <x v="196"/>
    <s v="Consumer"/>
    <s v="United States"/>
    <s v="Norfolk"/>
    <x v="8"/>
    <n v="68701"/>
    <x v="2"/>
    <x v="699"/>
    <x v="1"/>
    <x v="8"/>
    <x v="699"/>
    <n v="17.43"/>
    <s v="Low"/>
    <n v="3"/>
    <n v="0"/>
    <x v="0"/>
    <x v="0"/>
    <n v="8.0177999999999994"/>
    <n v="0.45999999999999996"/>
    <n v="0"/>
  </r>
  <r>
    <n v="5540"/>
    <s v="US-2017-150595"/>
    <d v="2017-05-22T00:00:00"/>
    <x v="3"/>
    <s v="Q2"/>
    <x v="24"/>
    <d v="2017-05-26T00:00:00"/>
    <s v="Standard Class"/>
    <x v="97"/>
    <x v="97"/>
    <s v="Consumer"/>
    <s v="United States"/>
    <s v="Chicago"/>
    <x v="10"/>
    <n v="60653"/>
    <x v="2"/>
    <x v="70"/>
    <x v="0"/>
    <x v="1"/>
    <x v="70"/>
    <n v="181.98599999999999"/>
    <s v="High"/>
    <n v="2"/>
    <n v="0.3"/>
    <x v="1"/>
    <x v="4"/>
    <n v="-54.595799999999997"/>
    <n v="-0.3"/>
    <n v="1"/>
  </r>
  <r>
    <n v="5541"/>
    <s v="US-2017-150595"/>
    <d v="2017-05-22T00:00:00"/>
    <x v="3"/>
    <s v="Q2"/>
    <x v="24"/>
    <d v="2017-05-26T00:00:00"/>
    <s v="Standard Class"/>
    <x v="97"/>
    <x v="97"/>
    <s v="Consumer"/>
    <s v="United States"/>
    <s v="Chicago"/>
    <x v="10"/>
    <n v="60653"/>
    <x v="2"/>
    <x v="122"/>
    <x v="1"/>
    <x v="8"/>
    <x v="122"/>
    <n v="1.5920000000000001"/>
    <s v="Low"/>
    <n v="2"/>
    <n v="0.8"/>
    <x v="1"/>
    <x v="3"/>
    <n v="-2.6267999999999998"/>
    <n v="-1.6499999999999997"/>
    <n v="1"/>
  </r>
  <r>
    <n v="5542"/>
    <s v="US-2017-150595"/>
    <d v="2017-05-22T00:00:00"/>
    <x v="3"/>
    <s v="Q2"/>
    <x v="24"/>
    <d v="2017-05-26T00:00:00"/>
    <s v="Standard Class"/>
    <x v="97"/>
    <x v="97"/>
    <s v="Consumer"/>
    <s v="United States"/>
    <s v="Chicago"/>
    <x v="10"/>
    <n v="60653"/>
    <x v="2"/>
    <x v="660"/>
    <x v="1"/>
    <x v="14"/>
    <x v="660"/>
    <n v="22.344000000000001"/>
    <s v="Low"/>
    <n v="3"/>
    <n v="0.2"/>
    <x v="2"/>
    <x v="2"/>
    <n v="2.5137"/>
    <n v="0.1125"/>
    <n v="0"/>
  </r>
  <r>
    <n v="5543"/>
    <s v="CA-2016-134936"/>
    <d v="2016-12-19T00:00:00"/>
    <x v="0"/>
    <s v="Q4"/>
    <x v="5"/>
    <d v="2016-12-25T00:00:00"/>
    <s v="Standard Class"/>
    <x v="20"/>
    <x v="20"/>
    <s v="Corporate"/>
    <s v="United States"/>
    <s v="Tucson"/>
    <x v="16"/>
    <n v="85705"/>
    <x v="1"/>
    <x v="1746"/>
    <x v="0"/>
    <x v="3"/>
    <x v="1736"/>
    <n v="455.97"/>
    <s v="High"/>
    <n v="6"/>
    <n v="0.5"/>
    <x v="1"/>
    <x v="1"/>
    <n v="-218.8656"/>
    <n v="-0.48"/>
    <n v="1"/>
  </r>
  <r>
    <n v="5544"/>
    <s v="CA-2016-134936"/>
    <d v="2016-12-19T00:00:00"/>
    <x v="0"/>
    <s v="Q4"/>
    <x v="5"/>
    <d v="2016-12-25T00:00:00"/>
    <s v="Standard Class"/>
    <x v="20"/>
    <x v="20"/>
    <s v="Corporate"/>
    <s v="United States"/>
    <s v="Tucson"/>
    <x v="16"/>
    <n v="85705"/>
    <x v="1"/>
    <x v="1458"/>
    <x v="1"/>
    <x v="8"/>
    <x v="1444"/>
    <n v="10.44"/>
    <s v="Low"/>
    <n v="6"/>
    <n v="0.7"/>
    <x v="1"/>
    <x v="5"/>
    <n v="-7.6559999999999997"/>
    <n v="-0.73333333333333339"/>
    <n v="1"/>
  </r>
  <r>
    <n v="5545"/>
    <s v="CA-2016-134936"/>
    <d v="2016-12-19T00:00:00"/>
    <x v="0"/>
    <s v="Q4"/>
    <x v="5"/>
    <d v="2016-12-25T00:00:00"/>
    <s v="Standard Class"/>
    <x v="20"/>
    <x v="20"/>
    <s v="Corporate"/>
    <s v="United States"/>
    <s v="Tucson"/>
    <x v="16"/>
    <n v="85705"/>
    <x v="1"/>
    <x v="530"/>
    <x v="1"/>
    <x v="8"/>
    <x v="530"/>
    <n v="5.2140000000000004"/>
    <s v="Low"/>
    <n v="2"/>
    <n v="0.7"/>
    <x v="1"/>
    <x v="5"/>
    <n v="-4.1711999999999998"/>
    <n v="-0.79999999999999993"/>
    <n v="1"/>
  </r>
  <r>
    <n v="5546"/>
    <s v="CA-2017-102967"/>
    <d v="2017-09-22T00:00:00"/>
    <x v="3"/>
    <s v="Q3"/>
    <x v="15"/>
    <d v="2017-09-26T00:00:00"/>
    <s v="Standard Class"/>
    <x v="450"/>
    <x v="450"/>
    <s v="Home Office"/>
    <s v="United States"/>
    <s v="Concord"/>
    <x v="38"/>
    <n v="3301"/>
    <x v="3"/>
    <x v="146"/>
    <x v="1"/>
    <x v="4"/>
    <x v="147"/>
    <n v="67.400000000000006"/>
    <s v="Medium"/>
    <n v="5"/>
    <n v="0"/>
    <x v="0"/>
    <x v="0"/>
    <n v="17.524000000000001"/>
    <n v="0.26"/>
    <n v="0"/>
  </r>
  <r>
    <n v="5547"/>
    <s v="CA-2017-151008"/>
    <d v="2017-09-07T00:00:00"/>
    <x v="3"/>
    <s v="Q3"/>
    <x v="15"/>
    <d v="2017-09-08T00:00:00"/>
    <s v="First Class"/>
    <x v="594"/>
    <x v="594"/>
    <s v="Consumer"/>
    <s v="United States"/>
    <s v="Draper"/>
    <x v="7"/>
    <n v="84020"/>
    <x v="1"/>
    <x v="1598"/>
    <x v="0"/>
    <x v="5"/>
    <x v="1590"/>
    <n v="25.16"/>
    <s v="Medium"/>
    <n v="2"/>
    <n v="0"/>
    <x v="0"/>
    <x v="0"/>
    <n v="10.5672"/>
    <n v="0.42"/>
    <n v="0"/>
  </r>
  <r>
    <n v="5548"/>
    <s v="CA-2017-151008"/>
    <d v="2017-09-07T00:00:00"/>
    <x v="3"/>
    <s v="Q3"/>
    <x v="15"/>
    <d v="2017-09-08T00:00:00"/>
    <s v="First Class"/>
    <x v="594"/>
    <x v="594"/>
    <s v="Consumer"/>
    <s v="United States"/>
    <s v="Draper"/>
    <x v="7"/>
    <n v="84020"/>
    <x v="1"/>
    <x v="1255"/>
    <x v="2"/>
    <x v="7"/>
    <x v="1239"/>
    <n v="126.56"/>
    <s v="High"/>
    <n v="4"/>
    <n v="0.2"/>
    <x v="2"/>
    <x v="2"/>
    <n v="47.46"/>
    <n v="0.375"/>
    <n v="0"/>
  </r>
  <r>
    <n v="5549"/>
    <s v="CA-2014-159800"/>
    <d v="2014-11-28T00:00:00"/>
    <x v="2"/>
    <s v="Q4"/>
    <x v="7"/>
    <d v="2014-12-01T00:00:00"/>
    <s v="First Class"/>
    <x v="495"/>
    <x v="495"/>
    <s v="Consumer"/>
    <s v="United States"/>
    <s v="San Francisco"/>
    <x v="1"/>
    <n v="94109"/>
    <x v="1"/>
    <x v="937"/>
    <x v="1"/>
    <x v="9"/>
    <x v="930"/>
    <n v="43.68"/>
    <s v="Medium"/>
    <n v="3"/>
    <n v="0"/>
    <x v="0"/>
    <x v="0"/>
    <n v="11.7936"/>
    <n v="0.27"/>
    <n v="0"/>
  </r>
  <r>
    <n v="5550"/>
    <s v="CA-2014-159800"/>
    <d v="2014-11-28T00:00:00"/>
    <x v="2"/>
    <s v="Q4"/>
    <x v="7"/>
    <d v="2014-12-01T00:00:00"/>
    <s v="First Class"/>
    <x v="495"/>
    <x v="495"/>
    <s v="Consumer"/>
    <s v="United States"/>
    <s v="San Francisco"/>
    <x v="1"/>
    <n v="94109"/>
    <x v="1"/>
    <x v="808"/>
    <x v="2"/>
    <x v="11"/>
    <x v="806"/>
    <n v="139.93"/>
    <s v="High"/>
    <n v="7"/>
    <n v="0"/>
    <x v="0"/>
    <x v="0"/>
    <n v="34.982500000000002"/>
    <n v="0.25"/>
    <n v="0"/>
  </r>
  <r>
    <n v="5551"/>
    <s v="US-2014-159618"/>
    <d v="2014-11-12T00:00:00"/>
    <x v="2"/>
    <s v="Q4"/>
    <x v="7"/>
    <d v="2014-11-16T00:00:00"/>
    <s v="Standard Class"/>
    <x v="715"/>
    <x v="715"/>
    <s v="Corporate"/>
    <s v="United States"/>
    <s v="Houston"/>
    <x v="5"/>
    <n v="77036"/>
    <x v="2"/>
    <x v="1412"/>
    <x v="1"/>
    <x v="6"/>
    <x v="1399"/>
    <n v="2.6720000000000002"/>
    <s v="Low"/>
    <n v="1"/>
    <n v="0.2"/>
    <x v="2"/>
    <x v="2"/>
    <n v="0.33400000000000002"/>
    <n v="0.125"/>
    <n v="0"/>
  </r>
  <r>
    <n v="5552"/>
    <s v="US-2014-159618"/>
    <d v="2014-11-12T00:00:00"/>
    <x v="2"/>
    <s v="Q4"/>
    <x v="7"/>
    <d v="2014-11-16T00:00:00"/>
    <s v="Standard Class"/>
    <x v="715"/>
    <x v="715"/>
    <s v="Corporate"/>
    <s v="United States"/>
    <s v="Houston"/>
    <x v="5"/>
    <n v="77036"/>
    <x v="2"/>
    <x v="1567"/>
    <x v="1"/>
    <x v="14"/>
    <x v="1558"/>
    <n v="16.655999999999999"/>
    <s v="Low"/>
    <n v="6"/>
    <n v="0.2"/>
    <x v="2"/>
    <x v="2"/>
    <n v="-3.1230000000000002"/>
    <n v="-0.18750000000000003"/>
    <n v="1"/>
  </r>
  <r>
    <n v="5553"/>
    <s v="US-2014-159618"/>
    <d v="2014-11-12T00:00:00"/>
    <x v="2"/>
    <s v="Q4"/>
    <x v="7"/>
    <d v="2014-11-16T00:00:00"/>
    <s v="Standard Class"/>
    <x v="715"/>
    <x v="715"/>
    <s v="Corporate"/>
    <s v="United States"/>
    <s v="Houston"/>
    <x v="5"/>
    <n v="77036"/>
    <x v="2"/>
    <x v="217"/>
    <x v="2"/>
    <x v="11"/>
    <x v="463"/>
    <n v="79.512"/>
    <s v="Medium"/>
    <n v="3"/>
    <n v="0.2"/>
    <x v="2"/>
    <x v="2"/>
    <n v="20.8719"/>
    <n v="0.26250000000000001"/>
    <n v="0"/>
  </r>
  <r>
    <n v="5554"/>
    <s v="US-2014-159618"/>
    <d v="2014-11-12T00:00:00"/>
    <x v="2"/>
    <s v="Q4"/>
    <x v="7"/>
    <d v="2014-11-16T00:00:00"/>
    <s v="Standard Class"/>
    <x v="715"/>
    <x v="715"/>
    <s v="Corporate"/>
    <s v="United States"/>
    <s v="Houston"/>
    <x v="5"/>
    <n v="77036"/>
    <x v="2"/>
    <x v="260"/>
    <x v="1"/>
    <x v="10"/>
    <x v="260"/>
    <n v="36.287999999999997"/>
    <s v="Medium"/>
    <n v="7"/>
    <n v="0.2"/>
    <x v="2"/>
    <x v="2"/>
    <n v="12.700799999999999"/>
    <n v="0.35000000000000003"/>
    <n v="0"/>
  </r>
  <r>
    <n v="5555"/>
    <s v="US-2014-159618"/>
    <d v="2014-11-12T00:00:00"/>
    <x v="2"/>
    <s v="Q4"/>
    <x v="7"/>
    <d v="2014-11-16T00:00:00"/>
    <s v="Standard Class"/>
    <x v="715"/>
    <x v="715"/>
    <s v="Corporate"/>
    <s v="United States"/>
    <s v="Houston"/>
    <x v="5"/>
    <n v="77036"/>
    <x v="2"/>
    <x v="899"/>
    <x v="0"/>
    <x v="0"/>
    <x v="892"/>
    <n v="67.993200000000002"/>
    <s v="Medium"/>
    <n v="1"/>
    <n v="0.32"/>
    <x v="1"/>
    <x v="7"/>
    <n v="-12.998699999999999"/>
    <n v="-0.19117647058823528"/>
    <n v="1"/>
  </r>
  <r>
    <n v="5556"/>
    <s v="CA-2017-116113"/>
    <d v="2017-10-02T00:00:00"/>
    <x v="3"/>
    <s v="Q4"/>
    <x v="13"/>
    <d v="2017-10-06T00:00:00"/>
    <s v="Second Class"/>
    <x v="478"/>
    <x v="478"/>
    <s v="Corporate"/>
    <s v="United States"/>
    <s v="Montgomery"/>
    <x v="19"/>
    <n v="36116"/>
    <x v="0"/>
    <x v="1524"/>
    <x v="0"/>
    <x v="5"/>
    <x v="1511"/>
    <n v="10.16"/>
    <s v="Low"/>
    <n v="2"/>
    <n v="0"/>
    <x v="0"/>
    <x v="0"/>
    <n v="3.4544000000000001"/>
    <n v="0.34"/>
    <n v="0"/>
  </r>
  <r>
    <n v="5557"/>
    <s v="CA-2015-125066"/>
    <d v="2015-12-14T00:00:00"/>
    <x v="1"/>
    <s v="Q4"/>
    <x v="14"/>
    <d v="2015-12-18T00:00:00"/>
    <s v="Standard Class"/>
    <x v="470"/>
    <x v="470"/>
    <s v="Corporate"/>
    <s v="United States"/>
    <s v="Jackson"/>
    <x v="35"/>
    <n v="39212"/>
    <x v="0"/>
    <x v="1392"/>
    <x v="0"/>
    <x v="5"/>
    <x v="1378"/>
    <n v="6.16"/>
    <s v="Low"/>
    <n v="2"/>
    <n v="0"/>
    <x v="0"/>
    <x v="0"/>
    <n v="1.9712000000000001"/>
    <n v="0.32"/>
    <n v="0"/>
  </r>
  <r>
    <n v="5558"/>
    <s v="CA-2015-125066"/>
    <d v="2015-12-14T00:00:00"/>
    <x v="1"/>
    <s v="Q4"/>
    <x v="14"/>
    <d v="2015-12-18T00:00:00"/>
    <s v="Standard Class"/>
    <x v="470"/>
    <x v="470"/>
    <s v="Corporate"/>
    <s v="United States"/>
    <s v="Jackson"/>
    <x v="35"/>
    <n v="39212"/>
    <x v="0"/>
    <x v="1473"/>
    <x v="1"/>
    <x v="6"/>
    <x v="1460"/>
    <n v="56.3"/>
    <s v="Medium"/>
    <n v="2"/>
    <n v="0"/>
    <x v="0"/>
    <x v="0"/>
    <n v="15.763999999999999"/>
    <n v="0.28000000000000003"/>
    <n v="0"/>
  </r>
  <r>
    <n v="5559"/>
    <s v="US-2015-114741"/>
    <d v="2015-12-06T00:00:00"/>
    <x v="1"/>
    <s v="Q4"/>
    <x v="14"/>
    <d v="2015-12-10T00:00:00"/>
    <s v="Standard Class"/>
    <x v="582"/>
    <x v="582"/>
    <s v="Consumer"/>
    <s v="United States"/>
    <s v="North Las Vegas"/>
    <x v="33"/>
    <n v="89031"/>
    <x v="1"/>
    <x v="1747"/>
    <x v="1"/>
    <x v="10"/>
    <x v="1737"/>
    <n v="6.48"/>
    <s v="Low"/>
    <n v="1"/>
    <n v="0"/>
    <x v="0"/>
    <x v="0"/>
    <n v="3.1103999999999998"/>
    <n v="0.47999999999999993"/>
    <n v="0"/>
  </r>
  <r>
    <n v="5560"/>
    <s v="US-2015-114741"/>
    <d v="2015-12-06T00:00:00"/>
    <x v="1"/>
    <s v="Q4"/>
    <x v="14"/>
    <d v="2015-12-10T00:00:00"/>
    <s v="Standard Class"/>
    <x v="582"/>
    <x v="582"/>
    <s v="Consumer"/>
    <s v="United States"/>
    <s v="North Las Vegas"/>
    <x v="33"/>
    <n v="89031"/>
    <x v="1"/>
    <x v="1244"/>
    <x v="1"/>
    <x v="4"/>
    <x v="1227"/>
    <n v="1325.85"/>
    <s v="High"/>
    <n v="5"/>
    <n v="0"/>
    <x v="0"/>
    <x v="0"/>
    <n v="238.65299999999999"/>
    <n v="0.18"/>
    <n v="0"/>
  </r>
  <r>
    <n v="5561"/>
    <s v="US-2015-114741"/>
    <d v="2015-12-06T00:00:00"/>
    <x v="1"/>
    <s v="Q4"/>
    <x v="14"/>
    <d v="2015-12-10T00:00:00"/>
    <s v="Standard Class"/>
    <x v="582"/>
    <x v="582"/>
    <s v="Consumer"/>
    <s v="United States"/>
    <s v="North Las Vegas"/>
    <x v="33"/>
    <n v="89031"/>
    <x v="1"/>
    <x v="690"/>
    <x v="1"/>
    <x v="2"/>
    <x v="690"/>
    <n v="14.94"/>
    <s v="Low"/>
    <n v="3"/>
    <n v="0"/>
    <x v="0"/>
    <x v="0"/>
    <n v="6.8723999999999998"/>
    <n v="0.46"/>
    <n v="0"/>
  </r>
  <r>
    <n v="5562"/>
    <s v="CA-2017-133263"/>
    <d v="2017-03-31T00:00:00"/>
    <x v="3"/>
    <s v="Q1"/>
    <x v="42"/>
    <d v="2017-04-02T00:00:00"/>
    <s v="Second Class"/>
    <x v="531"/>
    <x v="531"/>
    <s v="Corporate"/>
    <s v="United States"/>
    <s v="Atlanta"/>
    <x v="32"/>
    <n v="30318"/>
    <x v="0"/>
    <x v="303"/>
    <x v="1"/>
    <x v="8"/>
    <x v="303"/>
    <n v="34.54"/>
    <s v="Medium"/>
    <n v="1"/>
    <n v="0"/>
    <x v="0"/>
    <x v="0"/>
    <n v="17.27"/>
    <n v="0.5"/>
    <n v="0"/>
  </r>
  <r>
    <n v="5563"/>
    <s v="CA-2017-133263"/>
    <d v="2017-03-31T00:00:00"/>
    <x v="3"/>
    <s v="Q1"/>
    <x v="42"/>
    <d v="2017-04-02T00:00:00"/>
    <s v="Second Class"/>
    <x v="531"/>
    <x v="531"/>
    <s v="Corporate"/>
    <s v="United States"/>
    <s v="Atlanta"/>
    <x v="32"/>
    <n v="30318"/>
    <x v="0"/>
    <x v="306"/>
    <x v="2"/>
    <x v="16"/>
    <x v="306"/>
    <n v="2999.95"/>
    <s v="High"/>
    <n v="5"/>
    <n v="0"/>
    <x v="0"/>
    <x v="0"/>
    <n v="1439.9760000000001"/>
    <n v="0.48000000000000009"/>
    <n v="0"/>
  </r>
  <r>
    <n v="5564"/>
    <s v="CA-2017-133263"/>
    <d v="2017-03-31T00:00:00"/>
    <x v="3"/>
    <s v="Q1"/>
    <x v="42"/>
    <d v="2017-04-02T00:00:00"/>
    <s v="Second Class"/>
    <x v="531"/>
    <x v="531"/>
    <s v="Corporate"/>
    <s v="United States"/>
    <s v="Atlanta"/>
    <x v="32"/>
    <n v="30318"/>
    <x v="0"/>
    <x v="27"/>
    <x v="1"/>
    <x v="8"/>
    <x v="27"/>
    <n v="64.12"/>
    <s v="Medium"/>
    <n v="4"/>
    <n v="0"/>
    <x v="0"/>
    <x v="0"/>
    <n v="30.7776"/>
    <n v="0.48"/>
    <n v="0"/>
  </r>
  <r>
    <n v="5565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1515"/>
    <x v="1"/>
    <x v="6"/>
    <x v="1502"/>
    <n v="19.456"/>
    <s v="Low"/>
    <n v="4"/>
    <n v="0.2"/>
    <x v="2"/>
    <x v="2"/>
    <n v="2.1888000000000001"/>
    <n v="0.1125"/>
    <n v="0"/>
  </r>
  <r>
    <n v="5566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1748"/>
    <x v="2"/>
    <x v="15"/>
    <x v="1738"/>
    <n v="209.98599999999999"/>
    <s v="High"/>
    <n v="2"/>
    <n v="0.3"/>
    <x v="1"/>
    <x v="4"/>
    <n v="8.9993999999999996"/>
    <n v="4.2857142857142858E-2"/>
    <n v="0"/>
  </r>
  <r>
    <n v="5567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1453"/>
    <x v="1"/>
    <x v="6"/>
    <x v="1439"/>
    <n v="29.76"/>
    <s v="Medium"/>
    <n v="5"/>
    <n v="0.2"/>
    <x v="2"/>
    <x v="2"/>
    <n v="1.86"/>
    <n v="6.25E-2"/>
    <n v="0"/>
  </r>
  <r>
    <n v="5568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1584"/>
    <x v="0"/>
    <x v="1"/>
    <x v="1575"/>
    <n v="89.768000000000001"/>
    <s v="Medium"/>
    <n v="1"/>
    <n v="0.3"/>
    <x v="1"/>
    <x v="4"/>
    <n v="-2.5648"/>
    <n v="-2.8571428571428571E-2"/>
    <n v="1"/>
  </r>
  <r>
    <n v="5569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306"/>
    <x v="2"/>
    <x v="16"/>
    <x v="306"/>
    <n v="959.98400000000004"/>
    <s v="High"/>
    <n v="2"/>
    <n v="0.2"/>
    <x v="2"/>
    <x v="2"/>
    <n v="335.99439999999998"/>
    <n v="0.35"/>
    <n v="0"/>
  </r>
  <r>
    <n v="5570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548"/>
    <x v="1"/>
    <x v="10"/>
    <x v="548"/>
    <n v="15.552"/>
    <s v="Low"/>
    <n v="3"/>
    <n v="0.2"/>
    <x v="2"/>
    <x v="2"/>
    <n v="5.6375999999999999"/>
    <n v="0.36249999999999999"/>
    <n v="0"/>
  </r>
  <r>
    <n v="5571"/>
    <s v="CA-2017-157966"/>
    <d v="2017-03-13T00:00:00"/>
    <x v="3"/>
    <s v="Q1"/>
    <x v="42"/>
    <d v="2017-03-13T00:00:00"/>
    <s v="Same Day"/>
    <x v="711"/>
    <x v="711"/>
    <s v="Home Office"/>
    <s v="United States"/>
    <s v="Chicago"/>
    <x v="10"/>
    <n v="60610"/>
    <x v="2"/>
    <x v="1300"/>
    <x v="2"/>
    <x v="7"/>
    <x v="1285"/>
    <n v="34.36"/>
    <s v="Medium"/>
    <n v="1"/>
    <n v="0.2"/>
    <x v="2"/>
    <x v="2"/>
    <n v="-7.3014999999999999"/>
    <n v="-0.21249999999999999"/>
    <n v="1"/>
  </r>
  <r>
    <n v="5572"/>
    <s v="CA-2014-151162"/>
    <d v="2014-12-05T00:00:00"/>
    <x v="2"/>
    <s v="Q4"/>
    <x v="20"/>
    <d v="2014-12-09T00:00:00"/>
    <s v="Standard Class"/>
    <x v="105"/>
    <x v="105"/>
    <s v="Corporate"/>
    <s v="United States"/>
    <s v="Columbus"/>
    <x v="24"/>
    <n v="43229"/>
    <x v="3"/>
    <x v="1522"/>
    <x v="1"/>
    <x v="10"/>
    <x v="1509"/>
    <n v="98.376000000000005"/>
    <s v="Medium"/>
    <n v="3"/>
    <n v="0.2"/>
    <x v="2"/>
    <x v="2"/>
    <n v="35.661299999999997"/>
    <n v="0.36249999999999993"/>
    <n v="0"/>
  </r>
  <r>
    <n v="5573"/>
    <s v="CA-2014-151162"/>
    <d v="2014-12-05T00:00:00"/>
    <x v="2"/>
    <s v="Q4"/>
    <x v="20"/>
    <d v="2014-12-09T00:00:00"/>
    <s v="Standard Class"/>
    <x v="105"/>
    <x v="105"/>
    <s v="Corporate"/>
    <s v="United States"/>
    <s v="Columbus"/>
    <x v="24"/>
    <n v="43229"/>
    <x v="3"/>
    <x v="691"/>
    <x v="1"/>
    <x v="8"/>
    <x v="691"/>
    <n v="29.94"/>
    <s v="Medium"/>
    <n v="4"/>
    <n v="0.7"/>
    <x v="1"/>
    <x v="5"/>
    <n v="-23.952000000000002"/>
    <n v="-0.8"/>
    <n v="1"/>
  </r>
  <r>
    <n v="5574"/>
    <s v="CA-2014-151162"/>
    <d v="2014-12-05T00:00:00"/>
    <x v="2"/>
    <s v="Q4"/>
    <x v="20"/>
    <d v="2014-12-09T00:00:00"/>
    <s v="Standard Class"/>
    <x v="105"/>
    <x v="105"/>
    <s v="Corporate"/>
    <s v="United States"/>
    <s v="Columbus"/>
    <x v="24"/>
    <n v="43229"/>
    <x v="3"/>
    <x v="1749"/>
    <x v="1"/>
    <x v="10"/>
    <x v="1739"/>
    <n v="17.472000000000001"/>
    <s v="Low"/>
    <n v="3"/>
    <n v="0.2"/>
    <x v="2"/>
    <x v="2"/>
    <n v="5.6783999999999999"/>
    <n v="0.32499999999999996"/>
    <n v="0"/>
  </r>
  <r>
    <n v="5575"/>
    <s v="CA-2014-151162"/>
    <d v="2014-12-05T00:00:00"/>
    <x v="2"/>
    <s v="Q4"/>
    <x v="20"/>
    <d v="2014-12-09T00:00:00"/>
    <s v="Standard Class"/>
    <x v="105"/>
    <x v="105"/>
    <s v="Corporate"/>
    <s v="United States"/>
    <s v="Columbus"/>
    <x v="24"/>
    <n v="43229"/>
    <x v="3"/>
    <x v="1750"/>
    <x v="2"/>
    <x v="7"/>
    <x v="1740"/>
    <n v="36.738"/>
    <s v="Medium"/>
    <n v="1"/>
    <n v="0.4"/>
    <x v="1"/>
    <x v="7"/>
    <n v="-9.1844999999999999"/>
    <n v="-0.25"/>
    <n v="1"/>
  </r>
  <r>
    <n v="5576"/>
    <s v="CA-2014-151162"/>
    <d v="2014-12-05T00:00:00"/>
    <x v="2"/>
    <s v="Q4"/>
    <x v="20"/>
    <d v="2014-12-09T00:00:00"/>
    <s v="Standard Class"/>
    <x v="105"/>
    <x v="105"/>
    <s v="Corporate"/>
    <s v="United States"/>
    <s v="Columbus"/>
    <x v="24"/>
    <n v="43229"/>
    <x v="3"/>
    <x v="1187"/>
    <x v="2"/>
    <x v="7"/>
    <x v="1173"/>
    <n v="179.94"/>
    <s v="High"/>
    <n v="2"/>
    <n v="0.4"/>
    <x v="1"/>
    <x v="7"/>
    <n v="-44.984999999999999"/>
    <n v="-0.25"/>
    <n v="1"/>
  </r>
  <r>
    <n v="5577"/>
    <s v="CA-2016-136686"/>
    <d v="2016-12-12T00:00:00"/>
    <x v="0"/>
    <s v="Q4"/>
    <x v="5"/>
    <d v="2016-12-16T00:00:00"/>
    <s v="Standard Class"/>
    <x v="167"/>
    <x v="167"/>
    <s v="Consumer"/>
    <s v="United States"/>
    <s v="Pasadena"/>
    <x v="1"/>
    <n v="91104"/>
    <x v="1"/>
    <x v="441"/>
    <x v="0"/>
    <x v="5"/>
    <x v="441"/>
    <n v="383.64"/>
    <s v="High"/>
    <n v="6"/>
    <n v="0"/>
    <x v="0"/>
    <x v="0"/>
    <n v="122.76479999999999"/>
    <n v="0.32"/>
    <n v="0"/>
  </r>
  <r>
    <n v="5578"/>
    <s v="CA-2016-136686"/>
    <d v="2016-12-12T00:00:00"/>
    <x v="0"/>
    <s v="Q4"/>
    <x v="5"/>
    <d v="2016-12-16T00:00:00"/>
    <s v="Standard Class"/>
    <x v="167"/>
    <x v="167"/>
    <s v="Consumer"/>
    <s v="United States"/>
    <s v="Pasadena"/>
    <x v="1"/>
    <n v="91104"/>
    <x v="1"/>
    <x v="551"/>
    <x v="1"/>
    <x v="9"/>
    <x v="550"/>
    <n v="56.52"/>
    <s v="Medium"/>
    <n v="3"/>
    <n v="0"/>
    <x v="0"/>
    <x v="0"/>
    <n v="15.8256"/>
    <n v="0.27999999999999997"/>
    <n v="0"/>
  </r>
  <r>
    <n v="5579"/>
    <s v="CA-2017-137498"/>
    <d v="2017-09-09T00:00:00"/>
    <x v="3"/>
    <s v="Q3"/>
    <x v="15"/>
    <d v="2017-09-14T00:00:00"/>
    <s v="Second Class"/>
    <x v="702"/>
    <x v="702"/>
    <s v="Consumer"/>
    <s v="United States"/>
    <s v="Los Angeles"/>
    <x v="1"/>
    <n v="90004"/>
    <x v="1"/>
    <x v="950"/>
    <x v="1"/>
    <x v="6"/>
    <x v="943"/>
    <n v="6.56"/>
    <s v="Low"/>
    <n v="2"/>
    <n v="0"/>
    <x v="0"/>
    <x v="0"/>
    <n v="1.9024000000000001"/>
    <n v="0.29000000000000004"/>
    <n v="0"/>
  </r>
  <r>
    <n v="5580"/>
    <s v="CA-2017-137498"/>
    <d v="2017-09-09T00:00:00"/>
    <x v="3"/>
    <s v="Q3"/>
    <x v="15"/>
    <d v="2017-09-14T00:00:00"/>
    <s v="Second Class"/>
    <x v="702"/>
    <x v="702"/>
    <s v="Consumer"/>
    <s v="United States"/>
    <s v="Los Angeles"/>
    <x v="1"/>
    <n v="90004"/>
    <x v="1"/>
    <x v="1225"/>
    <x v="0"/>
    <x v="1"/>
    <x v="1209"/>
    <n v="243.92"/>
    <s v="High"/>
    <n v="5"/>
    <n v="0.2"/>
    <x v="2"/>
    <x v="2"/>
    <n v="-15.244999999999999"/>
    <n v="-6.25E-2"/>
    <n v="1"/>
  </r>
  <r>
    <n v="5581"/>
    <s v="CA-2017-137498"/>
    <d v="2017-09-09T00:00:00"/>
    <x v="3"/>
    <s v="Q3"/>
    <x v="15"/>
    <d v="2017-09-14T00:00:00"/>
    <s v="Second Class"/>
    <x v="702"/>
    <x v="702"/>
    <s v="Consumer"/>
    <s v="United States"/>
    <s v="Los Angeles"/>
    <x v="1"/>
    <n v="90004"/>
    <x v="1"/>
    <x v="1714"/>
    <x v="1"/>
    <x v="10"/>
    <x v="1701"/>
    <n v="47.52"/>
    <s v="Medium"/>
    <n v="9"/>
    <n v="0"/>
    <x v="0"/>
    <x v="0"/>
    <n v="22.8096"/>
    <n v="0.48"/>
    <n v="0"/>
  </r>
  <r>
    <n v="5582"/>
    <s v="CA-2017-163818"/>
    <d v="2017-10-04T00:00:00"/>
    <x v="3"/>
    <s v="Q4"/>
    <x v="13"/>
    <d v="2017-10-08T00:00:00"/>
    <s v="Standard Class"/>
    <x v="28"/>
    <x v="28"/>
    <s v="Home Office"/>
    <s v="United States"/>
    <s v="Clinton"/>
    <x v="39"/>
    <n v="20735"/>
    <x v="3"/>
    <x v="891"/>
    <x v="0"/>
    <x v="5"/>
    <x v="884"/>
    <n v="19.98"/>
    <s v="Low"/>
    <n v="1"/>
    <n v="0"/>
    <x v="0"/>
    <x v="0"/>
    <n v="8.5914000000000001"/>
    <n v="0.43"/>
    <n v="0"/>
  </r>
  <r>
    <n v="5583"/>
    <s v="CA-2016-161158"/>
    <d v="2016-05-09T00:00:00"/>
    <x v="0"/>
    <s v="Q2"/>
    <x v="35"/>
    <d v="2016-05-13T00:00:00"/>
    <s v="Standard Class"/>
    <x v="28"/>
    <x v="28"/>
    <s v="Home Office"/>
    <s v="United States"/>
    <s v="New York City"/>
    <x v="15"/>
    <n v="10024"/>
    <x v="3"/>
    <x v="902"/>
    <x v="1"/>
    <x v="6"/>
    <x v="894"/>
    <n v="8"/>
    <s v="Low"/>
    <n v="5"/>
    <n v="0"/>
    <x v="0"/>
    <x v="0"/>
    <n v="3.44"/>
    <n v="0.43"/>
    <n v="0"/>
  </r>
  <r>
    <n v="5584"/>
    <s v="CA-2014-116673"/>
    <d v="2014-12-15T00:00:00"/>
    <x v="2"/>
    <s v="Q4"/>
    <x v="20"/>
    <d v="2014-12-19T00:00:00"/>
    <s v="Second Class"/>
    <x v="123"/>
    <x v="123"/>
    <s v="Consumer"/>
    <s v="United States"/>
    <s v="San Diego"/>
    <x v="1"/>
    <n v="92037"/>
    <x v="1"/>
    <x v="1392"/>
    <x v="0"/>
    <x v="5"/>
    <x v="1378"/>
    <n v="6.16"/>
    <s v="Low"/>
    <n v="2"/>
    <n v="0"/>
    <x v="0"/>
    <x v="0"/>
    <n v="1.9712000000000001"/>
    <n v="0.32"/>
    <n v="0"/>
  </r>
  <r>
    <n v="5585"/>
    <s v="CA-2017-105333"/>
    <d v="2017-11-30T00:00:00"/>
    <x v="3"/>
    <s v="Q4"/>
    <x v="23"/>
    <d v="2017-12-04T00:00:00"/>
    <s v="Standard Class"/>
    <x v="163"/>
    <x v="163"/>
    <s v="Home Office"/>
    <s v="United States"/>
    <s v="New York City"/>
    <x v="15"/>
    <n v="10011"/>
    <x v="3"/>
    <x v="1751"/>
    <x v="1"/>
    <x v="4"/>
    <x v="1741"/>
    <n v="83.56"/>
    <s v="Medium"/>
    <n v="4"/>
    <n v="0"/>
    <x v="0"/>
    <x v="0"/>
    <n v="1.6712"/>
    <n v="0.02"/>
    <n v="0"/>
  </r>
  <r>
    <n v="5586"/>
    <s v="CA-2017-105333"/>
    <d v="2017-11-30T00:00:00"/>
    <x v="3"/>
    <s v="Q4"/>
    <x v="23"/>
    <d v="2017-12-04T00:00:00"/>
    <s v="Standard Class"/>
    <x v="163"/>
    <x v="163"/>
    <s v="Home Office"/>
    <s v="United States"/>
    <s v="New York City"/>
    <x v="15"/>
    <n v="10011"/>
    <x v="3"/>
    <x v="1752"/>
    <x v="2"/>
    <x v="7"/>
    <x v="1742"/>
    <n v="546.05999999999995"/>
    <s v="High"/>
    <n v="3"/>
    <n v="0"/>
    <x v="0"/>
    <x v="0"/>
    <n v="163.81800000000001"/>
    <n v="0.30000000000000004"/>
    <n v="0"/>
  </r>
  <r>
    <n v="5587"/>
    <s v="CA-2017-105333"/>
    <d v="2017-11-30T00:00:00"/>
    <x v="3"/>
    <s v="Q4"/>
    <x v="23"/>
    <d v="2017-12-04T00:00:00"/>
    <s v="Standard Class"/>
    <x v="163"/>
    <x v="163"/>
    <s v="Home Office"/>
    <s v="United States"/>
    <s v="New York City"/>
    <x v="15"/>
    <n v="10011"/>
    <x v="3"/>
    <x v="435"/>
    <x v="1"/>
    <x v="4"/>
    <x v="435"/>
    <n v="269.49"/>
    <s v="High"/>
    <n v="3"/>
    <n v="0"/>
    <x v="0"/>
    <x v="0"/>
    <n v="5.3898000000000001"/>
    <n v="0.02"/>
    <n v="0"/>
  </r>
  <r>
    <n v="5588"/>
    <s v="CA-2015-149993"/>
    <d v="2015-03-19T00:00:00"/>
    <x v="1"/>
    <s v="Q1"/>
    <x v="29"/>
    <d v="2015-03-20T00:00:00"/>
    <s v="First Class"/>
    <x v="315"/>
    <x v="315"/>
    <s v="Consumer"/>
    <s v="United States"/>
    <s v="Lancaster"/>
    <x v="1"/>
    <n v="93534"/>
    <x v="1"/>
    <x v="845"/>
    <x v="1"/>
    <x v="13"/>
    <x v="839"/>
    <n v="10.9"/>
    <s v="Low"/>
    <n v="5"/>
    <n v="0"/>
    <x v="0"/>
    <x v="0"/>
    <n v="3.597"/>
    <n v="0.32999999999999996"/>
    <n v="0"/>
  </r>
  <r>
    <n v="5589"/>
    <s v="CA-2014-168158"/>
    <d v="2014-07-19T00:00:00"/>
    <x v="2"/>
    <s v="Q3"/>
    <x v="39"/>
    <d v="2014-07-24T00:00:00"/>
    <s v="Standard Class"/>
    <x v="670"/>
    <x v="670"/>
    <s v="Home Office"/>
    <s v="United States"/>
    <s v="Great Falls"/>
    <x v="37"/>
    <n v="59405"/>
    <x v="1"/>
    <x v="733"/>
    <x v="1"/>
    <x v="8"/>
    <x v="732"/>
    <n v="6.0960000000000001"/>
    <s v="Low"/>
    <n v="2"/>
    <n v="0.2"/>
    <x v="2"/>
    <x v="2"/>
    <n v="2.2098"/>
    <n v="0.36249999999999999"/>
    <n v="0"/>
  </r>
  <r>
    <n v="5590"/>
    <s v="CA-2016-115224"/>
    <d v="2016-12-08T00:00:00"/>
    <x v="0"/>
    <s v="Q4"/>
    <x v="5"/>
    <d v="2016-12-11T00:00:00"/>
    <s v="Second Class"/>
    <x v="140"/>
    <x v="140"/>
    <s v="Consumer"/>
    <s v="United States"/>
    <s v="San Francisco"/>
    <x v="1"/>
    <n v="94110"/>
    <x v="1"/>
    <x v="75"/>
    <x v="1"/>
    <x v="4"/>
    <x v="75"/>
    <n v="34.049999999999997"/>
    <s v="Medium"/>
    <n v="3"/>
    <n v="0"/>
    <x v="0"/>
    <x v="0"/>
    <n v="9.5340000000000007"/>
    <n v="0.28000000000000003"/>
    <n v="0"/>
  </r>
  <r>
    <n v="5591"/>
    <s v="CA-2016-115224"/>
    <d v="2016-12-08T00:00:00"/>
    <x v="0"/>
    <s v="Q4"/>
    <x v="5"/>
    <d v="2016-12-11T00:00:00"/>
    <s v="Second Class"/>
    <x v="140"/>
    <x v="140"/>
    <s v="Consumer"/>
    <s v="United States"/>
    <s v="San Francisco"/>
    <x v="1"/>
    <n v="94110"/>
    <x v="1"/>
    <x v="718"/>
    <x v="1"/>
    <x v="4"/>
    <x v="717"/>
    <n v="352.38"/>
    <s v="High"/>
    <n v="2"/>
    <n v="0"/>
    <x v="0"/>
    <x v="0"/>
    <n v="81.047399999999996"/>
    <n v="0.22999999999999998"/>
    <n v="0"/>
  </r>
  <r>
    <n v="5592"/>
    <s v="CA-2014-164742"/>
    <d v="2014-10-13T00:00:00"/>
    <x v="2"/>
    <s v="Q4"/>
    <x v="18"/>
    <d v="2014-10-18T00:00:00"/>
    <s v="Second Class"/>
    <x v="504"/>
    <x v="504"/>
    <s v="Corporate"/>
    <s v="United States"/>
    <s v="Lakewood"/>
    <x v="30"/>
    <n v="8701"/>
    <x v="3"/>
    <x v="812"/>
    <x v="0"/>
    <x v="1"/>
    <x v="809"/>
    <n v="245.98"/>
    <s v="High"/>
    <n v="2"/>
    <n v="0"/>
    <x v="0"/>
    <x v="0"/>
    <n v="27.0578"/>
    <n v="0.11"/>
    <n v="0"/>
  </r>
  <r>
    <n v="5593"/>
    <s v="CA-2014-164742"/>
    <d v="2014-10-13T00:00:00"/>
    <x v="2"/>
    <s v="Q4"/>
    <x v="18"/>
    <d v="2014-10-18T00:00:00"/>
    <s v="Second Class"/>
    <x v="504"/>
    <x v="504"/>
    <s v="Corporate"/>
    <s v="United States"/>
    <s v="Lakewood"/>
    <x v="30"/>
    <n v="8701"/>
    <x v="3"/>
    <x v="92"/>
    <x v="1"/>
    <x v="8"/>
    <x v="92"/>
    <n v="18.940000000000001"/>
    <s v="Low"/>
    <n v="1"/>
    <n v="0"/>
    <x v="0"/>
    <x v="0"/>
    <n v="9.4700000000000006"/>
    <n v="0.5"/>
    <n v="0"/>
  </r>
  <r>
    <n v="5594"/>
    <s v="US-2017-108014"/>
    <d v="2017-11-19T00:00:00"/>
    <x v="3"/>
    <s v="Q4"/>
    <x v="23"/>
    <d v="2017-11-25T00:00:00"/>
    <s v="Standard Class"/>
    <x v="371"/>
    <x v="371"/>
    <s v="Consumer"/>
    <s v="United States"/>
    <s v="Cleveland"/>
    <x v="24"/>
    <n v="44105"/>
    <x v="3"/>
    <x v="697"/>
    <x v="1"/>
    <x v="8"/>
    <x v="697"/>
    <n v="59.912999999999997"/>
    <s v="Medium"/>
    <n v="7"/>
    <n v="0.7"/>
    <x v="1"/>
    <x v="5"/>
    <n v="-45.933300000000003"/>
    <n v="-0.76666666666666672"/>
    <n v="1"/>
  </r>
  <r>
    <n v="5595"/>
    <s v="CA-2017-160325"/>
    <d v="2017-09-24T00:00:00"/>
    <x v="3"/>
    <s v="Q3"/>
    <x v="15"/>
    <d v="2017-09-24T00:00:00"/>
    <s v="Same Day"/>
    <x v="162"/>
    <x v="162"/>
    <s v="Corporate"/>
    <s v="United States"/>
    <s v="Lawrence"/>
    <x v="31"/>
    <n v="1841"/>
    <x v="3"/>
    <x v="469"/>
    <x v="2"/>
    <x v="7"/>
    <x v="470"/>
    <n v="391.98"/>
    <s v="High"/>
    <n v="2"/>
    <n v="0"/>
    <x v="0"/>
    <x v="0"/>
    <n v="109.7544"/>
    <n v="0.27999999999999997"/>
    <n v="0"/>
  </r>
  <r>
    <n v="5596"/>
    <s v="CA-2017-160325"/>
    <d v="2017-09-24T00:00:00"/>
    <x v="3"/>
    <s v="Q3"/>
    <x v="15"/>
    <d v="2017-09-24T00:00:00"/>
    <s v="Same Day"/>
    <x v="162"/>
    <x v="162"/>
    <s v="Corporate"/>
    <s v="United States"/>
    <s v="Lawrence"/>
    <x v="31"/>
    <n v="1841"/>
    <x v="3"/>
    <x v="1285"/>
    <x v="2"/>
    <x v="7"/>
    <x v="1271"/>
    <n v="437.85"/>
    <s v="High"/>
    <n v="3"/>
    <n v="0"/>
    <x v="0"/>
    <x v="0"/>
    <n v="131.35499999999999"/>
    <n v="0.29999999999999993"/>
    <n v="0"/>
  </r>
  <r>
    <n v="5597"/>
    <s v="CA-2015-159779"/>
    <d v="2015-09-25T00:00:00"/>
    <x v="1"/>
    <s v="Q3"/>
    <x v="11"/>
    <d v="2015-09-29T00:00:00"/>
    <s v="Standard Class"/>
    <x v="766"/>
    <x v="766"/>
    <s v="Consumer"/>
    <s v="United States"/>
    <s v="Concord"/>
    <x v="38"/>
    <n v="3301"/>
    <x v="3"/>
    <x v="141"/>
    <x v="1"/>
    <x v="8"/>
    <x v="142"/>
    <n v="68.62"/>
    <s v="Medium"/>
    <n v="2"/>
    <n v="0"/>
    <x v="0"/>
    <x v="0"/>
    <n v="32.251399999999997"/>
    <n v="0.46999999999999992"/>
    <n v="0"/>
  </r>
  <r>
    <n v="5598"/>
    <s v="CA-2017-151176"/>
    <d v="2017-02-13T00:00:00"/>
    <x v="3"/>
    <s v="Q1"/>
    <x v="31"/>
    <d v="2017-02-20T00:00:00"/>
    <s v="Standard Class"/>
    <x v="647"/>
    <x v="647"/>
    <s v="Consumer"/>
    <s v="United States"/>
    <s v="Baltimore"/>
    <x v="39"/>
    <n v="21215"/>
    <x v="3"/>
    <x v="1059"/>
    <x v="1"/>
    <x v="14"/>
    <x v="1048"/>
    <n v="25.02"/>
    <s v="Medium"/>
    <n v="3"/>
    <n v="0"/>
    <x v="0"/>
    <x v="0"/>
    <n v="6.5052000000000003"/>
    <n v="0.26"/>
    <n v="0"/>
  </r>
  <r>
    <n v="5599"/>
    <s v="CA-2017-151176"/>
    <d v="2017-02-13T00:00:00"/>
    <x v="3"/>
    <s v="Q1"/>
    <x v="31"/>
    <d v="2017-02-20T00:00:00"/>
    <s v="Standard Class"/>
    <x v="647"/>
    <x v="647"/>
    <s v="Consumer"/>
    <s v="United States"/>
    <s v="Baltimore"/>
    <x v="39"/>
    <n v="21215"/>
    <x v="3"/>
    <x v="1742"/>
    <x v="1"/>
    <x v="6"/>
    <x v="1731"/>
    <n v="10.71"/>
    <s v="Low"/>
    <n v="3"/>
    <n v="0"/>
    <x v="0"/>
    <x v="0"/>
    <n v="2.7846000000000002"/>
    <n v="0.26"/>
    <n v="0"/>
  </r>
  <r>
    <n v="5600"/>
    <s v="CA-2014-108903"/>
    <d v="2014-10-03T00:00:00"/>
    <x v="2"/>
    <s v="Q4"/>
    <x v="18"/>
    <d v="2014-10-03T00:00:00"/>
    <s v="Same Day"/>
    <x v="157"/>
    <x v="157"/>
    <s v="Consumer"/>
    <s v="United States"/>
    <s v="Columbus"/>
    <x v="24"/>
    <n v="43229"/>
    <x v="3"/>
    <x v="1753"/>
    <x v="1"/>
    <x v="6"/>
    <x v="1743"/>
    <n v="55.984000000000002"/>
    <s v="Medium"/>
    <n v="2"/>
    <n v="0.2"/>
    <x v="2"/>
    <x v="2"/>
    <n v="4.1988000000000003"/>
    <n v="7.4999999999999997E-2"/>
    <n v="0"/>
  </r>
  <r>
    <n v="5601"/>
    <s v="CA-2014-108903"/>
    <d v="2014-10-03T00:00:00"/>
    <x v="2"/>
    <s v="Q4"/>
    <x v="18"/>
    <d v="2014-10-03T00:00:00"/>
    <s v="Same Day"/>
    <x v="157"/>
    <x v="157"/>
    <s v="Consumer"/>
    <s v="United States"/>
    <s v="Columbus"/>
    <x v="24"/>
    <n v="43229"/>
    <x v="3"/>
    <x v="135"/>
    <x v="1"/>
    <x v="12"/>
    <x v="136"/>
    <n v="14.48"/>
    <s v="Low"/>
    <n v="5"/>
    <n v="0.2"/>
    <x v="2"/>
    <x v="2"/>
    <n v="4.8869999999999996"/>
    <n v="0.33749999999999997"/>
    <n v="0"/>
  </r>
  <r>
    <n v="5602"/>
    <s v="CA-2014-108903"/>
    <d v="2014-10-03T00:00:00"/>
    <x v="2"/>
    <s v="Q4"/>
    <x v="18"/>
    <d v="2014-10-03T00:00:00"/>
    <s v="Same Day"/>
    <x v="157"/>
    <x v="157"/>
    <s v="Consumer"/>
    <s v="United States"/>
    <s v="Columbus"/>
    <x v="24"/>
    <n v="43229"/>
    <x v="3"/>
    <x v="1089"/>
    <x v="2"/>
    <x v="11"/>
    <x v="1079"/>
    <n v="142.488"/>
    <s v="High"/>
    <n v="3"/>
    <n v="0.2"/>
    <x v="2"/>
    <x v="2"/>
    <n v="-3.5621999999999998"/>
    <n v="-2.4999999999999998E-2"/>
    <n v="1"/>
  </r>
  <r>
    <n v="5603"/>
    <s v="CA-2016-117919"/>
    <d v="2016-08-27T00:00:00"/>
    <x v="0"/>
    <s v="Q3"/>
    <x v="28"/>
    <d v="2016-08-29T00:00:00"/>
    <s v="Second Class"/>
    <x v="422"/>
    <x v="422"/>
    <s v="Corporate"/>
    <s v="United States"/>
    <s v="Houston"/>
    <x v="5"/>
    <n v="77041"/>
    <x v="2"/>
    <x v="1754"/>
    <x v="1"/>
    <x v="4"/>
    <x v="1744"/>
    <n v="14.16"/>
    <s v="Low"/>
    <n v="1"/>
    <n v="0.2"/>
    <x v="2"/>
    <x v="2"/>
    <n v="1.0620000000000001"/>
    <n v="7.4999999999999997E-2"/>
    <n v="0"/>
  </r>
  <r>
    <n v="5604"/>
    <s v="CA-2016-117919"/>
    <d v="2016-08-27T00:00:00"/>
    <x v="0"/>
    <s v="Q3"/>
    <x v="28"/>
    <d v="2016-08-29T00:00:00"/>
    <s v="Second Class"/>
    <x v="422"/>
    <x v="422"/>
    <s v="Corporate"/>
    <s v="United States"/>
    <s v="Houston"/>
    <x v="5"/>
    <n v="77041"/>
    <x v="2"/>
    <x v="1673"/>
    <x v="1"/>
    <x v="10"/>
    <x v="1661"/>
    <n v="79.92"/>
    <s v="Medium"/>
    <n v="5"/>
    <n v="0.2"/>
    <x v="2"/>
    <x v="2"/>
    <n v="27.972000000000001"/>
    <n v="0.35000000000000003"/>
    <n v="0"/>
  </r>
  <r>
    <n v="5605"/>
    <s v="CA-2015-142475"/>
    <d v="2015-12-03T00:00:00"/>
    <x v="1"/>
    <s v="Q4"/>
    <x v="14"/>
    <d v="2015-12-07T00:00:00"/>
    <s v="Standard Class"/>
    <x v="510"/>
    <x v="510"/>
    <s v="Corporate"/>
    <s v="United States"/>
    <s v="New York City"/>
    <x v="15"/>
    <n v="10011"/>
    <x v="3"/>
    <x v="1681"/>
    <x v="1"/>
    <x v="8"/>
    <x v="1669"/>
    <n v="590.35199999999998"/>
    <s v="High"/>
    <n v="6"/>
    <n v="0.2"/>
    <x v="2"/>
    <x v="2"/>
    <n v="206.6232"/>
    <n v="0.35000000000000003"/>
    <n v="0"/>
  </r>
  <r>
    <n v="5606"/>
    <s v="CA-2016-134516"/>
    <d v="2016-09-20T00:00:00"/>
    <x v="0"/>
    <s v="Q3"/>
    <x v="21"/>
    <d v="2016-09-25T00:00:00"/>
    <s v="Standard Class"/>
    <x v="524"/>
    <x v="524"/>
    <s v="Corporate"/>
    <s v="United States"/>
    <s v="Greensboro"/>
    <x v="3"/>
    <n v="27405"/>
    <x v="0"/>
    <x v="1445"/>
    <x v="0"/>
    <x v="5"/>
    <x v="1432"/>
    <n v="17.088000000000001"/>
    <s v="Low"/>
    <n v="2"/>
    <n v="0.2"/>
    <x v="2"/>
    <x v="2"/>
    <n v="1.0680000000000001"/>
    <n v="6.25E-2"/>
    <n v="0"/>
  </r>
  <r>
    <n v="5607"/>
    <s v="CA-2016-134516"/>
    <d v="2016-09-20T00:00:00"/>
    <x v="0"/>
    <s v="Q3"/>
    <x v="21"/>
    <d v="2016-09-25T00:00:00"/>
    <s v="Standard Class"/>
    <x v="524"/>
    <x v="524"/>
    <s v="Corporate"/>
    <s v="United States"/>
    <s v="Greensboro"/>
    <x v="3"/>
    <n v="27405"/>
    <x v="0"/>
    <x v="812"/>
    <x v="0"/>
    <x v="1"/>
    <x v="809"/>
    <n v="98.391999999999996"/>
    <s v="Medium"/>
    <n v="1"/>
    <n v="0.2"/>
    <x v="2"/>
    <x v="2"/>
    <n v="-11.069100000000001"/>
    <n v="-0.11250000000000002"/>
    <n v="1"/>
  </r>
  <r>
    <n v="5608"/>
    <s v="CA-2017-105193"/>
    <d v="2017-03-25T00:00:00"/>
    <x v="3"/>
    <s v="Q1"/>
    <x v="42"/>
    <d v="2017-03-31T00:00:00"/>
    <s v="Standard Class"/>
    <x v="252"/>
    <x v="252"/>
    <s v="Consumer"/>
    <s v="United States"/>
    <s v="New York City"/>
    <x v="15"/>
    <n v="10024"/>
    <x v="3"/>
    <x v="147"/>
    <x v="1"/>
    <x v="6"/>
    <x v="148"/>
    <n v="11.05"/>
    <s v="Low"/>
    <n v="5"/>
    <n v="0"/>
    <x v="0"/>
    <x v="0"/>
    <n v="2.9834999999999998"/>
    <n v="0.26999999999999996"/>
    <n v="0"/>
  </r>
  <r>
    <n v="5609"/>
    <s v="CA-2015-168634"/>
    <d v="2015-12-06T00:00:00"/>
    <x v="1"/>
    <s v="Q4"/>
    <x v="14"/>
    <d v="2015-12-11T00:00:00"/>
    <s v="Standard Class"/>
    <x v="578"/>
    <x v="578"/>
    <s v="Consumer"/>
    <s v="United States"/>
    <s v="San Francisco"/>
    <x v="1"/>
    <n v="94109"/>
    <x v="1"/>
    <x v="1034"/>
    <x v="1"/>
    <x v="9"/>
    <x v="1025"/>
    <n v="7.78"/>
    <s v="Low"/>
    <n v="2"/>
    <n v="0"/>
    <x v="0"/>
    <x v="0"/>
    <n v="2.0228000000000002"/>
    <n v="0.26"/>
    <n v="0"/>
  </r>
  <r>
    <n v="5610"/>
    <s v="CA-2017-117198"/>
    <d v="2017-08-31T00:00:00"/>
    <x v="3"/>
    <s v="Q3"/>
    <x v="43"/>
    <d v="2017-09-05T00:00:00"/>
    <s v="Standard Class"/>
    <x v="767"/>
    <x v="767"/>
    <s v="Consumer"/>
    <s v="United States"/>
    <s v="Monroe"/>
    <x v="28"/>
    <n v="71203"/>
    <x v="0"/>
    <x v="764"/>
    <x v="2"/>
    <x v="11"/>
    <x v="763"/>
    <n v="659.9"/>
    <s v="High"/>
    <n v="2"/>
    <n v="0"/>
    <x v="0"/>
    <x v="0"/>
    <n v="217.767"/>
    <n v="0.33"/>
    <n v="0"/>
  </r>
  <r>
    <n v="5611"/>
    <s v="CA-2015-145828"/>
    <d v="2015-10-05T00:00:00"/>
    <x v="1"/>
    <s v="Q4"/>
    <x v="2"/>
    <d v="2015-10-07T00:00:00"/>
    <s v="First Class"/>
    <x v="93"/>
    <x v="93"/>
    <s v="Consumer"/>
    <s v="United States"/>
    <s v="Cincinnati"/>
    <x v="24"/>
    <n v="45231"/>
    <x v="3"/>
    <x v="176"/>
    <x v="2"/>
    <x v="11"/>
    <x v="177"/>
    <n v="53.04"/>
    <s v="Medium"/>
    <n v="3"/>
    <n v="0.2"/>
    <x v="2"/>
    <x v="2"/>
    <n v="-4.641"/>
    <n v="-8.7500000000000008E-2"/>
    <n v="1"/>
  </r>
  <r>
    <n v="5612"/>
    <s v="CA-2017-121027"/>
    <d v="2017-08-18T00:00:00"/>
    <x v="3"/>
    <s v="Q3"/>
    <x v="43"/>
    <d v="2017-08-22T00:00:00"/>
    <s v="Standard Class"/>
    <x v="304"/>
    <x v="304"/>
    <s v="Corporate"/>
    <s v="United States"/>
    <s v="Seattle"/>
    <x v="4"/>
    <n v="98105"/>
    <x v="1"/>
    <x v="695"/>
    <x v="2"/>
    <x v="11"/>
    <x v="1062"/>
    <n v="843.9"/>
    <s v="High"/>
    <n v="2"/>
    <n v="0"/>
    <x v="0"/>
    <x v="0"/>
    <n v="371.31599999999997"/>
    <n v="0.44"/>
    <n v="0"/>
  </r>
  <r>
    <n v="5613"/>
    <s v="CA-2017-121027"/>
    <d v="2017-08-18T00:00:00"/>
    <x v="3"/>
    <s v="Q3"/>
    <x v="43"/>
    <d v="2017-08-22T00:00:00"/>
    <s v="Standard Class"/>
    <x v="304"/>
    <x v="304"/>
    <s v="Corporate"/>
    <s v="United States"/>
    <s v="Seattle"/>
    <x v="4"/>
    <n v="98105"/>
    <x v="1"/>
    <x v="577"/>
    <x v="2"/>
    <x v="11"/>
    <x v="577"/>
    <n v="1496.16"/>
    <s v="High"/>
    <n v="9"/>
    <n v="0"/>
    <x v="0"/>
    <x v="0"/>
    <n v="224.42400000000001"/>
    <n v="0.15"/>
    <n v="0"/>
  </r>
  <r>
    <n v="5614"/>
    <s v="CA-2016-147431"/>
    <d v="2016-02-02T00:00:00"/>
    <x v="0"/>
    <s v="Q1"/>
    <x v="47"/>
    <d v="2016-02-07T00:00:00"/>
    <s v="Standard Class"/>
    <x v="455"/>
    <x v="455"/>
    <s v="Consumer"/>
    <s v="United States"/>
    <s v="New York City"/>
    <x v="15"/>
    <n v="10011"/>
    <x v="3"/>
    <x v="1755"/>
    <x v="1"/>
    <x v="4"/>
    <x v="1745"/>
    <n v="117.96"/>
    <s v="Medium"/>
    <n v="2"/>
    <n v="0"/>
    <x v="0"/>
    <x v="0"/>
    <n v="5.8979999999999997"/>
    <n v="0.05"/>
    <n v="0"/>
  </r>
  <r>
    <n v="5615"/>
    <s v="CA-2016-158001"/>
    <d v="2016-08-23T00:00:00"/>
    <x v="0"/>
    <s v="Q3"/>
    <x v="28"/>
    <d v="2016-08-27T00:00:00"/>
    <s v="Standard Class"/>
    <x v="687"/>
    <x v="687"/>
    <s v="Corporate"/>
    <s v="United States"/>
    <s v="New York City"/>
    <x v="15"/>
    <n v="10035"/>
    <x v="3"/>
    <x v="319"/>
    <x v="1"/>
    <x v="6"/>
    <x v="319"/>
    <n v="21.3"/>
    <s v="Low"/>
    <n v="5"/>
    <n v="0"/>
    <x v="0"/>
    <x v="0"/>
    <n v="8.7330000000000005"/>
    <n v="0.41000000000000003"/>
    <n v="0"/>
  </r>
  <r>
    <n v="5616"/>
    <s v="CA-2016-158001"/>
    <d v="2016-08-23T00:00:00"/>
    <x v="0"/>
    <s v="Q3"/>
    <x v="28"/>
    <d v="2016-08-27T00:00:00"/>
    <s v="Standard Class"/>
    <x v="687"/>
    <x v="687"/>
    <s v="Corporate"/>
    <s v="United States"/>
    <s v="New York City"/>
    <x v="15"/>
    <n v="10035"/>
    <x v="3"/>
    <x v="77"/>
    <x v="1"/>
    <x v="9"/>
    <x v="77"/>
    <n v="1040.8"/>
    <s v="High"/>
    <n v="5"/>
    <n v="0"/>
    <x v="0"/>
    <x v="0"/>
    <n v="281.01600000000002"/>
    <n v="0.27"/>
    <n v="0"/>
  </r>
  <r>
    <n v="5617"/>
    <s v="CA-2016-158001"/>
    <d v="2016-08-23T00:00:00"/>
    <x v="0"/>
    <s v="Q3"/>
    <x v="28"/>
    <d v="2016-08-27T00:00:00"/>
    <s v="Standard Class"/>
    <x v="687"/>
    <x v="687"/>
    <s v="Corporate"/>
    <s v="United States"/>
    <s v="New York City"/>
    <x v="15"/>
    <n v="10035"/>
    <x v="3"/>
    <x v="563"/>
    <x v="1"/>
    <x v="6"/>
    <x v="563"/>
    <n v="29.34"/>
    <s v="Medium"/>
    <n v="6"/>
    <n v="0"/>
    <x v="0"/>
    <x v="0"/>
    <n v="7.9218000000000002"/>
    <n v="0.27"/>
    <n v="0"/>
  </r>
  <r>
    <n v="5618"/>
    <s v="CA-2017-125745"/>
    <d v="2017-06-30T00:00:00"/>
    <x v="3"/>
    <s v="Q2"/>
    <x v="27"/>
    <d v="2017-07-04T00:00:00"/>
    <s v="Standard Class"/>
    <x v="1"/>
    <x v="1"/>
    <s v="Corporate"/>
    <s v="United States"/>
    <s v="Memphis"/>
    <x v="18"/>
    <n v="38109"/>
    <x v="0"/>
    <x v="1122"/>
    <x v="0"/>
    <x v="5"/>
    <x v="1110"/>
    <n v="19.52"/>
    <s v="Low"/>
    <n v="2"/>
    <n v="0.2"/>
    <x v="2"/>
    <x v="2"/>
    <n v="5.3680000000000003"/>
    <n v="0.27500000000000002"/>
    <n v="0"/>
  </r>
  <r>
    <n v="5619"/>
    <s v="CA-2015-101154"/>
    <d v="2015-09-18T00:00:00"/>
    <x v="1"/>
    <s v="Q3"/>
    <x v="11"/>
    <d v="2015-09-21T00:00:00"/>
    <s v="First Class"/>
    <x v="496"/>
    <x v="496"/>
    <s v="Consumer"/>
    <s v="United States"/>
    <s v="San Diego"/>
    <x v="1"/>
    <n v="92105"/>
    <x v="1"/>
    <x v="16"/>
    <x v="1"/>
    <x v="4"/>
    <x v="16"/>
    <n v="443.92"/>
    <s v="High"/>
    <n v="4"/>
    <n v="0"/>
    <x v="0"/>
    <x v="0"/>
    <n v="8.8783999999999992"/>
    <n v="1.9999999999999997E-2"/>
    <n v="0"/>
  </r>
  <r>
    <n v="5620"/>
    <s v="US-2016-124163"/>
    <d v="2016-09-25T00:00:00"/>
    <x v="0"/>
    <s v="Q3"/>
    <x v="21"/>
    <d v="2016-09-30T00:00:00"/>
    <s v="Standard Class"/>
    <x v="281"/>
    <x v="281"/>
    <s v="Corporate"/>
    <s v="United States"/>
    <s v="La Crosse"/>
    <x v="6"/>
    <n v="54601"/>
    <x v="2"/>
    <x v="295"/>
    <x v="2"/>
    <x v="11"/>
    <x v="295"/>
    <n v="499.95"/>
    <s v="High"/>
    <n v="5"/>
    <n v="0"/>
    <x v="0"/>
    <x v="0"/>
    <n v="174.98249999999999"/>
    <n v="0.35"/>
    <n v="0"/>
  </r>
  <r>
    <n v="5621"/>
    <s v="US-2016-124163"/>
    <d v="2016-09-25T00:00:00"/>
    <x v="0"/>
    <s v="Q3"/>
    <x v="21"/>
    <d v="2016-09-30T00:00:00"/>
    <s v="Standard Class"/>
    <x v="281"/>
    <x v="281"/>
    <s v="Corporate"/>
    <s v="United States"/>
    <s v="La Crosse"/>
    <x v="6"/>
    <n v="54601"/>
    <x v="2"/>
    <x v="1279"/>
    <x v="1"/>
    <x v="6"/>
    <x v="1264"/>
    <n v="3.04"/>
    <s v="Low"/>
    <n v="1"/>
    <n v="0"/>
    <x v="0"/>
    <x v="0"/>
    <n v="1.0336000000000001"/>
    <n v="0.34"/>
    <n v="0"/>
  </r>
  <r>
    <n v="5622"/>
    <s v="US-2016-124163"/>
    <d v="2016-09-25T00:00:00"/>
    <x v="0"/>
    <s v="Q3"/>
    <x v="21"/>
    <d v="2016-09-30T00:00:00"/>
    <s v="Standard Class"/>
    <x v="281"/>
    <x v="281"/>
    <s v="Corporate"/>
    <s v="United States"/>
    <s v="La Crosse"/>
    <x v="6"/>
    <n v="54601"/>
    <x v="2"/>
    <x v="38"/>
    <x v="0"/>
    <x v="1"/>
    <x v="38"/>
    <n v="201.96"/>
    <s v="High"/>
    <n v="2"/>
    <n v="0"/>
    <x v="0"/>
    <x v="0"/>
    <n v="50.49"/>
    <n v="0.25"/>
    <n v="0"/>
  </r>
  <r>
    <n v="5623"/>
    <s v="US-2016-124163"/>
    <d v="2016-09-25T00:00:00"/>
    <x v="0"/>
    <s v="Q3"/>
    <x v="21"/>
    <d v="2016-09-30T00:00:00"/>
    <s v="Standard Class"/>
    <x v="281"/>
    <x v="281"/>
    <s v="Corporate"/>
    <s v="United States"/>
    <s v="La Crosse"/>
    <x v="6"/>
    <n v="54601"/>
    <x v="2"/>
    <x v="1466"/>
    <x v="0"/>
    <x v="5"/>
    <x v="1452"/>
    <n v="68.64"/>
    <s v="Medium"/>
    <n v="11"/>
    <n v="0"/>
    <x v="0"/>
    <x v="0"/>
    <n v="17.16"/>
    <n v="0.25"/>
    <n v="0"/>
  </r>
  <r>
    <n v="5624"/>
    <s v="CA-2016-121748"/>
    <d v="2016-10-24T00:00:00"/>
    <x v="0"/>
    <s v="Q4"/>
    <x v="32"/>
    <d v="2016-10-28T00:00:00"/>
    <s v="Second Class"/>
    <x v="100"/>
    <x v="100"/>
    <s v="Corporate"/>
    <s v="United States"/>
    <s v="Los Angeles"/>
    <x v="1"/>
    <n v="90032"/>
    <x v="1"/>
    <x v="1072"/>
    <x v="2"/>
    <x v="11"/>
    <x v="1061"/>
    <n v="100"/>
    <s v="Medium"/>
    <n v="4"/>
    <n v="0"/>
    <x v="0"/>
    <x v="0"/>
    <n v="21"/>
    <n v="0.21"/>
    <n v="0"/>
  </r>
  <r>
    <n v="5625"/>
    <s v="CA-2016-121748"/>
    <d v="2016-10-24T00:00:00"/>
    <x v="0"/>
    <s v="Q4"/>
    <x v="32"/>
    <d v="2016-10-28T00:00:00"/>
    <s v="Second Class"/>
    <x v="100"/>
    <x v="100"/>
    <s v="Corporate"/>
    <s v="United States"/>
    <s v="Los Angeles"/>
    <x v="1"/>
    <n v="90032"/>
    <x v="1"/>
    <x v="1332"/>
    <x v="2"/>
    <x v="11"/>
    <x v="1317"/>
    <n v="359.98"/>
    <s v="High"/>
    <n v="2"/>
    <n v="0"/>
    <x v="0"/>
    <x v="0"/>
    <n v="21.598800000000001"/>
    <n v="0.06"/>
    <n v="0"/>
  </r>
  <r>
    <n v="5626"/>
    <s v="CA-2014-126683"/>
    <d v="2014-09-29T00:00:00"/>
    <x v="2"/>
    <s v="Q3"/>
    <x v="30"/>
    <d v="2014-10-01T00:00:00"/>
    <s v="Second Class"/>
    <x v="452"/>
    <x v="452"/>
    <s v="Home Office"/>
    <s v="United States"/>
    <s v="Seattle"/>
    <x v="4"/>
    <n v="98115"/>
    <x v="1"/>
    <x v="50"/>
    <x v="0"/>
    <x v="5"/>
    <x v="50"/>
    <n v="6.16"/>
    <s v="Low"/>
    <n v="2"/>
    <n v="0"/>
    <x v="0"/>
    <x v="0"/>
    <n v="2.9567999999999999"/>
    <n v="0.48"/>
    <n v="0"/>
  </r>
  <r>
    <n v="5627"/>
    <s v="CA-2014-126683"/>
    <d v="2014-09-29T00:00:00"/>
    <x v="2"/>
    <s v="Q3"/>
    <x v="30"/>
    <d v="2014-10-01T00:00:00"/>
    <s v="Second Class"/>
    <x v="452"/>
    <x v="452"/>
    <s v="Home Office"/>
    <s v="United States"/>
    <s v="Seattle"/>
    <x v="4"/>
    <n v="98115"/>
    <x v="1"/>
    <x v="971"/>
    <x v="0"/>
    <x v="3"/>
    <x v="965"/>
    <n v="2348.8200000000002"/>
    <s v="High"/>
    <n v="9"/>
    <n v="0"/>
    <x v="0"/>
    <x v="0"/>
    <n v="399.29939999999999"/>
    <n v="0.16999999999999998"/>
    <n v="0"/>
  </r>
  <r>
    <n v="5628"/>
    <s v="CA-2017-148810"/>
    <d v="2017-06-26T00:00:00"/>
    <x v="3"/>
    <s v="Q2"/>
    <x v="27"/>
    <d v="2017-07-01T00:00:00"/>
    <s v="Standard Class"/>
    <x v="112"/>
    <x v="112"/>
    <s v="Corporate"/>
    <s v="United States"/>
    <s v="Miami"/>
    <x v="2"/>
    <n v="33180"/>
    <x v="0"/>
    <x v="264"/>
    <x v="1"/>
    <x v="2"/>
    <x v="264"/>
    <n v="13.872"/>
    <s v="Low"/>
    <n v="6"/>
    <n v="0.2"/>
    <x v="2"/>
    <x v="2"/>
    <n v="4.6818"/>
    <n v="0.33750000000000002"/>
    <n v="0"/>
  </r>
  <r>
    <n v="5629"/>
    <s v="CA-2017-148810"/>
    <d v="2017-06-26T00:00:00"/>
    <x v="3"/>
    <s v="Q2"/>
    <x v="27"/>
    <d v="2017-07-01T00:00:00"/>
    <s v="Standard Class"/>
    <x v="112"/>
    <x v="112"/>
    <s v="Corporate"/>
    <s v="United States"/>
    <s v="Miami"/>
    <x v="2"/>
    <n v="33180"/>
    <x v="0"/>
    <x v="1756"/>
    <x v="0"/>
    <x v="1"/>
    <x v="1746"/>
    <n v="273.55200000000002"/>
    <s v="High"/>
    <n v="3"/>
    <n v="0.2"/>
    <x v="2"/>
    <x v="2"/>
    <n v="-13.6776"/>
    <n v="-4.9999999999999996E-2"/>
    <n v="1"/>
  </r>
  <r>
    <n v="5630"/>
    <s v="US-2016-146066"/>
    <d v="2016-08-21T00:00:00"/>
    <x v="0"/>
    <s v="Q3"/>
    <x v="28"/>
    <d v="2016-08-23T00:00:00"/>
    <s v="Second Class"/>
    <x v="46"/>
    <x v="46"/>
    <s v="Home Office"/>
    <s v="United States"/>
    <s v="Philadelphia"/>
    <x v="9"/>
    <n v="19143"/>
    <x v="3"/>
    <x v="1000"/>
    <x v="0"/>
    <x v="3"/>
    <x v="992"/>
    <n v="815.29200000000003"/>
    <s v="High"/>
    <n v="9"/>
    <n v="0.4"/>
    <x v="1"/>
    <x v="7"/>
    <n v="-339.70499999999998"/>
    <n v="-0.41666666666666663"/>
    <n v="1"/>
  </r>
  <r>
    <n v="5631"/>
    <s v="CA-2014-127614"/>
    <d v="2014-02-11T00:00:00"/>
    <x v="2"/>
    <s v="Q1"/>
    <x v="45"/>
    <d v="2014-02-15T00:00:00"/>
    <s v="Standard Class"/>
    <x v="173"/>
    <x v="173"/>
    <s v="Consumer"/>
    <s v="United States"/>
    <s v="Chesapeake"/>
    <x v="17"/>
    <n v="23320"/>
    <x v="0"/>
    <x v="475"/>
    <x v="2"/>
    <x v="11"/>
    <x v="476"/>
    <n v="234.45"/>
    <s v="High"/>
    <n v="3"/>
    <n v="0"/>
    <x v="0"/>
    <x v="0"/>
    <n v="103.158"/>
    <n v="0.44"/>
    <n v="0"/>
  </r>
  <r>
    <n v="5632"/>
    <s v="CA-2014-127614"/>
    <d v="2014-02-11T00:00:00"/>
    <x v="2"/>
    <s v="Q1"/>
    <x v="45"/>
    <d v="2014-02-15T00:00:00"/>
    <s v="Standard Class"/>
    <x v="173"/>
    <x v="173"/>
    <s v="Consumer"/>
    <s v="United States"/>
    <s v="Chesapeake"/>
    <x v="17"/>
    <n v="23320"/>
    <x v="0"/>
    <x v="1021"/>
    <x v="0"/>
    <x v="3"/>
    <x v="1012"/>
    <n v="1256.22"/>
    <s v="High"/>
    <n v="6"/>
    <n v="0"/>
    <x v="0"/>
    <x v="0"/>
    <n v="75.373199999999997"/>
    <n v="0.06"/>
    <n v="0"/>
  </r>
  <r>
    <n v="5633"/>
    <s v="CA-2014-127614"/>
    <d v="2014-02-11T00:00:00"/>
    <x v="2"/>
    <s v="Q1"/>
    <x v="45"/>
    <d v="2014-02-15T00:00:00"/>
    <s v="Standard Class"/>
    <x v="173"/>
    <x v="173"/>
    <s v="Consumer"/>
    <s v="United States"/>
    <s v="Chesapeake"/>
    <x v="17"/>
    <n v="23320"/>
    <x v="0"/>
    <x v="44"/>
    <x v="1"/>
    <x v="8"/>
    <x v="44"/>
    <n v="17.46"/>
    <s v="Low"/>
    <n v="2"/>
    <n v="0"/>
    <x v="0"/>
    <x v="0"/>
    <n v="8.2062000000000008"/>
    <n v="0.47000000000000003"/>
    <n v="0"/>
  </r>
  <r>
    <n v="5634"/>
    <s v="CA-2016-101742"/>
    <d v="2016-09-23T00:00:00"/>
    <x v="0"/>
    <s v="Q3"/>
    <x v="21"/>
    <d v="2016-09-28T00:00:00"/>
    <s v="Second Class"/>
    <x v="615"/>
    <x v="615"/>
    <s v="Home Office"/>
    <s v="United States"/>
    <s v="New York City"/>
    <x v="15"/>
    <n v="10009"/>
    <x v="3"/>
    <x v="620"/>
    <x v="1"/>
    <x v="8"/>
    <x v="620"/>
    <n v="10.528"/>
    <s v="Low"/>
    <n v="7"/>
    <n v="0.2"/>
    <x v="2"/>
    <x v="2"/>
    <n v="3.6848000000000001"/>
    <n v="0.35"/>
    <n v="0"/>
  </r>
  <r>
    <n v="5635"/>
    <s v="CA-2015-134943"/>
    <d v="2015-12-05T00:00:00"/>
    <x v="1"/>
    <s v="Q4"/>
    <x v="14"/>
    <d v="2015-12-06T00:00:00"/>
    <s v="First Class"/>
    <x v="711"/>
    <x v="711"/>
    <s v="Home Office"/>
    <s v="United States"/>
    <s v="Ann Arbor"/>
    <x v="12"/>
    <n v="48104"/>
    <x v="2"/>
    <x v="997"/>
    <x v="1"/>
    <x v="8"/>
    <x v="989"/>
    <n v="152.80000000000001"/>
    <s v="High"/>
    <n v="5"/>
    <n v="0"/>
    <x v="0"/>
    <x v="0"/>
    <n v="76.400000000000006"/>
    <n v="0.5"/>
    <n v="0"/>
  </r>
  <r>
    <n v="5636"/>
    <s v="CA-2017-123022"/>
    <d v="2017-09-03T00:00:00"/>
    <x v="3"/>
    <s v="Q3"/>
    <x v="15"/>
    <d v="2017-09-08T00:00:00"/>
    <s v="Standard Class"/>
    <x v="337"/>
    <x v="337"/>
    <s v="Home Office"/>
    <s v="United States"/>
    <s v="La Mesa"/>
    <x v="1"/>
    <n v="91941"/>
    <x v="1"/>
    <x v="340"/>
    <x v="1"/>
    <x v="8"/>
    <x v="340"/>
    <n v="82.56"/>
    <s v="Medium"/>
    <n v="5"/>
    <n v="0.2"/>
    <x v="2"/>
    <x v="2"/>
    <n v="28.896000000000001"/>
    <n v="0.35"/>
    <n v="0"/>
  </r>
  <r>
    <n v="5637"/>
    <s v="CA-2017-123022"/>
    <d v="2017-09-03T00:00:00"/>
    <x v="3"/>
    <s v="Q3"/>
    <x v="15"/>
    <d v="2017-09-08T00:00:00"/>
    <s v="Standard Class"/>
    <x v="337"/>
    <x v="337"/>
    <s v="Home Office"/>
    <s v="United States"/>
    <s v="La Mesa"/>
    <x v="1"/>
    <n v="91941"/>
    <x v="1"/>
    <x v="1523"/>
    <x v="2"/>
    <x v="11"/>
    <x v="1510"/>
    <n v="284.97000000000003"/>
    <s v="High"/>
    <n v="3"/>
    <n v="0"/>
    <x v="0"/>
    <x v="0"/>
    <n v="85.491"/>
    <n v="0.3"/>
    <n v="0"/>
  </r>
  <r>
    <n v="5638"/>
    <s v="CA-2017-113208"/>
    <d v="2017-03-26T00:00:00"/>
    <x v="3"/>
    <s v="Q1"/>
    <x v="42"/>
    <d v="2017-04-02T00:00:00"/>
    <s v="Standard Class"/>
    <x v="614"/>
    <x v="614"/>
    <s v="Corporate"/>
    <s v="United States"/>
    <s v="Dearborn"/>
    <x v="12"/>
    <n v="48126"/>
    <x v="2"/>
    <x v="1757"/>
    <x v="0"/>
    <x v="5"/>
    <x v="1747"/>
    <n v="60.84"/>
    <s v="Medium"/>
    <n v="3"/>
    <n v="0"/>
    <x v="0"/>
    <x v="0"/>
    <n v="23.119199999999999"/>
    <n v="0.37999999999999995"/>
    <n v="0"/>
  </r>
  <r>
    <n v="5639"/>
    <s v="CA-2014-154893"/>
    <d v="2014-12-21T00:00:00"/>
    <x v="2"/>
    <s v="Q4"/>
    <x v="20"/>
    <d v="2014-12-27T00:00:00"/>
    <s v="Standard Class"/>
    <x v="306"/>
    <x v="306"/>
    <s v="Consumer"/>
    <s v="United States"/>
    <s v="San Diego"/>
    <x v="1"/>
    <n v="92024"/>
    <x v="1"/>
    <x v="157"/>
    <x v="0"/>
    <x v="1"/>
    <x v="158"/>
    <n v="1325.76"/>
    <s v="High"/>
    <n v="6"/>
    <n v="0.2"/>
    <x v="2"/>
    <x v="2"/>
    <n v="149.148"/>
    <n v="0.1125"/>
    <n v="0"/>
  </r>
  <r>
    <n v="5640"/>
    <s v="CA-2014-154893"/>
    <d v="2014-12-21T00:00:00"/>
    <x v="2"/>
    <s v="Q4"/>
    <x v="20"/>
    <d v="2014-12-27T00:00:00"/>
    <s v="Standard Class"/>
    <x v="306"/>
    <x v="306"/>
    <s v="Consumer"/>
    <s v="United States"/>
    <s v="San Diego"/>
    <x v="1"/>
    <n v="92024"/>
    <x v="1"/>
    <x v="467"/>
    <x v="0"/>
    <x v="1"/>
    <x v="468"/>
    <n v="572.16"/>
    <s v="High"/>
    <n v="3"/>
    <n v="0.2"/>
    <x v="2"/>
    <x v="2"/>
    <n v="35.76"/>
    <n v="6.25E-2"/>
    <n v="0"/>
  </r>
  <r>
    <n v="5641"/>
    <s v="CA-2014-147900"/>
    <d v="2014-09-23T00:00:00"/>
    <x v="2"/>
    <s v="Q3"/>
    <x v="30"/>
    <d v="2014-09-28T00:00:00"/>
    <s v="Standard Class"/>
    <x v="82"/>
    <x v="82"/>
    <s v="Home Office"/>
    <s v="United States"/>
    <s v="Lakewood"/>
    <x v="24"/>
    <n v="44107"/>
    <x v="3"/>
    <x v="1732"/>
    <x v="1"/>
    <x v="10"/>
    <x v="1720"/>
    <n v="28.8"/>
    <s v="Medium"/>
    <n v="9"/>
    <n v="0.2"/>
    <x v="2"/>
    <x v="2"/>
    <n v="10.08"/>
    <n v="0.35"/>
    <n v="0"/>
  </r>
  <r>
    <n v="5642"/>
    <s v="CA-2017-106355"/>
    <d v="2017-04-02T00:00:00"/>
    <x v="3"/>
    <s v="Q2"/>
    <x v="4"/>
    <d v="2017-04-05T00:00:00"/>
    <s v="First Class"/>
    <x v="401"/>
    <x v="401"/>
    <s v="Home Office"/>
    <s v="United States"/>
    <s v="Meriden"/>
    <x v="29"/>
    <n v="6450"/>
    <x v="3"/>
    <x v="21"/>
    <x v="1"/>
    <x v="6"/>
    <x v="21"/>
    <n v="11.12"/>
    <s v="Low"/>
    <n v="4"/>
    <n v="0"/>
    <x v="0"/>
    <x v="0"/>
    <n v="2.8912"/>
    <n v="0.26"/>
    <n v="0"/>
  </r>
  <r>
    <n v="5643"/>
    <s v="CA-2016-127985"/>
    <d v="2016-04-01T00:00:00"/>
    <x v="0"/>
    <s v="Q2"/>
    <x v="25"/>
    <d v="2016-04-05T00:00:00"/>
    <s v="Second Class"/>
    <x v="626"/>
    <x v="626"/>
    <s v="Home Office"/>
    <s v="United States"/>
    <s v="Columbus"/>
    <x v="32"/>
    <n v="31907"/>
    <x v="0"/>
    <x v="247"/>
    <x v="0"/>
    <x v="5"/>
    <x v="248"/>
    <n v="7.04"/>
    <s v="Low"/>
    <n v="4"/>
    <n v="0"/>
    <x v="0"/>
    <x v="0"/>
    <n v="3.0975999999999999"/>
    <n v="0.44"/>
    <n v="0"/>
  </r>
  <r>
    <n v="5644"/>
    <s v="CA-2015-166604"/>
    <d v="2015-05-15T00:00:00"/>
    <x v="1"/>
    <s v="Q2"/>
    <x v="33"/>
    <d v="2015-05-20T00:00:00"/>
    <s v="Second Class"/>
    <x v="706"/>
    <x v="706"/>
    <s v="Corporate"/>
    <s v="United States"/>
    <s v="Roswell"/>
    <x v="32"/>
    <n v="30076"/>
    <x v="0"/>
    <x v="1303"/>
    <x v="1"/>
    <x v="12"/>
    <x v="1288"/>
    <n v="17.940000000000001"/>
    <s v="Low"/>
    <n v="3"/>
    <n v="0"/>
    <x v="0"/>
    <x v="0"/>
    <n v="8.7905999999999995"/>
    <n v="0.48999999999999994"/>
    <n v="0"/>
  </r>
  <r>
    <n v="5645"/>
    <s v="CA-2017-120719"/>
    <d v="2017-03-23T00:00:00"/>
    <x v="3"/>
    <s v="Q1"/>
    <x v="42"/>
    <d v="2017-03-26T00:00:00"/>
    <s v="First Class"/>
    <x v="319"/>
    <x v="319"/>
    <s v="Home Office"/>
    <s v="United States"/>
    <s v="Seattle"/>
    <x v="4"/>
    <n v="98105"/>
    <x v="1"/>
    <x v="530"/>
    <x v="1"/>
    <x v="8"/>
    <x v="530"/>
    <n v="34.76"/>
    <s v="Medium"/>
    <n v="5"/>
    <n v="0.2"/>
    <x v="2"/>
    <x v="2"/>
    <n v="11.297000000000001"/>
    <n v="0.32500000000000001"/>
    <n v="0"/>
  </r>
  <r>
    <n v="5646"/>
    <s v="CA-2017-127117"/>
    <d v="2017-04-14T00:00:00"/>
    <x v="3"/>
    <s v="Q2"/>
    <x v="4"/>
    <d v="2017-04-19T00:00:00"/>
    <s v="Standard Class"/>
    <x v="447"/>
    <x v="447"/>
    <s v="Corporate"/>
    <s v="United States"/>
    <s v="Morristown"/>
    <x v="30"/>
    <n v="7960"/>
    <x v="3"/>
    <x v="943"/>
    <x v="0"/>
    <x v="5"/>
    <x v="936"/>
    <n v="74.45"/>
    <s v="Medium"/>
    <n v="5"/>
    <n v="0"/>
    <x v="0"/>
    <x v="0"/>
    <n v="20.101500000000001"/>
    <n v="0.27"/>
    <n v="0"/>
  </r>
  <r>
    <n v="5647"/>
    <s v="CA-2015-104241"/>
    <d v="2015-01-04T00:00:00"/>
    <x v="1"/>
    <s v="Q1"/>
    <x v="26"/>
    <d v="2015-01-09T00:00:00"/>
    <s v="Standard Class"/>
    <x v="122"/>
    <x v="122"/>
    <s v="Corporate"/>
    <s v="United States"/>
    <s v="Alexandria"/>
    <x v="17"/>
    <n v="22304"/>
    <x v="0"/>
    <x v="1001"/>
    <x v="0"/>
    <x v="5"/>
    <x v="993"/>
    <n v="192.22"/>
    <s v="High"/>
    <n v="14"/>
    <n v="0"/>
    <x v="0"/>
    <x v="0"/>
    <n v="69.199200000000005"/>
    <n v="0.36000000000000004"/>
    <n v="0"/>
  </r>
  <r>
    <n v="5648"/>
    <s v="CA-2017-168179"/>
    <d v="2017-11-02T00:00:00"/>
    <x v="3"/>
    <s v="Q4"/>
    <x v="23"/>
    <d v="2017-11-07T00:00:00"/>
    <s v="Standard Class"/>
    <x v="677"/>
    <x v="677"/>
    <s v="Consumer"/>
    <s v="United States"/>
    <s v="Salt Lake City"/>
    <x v="7"/>
    <n v="84106"/>
    <x v="1"/>
    <x v="585"/>
    <x v="1"/>
    <x v="10"/>
    <x v="585"/>
    <n v="19.440000000000001"/>
    <s v="Low"/>
    <n v="3"/>
    <n v="0"/>
    <x v="0"/>
    <x v="0"/>
    <n v="9.3312000000000008"/>
    <n v="0.48000000000000004"/>
    <n v="0"/>
  </r>
  <r>
    <n v="5649"/>
    <s v="CA-2017-142342"/>
    <d v="2017-07-17T00:00:00"/>
    <x v="3"/>
    <s v="Q3"/>
    <x v="10"/>
    <d v="2017-07-19T00:00:00"/>
    <s v="Second Class"/>
    <x v="295"/>
    <x v="295"/>
    <s v="Corporate"/>
    <s v="United States"/>
    <s v="Apple Valley"/>
    <x v="1"/>
    <n v="92307"/>
    <x v="1"/>
    <x v="1516"/>
    <x v="1"/>
    <x v="10"/>
    <x v="1503"/>
    <n v="32.4"/>
    <s v="Medium"/>
    <n v="5"/>
    <n v="0"/>
    <x v="0"/>
    <x v="0"/>
    <n v="15.552"/>
    <n v="0.48"/>
    <n v="0"/>
  </r>
  <r>
    <n v="5650"/>
    <s v="CA-2017-142342"/>
    <d v="2017-07-17T00:00:00"/>
    <x v="3"/>
    <s v="Q3"/>
    <x v="10"/>
    <d v="2017-07-19T00:00:00"/>
    <s v="Second Class"/>
    <x v="295"/>
    <x v="295"/>
    <s v="Corporate"/>
    <s v="United States"/>
    <s v="Apple Valley"/>
    <x v="1"/>
    <n v="92307"/>
    <x v="1"/>
    <x v="1758"/>
    <x v="1"/>
    <x v="12"/>
    <x v="1711"/>
    <n v="57.9"/>
    <s v="Medium"/>
    <n v="5"/>
    <n v="0"/>
    <x v="0"/>
    <x v="0"/>
    <n v="28.95"/>
    <n v="0.5"/>
    <n v="0"/>
  </r>
  <r>
    <n v="5651"/>
    <s v="CA-2017-142342"/>
    <d v="2017-07-17T00:00:00"/>
    <x v="3"/>
    <s v="Q3"/>
    <x v="10"/>
    <d v="2017-07-19T00:00:00"/>
    <s v="Second Class"/>
    <x v="295"/>
    <x v="295"/>
    <s v="Corporate"/>
    <s v="United States"/>
    <s v="Apple Valley"/>
    <x v="1"/>
    <n v="92307"/>
    <x v="1"/>
    <x v="1505"/>
    <x v="1"/>
    <x v="4"/>
    <x v="1492"/>
    <n v="10.56"/>
    <s v="Low"/>
    <n v="2"/>
    <n v="0"/>
    <x v="0"/>
    <x v="0"/>
    <n v="0"/>
    <n v="0"/>
    <n v="0"/>
  </r>
  <r>
    <n v="5652"/>
    <s v="CA-2017-142342"/>
    <d v="2017-07-17T00:00:00"/>
    <x v="3"/>
    <s v="Q3"/>
    <x v="10"/>
    <d v="2017-07-19T00:00:00"/>
    <s v="Second Class"/>
    <x v="295"/>
    <x v="295"/>
    <s v="Corporate"/>
    <s v="United States"/>
    <s v="Apple Valley"/>
    <x v="1"/>
    <n v="92307"/>
    <x v="1"/>
    <x v="178"/>
    <x v="0"/>
    <x v="0"/>
    <x v="179"/>
    <n v="1194.165"/>
    <s v="High"/>
    <n v="5"/>
    <n v="0.15"/>
    <x v="2"/>
    <x v="2"/>
    <n v="210.73500000000001"/>
    <n v="0.17647058823529413"/>
    <n v="0"/>
  </r>
  <r>
    <n v="5653"/>
    <s v="CA-2017-109099"/>
    <d v="2017-10-06T00:00:00"/>
    <x v="3"/>
    <s v="Q4"/>
    <x v="13"/>
    <d v="2017-10-11T00:00:00"/>
    <s v="Standard Class"/>
    <x v="152"/>
    <x v="152"/>
    <s v="Corporate"/>
    <s v="United States"/>
    <s v="New York City"/>
    <x v="15"/>
    <n v="10009"/>
    <x v="3"/>
    <x v="1522"/>
    <x v="1"/>
    <x v="10"/>
    <x v="1509"/>
    <n v="40.99"/>
    <s v="Medium"/>
    <n v="1"/>
    <n v="0"/>
    <x v="0"/>
    <x v="0"/>
    <n v="20.085100000000001"/>
    <n v="0.49"/>
    <n v="0"/>
  </r>
  <r>
    <n v="5654"/>
    <s v="US-2014-134187"/>
    <d v="2014-11-04T00:00:00"/>
    <x v="2"/>
    <s v="Q4"/>
    <x v="7"/>
    <d v="2014-11-11T00:00:00"/>
    <s v="Standard Class"/>
    <x v="260"/>
    <x v="260"/>
    <s v="Corporate"/>
    <s v="United States"/>
    <s v="Long Beach"/>
    <x v="1"/>
    <n v="90805"/>
    <x v="1"/>
    <x v="134"/>
    <x v="1"/>
    <x v="6"/>
    <x v="135"/>
    <n v="2.94"/>
    <s v="Low"/>
    <n v="1"/>
    <n v="0"/>
    <x v="0"/>
    <x v="0"/>
    <n v="0.79379999999999995"/>
    <n v="0.26999999999999996"/>
    <n v="0"/>
  </r>
  <r>
    <n v="5655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443"/>
    <x v="1"/>
    <x v="8"/>
    <x v="443"/>
    <n v="45.24"/>
    <s v="Medium"/>
    <n v="4"/>
    <n v="0.7"/>
    <x v="1"/>
    <x v="5"/>
    <n v="-30.16"/>
    <n v="-0.66666666666666663"/>
    <n v="1"/>
  </r>
  <r>
    <n v="5656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512"/>
    <x v="1"/>
    <x v="6"/>
    <x v="512"/>
    <n v="18.687999999999999"/>
    <s v="Low"/>
    <n v="4"/>
    <n v="0.2"/>
    <x v="2"/>
    <x v="2"/>
    <n v="2.3359999999999999"/>
    <n v="0.125"/>
    <n v="0"/>
  </r>
  <r>
    <n v="5657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1749"/>
    <x v="1"/>
    <x v="10"/>
    <x v="1739"/>
    <n v="11.648"/>
    <s v="Low"/>
    <n v="2"/>
    <n v="0.2"/>
    <x v="2"/>
    <x v="2"/>
    <n v="3.7856000000000001"/>
    <n v="0.32500000000000001"/>
    <n v="0"/>
  </r>
  <r>
    <n v="5658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437"/>
    <x v="2"/>
    <x v="11"/>
    <x v="437"/>
    <n v="112.776"/>
    <s v="Medium"/>
    <n v="3"/>
    <n v="0.2"/>
    <x v="2"/>
    <x v="2"/>
    <n v="-8.4581999999999997"/>
    <n v="-7.4999999999999997E-2"/>
    <n v="1"/>
  </r>
  <r>
    <n v="5659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1000"/>
    <x v="0"/>
    <x v="3"/>
    <x v="992"/>
    <n v="377.45"/>
    <s v="High"/>
    <n v="5"/>
    <n v="0.5"/>
    <x v="1"/>
    <x v="1"/>
    <n v="-264.21499999999997"/>
    <n v="-0.7"/>
    <n v="1"/>
  </r>
  <r>
    <n v="5660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1508"/>
    <x v="1"/>
    <x v="2"/>
    <x v="1495"/>
    <n v="15.936"/>
    <s v="Low"/>
    <n v="4"/>
    <n v="0.2"/>
    <x v="2"/>
    <x v="2"/>
    <n v="5.1791999999999998"/>
    <n v="0.32500000000000001"/>
    <n v="0"/>
  </r>
  <r>
    <n v="5661"/>
    <s v="CA-2016-145261"/>
    <d v="2016-12-18T00:00:00"/>
    <x v="0"/>
    <s v="Q4"/>
    <x v="5"/>
    <d v="2016-12-21T00:00:00"/>
    <s v="First Class"/>
    <x v="571"/>
    <x v="571"/>
    <s v="Home Office"/>
    <s v="United States"/>
    <s v="Salem"/>
    <x v="21"/>
    <n v="97301"/>
    <x v="1"/>
    <x v="1378"/>
    <x v="2"/>
    <x v="7"/>
    <x v="1363"/>
    <n v="28.68"/>
    <s v="Medium"/>
    <n v="3"/>
    <n v="0.2"/>
    <x v="2"/>
    <x v="2"/>
    <n v="-7.17"/>
    <n v="-0.25"/>
    <n v="1"/>
  </r>
  <r>
    <n v="5662"/>
    <s v="CA-2016-108875"/>
    <d v="2016-09-24T00:00:00"/>
    <x v="0"/>
    <s v="Q3"/>
    <x v="21"/>
    <d v="2016-10-01T00:00:00"/>
    <s v="Standard Class"/>
    <x v="642"/>
    <x v="642"/>
    <s v="Home Office"/>
    <s v="United States"/>
    <s v="Aurora"/>
    <x v="22"/>
    <n v="80013"/>
    <x v="1"/>
    <x v="278"/>
    <x v="0"/>
    <x v="5"/>
    <x v="278"/>
    <n v="21.44"/>
    <s v="Low"/>
    <n v="2"/>
    <n v="0.2"/>
    <x v="2"/>
    <x v="2"/>
    <n v="7.5039999999999996"/>
    <n v="0.35"/>
    <n v="0"/>
  </r>
  <r>
    <n v="5663"/>
    <s v="CA-2016-108875"/>
    <d v="2016-09-24T00:00:00"/>
    <x v="0"/>
    <s v="Q3"/>
    <x v="21"/>
    <d v="2016-10-01T00:00:00"/>
    <s v="Standard Class"/>
    <x v="642"/>
    <x v="642"/>
    <s v="Home Office"/>
    <s v="United States"/>
    <s v="Aurora"/>
    <x v="22"/>
    <n v="80013"/>
    <x v="1"/>
    <x v="1043"/>
    <x v="1"/>
    <x v="4"/>
    <x v="1032"/>
    <n v="511.05599999999998"/>
    <s v="High"/>
    <n v="9"/>
    <n v="0.2"/>
    <x v="2"/>
    <x v="2"/>
    <n v="-95.822999999999993"/>
    <n v="-0.1875"/>
    <n v="1"/>
  </r>
  <r>
    <n v="5664"/>
    <s v="CA-2016-141957"/>
    <d v="2016-07-21T00:00:00"/>
    <x v="0"/>
    <s v="Q3"/>
    <x v="16"/>
    <d v="2016-07-21T00:00:00"/>
    <s v="Same Day"/>
    <x v="684"/>
    <x v="684"/>
    <s v="Corporate"/>
    <s v="United States"/>
    <s v="Newark"/>
    <x v="24"/>
    <n v="43055"/>
    <x v="3"/>
    <x v="1759"/>
    <x v="1"/>
    <x v="6"/>
    <x v="1748"/>
    <n v="18.655999999999999"/>
    <s v="Low"/>
    <n v="2"/>
    <n v="0.2"/>
    <x v="2"/>
    <x v="2"/>
    <n v="1.3992"/>
    <n v="7.5000000000000011E-2"/>
    <n v="0"/>
  </r>
  <r>
    <n v="5665"/>
    <s v="CA-2016-141957"/>
    <d v="2016-07-21T00:00:00"/>
    <x v="0"/>
    <s v="Q3"/>
    <x v="16"/>
    <d v="2016-07-21T00:00:00"/>
    <s v="Same Day"/>
    <x v="684"/>
    <x v="684"/>
    <s v="Corporate"/>
    <s v="United States"/>
    <s v="Newark"/>
    <x v="24"/>
    <n v="43055"/>
    <x v="3"/>
    <x v="1085"/>
    <x v="1"/>
    <x v="8"/>
    <x v="1075"/>
    <n v="11.087999999999999"/>
    <s v="Low"/>
    <n v="7"/>
    <n v="0.7"/>
    <x v="1"/>
    <x v="5"/>
    <n v="-8.1311999999999998"/>
    <n v="-0.73333333333333339"/>
    <n v="1"/>
  </r>
  <r>
    <n v="5666"/>
    <s v="CA-2016-141957"/>
    <d v="2016-07-21T00:00:00"/>
    <x v="0"/>
    <s v="Q3"/>
    <x v="16"/>
    <d v="2016-07-21T00:00:00"/>
    <s v="Same Day"/>
    <x v="684"/>
    <x v="684"/>
    <s v="Corporate"/>
    <s v="United States"/>
    <s v="Newark"/>
    <x v="24"/>
    <n v="43055"/>
    <x v="3"/>
    <x v="225"/>
    <x v="1"/>
    <x v="4"/>
    <x v="226"/>
    <n v="66.688000000000002"/>
    <s v="Medium"/>
    <n v="1"/>
    <n v="0.2"/>
    <x v="2"/>
    <x v="2"/>
    <n v="4.1680000000000001"/>
    <n v="6.25E-2"/>
    <n v="0"/>
  </r>
  <r>
    <n v="5667"/>
    <s v="CA-2016-141957"/>
    <d v="2016-07-21T00:00:00"/>
    <x v="0"/>
    <s v="Q3"/>
    <x v="16"/>
    <d v="2016-07-21T00:00:00"/>
    <s v="Same Day"/>
    <x v="684"/>
    <x v="684"/>
    <s v="Corporate"/>
    <s v="United States"/>
    <s v="Newark"/>
    <x v="24"/>
    <n v="43055"/>
    <x v="3"/>
    <x v="821"/>
    <x v="1"/>
    <x v="4"/>
    <x v="817"/>
    <n v="99.488"/>
    <s v="Medium"/>
    <n v="2"/>
    <n v="0.2"/>
    <x v="2"/>
    <x v="2"/>
    <n v="8.7051999999999996"/>
    <n v="8.7499999999999994E-2"/>
    <n v="0"/>
  </r>
  <r>
    <n v="5668"/>
    <s v="CA-2016-142405"/>
    <d v="2016-06-11T00:00:00"/>
    <x v="0"/>
    <s v="Q2"/>
    <x v="1"/>
    <d v="2016-06-15T00:00:00"/>
    <s v="Standard Class"/>
    <x v="339"/>
    <x v="339"/>
    <s v="Consumer"/>
    <s v="United States"/>
    <s v="Seattle"/>
    <x v="4"/>
    <n v="98103"/>
    <x v="1"/>
    <x v="676"/>
    <x v="1"/>
    <x v="2"/>
    <x v="676"/>
    <n v="14.62"/>
    <s v="Low"/>
    <n v="2"/>
    <n v="0"/>
    <x v="0"/>
    <x v="0"/>
    <n v="6.8714000000000004"/>
    <n v="0.47000000000000003"/>
    <n v="0"/>
  </r>
  <r>
    <n v="5669"/>
    <s v="CA-2016-142405"/>
    <d v="2016-06-11T00:00:00"/>
    <x v="0"/>
    <s v="Q2"/>
    <x v="1"/>
    <d v="2016-06-15T00:00:00"/>
    <s v="Standard Class"/>
    <x v="339"/>
    <x v="339"/>
    <s v="Consumer"/>
    <s v="United States"/>
    <s v="Seattle"/>
    <x v="4"/>
    <n v="98103"/>
    <x v="1"/>
    <x v="544"/>
    <x v="1"/>
    <x v="8"/>
    <x v="544"/>
    <n v="53.984000000000002"/>
    <s v="Medium"/>
    <n v="14"/>
    <n v="0.2"/>
    <x v="2"/>
    <x v="2"/>
    <n v="17.544799999999999"/>
    <n v="0.32499999999999996"/>
    <n v="0"/>
  </r>
  <r>
    <n v="5670"/>
    <s v="CA-2016-142405"/>
    <d v="2016-06-11T00:00:00"/>
    <x v="0"/>
    <s v="Q2"/>
    <x v="1"/>
    <d v="2016-06-15T00:00:00"/>
    <s v="Standard Class"/>
    <x v="339"/>
    <x v="339"/>
    <s v="Consumer"/>
    <s v="United States"/>
    <s v="Seattle"/>
    <x v="4"/>
    <n v="98103"/>
    <x v="1"/>
    <x v="1301"/>
    <x v="2"/>
    <x v="11"/>
    <x v="1286"/>
    <n v="389.97"/>
    <s v="High"/>
    <n v="3"/>
    <n v="0"/>
    <x v="0"/>
    <x v="0"/>
    <n v="132.5898"/>
    <n v="0.33999999999999997"/>
    <n v="0"/>
  </r>
  <r>
    <n v="5671"/>
    <s v="CA-2015-141012"/>
    <d v="2015-06-09T00:00:00"/>
    <x v="1"/>
    <s v="Q2"/>
    <x v="40"/>
    <d v="2015-06-11T00:00:00"/>
    <s v="Second Class"/>
    <x v="228"/>
    <x v="228"/>
    <s v="Consumer"/>
    <s v="United States"/>
    <s v="Pocatello"/>
    <x v="45"/>
    <n v="83201"/>
    <x v="1"/>
    <x v="1740"/>
    <x v="0"/>
    <x v="5"/>
    <x v="1729"/>
    <n v="355.36"/>
    <s v="High"/>
    <n v="4"/>
    <n v="0"/>
    <x v="0"/>
    <x v="0"/>
    <n v="92.393600000000006"/>
    <n v="0.26"/>
    <n v="0"/>
  </r>
  <r>
    <n v="5672"/>
    <s v="CA-2015-141012"/>
    <d v="2015-06-09T00:00:00"/>
    <x v="1"/>
    <s v="Q2"/>
    <x v="40"/>
    <d v="2015-06-11T00:00:00"/>
    <s v="Second Class"/>
    <x v="228"/>
    <x v="228"/>
    <s v="Consumer"/>
    <s v="United States"/>
    <s v="Pocatello"/>
    <x v="45"/>
    <n v="83201"/>
    <x v="1"/>
    <x v="1717"/>
    <x v="2"/>
    <x v="7"/>
    <x v="1704"/>
    <n v="140.376"/>
    <s v="High"/>
    <n v="3"/>
    <n v="0.2"/>
    <x v="2"/>
    <x v="2"/>
    <n v="8.7735000000000003"/>
    <n v="6.25E-2"/>
    <n v="0"/>
  </r>
  <r>
    <n v="5673"/>
    <s v="CA-2017-127922"/>
    <d v="2017-10-27T00:00:00"/>
    <x v="3"/>
    <s v="Q4"/>
    <x v="13"/>
    <d v="2017-11-03T00:00:00"/>
    <s v="Standard Class"/>
    <x v="64"/>
    <x v="64"/>
    <s v="Corporate"/>
    <s v="United States"/>
    <s v="Dallas"/>
    <x v="5"/>
    <n v="75081"/>
    <x v="2"/>
    <x v="1652"/>
    <x v="1"/>
    <x v="12"/>
    <x v="1641"/>
    <n v="15.84"/>
    <s v="Low"/>
    <n v="2"/>
    <n v="0.2"/>
    <x v="2"/>
    <x v="2"/>
    <n v="5.5439999999999996"/>
    <n v="0.35"/>
    <n v="0"/>
  </r>
  <r>
    <n v="5674"/>
    <s v="CA-2017-127922"/>
    <d v="2017-10-27T00:00:00"/>
    <x v="3"/>
    <s v="Q4"/>
    <x v="13"/>
    <d v="2017-11-03T00:00:00"/>
    <s v="Standard Class"/>
    <x v="64"/>
    <x v="64"/>
    <s v="Corporate"/>
    <s v="United States"/>
    <s v="Dallas"/>
    <x v="5"/>
    <n v="75081"/>
    <x v="2"/>
    <x v="523"/>
    <x v="1"/>
    <x v="10"/>
    <x v="523"/>
    <n v="8.4480000000000004"/>
    <s v="Low"/>
    <n v="2"/>
    <n v="0.2"/>
    <x v="2"/>
    <x v="2"/>
    <n v="2.64"/>
    <n v="0.3125"/>
    <n v="0"/>
  </r>
  <r>
    <n v="5675"/>
    <s v="CA-2016-146318"/>
    <d v="2016-01-22T00:00:00"/>
    <x v="0"/>
    <s v="Q1"/>
    <x v="12"/>
    <d v="2016-01-27T00:00:00"/>
    <s v="Standard Class"/>
    <x v="507"/>
    <x v="507"/>
    <s v="Consumer"/>
    <s v="United States"/>
    <s v="Seattle"/>
    <x v="4"/>
    <n v="98105"/>
    <x v="1"/>
    <x v="644"/>
    <x v="1"/>
    <x v="10"/>
    <x v="644"/>
    <n v="12.96"/>
    <s v="Low"/>
    <n v="2"/>
    <n v="0"/>
    <x v="0"/>
    <x v="0"/>
    <n v="6.2207999999999997"/>
    <n v="0.47999999999999993"/>
    <n v="0"/>
  </r>
  <r>
    <n v="5676"/>
    <s v="CA-2014-135993"/>
    <d v="2014-05-28T00:00:00"/>
    <x v="2"/>
    <s v="Q2"/>
    <x v="8"/>
    <d v="2014-06-02T00:00:00"/>
    <s v="Standard Class"/>
    <x v="601"/>
    <x v="601"/>
    <s v="Corporate"/>
    <s v="United States"/>
    <s v="Seattle"/>
    <x v="4"/>
    <n v="98115"/>
    <x v="1"/>
    <x v="179"/>
    <x v="2"/>
    <x v="7"/>
    <x v="180"/>
    <n v="57.408000000000001"/>
    <s v="Medium"/>
    <n v="6"/>
    <n v="0.2"/>
    <x v="2"/>
    <x v="2"/>
    <n v="5.7408000000000001"/>
    <n v="0.1"/>
    <n v="0"/>
  </r>
  <r>
    <n v="5677"/>
    <s v="CA-2014-135993"/>
    <d v="2014-05-28T00:00:00"/>
    <x v="2"/>
    <s v="Q2"/>
    <x v="8"/>
    <d v="2014-06-02T00:00:00"/>
    <s v="Standard Class"/>
    <x v="601"/>
    <x v="601"/>
    <s v="Corporate"/>
    <s v="United States"/>
    <s v="Seattle"/>
    <x v="4"/>
    <n v="98115"/>
    <x v="1"/>
    <x v="1691"/>
    <x v="2"/>
    <x v="11"/>
    <x v="1679"/>
    <n v="27.6"/>
    <s v="Medium"/>
    <n v="4"/>
    <n v="0"/>
    <x v="0"/>
    <x v="0"/>
    <n v="2.2080000000000002"/>
    <n v="0.08"/>
    <n v="0"/>
  </r>
  <r>
    <n v="5678"/>
    <s v="CA-2014-126802"/>
    <d v="2014-12-29T00:00:00"/>
    <x v="2"/>
    <s v="Q4"/>
    <x v="20"/>
    <d v="2015-01-05T00:00:00"/>
    <s v="Standard Class"/>
    <x v="233"/>
    <x v="233"/>
    <s v="Consumer"/>
    <s v="United States"/>
    <s v="Chicago"/>
    <x v="10"/>
    <n v="60610"/>
    <x v="2"/>
    <x v="1525"/>
    <x v="0"/>
    <x v="5"/>
    <x v="1512"/>
    <n v="38.975999999999999"/>
    <s v="Medium"/>
    <n v="3"/>
    <n v="0.6"/>
    <x v="1"/>
    <x v="6"/>
    <n v="-50.668799999999997"/>
    <n v="-1.3"/>
    <n v="1"/>
  </r>
  <r>
    <n v="5679"/>
    <s v="CA-2016-143924"/>
    <d v="2016-07-28T00:00:00"/>
    <x v="0"/>
    <s v="Q3"/>
    <x v="16"/>
    <d v="2016-08-03T00:00:00"/>
    <s v="Standard Class"/>
    <x v="649"/>
    <x v="649"/>
    <s v="Home Office"/>
    <s v="United States"/>
    <s v="Holland"/>
    <x v="12"/>
    <n v="49423"/>
    <x v="2"/>
    <x v="848"/>
    <x v="1"/>
    <x v="13"/>
    <x v="128"/>
    <n v="20.440000000000001"/>
    <s v="Low"/>
    <n v="7"/>
    <n v="0"/>
    <x v="0"/>
    <x v="0"/>
    <n v="9.1980000000000004"/>
    <n v="0.45"/>
    <n v="0"/>
  </r>
  <r>
    <n v="5680"/>
    <s v="CA-2016-143924"/>
    <d v="2016-07-28T00:00:00"/>
    <x v="0"/>
    <s v="Q3"/>
    <x v="16"/>
    <d v="2016-08-03T00:00:00"/>
    <s v="Standard Class"/>
    <x v="649"/>
    <x v="649"/>
    <s v="Home Office"/>
    <s v="United States"/>
    <s v="Holland"/>
    <x v="12"/>
    <n v="49423"/>
    <x v="2"/>
    <x v="519"/>
    <x v="1"/>
    <x v="10"/>
    <x v="519"/>
    <n v="109.92"/>
    <s v="Medium"/>
    <n v="2"/>
    <n v="0"/>
    <x v="0"/>
    <x v="0"/>
    <n v="53.860799999999998"/>
    <n v="0.49"/>
    <n v="0"/>
  </r>
  <r>
    <n v="5681"/>
    <s v="CA-2016-141551"/>
    <d v="2016-09-24T00:00:00"/>
    <x v="0"/>
    <s v="Q3"/>
    <x v="21"/>
    <d v="2016-09-30T00:00:00"/>
    <s v="Standard Class"/>
    <x v="546"/>
    <x v="546"/>
    <s v="Consumer"/>
    <s v="United States"/>
    <s v="Broken Arrow"/>
    <x v="26"/>
    <n v="74012"/>
    <x v="2"/>
    <x v="1206"/>
    <x v="1"/>
    <x v="8"/>
    <x v="1191"/>
    <n v="6.38"/>
    <s v="Low"/>
    <n v="1"/>
    <n v="0"/>
    <x v="0"/>
    <x v="0"/>
    <n v="2.9348000000000001"/>
    <n v="0.46"/>
    <n v="0"/>
  </r>
  <r>
    <n v="5682"/>
    <s v="CA-2016-141551"/>
    <d v="2016-09-24T00:00:00"/>
    <x v="0"/>
    <s v="Q3"/>
    <x v="21"/>
    <d v="2016-09-30T00:00:00"/>
    <s v="Standard Class"/>
    <x v="546"/>
    <x v="546"/>
    <s v="Consumer"/>
    <s v="United States"/>
    <s v="Broken Arrow"/>
    <x v="26"/>
    <n v="74012"/>
    <x v="2"/>
    <x v="55"/>
    <x v="1"/>
    <x v="10"/>
    <x v="55"/>
    <n v="6.48"/>
    <s v="Low"/>
    <n v="1"/>
    <n v="0"/>
    <x v="0"/>
    <x v="0"/>
    <n v="3.1103999999999998"/>
    <n v="0.47999999999999993"/>
    <n v="0"/>
  </r>
  <r>
    <n v="5683"/>
    <s v="CA-2014-164315"/>
    <d v="2014-04-02T00:00:00"/>
    <x v="2"/>
    <s v="Q2"/>
    <x v="41"/>
    <d v="2014-04-08T00:00:00"/>
    <s v="Standard Class"/>
    <x v="361"/>
    <x v="361"/>
    <s v="Consumer"/>
    <s v="United States"/>
    <s v="Athens"/>
    <x v="32"/>
    <n v="30605"/>
    <x v="0"/>
    <x v="1634"/>
    <x v="1"/>
    <x v="10"/>
    <x v="1624"/>
    <n v="15.84"/>
    <s v="Low"/>
    <n v="3"/>
    <n v="0"/>
    <x v="0"/>
    <x v="0"/>
    <n v="7.1280000000000001"/>
    <n v="0.45"/>
    <n v="0"/>
  </r>
  <r>
    <n v="5684"/>
    <s v="CA-2014-164315"/>
    <d v="2014-04-02T00:00:00"/>
    <x v="2"/>
    <s v="Q2"/>
    <x v="41"/>
    <d v="2014-04-08T00:00:00"/>
    <s v="Standard Class"/>
    <x v="361"/>
    <x v="361"/>
    <s v="Consumer"/>
    <s v="United States"/>
    <s v="Athens"/>
    <x v="32"/>
    <n v="30605"/>
    <x v="0"/>
    <x v="1521"/>
    <x v="2"/>
    <x v="7"/>
    <x v="1508"/>
    <n v="1049.93"/>
    <s v="High"/>
    <n v="7"/>
    <n v="0"/>
    <x v="0"/>
    <x v="0"/>
    <n v="293.98039999999997"/>
    <n v="0.27999999999999997"/>
    <n v="0"/>
  </r>
  <r>
    <n v="5685"/>
    <s v="CA-2014-164315"/>
    <d v="2014-04-02T00:00:00"/>
    <x v="2"/>
    <s v="Q2"/>
    <x v="41"/>
    <d v="2014-04-08T00:00:00"/>
    <s v="Standard Class"/>
    <x v="361"/>
    <x v="361"/>
    <s v="Consumer"/>
    <s v="United States"/>
    <s v="Athens"/>
    <x v="32"/>
    <n v="30605"/>
    <x v="0"/>
    <x v="1271"/>
    <x v="1"/>
    <x v="9"/>
    <x v="1256"/>
    <n v="154.9"/>
    <s v="High"/>
    <n v="5"/>
    <n v="0"/>
    <x v="0"/>
    <x v="0"/>
    <n v="40.274000000000001"/>
    <n v="0.26"/>
    <n v="0"/>
  </r>
  <r>
    <n v="5686"/>
    <s v="CA-2015-131072"/>
    <d v="2015-11-05T00:00:00"/>
    <x v="1"/>
    <s v="Q4"/>
    <x v="6"/>
    <d v="2015-11-05T00:00:00"/>
    <s v="Same Day"/>
    <x v="107"/>
    <x v="107"/>
    <s v="Consumer"/>
    <s v="United States"/>
    <s v="Seattle"/>
    <x v="4"/>
    <n v="98105"/>
    <x v="1"/>
    <x v="102"/>
    <x v="1"/>
    <x v="8"/>
    <x v="102"/>
    <n v="98.352000000000004"/>
    <s v="Medium"/>
    <n v="3"/>
    <n v="0.2"/>
    <x v="2"/>
    <x v="2"/>
    <n v="35.6526"/>
    <n v="0.36249999999999999"/>
    <n v="0"/>
  </r>
  <r>
    <n v="5687"/>
    <s v="CA-2014-131541"/>
    <d v="2014-07-28T00:00:00"/>
    <x v="2"/>
    <s v="Q3"/>
    <x v="39"/>
    <d v="2014-07-28T00:00:00"/>
    <s v="Same Day"/>
    <x v="237"/>
    <x v="237"/>
    <s v="Consumer"/>
    <s v="United States"/>
    <s v="Apopka"/>
    <x v="2"/>
    <n v="32712"/>
    <x v="0"/>
    <x v="110"/>
    <x v="1"/>
    <x v="13"/>
    <x v="110"/>
    <n v="14.32"/>
    <s v="Low"/>
    <n v="5"/>
    <n v="0.2"/>
    <x v="2"/>
    <x v="2"/>
    <n v="5.1909999999999998"/>
    <n v="0.36249999999999999"/>
    <n v="0"/>
  </r>
  <r>
    <n v="5688"/>
    <s v="CA-2014-131541"/>
    <d v="2014-07-28T00:00:00"/>
    <x v="2"/>
    <s v="Q3"/>
    <x v="39"/>
    <d v="2014-07-28T00:00:00"/>
    <s v="Same Day"/>
    <x v="237"/>
    <x v="237"/>
    <s v="Consumer"/>
    <s v="United States"/>
    <s v="Apopka"/>
    <x v="2"/>
    <n v="32712"/>
    <x v="0"/>
    <x v="1251"/>
    <x v="0"/>
    <x v="5"/>
    <x v="1235"/>
    <n v="129.88800000000001"/>
    <s v="High"/>
    <n v="6"/>
    <n v="0.2"/>
    <x v="2"/>
    <x v="2"/>
    <n v="12.988799999999999"/>
    <n v="9.9999999999999992E-2"/>
    <n v="0"/>
  </r>
  <r>
    <n v="5689"/>
    <s v="CA-2014-131541"/>
    <d v="2014-07-28T00:00:00"/>
    <x v="2"/>
    <s v="Q3"/>
    <x v="39"/>
    <d v="2014-07-28T00:00:00"/>
    <s v="Same Day"/>
    <x v="237"/>
    <x v="237"/>
    <s v="Consumer"/>
    <s v="United States"/>
    <s v="Apopka"/>
    <x v="2"/>
    <n v="32712"/>
    <x v="0"/>
    <x v="1214"/>
    <x v="1"/>
    <x v="12"/>
    <x v="753"/>
    <n v="48.944000000000003"/>
    <s v="Medium"/>
    <n v="7"/>
    <n v="0.2"/>
    <x v="2"/>
    <x v="2"/>
    <n v="16.518599999999999"/>
    <n v="0.33749999999999997"/>
    <n v="0"/>
  </r>
  <r>
    <n v="5690"/>
    <s v="CA-2015-119550"/>
    <d v="2015-12-26T00:00:00"/>
    <x v="1"/>
    <s v="Q4"/>
    <x v="14"/>
    <d v="2015-12-31T00:00:00"/>
    <s v="Standard Class"/>
    <x v="42"/>
    <x v="42"/>
    <s v="Home Office"/>
    <s v="United States"/>
    <s v="Houston"/>
    <x v="5"/>
    <n v="77070"/>
    <x v="2"/>
    <x v="1745"/>
    <x v="0"/>
    <x v="1"/>
    <x v="1734"/>
    <n v="275.05799999999999"/>
    <s v="High"/>
    <n v="3"/>
    <n v="0.3"/>
    <x v="1"/>
    <x v="4"/>
    <n v="-90.376199999999997"/>
    <n v="-0.32857142857142857"/>
    <n v="1"/>
  </r>
  <r>
    <n v="5691"/>
    <s v="US-2015-138093"/>
    <d v="2015-12-10T00:00:00"/>
    <x v="1"/>
    <s v="Q4"/>
    <x v="14"/>
    <d v="2015-12-16T00:00:00"/>
    <s v="Standard Class"/>
    <x v="366"/>
    <x v="366"/>
    <s v="Corporate"/>
    <s v="United States"/>
    <s v="Baltimore"/>
    <x v="39"/>
    <n v="21215"/>
    <x v="3"/>
    <x v="1279"/>
    <x v="1"/>
    <x v="6"/>
    <x v="1264"/>
    <n v="27.36"/>
    <s v="Medium"/>
    <n v="9"/>
    <n v="0"/>
    <x v="0"/>
    <x v="0"/>
    <n v="9.3024000000000004"/>
    <n v="0.34"/>
    <n v="0"/>
  </r>
  <r>
    <n v="5692"/>
    <s v="US-2015-138093"/>
    <d v="2015-12-10T00:00:00"/>
    <x v="1"/>
    <s v="Q4"/>
    <x v="14"/>
    <d v="2015-12-16T00:00:00"/>
    <s v="Standard Class"/>
    <x v="366"/>
    <x v="366"/>
    <s v="Corporate"/>
    <s v="United States"/>
    <s v="Baltimore"/>
    <x v="39"/>
    <n v="21215"/>
    <x v="3"/>
    <x v="422"/>
    <x v="1"/>
    <x v="10"/>
    <x v="422"/>
    <n v="44.75"/>
    <s v="Medium"/>
    <n v="5"/>
    <n v="0"/>
    <x v="0"/>
    <x v="0"/>
    <n v="20.585000000000001"/>
    <n v="0.46"/>
    <n v="0"/>
  </r>
  <r>
    <n v="5693"/>
    <s v="US-2015-138093"/>
    <d v="2015-12-10T00:00:00"/>
    <x v="1"/>
    <s v="Q4"/>
    <x v="14"/>
    <d v="2015-12-16T00:00:00"/>
    <s v="Standard Class"/>
    <x v="366"/>
    <x v="366"/>
    <s v="Corporate"/>
    <s v="United States"/>
    <s v="Baltimore"/>
    <x v="39"/>
    <n v="21215"/>
    <x v="3"/>
    <x v="524"/>
    <x v="2"/>
    <x v="7"/>
    <x v="524"/>
    <n v="134.99"/>
    <s v="High"/>
    <n v="1"/>
    <n v="0"/>
    <x v="0"/>
    <x v="0"/>
    <n v="36.447299999999998"/>
    <n v="0.26999999999999996"/>
    <n v="0"/>
  </r>
  <r>
    <n v="5694"/>
    <s v="US-2015-138093"/>
    <d v="2015-12-10T00:00:00"/>
    <x v="1"/>
    <s v="Q4"/>
    <x v="14"/>
    <d v="2015-12-16T00:00:00"/>
    <s v="Standard Class"/>
    <x v="366"/>
    <x v="366"/>
    <s v="Corporate"/>
    <s v="United States"/>
    <s v="Baltimore"/>
    <x v="39"/>
    <n v="21215"/>
    <x v="3"/>
    <x v="1714"/>
    <x v="1"/>
    <x v="10"/>
    <x v="1701"/>
    <n v="26.4"/>
    <s v="Medium"/>
    <n v="5"/>
    <n v="0"/>
    <x v="0"/>
    <x v="0"/>
    <n v="12.672000000000001"/>
    <n v="0.48000000000000004"/>
    <n v="0"/>
  </r>
  <r>
    <n v="5695"/>
    <s v="US-2015-138093"/>
    <d v="2015-12-10T00:00:00"/>
    <x v="1"/>
    <s v="Q4"/>
    <x v="14"/>
    <d v="2015-12-16T00:00:00"/>
    <s v="Standard Class"/>
    <x v="366"/>
    <x v="366"/>
    <s v="Corporate"/>
    <s v="United States"/>
    <s v="Baltimore"/>
    <x v="39"/>
    <n v="21215"/>
    <x v="3"/>
    <x v="323"/>
    <x v="0"/>
    <x v="1"/>
    <x v="323"/>
    <n v="542.94000000000005"/>
    <s v="High"/>
    <n v="3"/>
    <n v="0"/>
    <x v="0"/>
    <x v="0"/>
    <n v="141.1644"/>
    <n v="0.25999999999999995"/>
    <n v="0"/>
  </r>
  <r>
    <n v="5696"/>
    <s v="CA-2016-126165"/>
    <d v="2016-05-05T00:00:00"/>
    <x v="0"/>
    <s v="Q2"/>
    <x v="35"/>
    <d v="2016-05-07T00:00:00"/>
    <s v="Second Class"/>
    <x v="733"/>
    <x v="733"/>
    <s v="Consumer"/>
    <s v="United States"/>
    <s v="San Francisco"/>
    <x v="1"/>
    <n v="94109"/>
    <x v="1"/>
    <x v="972"/>
    <x v="0"/>
    <x v="3"/>
    <x v="966"/>
    <n v="71.087999999999994"/>
    <s v="Medium"/>
    <n v="2"/>
    <n v="0.2"/>
    <x v="2"/>
    <x v="2"/>
    <n v="-1.7771999999999999"/>
    <n v="-2.5000000000000001E-2"/>
    <n v="1"/>
  </r>
  <r>
    <n v="5697"/>
    <s v="CA-2017-126123"/>
    <d v="2017-10-14T00:00:00"/>
    <x v="3"/>
    <s v="Q4"/>
    <x v="13"/>
    <d v="2017-10-18T00:00:00"/>
    <s v="Standard Class"/>
    <x v="326"/>
    <x v="326"/>
    <s v="Home Office"/>
    <s v="United States"/>
    <s v="Chicago"/>
    <x v="10"/>
    <n v="60623"/>
    <x v="2"/>
    <x v="338"/>
    <x v="1"/>
    <x v="8"/>
    <x v="338"/>
    <n v="27.396000000000001"/>
    <s v="Medium"/>
    <n v="9"/>
    <n v="0.8"/>
    <x v="1"/>
    <x v="3"/>
    <n v="-42.463799999999999"/>
    <n v="-1.5499999999999998"/>
    <n v="1"/>
  </r>
  <r>
    <n v="5698"/>
    <s v="CA-2017-126123"/>
    <d v="2017-10-14T00:00:00"/>
    <x v="3"/>
    <s v="Q4"/>
    <x v="13"/>
    <d v="2017-10-18T00:00:00"/>
    <s v="Standard Class"/>
    <x v="326"/>
    <x v="326"/>
    <s v="Home Office"/>
    <s v="United States"/>
    <s v="Chicago"/>
    <x v="10"/>
    <n v="60623"/>
    <x v="2"/>
    <x v="1080"/>
    <x v="1"/>
    <x v="8"/>
    <x v="1070"/>
    <n v="13.456"/>
    <s v="Low"/>
    <n v="1"/>
    <n v="0.8"/>
    <x v="1"/>
    <x v="3"/>
    <n v="-23.547999999999998"/>
    <n v="-1.75"/>
    <n v="1"/>
  </r>
  <r>
    <n v="5699"/>
    <s v="CA-2016-143441"/>
    <d v="2016-11-05T00:00:00"/>
    <x v="0"/>
    <s v="Q4"/>
    <x v="0"/>
    <d v="2016-11-05T00:00:00"/>
    <s v="Same Day"/>
    <x v="432"/>
    <x v="432"/>
    <s v="Consumer"/>
    <s v="United States"/>
    <s v="Laredo"/>
    <x v="5"/>
    <n v="78041"/>
    <x v="2"/>
    <x v="579"/>
    <x v="1"/>
    <x v="2"/>
    <x v="579"/>
    <n v="11.84"/>
    <s v="Low"/>
    <n v="1"/>
    <n v="0.2"/>
    <x v="2"/>
    <x v="2"/>
    <n v="4.4400000000000004"/>
    <n v="0.37500000000000006"/>
    <n v="0"/>
  </r>
  <r>
    <n v="5700"/>
    <s v="CA-2017-148320"/>
    <d v="2017-11-03T00:00:00"/>
    <x v="3"/>
    <s v="Q4"/>
    <x v="23"/>
    <d v="2017-11-08T00:00:00"/>
    <s v="Standard Class"/>
    <x v="38"/>
    <x v="38"/>
    <s v="Consumer"/>
    <s v="United States"/>
    <s v="San Francisco"/>
    <x v="1"/>
    <n v="94109"/>
    <x v="1"/>
    <x v="1665"/>
    <x v="1"/>
    <x v="10"/>
    <x v="1653"/>
    <n v="35.880000000000003"/>
    <s v="Medium"/>
    <n v="6"/>
    <n v="0"/>
    <x v="0"/>
    <x v="0"/>
    <n v="17.581199999999999"/>
    <n v="0.48999999999999994"/>
    <n v="0"/>
  </r>
  <r>
    <n v="5701"/>
    <s v="CA-2016-125661"/>
    <d v="2016-11-24T00:00:00"/>
    <x v="0"/>
    <s v="Q4"/>
    <x v="0"/>
    <d v="2016-11-26T00:00:00"/>
    <s v="First Class"/>
    <x v="402"/>
    <x v="402"/>
    <s v="Home Office"/>
    <s v="United States"/>
    <s v="Cleveland"/>
    <x v="24"/>
    <n v="44105"/>
    <x v="3"/>
    <x v="618"/>
    <x v="1"/>
    <x v="12"/>
    <x v="618"/>
    <n v="40.752000000000002"/>
    <s v="Medium"/>
    <n v="3"/>
    <n v="0.2"/>
    <x v="2"/>
    <x v="2"/>
    <n v="15.282"/>
    <n v="0.375"/>
    <n v="0"/>
  </r>
  <r>
    <n v="5702"/>
    <s v="CA-2016-125661"/>
    <d v="2016-11-24T00:00:00"/>
    <x v="0"/>
    <s v="Q4"/>
    <x v="0"/>
    <d v="2016-11-26T00:00:00"/>
    <s v="First Class"/>
    <x v="402"/>
    <x v="402"/>
    <s v="Home Office"/>
    <s v="United States"/>
    <s v="Cleveland"/>
    <x v="24"/>
    <n v="44105"/>
    <x v="3"/>
    <x v="1067"/>
    <x v="2"/>
    <x v="11"/>
    <x v="1056"/>
    <n v="139.96"/>
    <s v="High"/>
    <n v="5"/>
    <n v="0.2"/>
    <x v="2"/>
    <x v="2"/>
    <n v="-22.743500000000001"/>
    <n v="-0.16250000000000001"/>
    <n v="1"/>
  </r>
  <r>
    <n v="5703"/>
    <s v="US-2014-123519"/>
    <d v="2014-12-14T00:00:00"/>
    <x v="2"/>
    <s v="Q4"/>
    <x v="20"/>
    <d v="2014-12-21T00:00:00"/>
    <s v="Standard Class"/>
    <x v="286"/>
    <x v="286"/>
    <s v="Consumer"/>
    <s v="United States"/>
    <s v="Marion"/>
    <x v="24"/>
    <n v="43302"/>
    <x v="3"/>
    <x v="950"/>
    <x v="1"/>
    <x v="6"/>
    <x v="943"/>
    <n v="2.6240000000000001"/>
    <s v="Low"/>
    <n v="1"/>
    <n v="0.2"/>
    <x v="2"/>
    <x v="2"/>
    <n v="0.29520000000000002"/>
    <n v="0.1125"/>
    <n v="0"/>
  </r>
  <r>
    <n v="5704"/>
    <s v="US-2014-123519"/>
    <d v="2014-12-14T00:00:00"/>
    <x v="2"/>
    <s v="Q4"/>
    <x v="20"/>
    <d v="2014-12-21T00:00:00"/>
    <s v="Standard Class"/>
    <x v="286"/>
    <x v="286"/>
    <s v="Consumer"/>
    <s v="United States"/>
    <s v="Marion"/>
    <x v="24"/>
    <n v="43302"/>
    <x v="3"/>
    <x v="1337"/>
    <x v="0"/>
    <x v="3"/>
    <x v="1322"/>
    <n v="136.53"/>
    <s v="High"/>
    <n v="1"/>
    <n v="0.4"/>
    <x v="1"/>
    <x v="7"/>
    <n v="-52.336500000000001"/>
    <n v="-0.38333333333333336"/>
    <n v="1"/>
  </r>
  <r>
    <n v="5705"/>
    <s v="US-2014-123519"/>
    <d v="2014-12-14T00:00:00"/>
    <x v="2"/>
    <s v="Q4"/>
    <x v="20"/>
    <d v="2014-12-21T00:00:00"/>
    <s v="Standard Class"/>
    <x v="286"/>
    <x v="286"/>
    <s v="Consumer"/>
    <s v="United States"/>
    <s v="Marion"/>
    <x v="24"/>
    <n v="43302"/>
    <x v="3"/>
    <x v="764"/>
    <x v="2"/>
    <x v="11"/>
    <x v="763"/>
    <n v="263.95999999999998"/>
    <s v="High"/>
    <n v="1"/>
    <n v="0.2"/>
    <x v="2"/>
    <x v="2"/>
    <n v="42.893500000000003"/>
    <n v="0.16250000000000003"/>
    <n v="0"/>
  </r>
  <r>
    <n v="5706"/>
    <s v="CA-2014-155593"/>
    <d v="2014-11-03T00:00:00"/>
    <x v="2"/>
    <s v="Q4"/>
    <x v="7"/>
    <d v="2014-11-08T00:00:00"/>
    <s v="Standard Class"/>
    <x v="261"/>
    <x v="261"/>
    <s v="Consumer"/>
    <s v="United States"/>
    <s v="Fairfield"/>
    <x v="29"/>
    <n v="6824"/>
    <x v="3"/>
    <x v="1562"/>
    <x v="1"/>
    <x v="14"/>
    <x v="1553"/>
    <n v="11.64"/>
    <s v="Low"/>
    <n v="3"/>
    <n v="0"/>
    <x v="0"/>
    <x v="0"/>
    <n v="3.3755999999999999"/>
    <n v="0.28999999999999998"/>
    <n v="0"/>
  </r>
  <r>
    <n v="5707"/>
    <s v="CA-2017-136000"/>
    <d v="2017-09-22T00:00:00"/>
    <x v="3"/>
    <s v="Q3"/>
    <x v="15"/>
    <d v="2017-09-25T00:00:00"/>
    <s v="Second Class"/>
    <x v="464"/>
    <x v="464"/>
    <s v="Corporate"/>
    <s v="United States"/>
    <s v="New York City"/>
    <x v="15"/>
    <n v="10009"/>
    <x v="3"/>
    <x v="1595"/>
    <x v="1"/>
    <x v="8"/>
    <x v="1587"/>
    <n v="40.176000000000002"/>
    <s v="Medium"/>
    <n v="3"/>
    <n v="0.2"/>
    <x v="2"/>
    <x v="2"/>
    <n v="14.563800000000001"/>
    <n v="0.36249999999999999"/>
    <n v="0"/>
  </r>
  <r>
    <n v="5708"/>
    <s v="US-2015-160857"/>
    <d v="2015-05-08T00:00:00"/>
    <x v="1"/>
    <s v="Q2"/>
    <x v="33"/>
    <d v="2015-05-15T00:00:00"/>
    <s v="Standard Class"/>
    <x v="508"/>
    <x v="508"/>
    <s v="Consumer"/>
    <s v="United States"/>
    <s v="New York City"/>
    <x v="15"/>
    <n v="10024"/>
    <x v="3"/>
    <x v="750"/>
    <x v="0"/>
    <x v="5"/>
    <x v="748"/>
    <n v="79.44"/>
    <s v="Medium"/>
    <n v="3"/>
    <n v="0"/>
    <x v="0"/>
    <x v="0"/>
    <n v="30.187200000000001"/>
    <n v="0.38"/>
    <n v="0"/>
  </r>
  <r>
    <n v="5709"/>
    <s v="US-2015-160857"/>
    <d v="2015-05-08T00:00:00"/>
    <x v="1"/>
    <s v="Q2"/>
    <x v="33"/>
    <d v="2015-05-15T00:00:00"/>
    <s v="Standard Class"/>
    <x v="508"/>
    <x v="508"/>
    <s v="Consumer"/>
    <s v="United States"/>
    <s v="New York City"/>
    <x v="15"/>
    <n v="10024"/>
    <x v="3"/>
    <x v="1420"/>
    <x v="1"/>
    <x v="14"/>
    <x v="1408"/>
    <n v="357.93"/>
    <s v="High"/>
    <n v="3"/>
    <n v="0"/>
    <x v="0"/>
    <x v="0"/>
    <n v="7.1585999999999999"/>
    <n v="0.02"/>
    <n v="0"/>
  </r>
  <r>
    <n v="5710"/>
    <s v="US-2015-160857"/>
    <d v="2015-05-08T00:00:00"/>
    <x v="1"/>
    <s v="Q2"/>
    <x v="33"/>
    <d v="2015-05-15T00:00:00"/>
    <s v="Standard Class"/>
    <x v="508"/>
    <x v="508"/>
    <s v="Consumer"/>
    <s v="United States"/>
    <s v="New York City"/>
    <x v="15"/>
    <n v="10024"/>
    <x v="3"/>
    <x v="474"/>
    <x v="0"/>
    <x v="1"/>
    <x v="475"/>
    <n v="127.764"/>
    <s v="High"/>
    <n v="2"/>
    <n v="0.1"/>
    <x v="3"/>
    <x v="8"/>
    <n v="21.294"/>
    <n v="0.16666666666666669"/>
    <n v="0"/>
  </r>
  <r>
    <n v="5711"/>
    <s v="US-2015-160857"/>
    <d v="2015-05-08T00:00:00"/>
    <x v="1"/>
    <s v="Q2"/>
    <x v="33"/>
    <d v="2015-05-15T00:00:00"/>
    <s v="Standard Class"/>
    <x v="508"/>
    <x v="508"/>
    <s v="Consumer"/>
    <s v="United States"/>
    <s v="New York City"/>
    <x v="15"/>
    <n v="10024"/>
    <x v="3"/>
    <x v="361"/>
    <x v="2"/>
    <x v="16"/>
    <x v="361"/>
    <n v="2799.944"/>
    <s v="High"/>
    <n v="7"/>
    <n v="0.2"/>
    <x v="2"/>
    <x v="2"/>
    <n v="1014.9797"/>
    <n v="0.36249999999999999"/>
    <n v="0"/>
  </r>
  <r>
    <n v="5712"/>
    <s v="US-2015-160857"/>
    <d v="2015-05-08T00:00:00"/>
    <x v="1"/>
    <s v="Q2"/>
    <x v="33"/>
    <d v="2015-05-15T00:00:00"/>
    <s v="Standard Class"/>
    <x v="508"/>
    <x v="508"/>
    <s v="Consumer"/>
    <s v="United States"/>
    <s v="New York City"/>
    <x v="15"/>
    <n v="10024"/>
    <x v="3"/>
    <x v="1541"/>
    <x v="1"/>
    <x v="10"/>
    <x v="1529"/>
    <n v="19.440000000000001"/>
    <s v="Low"/>
    <n v="3"/>
    <n v="0"/>
    <x v="0"/>
    <x v="0"/>
    <n v="9.3312000000000008"/>
    <n v="0.48000000000000004"/>
    <n v="0"/>
  </r>
  <r>
    <n v="5713"/>
    <s v="CA-2017-115805"/>
    <d v="2017-07-31T00:00:00"/>
    <x v="3"/>
    <s v="Q3"/>
    <x v="10"/>
    <d v="2017-07-31T00:00:00"/>
    <s v="Same Day"/>
    <x v="147"/>
    <x v="147"/>
    <s v="Consumer"/>
    <s v="United States"/>
    <s v="Chicago"/>
    <x v="10"/>
    <n v="60653"/>
    <x v="2"/>
    <x v="521"/>
    <x v="2"/>
    <x v="7"/>
    <x v="521"/>
    <n v="36.792000000000002"/>
    <s v="Medium"/>
    <n v="1"/>
    <n v="0.2"/>
    <x v="2"/>
    <x v="2"/>
    <n v="4.1391"/>
    <n v="0.11249999999999999"/>
    <n v="0"/>
  </r>
  <r>
    <n v="5714"/>
    <s v="US-2014-143707"/>
    <d v="2014-03-01T00:00:00"/>
    <x v="2"/>
    <s v="Q1"/>
    <x v="34"/>
    <d v="2014-03-05T00:00:00"/>
    <s v="Standard Class"/>
    <x v="367"/>
    <x v="367"/>
    <s v="Home Office"/>
    <s v="United States"/>
    <s v="New York City"/>
    <x v="15"/>
    <n v="10035"/>
    <x v="3"/>
    <x v="869"/>
    <x v="2"/>
    <x v="7"/>
    <x v="863"/>
    <n v="5.94"/>
    <s v="Low"/>
    <n v="3"/>
    <n v="0"/>
    <x v="0"/>
    <x v="0"/>
    <n v="1.6037999999999999"/>
    <n v="0.26999999999999996"/>
    <n v="0"/>
  </r>
  <r>
    <n v="5715"/>
    <s v="CA-2017-116939"/>
    <d v="2017-09-25T00:00:00"/>
    <x v="3"/>
    <s v="Q3"/>
    <x v="15"/>
    <d v="2017-09-29T00:00:00"/>
    <s v="Standard Class"/>
    <x v="151"/>
    <x v="151"/>
    <s v="Consumer"/>
    <s v="United States"/>
    <s v="Richmond"/>
    <x v="17"/>
    <n v="23223"/>
    <x v="0"/>
    <x v="841"/>
    <x v="1"/>
    <x v="4"/>
    <x v="835"/>
    <n v="177.55"/>
    <s v="High"/>
    <n v="5"/>
    <n v="0"/>
    <x v="0"/>
    <x v="0"/>
    <n v="47.938499999999998"/>
    <n v="0.26999999999999996"/>
    <n v="0"/>
  </r>
  <r>
    <n v="5716"/>
    <s v="CA-2015-124107"/>
    <d v="2015-10-09T00:00:00"/>
    <x v="1"/>
    <s v="Q4"/>
    <x v="2"/>
    <d v="2015-10-12T00:00:00"/>
    <s v="Second Class"/>
    <x v="312"/>
    <x v="312"/>
    <s v="Corporate"/>
    <s v="United States"/>
    <s v="Ann Arbor"/>
    <x v="12"/>
    <n v="48104"/>
    <x v="2"/>
    <x v="695"/>
    <x v="2"/>
    <x v="11"/>
    <x v="695"/>
    <n v="619.95000000000005"/>
    <s v="High"/>
    <n v="5"/>
    <n v="0"/>
    <x v="0"/>
    <x v="0"/>
    <n v="111.59099999999999"/>
    <n v="0.17999999999999997"/>
    <n v="0"/>
  </r>
  <r>
    <n v="5717"/>
    <s v="CA-2015-124107"/>
    <d v="2015-10-09T00:00:00"/>
    <x v="1"/>
    <s v="Q4"/>
    <x v="2"/>
    <d v="2015-10-12T00:00:00"/>
    <s v="Second Class"/>
    <x v="312"/>
    <x v="312"/>
    <s v="Corporate"/>
    <s v="United States"/>
    <s v="Ann Arbor"/>
    <x v="12"/>
    <n v="48104"/>
    <x v="2"/>
    <x v="119"/>
    <x v="2"/>
    <x v="7"/>
    <x v="119"/>
    <n v="29.16"/>
    <s v="Medium"/>
    <n v="3"/>
    <n v="0"/>
    <x v="0"/>
    <x v="0"/>
    <n v="8.4564000000000004"/>
    <n v="0.29000000000000004"/>
    <n v="0"/>
  </r>
  <r>
    <n v="5718"/>
    <s v="CA-2015-124107"/>
    <d v="2015-10-09T00:00:00"/>
    <x v="1"/>
    <s v="Q4"/>
    <x v="2"/>
    <d v="2015-10-12T00:00:00"/>
    <s v="Second Class"/>
    <x v="312"/>
    <x v="312"/>
    <s v="Corporate"/>
    <s v="United States"/>
    <s v="Ann Arbor"/>
    <x v="12"/>
    <n v="48104"/>
    <x v="2"/>
    <x v="1451"/>
    <x v="1"/>
    <x v="12"/>
    <x v="153"/>
    <n v="57.96"/>
    <s v="Medium"/>
    <n v="7"/>
    <n v="0"/>
    <x v="0"/>
    <x v="0"/>
    <n v="27.241199999999999"/>
    <n v="0.47"/>
    <n v="0"/>
  </r>
  <r>
    <n v="5719"/>
    <s v="CA-2015-124107"/>
    <d v="2015-10-09T00:00:00"/>
    <x v="1"/>
    <s v="Q4"/>
    <x v="2"/>
    <d v="2015-10-12T00:00:00"/>
    <s v="Second Class"/>
    <x v="312"/>
    <x v="312"/>
    <s v="Corporate"/>
    <s v="United States"/>
    <s v="Ann Arbor"/>
    <x v="12"/>
    <n v="48104"/>
    <x v="2"/>
    <x v="930"/>
    <x v="1"/>
    <x v="9"/>
    <x v="923"/>
    <n v="29.402999999999999"/>
    <s v="Medium"/>
    <n v="3"/>
    <n v="0.1"/>
    <x v="3"/>
    <x v="8"/>
    <n v="5.2271999999999998"/>
    <n v="0.17777777777777778"/>
    <n v="0"/>
  </r>
  <r>
    <n v="5720"/>
    <s v="CA-2017-126550"/>
    <d v="2017-03-29T00:00:00"/>
    <x v="3"/>
    <s v="Q1"/>
    <x v="42"/>
    <d v="2017-04-02T00:00:00"/>
    <s v="Second Class"/>
    <x v="742"/>
    <x v="742"/>
    <s v="Consumer"/>
    <s v="United States"/>
    <s v="Lafayette"/>
    <x v="14"/>
    <n v="47905"/>
    <x v="2"/>
    <x v="1569"/>
    <x v="1"/>
    <x v="4"/>
    <x v="1560"/>
    <n v="81.400000000000006"/>
    <s v="Medium"/>
    <n v="5"/>
    <n v="0"/>
    <x v="0"/>
    <x v="0"/>
    <n v="21.164000000000001"/>
    <n v="0.26"/>
    <n v="0"/>
  </r>
  <r>
    <n v="5721"/>
    <s v="CA-2015-138674"/>
    <d v="2015-11-14T00:00:00"/>
    <x v="1"/>
    <s v="Q4"/>
    <x v="6"/>
    <d v="2015-11-17T00:00:00"/>
    <s v="First Class"/>
    <x v="10"/>
    <x v="10"/>
    <s v="Corporate"/>
    <s v="United States"/>
    <s v="Springfield"/>
    <x v="21"/>
    <n v="97477"/>
    <x v="1"/>
    <x v="52"/>
    <x v="1"/>
    <x v="13"/>
    <x v="52"/>
    <n v="8.7200000000000006"/>
    <s v="Low"/>
    <n v="5"/>
    <n v="0.2"/>
    <x v="2"/>
    <x v="2"/>
    <n v="2.2890000000000001"/>
    <n v="0.26250000000000001"/>
    <n v="0"/>
  </r>
  <r>
    <n v="5722"/>
    <s v="CA-2015-138674"/>
    <d v="2015-11-14T00:00:00"/>
    <x v="1"/>
    <s v="Q4"/>
    <x v="6"/>
    <d v="2015-11-17T00:00:00"/>
    <s v="First Class"/>
    <x v="10"/>
    <x v="10"/>
    <s v="Corporate"/>
    <s v="United States"/>
    <s v="Springfield"/>
    <x v="21"/>
    <n v="97477"/>
    <x v="1"/>
    <x v="1302"/>
    <x v="2"/>
    <x v="11"/>
    <x v="1287"/>
    <n v="91.176000000000002"/>
    <s v="Medium"/>
    <n v="3"/>
    <n v="0.2"/>
    <x v="2"/>
    <x v="2"/>
    <n v="4.5587999999999997"/>
    <n v="4.9999999999999996E-2"/>
    <n v="0"/>
  </r>
  <r>
    <n v="5723"/>
    <s v="CA-2015-138674"/>
    <d v="2015-11-14T00:00:00"/>
    <x v="1"/>
    <s v="Q4"/>
    <x v="6"/>
    <d v="2015-11-17T00:00:00"/>
    <s v="First Class"/>
    <x v="10"/>
    <x v="10"/>
    <s v="Corporate"/>
    <s v="United States"/>
    <s v="Springfield"/>
    <x v="21"/>
    <n v="97477"/>
    <x v="1"/>
    <x v="1233"/>
    <x v="2"/>
    <x v="11"/>
    <x v="1216"/>
    <n v="159.96799999999999"/>
    <s v="High"/>
    <n v="4"/>
    <n v="0.2"/>
    <x v="2"/>
    <x v="2"/>
    <n v="29.994"/>
    <n v="0.1875"/>
    <n v="0"/>
  </r>
  <r>
    <n v="5724"/>
    <s v="CA-2016-165820"/>
    <d v="2016-09-26T00:00:00"/>
    <x v="0"/>
    <s v="Q3"/>
    <x v="21"/>
    <d v="2016-09-30T00:00:00"/>
    <s v="Standard Class"/>
    <x v="61"/>
    <x v="61"/>
    <s v="Corporate"/>
    <s v="United States"/>
    <s v="San Francisco"/>
    <x v="1"/>
    <n v="94109"/>
    <x v="1"/>
    <x v="832"/>
    <x v="1"/>
    <x v="10"/>
    <x v="827"/>
    <n v="12.96"/>
    <s v="Low"/>
    <n v="2"/>
    <n v="0"/>
    <x v="0"/>
    <x v="0"/>
    <n v="6.2207999999999997"/>
    <n v="0.47999999999999993"/>
    <n v="0"/>
  </r>
  <r>
    <n v="5725"/>
    <s v="CA-2014-103191"/>
    <d v="2014-09-22T00:00:00"/>
    <x v="2"/>
    <s v="Q3"/>
    <x v="30"/>
    <d v="2014-09-27T00:00:00"/>
    <s v="Standard Class"/>
    <x v="500"/>
    <x v="500"/>
    <s v="Corporate"/>
    <s v="United States"/>
    <s v="Chicago"/>
    <x v="10"/>
    <n v="60653"/>
    <x v="2"/>
    <x v="942"/>
    <x v="1"/>
    <x v="4"/>
    <x v="935"/>
    <n v="331.536"/>
    <s v="High"/>
    <n v="3"/>
    <n v="0.2"/>
    <x v="2"/>
    <x v="2"/>
    <n v="-82.884"/>
    <n v="-0.25"/>
    <n v="1"/>
  </r>
  <r>
    <n v="5726"/>
    <s v="CA-2015-103933"/>
    <d v="2015-09-25T00:00:00"/>
    <x v="1"/>
    <s v="Q3"/>
    <x v="11"/>
    <d v="2015-09-27T00:00:00"/>
    <s v="First Class"/>
    <x v="112"/>
    <x v="112"/>
    <s v="Corporate"/>
    <s v="United States"/>
    <s v="New York City"/>
    <x v="15"/>
    <n v="10011"/>
    <x v="3"/>
    <x v="1336"/>
    <x v="2"/>
    <x v="11"/>
    <x v="1321"/>
    <n v="899.91"/>
    <s v="High"/>
    <n v="9"/>
    <n v="0"/>
    <x v="0"/>
    <x v="0"/>
    <n v="395.96039999999999"/>
    <n v="0.44"/>
    <n v="0"/>
  </r>
  <r>
    <n v="5727"/>
    <s v="CA-2015-110548"/>
    <d v="2015-05-04T00:00:00"/>
    <x v="1"/>
    <s v="Q2"/>
    <x v="33"/>
    <d v="2015-05-08T00:00:00"/>
    <s v="Standard Class"/>
    <x v="706"/>
    <x v="706"/>
    <s v="Corporate"/>
    <s v="United States"/>
    <s v="Houston"/>
    <x v="5"/>
    <n v="77095"/>
    <x v="2"/>
    <x v="981"/>
    <x v="2"/>
    <x v="7"/>
    <x v="974"/>
    <n v="946.34400000000005"/>
    <s v="High"/>
    <n v="7"/>
    <n v="0.2"/>
    <x v="2"/>
    <x v="2"/>
    <n v="118.29300000000001"/>
    <n v="0.125"/>
    <n v="0"/>
  </r>
  <r>
    <n v="5728"/>
    <s v="CA-2017-117324"/>
    <d v="2017-12-08T00:00:00"/>
    <x v="3"/>
    <s v="Q4"/>
    <x v="22"/>
    <d v="2017-12-13T00:00:00"/>
    <s v="Standard Class"/>
    <x v="187"/>
    <x v="187"/>
    <s v="Consumer"/>
    <s v="United States"/>
    <s v="Madison"/>
    <x v="6"/>
    <n v="53711"/>
    <x v="2"/>
    <x v="1089"/>
    <x v="2"/>
    <x v="11"/>
    <x v="1079"/>
    <n v="178.11"/>
    <s v="High"/>
    <n v="3"/>
    <n v="0"/>
    <x v="0"/>
    <x v="0"/>
    <n v="32.059800000000003"/>
    <n v="0.18"/>
    <n v="0"/>
  </r>
  <r>
    <n v="5729"/>
    <s v="CA-2017-117324"/>
    <d v="2017-12-08T00:00:00"/>
    <x v="3"/>
    <s v="Q4"/>
    <x v="22"/>
    <d v="2017-12-13T00:00:00"/>
    <s v="Standard Class"/>
    <x v="187"/>
    <x v="187"/>
    <s v="Consumer"/>
    <s v="United States"/>
    <s v="Madison"/>
    <x v="6"/>
    <n v="53711"/>
    <x v="2"/>
    <x v="963"/>
    <x v="1"/>
    <x v="9"/>
    <x v="956"/>
    <n v="1089.75"/>
    <s v="High"/>
    <n v="3"/>
    <n v="0"/>
    <x v="0"/>
    <x v="0"/>
    <n v="305.13"/>
    <n v="0.27999999999999997"/>
    <n v="0"/>
  </r>
  <r>
    <n v="5730"/>
    <s v="CA-2017-117324"/>
    <d v="2017-12-08T00:00:00"/>
    <x v="3"/>
    <s v="Q4"/>
    <x v="22"/>
    <d v="2017-12-13T00:00:00"/>
    <s v="Standard Class"/>
    <x v="187"/>
    <x v="187"/>
    <s v="Consumer"/>
    <s v="United States"/>
    <s v="Madison"/>
    <x v="6"/>
    <n v="53711"/>
    <x v="2"/>
    <x v="580"/>
    <x v="1"/>
    <x v="2"/>
    <x v="580"/>
    <n v="61.06"/>
    <s v="Medium"/>
    <n v="2"/>
    <n v="0"/>
    <x v="0"/>
    <x v="0"/>
    <n v="28.087599999999998"/>
    <n v="0.45999999999999996"/>
    <n v="0"/>
  </r>
  <r>
    <n v="5731"/>
    <s v="CA-2017-117324"/>
    <d v="2017-12-08T00:00:00"/>
    <x v="3"/>
    <s v="Q4"/>
    <x v="22"/>
    <d v="2017-12-13T00:00:00"/>
    <s v="Standard Class"/>
    <x v="187"/>
    <x v="187"/>
    <s v="Consumer"/>
    <s v="United States"/>
    <s v="Madison"/>
    <x v="6"/>
    <n v="53711"/>
    <x v="2"/>
    <x v="1121"/>
    <x v="0"/>
    <x v="0"/>
    <x v="1109"/>
    <n v="459.92"/>
    <s v="High"/>
    <n v="4"/>
    <n v="0"/>
    <x v="0"/>
    <x v="0"/>
    <n v="41.392800000000001"/>
    <n v="0.09"/>
    <n v="0"/>
  </r>
  <r>
    <n v="5732"/>
    <s v="CA-2017-117324"/>
    <d v="2017-12-08T00:00:00"/>
    <x v="3"/>
    <s v="Q4"/>
    <x v="22"/>
    <d v="2017-12-13T00:00:00"/>
    <s v="Standard Class"/>
    <x v="187"/>
    <x v="187"/>
    <s v="Consumer"/>
    <s v="United States"/>
    <s v="Madison"/>
    <x v="6"/>
    <n v="53711"/>
    <x v="2"/>
    <x v="320"/>
    <x v="1"/>
    <x v="10"/>
    <x v="320"/>
    <n v="27.52"/>
    <s v="Medium"/>
    <n v="4"/>
    <n v="0"/>
    <x v="0"/>
    <x v="0"/>
    <n v="12.6592"/>
    <n v="0.46"/>
    <n v="0"/>
  </r>
  <r>
    <n v="5733"/>
    <s v="CA-2017-143574"/>
    <d v="2017-06-29T00:00:00"/>
    <x v="3"/>
    <s v="Q2"/>
    <x v="27"/>
    <d v="2017-07-02T00:00:00"/>
    <s v="First Class"/>
    <x v="112"/>
    <x v="112"/>
    <s v="Corporate"/>
    <s v="United States"/>
    <s v="Milford"/>
    <x v="29"/>
    <n v="6460"/>
    <x v="3"/>
    <x v="1531"/>
    <x v="0"/>
    <x v="0"/>
    <x v="1518"/>
    <n v="638.82000000000005"/>
    <s v="High"/>
    <n v="9"/>
    <n v="0"/>
    <x v="0"/>
    <x v="0"/>
    <n v="185.2578"/>
    <n v="0.28999999999999998"/>
    <n v="0"/>
  </r>
  <r>
    <n v="5734"/>
    <s v="CA-2017-143574"/>
    <d v="2017-06-29T00:00:00"/>
    <x v="3"/>
    <s v="Q2"/>
    <x v="27"/>
    <d v="2017-07-02T00:00:00"/>
    <s v="First Class"/>
    <x v="112"/>
    <x v="112"/>
    <s v="Corporate"/>
    <s v="United States"/>
    <s v="Milford"/>
    <x v="29"/>
    <n v="6460"/>
    <x v="3"/>
    <x v="682"/>
    <x v="1"/>
    <x v="14"/>
    <x v="682"/>
    <n v="30.69"/>
    <s v="Medium"/>
    <n v="3"/>
    <n v="0"/>
    <x v="0"/>
    <x v="0"/>
    <n v="7.9794"/>
    <n v="0.26"/>
    <n v="0"/>
  </r>
  <r>
    <n v="5735"/>
    <s v="CA-2017-143574"/>
    <d v="2017-06-29T00:00:00"/>
    <x v="3"/>
    <s v="Q2"/>
    <x v="27"/>
    <d v="2017-07-02T00:00:00"/>
    <s v="First Class"/>
    <x v="112"/>
    <x v="112"/>
    <s v="Corporate"/>
    <s v="United States"/>
    <s v="Milford"/>
    <x v="29"/>
    <n v="6460"/>
    <x v="3"/>
    <x v="980"/>
    <x v="0"/>
    <x v="5"/>
    <x v="973"/>
    <n v="25.16"/>
    <s v="Medium"/>
    <n v="2"/>
    <n v="0"/>
    <x v="0"/>
    <x v="0"/>
    <n v="8.5543999999999993"/>
    <n v="0.33999999999999997"/>
    <n v="0"/>
  </r>
  <r>
    <n v="5736"/>
    <s v="CA-2014-111773"/>
    <d v="2014-06-29T00:00:00"/>
    <x v="2"/>
    <s v="Q2"/>
    <x v="3"/>
    <d v="2014-07-03T00:00:00"/>
    <s v="Standard Class"/>
    <x v="600"/>
    <x v="600"/>
    <s v="Consumer"/>
    <s v="United States"/>
    <s v="New York City"/>
    <x v="15"/>
    <n v="10024"/>
    <x v="3"/>
    <x v="1458"/>
    <x v="1"/>
    <x v="8"/>
    <x v="1444"/>
    <n v="13.92"/>
    <s v="Low"/>
    <n v="3"/>
    <n v="0.2"/>
    <x v="2"/>
    <x v="2"/>
    <n v="4.8719999999999999"/>
    <n v="0.35"/>
    <n v="0"/>
  </r>
  <r>
    <n v="5737"/>
    <s v="CA-2014-148614"/>
    <d v="2014-01-20T00:00:00"/>
    <x v="2"/>
    <s v="Q1"/>
    <x v="46"/>
    <d v="2014-01-25T00:00:00"/>
    <s v="Standard Class"/>
    <x v="597"/>
    <x v="597"/>
    <s v="Consumer"/>
    <s v="United States"/>
    <s v="Los Angeles"/>
    <x v="1"/>
    <n v="90049"/>
    <x v="1"/>
    <x v="364"/>
    <x v="1"/>
    <x v="10"/>
    <x v="364"/>
    <n v="19.36"/>
    <s v="Low"/>
    <n v="2"/>
    <n v="0"/>
    <x v="0"/>
    <x v="0"/>
    <n v="9.2927999999999997"/>
    <n v="0.48"/>
    <n v="0"/>
  </r>
  <r>
    <n v="5738"/>
    <s v="CA-2014-148614"/>
    <d v="2014-01-20T00:00:00"/>
    <x v="2"/>
    <s v="Q1"/>
    <x v="46"/>
    <d v="2014-01-25T00:00:00"/>
    <s v="Standard Class"/>
    <x v="597"/>
    <x v="597"/>
    <s v="Consumer"/>
    <s v="United States"/>
    <s v="Los Angeles"/>
    <x v="1"/>
    <n v="90049"/>
    <x v="1"/>
    <x v="76"/>
    <x v="0"/>
    <x v="5"/>
    <x v="76"/>
    <n v="19.3"/>
    <s v="Low"/>
    <n v="2"/>
    <n v="0"/>
    <x v="0"/>
    <x v="0"/>
    <n v="5.79"/>
    <n v="0.3"/>
    <n v="0"/>
  </r>
  <r>
    <n v="5739"/>
    <s v="CA-2017-156139"/>
    <d v="2016-12-31T00:00:00"/>
    <x v="0"/>
    <s v="Q4"/>
    <x v="5"/>
    <d v="2017-01-06T00:00:00"/>
    <s v="Standard Class"/>
    <x v="669"/>
    <x v="669"/>
    <s v="Consumer"/>
    <s v="United States"/>
    <s v="San Francisco"/>
    <x v="1"/>
    <n v="94109"/>
    <x v="1"/>
    <x v="1399"/>
    <x v="1"/>
    <x v="8"/>
    <x v="1386"/>
    <n v="38.375999999999998"/>
    <s v="Medium"/>
    <n v="3"/>
    <n v="0.2"/>
    <x v="2"/>
    <x v="2"/>
    <n v="13.4316"/>
    <n v="0.35000000000000003"/>
    <n v="0"/>
  </r>
  <r>
    <n v="5740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1641"/>
    <x v="1"/>
    <x v="10"/>
    <x v="1631"/>
    <n v="12.96"/>
    <s v="Low"/>
    <n v="2"/>
    <n v="0"/>
    <x v="0"/>
    <x v="0"/>
    <n v="6.3503999999999996"/>
    <n v="0.48999999999999994"/>
    <n v="0"/>
  </r>
  <r>
    <n v="5741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750"/>
    <x v="0"/>
    <x v="5"/>
    <x v="748"/>
    <n v="26.48"/>
    <s v="Medium"/>
    <n v="1"/>
    <n v="0"/>
    <x v="0"/>
    <x v="0"/>
    <n v="10.0624"/>
    <n v="0.38"/>
    <n v="0"/>
  </r>
  <r>
    <n v="5742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1093"/>
    <x v="2"/>
    <x v="15"/>
    <x v="1083"/>
    <n v="532.72"/>
    <s v="High"/>
    <n v="2"/>
    <n v="0.2"/>
    <x v="2"/>
    <x v="2"/>
    <n v="53.271999999999998"/>
    <n v="9.9999999999999992E-2"/>
    <n v="0"/>
  </r>
  <r>
    <n v="5743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652"/>
    <x v="1"/>
    <x v="10"/>
    <x v="652"/>
    <n v="26.72"/>
    <s v="Medium"/>
    <n v="4"/>
    <n v="0"/>
    <x v="0"/>
    <x v="0"/>
    <n v="12.8256"/>
    <n v="0.48"/>
    <n v="0"/>
  </r>
  <r>
    <n v="5744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578"/>
    <x v="1"/>
    <x v="10"/>
    <x v="578"/>
    <n v="20.04"/>
    <s v="Low"/>
    <n v="3"/>
    <n v="0"/>
    <x v="0"/>
    <x v="0"/>
    <n v="9.6191999999999993"/>
    <n v="0.48"/>
    <n v="0"/>
  </r>
  <r>
    <n v="5745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418"/>
    <x v="1"/>
    <x v="4"/>
    <x v="418"/>
    <n v="795.48"/>
    <s v="High"/>
    <n v="7"/>
    <n v="0"/>
    <x v="0"/>
    <x v="0"/>
    <n v="7.9547999999999996"/>
    <n v="9.9999999999999985E-3"/>
    <n v="0"/>
  </r>
  <r>
    <n v="5746"/>
    <s v="US-2017-147886"/>
    <d v="2017-03-28T00:00:00"/>
    <x v="3"/>
    <s v="Q1"/>
    <x v="42"/>
    <d v="2017-03-31T00:00:00"/>
    <s v="First Class"/>
    <x v="704"/>
    <x v="704"/>
    <s v="Corporate"/>
    <s v="United States"/>
    <s v="Fairfield"/>
    <x v="1"/>
    <n v="94533"/>
    <x v="1"/>
    <x v="1392"/>
    <x v="0"/>
    <x v="5"/>
    <x v="1378"/>
    <n v="21.56"/>
    <s v="Low"/>
    <n v="7"/>
    <n v="0"/>
    <x v="0"/>
    <x v="0"/>
    <n v="6.8992000000000004"/>
    <n v="0.32000000000000006"/>
    <n v="0"/>
  </r>
  <r>
    <n v="5747"/>
    <s v="CA-2016-113733"/>
    <d v="2016-12-08T00:00:00"/>
    <x v="0"/>
    <s v="Q4"/>
    <x v="5"/>
    <d v="2016-12-12T00:00:00"/>
    <s v="Standard Class"/>
    <x v="23"/>
    <x v="23"/>
    <s v="Consumer"/>
    <s v="United States"/>
    <s v="Greenville"/>
    <x v="3"/>
    <n v="27834"/>
    <x v="0"/>
    <x v="495"/>
    <x v="2"/>
    <x v="7"/>
    <x v="495"/>
    <n v="249.584"/>
    <s v="High"/>
    <n v="2"/>
    <n v="0.2"/>
    <x v="2"/>
    <x v="2"/>
    <n v="31.198"/>
    <n v="0.125"/>
    <n v="0"/>
  </r>
  <r>
    <n v="5748"/>
    <s v="CA-2016-113733"/>
    <d v="2016-12-08T00:00:00"/>
    <x v="0"/>
    <s v="Q4"/>
    <x v="5"/>
    <d v="2016-12-12T00:00:00"/>
    <s v="Standard Class"/>
    <x v="23"/>
    <x v="23"/>
    <s v="Consumer"/>
    <s v="United States"/>
    <s v="Greenville"/>
    <x v="3"/>
    <n v="27834"/>
    <x v="0"/>
    <x v="721"/>
    <x v="2"/>
    <x v="11"/>
    <x v="720"/>
    <n v="68.111999999999995"/>
    <s v="Medium"/>
    <n v="3"/>
    <n v="0.2"/>
    <x v="2"/>
    <x v="2"/>
    <n v="17.8794"/>
    <n v="0.26250000000000001"/>
    <n v="0"/>
  </r>
  <r>
    <n v="5749"/>
    <s v="CA-2016-113733"/>
    <d v="2016-12-08T00:00:00"/>
    <x v="0"/>
    <s v="Q4"/>
    <x v="5"/>
    <d v="2016-12-12T00:00:00"/>
    <s v="Standard Class"/>
    <x v="23"/>
    <x v="23"/>
    <s v="Consumer"/>
    <s v="United States"/>
    <s v="Greenville"/>
    <x v="3"/>
    <n v="27834"/>
    <x v="0"/>
    <x v="1691"/>
    <x v="2"/>
    <x v="11"/>
    <x v="1679"/>
    <n v="16.559999999999999"/>
    <s v="Low"/>
    <n v="3"/>
    <n v="0.2"/>
    <x v="2"/>
    <x v="2"/>
    <n v="-2.484"/>
    <n v="-0.15000000000000002"/>
    <n v="1"/>
  </r>
  <r>
    <n v="5750"/>
    <s v="CA-2017-104913"/>
    <d v="2017-11-18T00:00:00"/>
    <x v="3"/>
    <s v="Q4"/>
    <x v="23"/>
    <d v="2017-11-22T00:00:00"/>
    <s v="Standard Class"/>
    <x v="54"/>
    <x v="54"/>
    <s v="Consumer"/>
    <s v="United States"/>
    <s v="Long Beach"/>
    <x v="15"/>
    <n v="11561"/>
    <x v="3"/>
    <x v="1250"/>
    <x v="2"/>
    <x v="7"/>
    <x v="1234"/>
    <n v="74.95"/>
    <s v="Medium"/>
    <n v="5"/>
    <n v="0"/>
    <x v="0"/>
    <x v="0"/>
    <n v="36.725499999999997"/>
    <n v="0.48999999999999994"/>
    <n v="0"/>
  </r>
  <r>
    <n v="5751"/>
    <s v="CA-2014-145800"/>
    <d v="2014-05-30T00:00:00"/>
    <x v="2"/>
    <s v="Q2"/>
    <x v="8"/>
    <d v="2014-06-05T00:00:00"/>
    <s v="Standard Class"/>
    <x v="757"/>
    <x v="757"/>
    <s v="Consumer"/>
    <s v="United States"/>
    <s v="Buffalo Grove"/>
    <x v="10"/>
    <n v="60089"/>
    <x v="2"/>
    <x v="10"/>
    <x v="0"/>
    <x v="3"/>
    <x v="10"/>
    <n v="355.45499999999998"/>
    <s v="High"/>
    <n v="3"/>
    <n v="0.5"/>
    <x v="1"/>
    <x v="1"/>
    <n v="-184.8366"/>
    <n v="-0.52"/>
    <n v="1"/>
  </r>
  <r>
    <n v="5752"/>
    <s v="CA-2016-125850"/>
    <d v="2016-01-22T00:00:00"/>
    <x v="0"/>
    <s v="Q1"/>
    <x v="12"/>
    <d v="2016-01-28T00:00:00"/>
    <s v="Standard Class"/>
    <x v="224"/>
    <x v="224"/>
    <s v="Consumer"/>
    <s v="United States"/>
    <s v="San Diego"/>
    <x v="1"/>
    <n v="92037"/>
    <x v="1"/>
    <x v="1760"/>
    <x v="1"/>
    <x v="2"/>
    <x v="1749"/>
    <n v="44.4"/>
    <s v="Medium"/>
    <n v="3"/>
    <n v="0"/>
    <x v="0"/>
    <x v="0"/>
    <n v="22.2"/>
    <n v="0.5"/>
    <n v="0"/>
  </r>
  <r>
    <n v="5753"/>
    <s v="CA-2016-125850"/>
    <d v="2016-01-22T00:00:00"/>
    <x v="0"/>
    <s v="Q1"/>
    <x v="12"/>
    <d v="2016-01-28T00:00:00"/>
    <s v="Standard Class"/>
    <x v="224"/>
    <x v="224"/>
    <s v="Consumer"/>
    <s v="United States"/>
    <s v="San Diego"/>
    <x v="1"/>
    <n v="92037"/>
    <x v="1"/>
    <x v="617"/>
    <x v="1"/>
    <x v="2"/>
    <x v="617"/>
    <n v="20.65"/>
    <s v="Low"/>
    <n v="5"/>
    <n v="0"/>
    <x v="0"/>
    <x v="0"/>
    <n v="9.4990000000000006"/>
    <n v="0.46000000000000008"/>
    <n v="0"/>
  </r>
  <r>
    <n v="5754"/>
    <s v="CA-2016-118514"/>
    <d v="2016-02-03T00:00:00"/>
    <x v="0"/>
    <s v="Q1"/>
    <x v="47"/>
    <d v="2016-02-10T00:00:00"/>
    <s v="Standard Class"/>
    <x v="702"/>
    <x v="702"/>
    <s v="Consumer"/>
    <s v="United States"/>
    <s v="Richmond"/>
    <x v="0"/>
    <n v="40475"/>
    <x v="0"/>
    <x v="377"/>
    <x v="0"/>
    <x v="1"/>
    <x v="378"/>
    <n v="866.4"/>
    <s v="High"/>
    <n v="4"/>
    <n v="0"/>
    <x v="0"/>
    <x v="0"/>
    <n v="225.26400000000001"/>
    <n v="0.26"/>
    <n v="0"/>
  </r>
  <r>
    <n v="5755"/>
    <s v="CA-2015-150749"/>
    <d v="2015-03-29T00:00:00"/>
    <x v="1"/>
    <s v="Q1"/>
    <x v="29"/>
    <d v="2015-04-03T00:00:00"/>
    <s v="Second Class"/>
    <x v="238"/>
    <x v="238"/>
    <s v="Consumer"/>
    <s v="United States"/>
    <s v="Springfield"/>
    <x v="17"/>
    <n v="22153"/>
    <x v="0"/>
    <x v="324"/>
    <x v="1"/>
    <x v="6"/>
    <x v="324"/>
    <n v="5.56"/>
    <s v="Low"/>
    <n v="2"/>
    <n v="0"/>
    <x v="0"/>
    <x v="0"/>
    <n v="1.4456"/>
    <n v="0.26"/>
    <n v="0"/>
  </r>
  <r>
    <n v="5756"/>
    <s v="CA-2014-163748"/>
    <d v="2014-10-14T00:00:00"/>
    <x v="2"/>
    <s v="Q4"/>
    <x v="18"/>
    <d v="2014-10-18T00:00:00"/>
    <s v="Standard Class"/>
    <x v="643"/>
    <x v="643"/>
    <s v="Consumer"/>
    <s v="United States"/>
    <s v="Fort Worth"/>
    <x v="5"/>
    <n v="76106"/>
    <x v="2"/>
    <x v="1683"/>
    <x v="1"/>
    <x v="9"/>
    <x v="1671"/>
    <n v="3.16"/>
    <s v="Low"/>
    <n v="4"/>
    <n v="0.8"/>
    <x v="1"/>
    <x v="3"/>
    <n v="-8.532"/>
    <n v="-2.6999999999999997"/>
    <n v="1"/>
  </r>
  <r>
    <n v="5757"/>
    <s v="CA-2014-163748"/>
    <d v="2014-10-14T00:00:00"/>
    <x v="2"/>
    <s v="Q4"/>
    <x v="18"/>
    <d v="2014-10-18T00:00:00"/>
    <s v="Standard Class"/>
    <x v="643"/>
    <x v="643"/>
    <s v="Consumer"/>
    <s v="United States"/>
    <s v="Fort Worth"/>
    <x v="5"/>
    <n v="76106"/>
    <x v="2"/>
    <x v="615"/>
    <x v="2"/>
    <x v="16"/>
    <x v="615"/>
    <n v="1999.96"/>
    <s v="High"/>
    <n v="5"/>
    <n v="0.2"/>
    <x v="2"/>
    <x v="2"/>
    <n v="624.98749999999995"/>
    <n v="0.31249999999999994"/>
    <n v="0"/>
  </r>
  <r>
    <n v="5758"/>
    <s v="CA-2015-119634"/>
    <d v="2015-08-11T00:00:00"/>
    <x v="1"/>
    <s v="Q3"/>
    <x v="37"/>
    <d v="2015-08-16T00:00:00"/>
    <s v="Standard Class"/>
    <x v="768"/>
    <x v="768"/>
    <s v="Consumer"/>
    <s v="United States"/>
    <s v="Raleigh"/>
    <x v="3"/>
    <n v="27604"/>
    <x v="0"/>
    <x v="1006"/>
    <x v="0"/>
    <x v="5"/>
    <x v="1381"/>
    <n v="46.152000000000001"/>
    <s v="Medium"/>
    <n v="3"/>
    <n v="0.2"/>
    <x v="2"/>
    <x v="2"/>
    <n v="12.1149"/>
    <n v="0.26250000000000001"/>
    <n v="0"/>
  </r>
  <r>
    <n v="5759"/>
    <s v="CA-2015-149300"/>
    <d v="2015-11-22T00:00:00"/>
    <x v="1"/>
    <s v="Q4"/>
    <x v="6"/>
    <d v="2015-11-23T00:00:00"/>
    <s v="First Class"/>
    <x v="3"/>
    <x v="3"/>
    <s v="Consumer"/>
    <s v="United States"/>
    <s v="Hialeah"/>
    <x v="2"/>
    <n v="33012"/>
    <x v="0"/>
    <x v="1734"/>
    <x v="2"/>
    <x v="15"/>
    <x v="1722"/>
    <n v="32.984999999999999"/>
    <s v="Medium"/>
    <n v="3"/>
    <n v="0.5"/>
    <x v="1"/>
    <x v="1"/>
    <n v="-1.9791000000000001"/>
    <n v="-6.0000000000000005E-2"/>
    <n v="1"/>
  </r>
  <r>
    <n v="5760"/>
    <s v="US-2016-111528"/>
    <d v="2016-12-30T00:00:00"/>
    <x v="0"/>
    <s v="Q4"/>
    <x v="5"/>
    <d v="2016-12-30T00:00:00"/>
    <s v="Same Day"/>
    <x v="655"/>
    <x v="655"/>
    <s v="Home Office"/>
    <s v="United States"/>
    <s v="Los Angeles"/>
    <x v="1"/>
    <n v="90032"/>
    <x v="1"/>
    <x v="772"/>
    <x v="1"/>
    <x v="4"/>
    <x v="771"/>
    <n v="481.32"/>
    <s v="High"/>
    <n v="4"/>
    <n v="0"/>
    <x v="0"/>
    <x v="0"/>
    <n v="125.14319999999999"/>
    <n v="0.26"/>
    <n v="0"/>
  </r>
  <r>
    <n v="5761"/>
    <s v="US-2016-111528"/>
    <d v="2016-12-30T00:00:00"/>
    <x v="0"/>
    <s v="Q4"/>
    <x v="5"/>
    <d v="2016-12-30T00:00:00"/>
    <s v="Same Day"/>
    <x v="655"/>
    <x v="655"/>
    <s v="Home Office"/>
    <s v="United States"/>
    <s v="Los Angeles"/>
    <x v="1"/>
    <n v="90032"/>
    <x v="1"/>
    <x v="416"/>
    <x v="1"/>
    <x v="8"/>
    <x v="416"/>
    <n v="6.3840000000000003"/>
    <s v="Low"/>
    <n v="1"/>
    <n v="0.2"/>
    <x v="2"/>
    <x v="2"/>
    <n v="2.1545999999999998"/>
    <n v="0.33749999999999997"/>
    <n v="0"/>
  </r>
  <r>
    <n v="5762"/>
    <s v="CA-2017-158169"/>
    <d v="2017-08-12T00:00:00"/>
    <x v="3"/>
    <s v="Q3"/>
    <x v="43"/>
    <d v="2017-08-15T00:00:00"/>
    <s v="First Class"/>
    <x v="594"/>
    <x v="594"/>
    <s v="Consumer"/>
    <s v="United States"/>
    <s v="Lake Forest"/>
    <x v="1"/>
    <n v="92630"/>
    <x v="1"/>
    <x v="1107"/>
    <x v="1"/>
    <x v="9"/>
    <x v="1096"/>
    <n v="542.94000000000005"/>
    <s v="High"/>
    <n v="3"/>
    <n v="0"/>
    <x v="0"/>
    <x v="0"/>
    <n v="152.0232"/>
    <n v="0.27999999999999997"/>
    <n v="0"/>
  </r>
  <r>
    <n v="5763"/>
    <s v="CA-2017-158169"/>
    <d v="2017-08-12T00:00:00"/>
    <x v="3"/>
    <s v="Q3"/>
    <x v="43"/>
    <d v="2017-08-15T00:00:00"/>
    <s v="First Class"/>
    <x v="594"/>
    <x v="594"/>
    <s v="Consumer"/>
    <s v="United States"/>
    <s v="Lake Forest"/>
    <x v="1"/>
    <n v="92630"/>
    <x v="1"/>
    <x v="1001"/>
    <x v="0"/>
    <x v="5"/>
    <x v="993"/>
    <n v="54.92"/>
    <s v="Medium"/>
    <n v="4"/>
    <n v="0"/>
    <x v="0"/>
    <x v="0"/>
    <n v="19.7712"/>
    <n v="0.36"/>
    <n v="0"/>
  </r>
  <r>
    <n v="5764"/>
    <s v="CA-2015-162047"/>
    <d v="2015-11-03T00:00:00"/>
    <x v="1"/>
    <s v="Q4"/>
    <x v="6"/>
    <d v="2015-11-05T00:00:00"/>
    <s v="First Class"/>
    <x v="92"/>
    <x v="92"/>
    <s v="Corporate"/>
    <s v="United States"/>
    <s v="Long Beach"/>
    <x v="15"/>
    <n v="11561"/>
    <x v="3"/>
    <x v="1578"/>
    <x v="0"/>
    <x v="1"/>
    <x v="1569"/>
    <n v="1448.82"/>
    <s v="High"/>
    <n v="10"/>
    <n v="0.1"/>
    <x v="3"/>
    <x v="8"/>
    <n v="209.274"/>
    <n v="0.14444444444444446"/>
    <n v="0"/>
  </r>
  <r>
    <n v="5765"/>
    <s v="CA-2015-117772"/>
    <d v="2015-09-10T00:00:00"/>
    <x v="1"/>
    <s v="Q3"/>
    <x v="11"/>
    <d v="2015-09-12T00:00:00"/>
    <s v="Second Class"/>
    <x v="430"/>
    <x v="430"/>
    <s v="Consumer"/>
    <s v="United States"/>
    <s v="Seattle"/>
    <x v="4"/>
    <n v="98103"/>
    <x v="1"/>
    <x v="1755"/>
    <x v="1"/>
    <x v="4"/>
    <x v="1745"/>
    <n v="353.88"/>
    <s v="High"/>
    <n v="6"/>
    <n v="0"/>
    <x v="0"/>
    <x v="0"/>
    <n v="17.693999999999999"/>
    <n v="4.9999999999999996E-2"/>
    <n v="0"/>
  </r>
  <r>
    <n v="5766"/>
    <s v="US-2014-126340"/>
    <d v="2014-11-08T00:00:00"/>
    <x v="2"/>
    <s v="Q4"/>
    <x v="7"/>
    <d v="2014-11-14T00:00:00"/>
    <s v="Standard Class"/>
    <x v="12"/>
    <x v="12"/>
    <s v="Consumer"/>
    <s v="United States"/>
    <s v="Redding"/>
    <x v="1"/>
    <n v="96003"/>
    <x v="1"/>
    <x v="872"/>
    <x v="2"/>
    <x v="7"/>
    <x v="866"/>
    <n v="333.57600000000002"/>
    <s v="High"/>
    <n v="3"/>
    <n v="0.2"/>
    <x v="2"/>
    <x v="2"/>
    <n v="25.0182"/>
    <n v="7.4999999999999997E-2"/>
    <n v="0"/>
  </r>
  <r>
    <n v="5767"/>
    <s v="CA-2016-149685"/>
    <d v="2016-10-08T00:00:00"/>
    <x v="0"/>
    <s v="Q4"/>
    <x v="32"/>
    <d v="2016-10-15T00:00:00"/>
    <s v="Standard Class"/>
    <x v="327"/>
    <x v="327"/>
    <s v="Home Office"/>
    <s v="United States"/>
    <s v="San Antonio"/>
    <x v="5"/>
    <n v="78207"/>
    <x v="2"/>
    <x v="1351"/>
    <x v="1"/>
    <x v="2"/>
    <x v="1337"/>
    <n v="60.143999999999998"/>
    <s v="Medium"/>
    <n v="6"/>
    <n v="0.2"/>
    <x v="2"/>
    <x v="2"/>
    <n v="20.2986"/>
    <n v="0.33750000000000002"/>
    <n v="0"/>
  </r>
  <r>
    <n v="5768"/>
    <s v="CA-2017-126396"/>
    <d v="2017-09-08T00:00:00"/>
    <x v="3"/>
    <s v="Q3"/>
    <x v="15"/>
    <d v="2017-09-12T00:00:00"/>
    <s v="Second Class"/>
    <x v="753"/>
    <x v="753"/>
    <s v="Corporate"/>
    <s v="United States"/>
    <s v="Houston"/>
    <x v="5"/>
    <n v="77070"/>
    <x v="2"/>
    <x v="936"/>
    <x v="2"/>
    <x v="11"/>
    <x v="929"/>
    <n v="85.2"/>
    <s v="Medium"/>
    <n v="6"/>
    <n v="0.2"/>
    <x v="2"/>
    <x v="2"/>
    <n v="20.234999999999999"/>
    <n v="0.23749999999999999"/>
    <n v="0"/>
  </r>
  <r>
    <n v="5769"/>
    <s v="CA-2015-154900"/>
    <d v="2015-02-25T00:00:00"/>
    <x v="1"/>
    <s v="Q1"/>
    <x v="36"/>
    <d v="2015-03-01T00:00:00"/>
    <s v="Standard Class"/>
    <x v="286"/>
    <x v="286"/>
    <s v="Consumer"/>
    <s v="United States"/>
    <s v="Leominster"/>
    <x v="31"/>
    <n v="1453"/>
    <x v="3"/>
    <x v="1042"/>
    <x v="1"/>
    <x v="2"/>
    <x v="1031"/>
    <n v="3.15"/>
    <s v="Low"/>
    <n v="1"/>
    <n v="0"/>
    <x v="0"/>
    <x v="0"/>
    <n v="1.512"/>
    <n v="0.48000000000000004"/>
    <n v="0"/>
  </r>
  <r>
    <n v="5770"/>
    <s v="CA-2015-154900"/>
    <d v="2015-02-25T00:00:00"/>
    <x v="1"/>
    <s v="Q1"/>
    <x v="36"/>
    <d v="2015-03-01T00:00:00"/>
    <s v="Standard Class"/>
    <x v="286"/>
    <x v="286"/>
    <s v="Consumer"/>
    <s v="United States"/>
    <s v="Leominster"/>
    <x v="31"/>
    <n v="1453"/>
    <x v="3"/>
    <x v="126"/>
    <x v="1"/>
    <x v="10"/>
    <x v="562"/>
    <n v="22.72"/>
    <s v="Low"/>
    <n v="4"/>
    <n v="0"/>
    <x v="0"/>
    <x v="0"/>
    <n v="10.224"/>
    <n v="0.45"/>
    <n v="0"/>
  </r>
  <r>
    <n v="5771"/>
    <s v="CA-2015-103835"/>
    <d v="2015-09-24T00:00:00"/>
    <x v="1"/>
    <s v="Q3"/>
    <x v="11"/>
    <d v="2015-09-28T00:00:00"/>
    <s v="Standard Class"/>
    <x v="464"/>
    <x v="464"/>
    <s v="Corporate"/>
    <s v="United States"/>
    <s v="Los Angeles"/>
    <x v="1"/>
    <n v="90032"/>
    <x v="1"/>
    <x v="527"/>
    <x v="0"/>
    <x v="5"/>
    <x v="527"/>
    <n v="14.91"/>
    <s v="Low"/>
    <n v="3"/>
    <n v="0"/>
    <x v="0"/>
    <x v="0"/>
    <n v="4.6220999999999997"/>
    <n v="0.31"/>
    <n v="0"/>
  </r>
  <r>
    <n v="5772"/>
    <s v="CA-2015-103835"/>
    <d v="2015-09-24T00:00:00"/>
    <x v="1"/>
    <s v="Q3"/>
    <x v="11"/>
    <d v="2015-09-28T00:00:00"/>
    <s v="Standard Class"/>
    <x v="464"/>
    <x v="464"/>
    <s v="Corporate"/>
    <s v="United States"/>
    <s v="Los Angeles"/>
    <x v="1"/>
    <n v="90032"/>
    <x v="1"/>
    <x v="1364"/>
    <x v="1"/>
    <x v="9"/>
    <x v="1350"/>
    <n v="1158.1199999999999"/>
    <s v="High"/>
    <n v="4"/>
    <n v="0"/>
    <x v="0"/>
    <x v="0"/>
    <n v="335.85480000000001"/>
    <n v="0.29000000000000004"/>
    <n v="0"/>
  </r>
  <r>
    <n v="5773"/>
    <s v="CA-2015-158939"/>
    <d v="2015-11-26T00:00:00"/>
    <x v="1"/>
    <s v="Q4"/>
    <x v="6"/>
    <d v="2015-12-01T00:00:00"/>
    <s v="Standard Class"/>
    <x v="105"/>
    <x v="105"/>
    <s v="Corporate"/>
    <s v="United States"/>
    <s v="Springfield"/>
    <x v="25"/>
    <n v="65807"/>
    <x v="2"/>
    <x v="349"/>
    <x v="2"/>
    <x v="16"/>
    <x v="349"/>
    <n v="599.99"/>
    <s v="High"/>
    <n v="1"/>
    <n v="0"/>
    <x v="0"/>
    <x v="0"/>
    <n v="233.99610000000001"/>
    <n v="0.39"/>
    <n v="0"/>
  </r>
  <r>
    <n v="5774"/>
    <s v="CA-2016-117408"/>
    <d v="2016-08-31T00:00:00"/>
    <x v="0"/>
    <s v="Q3"/>
    <x v="28"/>
    <d v="2016-09-06T00:00:00"/>
    <s v="Standard Class"/>
    <x v="236"/>
    <x v="236"/>
    <s v="Consumer"/>
    <s v="United States"/>
    <s v="Waco"/>
    <x v="5"/>
    <n v="76706"/>
    <x v="2"/>
    <x v="355"/>
    <x v="1"/>
    <x v="4"/>
    <x v="355"/>
    <n v="23.968"/>
    <s v="Low"/>
    <n v="2"/>
    <n v="0.2"/>
    <x v="2"/>
    <x v="2"/>
    <n v="2.3967999999999998"/>
    <n v="9.9999999999999992E-2"/>
    <n v="0"/>
  </r>
  <r>
    <n v="5775"/>
    <s v="CA-2016-142398"/>
    <d v="2016-04-12T00:00:00"/>
    <x v="0"/>
    <s v="Q2"/>
    <x v="25"/>
    <d v="2016-04-16T00:00:00"/>
    <s v="Standard Class"/>
    <x v="443"/>
    <x v="443"/>
    <s v="Consumer"/>
    <s v="United States"/>
    <s v="Los Angeles"/>
    <x v="1"/>
    <n v="90036"/>
    <x v="1"/>
    <x v="1756"/>
    <x v="0"/>
    <x v="1"/>
    <x v="1746"/>
    <n v="638.28800000000001"/>
    <s v="High"/>
    <n v="7"/>
    <n v="0.2"/>
    <x v="2"/>
    <x v="2"/>
    <n v="-31.914400000000001"/>
    <n v="-0.05"/>
    <n v="1"/>
  </r>
  <r>
    <n v="5776"/>
    <s v="CA-2016-142398"/>
    <d v="2016-04-12T00:00:00"/>
    <x v="0"/>
    <s v="Q2"/>
    <x v="25"/>
    <d v="2016-04-16T00:00:00"/>
    <s v="Standard Class"/>
    <x v="443"/>
    <x v="443"/>
    <s v="Consumer"/>
    <s v="United States"/>
    <s v="Los Angeles"/>
    <x v="1"/>
    <n v="90036"/>
    <x v="1"/>
    <x v="729"/>
    <x v="1"/>
    <x v="8"/>
    <x v="728"/>
    <n v="13.208"/>
    <s v="Low"/>
    <n v="1"/>
    <n v="0.2"/>
    <x v="2"/>
    <x v="2"/>
    <n v="4.6227999999999998"/>
    <n v="0.35"/>
    <n v="0"/>
  </r>
  <r>
    <n v="5777"/>
    <s v="CA-2016-105277"/>
    <d v="2016-12-04T00:00:00"/>
    <x v="0"/>
    <s v="Q4"/>
    <x v="5"/>
    <d v="2016-12-08T00:00:00"/>
    <s v="Standard Class"/>
    <x v="215"/>
    <x v="215"/>
    <s v="Consumer"/>
    <s v="United States"/>
    <s v="Auburn"/>
    <x v="15"/>
    <n v="13021"/>
    <x v="3"/>
    <x v="625"/>
    <x v="1"/>
    <x v="8"/>
    <x v="625"/>
    <n v="15.528"/>
    <s v="Low"/>
    <n v="3"/>
    <n v="0.2"/>
    <x v="2"/>
    <x v="2"/>
    <n v="5.8230000000000004"/>
    <n v="0.375"/>
    <n v="0"/>
  </r>
  <r>
    <n v="5778"/>
    <s v="CA-2016-112060"/>
    <d v="2016-12-04T00:00:00"/>
    <x v="0"/>
    <s v="Q4"/>
    <x v="5"/>
    <d v="2016-12-09T00:00:00"/>
    <s v="Standard Class"/>
    <x v="446"/>
    <x v="446"/>
    <s v="Consumer"/>
    <s v="United States"/>
    <s v="San Francisco"/>
    <x v="1"/>
    <n v="94109"/>
    <x v="1"/>
    <x v="921"/>
    <x v="1"/>
    <x v="10"/>
    <x v="913"/>
    <n v="104.85"/>
    <s v="Medium"/>
    <n v="1"/>
    <n v="0"/>
    <x v="0"/>
    <x v="0"/>
    <n v="50.328000000000003"/>
    <n v="0.48000000000000004"/>
    <n v="0"/>
  </r>
  <r>
    <n v="5779"/>
    <s v="CA-2014-105270"/>
    <d v="2014-11-11T00:00:00"/>
    <x v="2"/>
    <s v="Q4"/>
    <x v="7"/>
    <d v="2014-11-18T00:00:00"/>
    <s v="Standard Class"/>
    <x v="275"/>
    <x v="275"/>
    <s v="Consumer"/>
    <s v="United States"/>
    <s v="Los Angeles"/>
    <x v="1"/>
    <n v="90008"/>
    <x v="1"/>
    <x v="400"/>
    <x v="1"/>
    <x v="6"/>
    <x v="401"/>
    <n v="30.48"/>
    <s v="Medium"/>
    <n v="3"/>
    <n v="0"/>
    <x v="0"/>
    <x v="0"/>
    <n v="7.9248000000000003"/>
    <n v="0.26"/>
    <n v="0"/>
  </r>
  <r>
    <n v="5780"/>
    <s v="CA-2014-105270"/>
    <d v="2014-11-11T00:00:00"/>
    <x v="2"/>
    <s v="Q4"/>
    <x v="7"/>
    <d v="2014-11-18T00:00:00"/>
    <s v="Standard Class"/>
    <x v="275"/>
    <x v="275"/>
    <s v="Consumer"/>
    <s v="United States"/>
    <s v="Los Angeles"/>
    <x v="1"/>
    <n v="90008"/>
    <x v="1"/>
    <x v="1153"/>
    <x v="0"/>
    <x v="1"/>
    <x v="1141"/>
    <n v="112.648"/>
    <s v="Medium"/>
    <n v="1"/>
    <n v="0.2"/>
    <x v="2"/>
    <x v="2"/>
    <n v="11.264799999999999"/>
    <n v="9.9999999999999992E-2"/>
    <n v="0"/>
  </r>
  <r>
    <n v="5781"/>
    <s v="US-2015-159513"/>
    <d v="2015-04-02T00:00:00"/>
    <x v="1"/>
    <s v="Q2"/>
    <x v="19"/>
    <d v="2015-04-09T00:00:00"/>
    <s v="Standard Class"/>
    <x v="479"/>
    <x v="479"/>
    <s v="Consumer"/>
    <s v="United States"/>
    <s v="Los Angeles"/>
    <x v="1"/>
    <n v="90049"/>
    <x v="1"/>
    <x v="1761"/>
    <x v="2"/>
    <x v="15"/>
    <x v="1750"/>
    <n v="71.975999999999999"/>
    <s v="Medium"/>
    <n v="3"/>
    <n v="0.2"/>
    <x v="2"/>
    <x v="2"/>
    <n v="24.291899999999998"/>
    <n v="0.33749999999999997"/>
    <n v="0"/>
  </r>
  <r>
    <n v="5782"/>
    <s v="CA-2015-155586"/>
    <d v="2015-12-12T00:00:00"/>
    <x v="1"/>
    <s v="Q4"/>
    <x v="14"/>
    <d v="2015-12-16T00:00:00"/>
    <s v="Second Class"/>
    <x v="190"/>
    <x v="190"/>
    <s v="Consumer"/>
    <s v="United States"/>
    <s v="Chico"/>
    <x v="1"/>
    <n v="95928"/>
    <x v="1"/>
    <x v="147"/>
    <x v="1"/>
    <x v="6"/>
    <x v="148"/>
    <n v="2.21"/>
    <s v="Low"/>
    <n v="1"/>
    <n v="0"/>
    <x v="0"/>
    <x v="0"/>
    <n v="0.59670000000000001"/>
    <n v="0.27"/>
    <n v="0"/>
  </r>
  <r>
    <n v="5783"/>
    <s v="CA-2015-155586"/>
    <d v="2015-12-12T00:00:00"/>
    <x v="1"/>
    <s v="Q4"/>
    <x v="14"/>
    <d v="2015-12-16T00:00:00"/>
    <s v="Second Class"/>
    <x v="190"/>
    <x v="190"/>
    <s v="Consumer"/>
    <s v="United States"/>
    <s v="Chico"/>
    <x v="1"/>
    <n v="95928"/>
    <x v="1"/>
    <x v="776"/>
    <x v="1"/>
    <x v="12"/>
    <x v="775"/>
    <n v="15.52"/>
    <s v="Low"/>
    <n v="4"/>
    <n v="0"/>
    <x v="0"/>
    <x v="0"/>
    <n v="7.4496000000000002"/>
    <n v="0.48000000000000004"/>
    <n v="0"/>
  </r>
  <r>
    <n v="5784"/>
    <s v="CA-2015-155586"/>
    <d v="2015-12-12T00:00:00"/>
    <x v="1"/>
    <s v="Q4"/>
    <x v="14"/>
    <d v="2015-12-16T00:00:00"/>
    <s v="Second Class"/>
    <x v="190"/>
    <x v="190"/>
    <s v="Consumer"/>
    <s v="United States"/>
    <s v="Chico"/>
    <x v="1"/>
    <n v="95928"/>
    <x v="1"/>
    <x v="1346"/>
    <x v="1"/>
    <x v="10"/>
    <x v="1331"/>
    <n v="36.44"/>
    <s v="Medium"/>
    <n v="4"/>
    <n v="0"/>
    <x v="0"/>
    <x v="0"/>
    <n v="16.398"/>
    <n v="0.45"/>
    <n v="0"/>
  </r>
  <r>
    <n v="5785"/>
    <s v="CA-2017-141117"/>
    <d v="2017-10-02T00:00:00"/>
    <x v="3"/>
    <s v="Q4"/>
    <x v="13"/>
    <d v="2017-10-08T00:00:00"/>
    <s v="Standard Class"/>
    <x v="765"/>
    <x v="765"/>
    <s v="Consumer"/>
    <s v="United States"/>
    <s v="Springfield"/>
    <x v="21"/>
    <n v="97477"/>
    <x v="1"/>
    <x v="366"/>
    <x v="0"/>
    <x v="0"/>
    <x v="367"/>
    <n v="217.76400000000001"/>
    <s v="High"/>
    <n v="6"/>
    <n v="0.7"/>
    <x v="1"/>
    <x v="5"/>
    <n v="-384.71640000000002"/>
    <n v="-1.7666666666666666"/>
    <n v="1"/>
  </r>
  <r>
    <n v="5786"/>
    <s v="CA-2017-141117"/>
    <d v="2017-10-02T00:00:00"/>
    <x v="3"/>
    <s v="Q4"/>
    <x v="13"/>
    <d v="2017-10-08T00:00:00"/>
    <s v="Standard Class"/>
    <x v="765"/>
    <x v="765"/>
    <s v="Consumer"/>
    <s v="United States"/>
    <s v="Springfield"/>
    <x v="21"/>
    <n v="97477"/>
    <x v="1"/>
    <x v="597"/>
    <x v="1"/>
    <x v="14"/>
    <x v="597"/>
    <n v="39.072000000000003"/>
    <s v="Medium"/>
    <n v="6"/>
    <n v="0.2"/>
    <x v="2"/>
    <x v="2"/>
    <n v="4.3956"/>
    <n v="0.11249999999999999"/>
    <n v="0"/>
  </r>
  <r>
    <n v="5787"/>
    <s v="CA-2017-141117"/>
    <d v="2017-10-02T00:00:00"/>
    <x v="3"/>
    <s v="Q4"/>
    <x v="13"/>
    <d v="2017-10-08T00:00:00"/>
    <s v="Standard Class"/>
    <x v="765"/>
    <x v="765"/>
    <s v="Consumer"/>
    <s v="United States"/>
    <s v="Springfield"/>
    <x v="21"/>
    <n v="97477"/>
    <x v="1"/>
    <x v="828"/>
    <x v="1"/>
    <x v="8"/>
    <x v="824"/>
    <n v="22.638000000000002"/>
    <s v="Low"/>
    <n v="7"/>
    <n v="0.7"/>
    <x v="1"/>
    <x v="5"/>
    <n v="-16.601199999999999"/>
    <n v="-0.73333333333333317"/>
    <n v="1"/>
  </r>
  <r>
    <n v="5788"/>
    <s v="CA-2017-141117"/>
    <d v="2017-10-02T00:00:00"/>
    <x v="3"/>
    <s v="Q4"/>
    <x v="13"/>
    <d v="2017-10-08T00:00:00"/>
    <s v="Standard Class"/>
    <x v="765"/>
    <x v="765"/>
    <s v="Consumer"/>
    <s v="United States"/>
    <s v="Springfield"/>
    <x v="21"/>
    <n v="97477"/>
    <x v="1"/>
    <x v="1385"/>
    <x v="1"/>
    <x v="6"/>
    <x v="1371"/>
    <n v="95.144000000000005"/>
    <s v="Medium"/>
    <n v="7"/>
    <n v="0.2"/>
    <x v="2"/>
    <x v="2"/>
    <n v="10.7037"/>
    <n v="0.11249999999999999"/>
    <n v="0"/>
  </r>
  <r>
    <n v="5789"/>
    <s v="CA-2017-115070"/>
    <d v="2017-04-10T00:00:00"/>
    <x v="3"/>
    <s v="Q2"/>
    <x v="4"/>
    <d v="2017-04-14T00:00:00"/>
    <s v="Second Class"/>
    <x v="769"/>
    <x v="769"/>
    <s v="Corporate"/>
    <s v="United States"/>
    <s v="Jacksonville"/>
    <x v="2"/>
    <n v="32216"/>
    <x v="0"/>
    <x v="1392"/>
    <x v="0"/>
    <x v="5"/>
    <x v="1378"/>
    <n v="12.32"/>
    <s v="Low"/>
    <n v="5"/>
    <n v="0.2"/>
    <x v="2"/>
    <x v="2"/>
    <n v="1.8480000000000001"/>
    <n v="0.15"/>
    <n v="0"/>
  </r>
  <r>
    <n v="5790"/>
    <s v="CA-2017-115070"/>
    <d v="2017-04-10T00:00:00"/>
    <x v="3"/>
    <s v="Q2"/>
    <x v="4"/>
    <d v="2017-04-14T00:00:00"/>
    <s v="Second Class"/>
    <x v="769"/>
    <x v="769"/>
    <s v="Corporate"/>
    <s v="United States"/>
    <s v="Jacksonville"/>
    <x v="2"/>
    <n v="32216"/>
    <x v="0"/>
    <x v="696"/>
    <x v="1"/>
    <x v="8"/>
    <x v="696"/>
    <n v="4.4189999999999996"/>
    <s v="Low"/>
    <n v="3"/>
    <n v="0.7"/>
    <x v="1"/>
    <x v="5"/>
    <n v="-3.0933000000000002"/>
    <n v="-0.70000000000000007"/>
    <n v="1"/>
  </r>
  <r>
    <n v="5791"/>
    <s v="CA-2017-140186"/>
    <d v="2017-09-29T00:00:00"/>
    <x v="3"/>
    <s v="Q3"/>
    <x v="15"/>
    <d v="2017-10-02T00:00:00"/>
    <s v="First Class"/>
    <x v="310"/>
    <x v="310"/>
    <s v="Consumer"/>
    <s v="United States"/>
    <s v="Bakersfield"/>
    <x v="1"/>
    <n v="93309"/>
    <x v="1"/>
    <x v="659"/>
    <x v="1"/>
    <x v="13"/>
    <x v="659"/>
    <n v="35"/>
    <s v="Medium"/>
    <n v="7"/>
    <n v="0"/>
    <x v="0"/>
    <x v="0"/>
    <n v="16.8"/>
    <n v="0.48000000000000004"/>
    <n v="0"/>
  </r>
  <r>
    <n v="5792"/>
    <s v="CA-2017-140186"/>
    <d v="2017-09-29T00:00:00"/>
    <x v="3"/>
    <s v="Q3"/>
    <x v="15"/>
    <d v="2017-10-02T00:00:00"/>
    <s v="First Class"/>
    <x v="310"/>
    <x v="310"/>
    <s v="Consumer"/>
    <s v="United States"/>
    <s v="Bakersfield"/>
    <x v="1"/>
    <n v="93309"/>
    <x v="1"/>
    <x v="955"/>
    <x v="0"/>
    <x v="1"/>
    <x v="948"/>
    <n v="72.784000000000006"/>
    <s v="Medium"/>
    <n v="1"/>
    <n v="0.2"/>
    <x v="2"/>
    <x v="2"/>
    <n v="0"/>
    <n v="0"/>
    <n v="0"/>
  </r>
  <r>
    <n v="5793"/>
    <s v="CA-2017-140186"/>
    <d v="2017-09-29T00:00:00"/>
    <x v="3"/>
    <s v="Q3"/>
    <x v="15"/>
    <d v="2017-10-02T00:00:00"/>
    <s v="First Class"/>
    <x v="310"/>
    <x v="310"/>
    <s v="Consumer"/>
    <s v="United States"/>
    <s v="Bakersfield"/>
    <x v="1"/>
    <n v="93309"/>
    <x v="1"/>
    <x v="414"/>
    <x v="1"/>
    <x v="9"/>
    <x v="414"/>
    <n v="97.84"/>
    <s v="Medium"/>
    <n v="2"/>
    <n v="0"/>
    <x v="0"/>
    <x v="0"/>
    <n v="25.438400000000001"/>
    <n v="0.26"/>
    <n v="0"/>
  </r>
  <r>
    <n v="5794"/>
    <s v="CA-2017-140186"/>
    <d v="2017-09-29T00:00:00"/>
    <x v="3"/>
    <s v="Q3"/>
    <x v="15"/>
    <d v="2017-10-02T00:00:00"/>
    <s v="First Class"/>
    <x v="310"/>
    <x v="310"/>
    <s v="Consumer"/>
    <s v="United States"/>
    <s v="Bakersfield"/>
    <x v="1"/>
    <n v="93309"/>
    <x v="1"/>
    <x v="28"/>
    <x v="0"/>
    <x v="5"/>
    <x v="28"/>
    <n v="51.75"/>
    <s v="Medium"/>
    <n v="1"/>
    <n v="0"/>
    <x v="0"/>
    <x v="0"/>
    <n v="15.525"/>
    <n v="0.3"/>
    <n v="0"/>
  </r>
  <r>
    <n v="5795"/>
    <s v="CA-2017-140186"/>
    <d v="2017-09-29T00:00:00"/>
    <x v="3"/>
    <s v="Q3"/>
    <x v="15"/>
    <d v="2017-10-02T00:00:00"/>
    <s v="First Class"/>
    <x v="310"/>
    <x v="310"/>
    <s v="Consumer"/>
    <s v="United States"/>
    <s v="Bakersfield"/>
    <x v="1"/>
    <n v="93309"/>
    <x v="1"/>
    <x v="705"/>
    <x v="1"/>
    <x v="8"/>
    <x v="705"/>
    <n v="46.671999999999997"/>
    <s v="Medium"/>
    <n v="2"/>
    <n v="0.2"/>
    <x v="2"/>
    <x v="2"/>
    <n v="16.3352"/>
    <n v="0.35000000000000003"/>
    <n v="0"/>
  </r>
  <r>
    <n v="5796"/>
    <s v="CA-2014-124856"/>
    <d v="2014-09-29T00:00:00"/>
    <x v="2"/>
    <s v="Q3"/>
    <x v="30"/>
    <d v="2014-10-03T00:00:00"/>
    <s v="Second Class"/>
    <x v="436"/>
    <x v="436"/>
    <s v="Consumer"/>
    <s v="United States"/>
    <s v="New York City"/>
    <x v="15"/>
    <n v="10011"/>
    <x v="3"/>
    <x v="1449"/>
    <x v="1"/>
    <x v="4"/>
    <x v="1436"/>
    <n v="1395.54"/>
    <s v="High"/>
    <n v="9"/>
    <n v="0"/>
    <x v="0"/>
    <x v="0"/>
    <n v="362.84039999999999"/>
    <n v="0.26"/>
    <n v="0"/>
  </r>
  <r>
    <n v="5797"/>
    <s v="CA-2014-124856"/>
    <d v="2014-09-29T00:00:00"/>
    <x v="2"/>
    <s v="Q3"/>
    <x v="30"/>
    <d v="2014-10-03T00:00:00"/>
    <s v="Second Class"/>
    <x v="436"/>
    <x v="436"/>
    <s v="Consumer"/>
    <s v="United States"/>
    <s v="New York City"/>
    <x v="15"/>
    <n v="10011"/>
    <x v="3"/>
    <x v="138"/>
    <x v="0"/>
    <x v="5"/>
    <x v="139"/>
    <n v="117.36"/>
    <s v="Medium"/>
    <n v="4"/>
    <n v="0"/>
    <x v="0"/>
    <x v="0"/>
    <n v="36.381599999999999"/>
    <n v="0.31"/>
    <n v="0"/>
  </r>
  <r>
    <n v="5798"/>
    <s v="CA-2014-124856"/>
    <d v="2014-09-29T00:00:00"/>
    <x v="2"/>
    <s v="Q3"/>
    <x v="30"/>
    <d v="2014-10-03T00:00:00"/>
    <s v="Second Class"/>
    <x v="436"/>
    <x v="436"/>
    <s v="Consumer"/>
    <s v="United States"/>
    <s v="New York City"/>
    <x v="15"/>
    <n v="10011"/>
    <x v="3"/>
    <x v="919"/>
    <x v="1"/>
    <x v="2"/>
    <x v="911"/>
    <n v="18.899999999999999"/>
    <s v="Low"/>
    <n v="3"/>
    <n v="0"/>
    <x v="0"/>
    <x v="0"/>
    <n v="8.6940000000000008"/>
    <n v="0.46000000000000008"/>
    <n v="0"/>
  </r>
  <r>
    <n v="5799"/>
    <s v="CA-2014-124856"/>
    <d v="2014-09-29T00:00:00"/>
    <x v="2"/>
    <s v="Q3"/>
    <x v="30"/>
    <d v="2014-10-03T00:00:00"/>
    <s v="Second Class"/>
    <x v="436"/>
    <x v="436"/>
    <s v="Consumer"/>
    <s v="United States"/>
    <s v="New York City"/>
    <x v="15"/>
    <n v="10011"/>
    <x v="3"/>
    <x v="968"/>
    <x v="1"/>
    <x v="10"/>
    <x v="961"/>
    <n v="77.52"/>
    <s v="Medium"/>
    <n v="2"/>
    <n v="0"/>
    <x v="0"/>
    <x v="0"/>
    <n v="37.9848"/>
    <n v="0.49000000000000005"/>
    <n v="0"/>
  </r>
  <r>
    <n v="5800"/>
    <s v="CA-2014-166716"/>
    <d v="2014-08-20T00:00:00"/>
    <x v="2"/>
    <s v="Q3"/>
    <x v="9"/>
    <d v="2014-08-25T00:00:00"/>
    <s v="Second Class"/>
    <x v="257"/>
    <x v="257"/>
    <s v="Consumer"/>
    <s v="United States"/>
    <s v="Chicago"/>
    <x v="10"/>
    <n v="60610"/>
    <x v="2"/>
    <x v="1496"/>
    <x v="0"/>
    <x v="1"/>
    <x v="1484"/>
    <n v="421.37200000000001"/>
    <s v="High"/>
    <n v="2"/>
    <n v="0.3"/>
    <x v="1"/>
    <x v="4"/>
    <n v="-6.0195999999999996"/>
    <n v="-1.4285714285714284E-2"/>
    <n v="1"/>
  </r>
  <r>
    <n v="5801"/>
    <s v="CA-2014-123225"/>
    <d v="2014-07-11T00:00:00"/>
    <x v="2"/>
    <s v="Q3"/>
    <x v="39"/>
    <d v="2014-07-14T00:00:00"/>
    <s v="First Class"/>
    <x v="438"/>
    <x v="438"/>
    <s v="Consumer"/>
    <s v="United States"/>
    <s v="El Paso"/>
    <x v="5"/>
    <n v="79907"/>
    <x v="2"/>
    <x v="1149"/>
    <x v="2"/>
    <x v="7"/>
    <x v="1137"/>
    <n v="575.96799999999996"/>
    <s v="High"/>
    <n v="4"/>
    <n v="0.2"/>
    <x v="2"/>
    <x v="2"/>
    <n v="43.197600000000001"/>
    <n v="7.5000000000000011E-2"/>
    <n v="0"/>
  </r>
  <r>
    <n v="5802"/>
    <s v="CA-2014-123225"/>
    <d v="2014-07-11T00:00:00"/>
    <x v="2"/>
    <s v="Q3"/>
    <x v="39"/>
    <d v="2014-07-14T00:00:00"/>
    <s v="First Class"/>
    <x v="438"/>
    <x v="438"/>
    <s v="Consumer"/>
    <s v="United States"/>
    <s v="El Paso"/>
    <x v="5"/>
    <n v="79907"/>
    <x v="2"/>
    <x v="1553"/>
    <x v="1"/>
    <x v="10"/>
    <x v="1541"/>
    <n v="10.368"/>
    <s v="Low"/>
    <n v="2"/>
    <n v="0.2"/>
    <x v="2"/>
    <x v="2"/>
    <n v="3.6288"/>
    <n v="0.35"/>
    <n v="0"/>
  </r>
  <r>
    <n v="5803"/>
    <s v="CA-2015-163440"/>
    <d v="2015-03-22T00:00:00"/>
    <x v="1"/>
    <s v="Q1"/>
    <x v="29"/>
    <d v="2015-03-24T00:00:00"/>
    <s v="First Class"/>
    <x v="76"/>
    <x v="76"/>
    <s v="Consumer"/>
    <s v="United States"/>
    <s v="Thousand Oaks"/>
    <x v="1"/>
    <n v="91360"/>
    <x v="1"/>
    <x v="433"/>
    <x v="2"/>
    <x v="7"/>
    <x v="433"/>
    <n v="15.984"/>
    <s v="Low"/>
    <n v="2"/>
    <n v="0.2"/>
    <x v="2"/>
    <x v="2"/>
    <n v="1.1988000000000001"/>
    <n v="7.5000000000000011E-2"/>
    <n v="0"/>
  </r>
  <r>
    <n v="5804"/>
    <s v="US-2017-106796"/>
    <d v="2017-05-12T00:00:00"/>
    <x v="3"/>
    <s v="Q2"/>
    <x v="24"/>
    <d v="2017-05-19T00:00:00"/>
    <s v="Standard Class"/>
    <x v="655"/>
    <x v="655"/>
    <s v="Home Office"/>
    <s v="United States"/>
    <s v="Springfield"/>
    <x v="24"/>
    <n v="45503"/>
    <x v="3"/>
    <x v="1046"/>
    <x v="1"/>
    <x v="6"/>
    <x v="1035"/>
    <n v="10.272"/>
    <s v="Low"/>
    <n v="3"/>
    <n v="0.2"/>
    <x v="2"/>
    <x v="2"/>
    <n v="1.1556"/>
    <n v="0.11249999999999999"/>
    <n v="0"/>
  </r>
  <r>
    <n v="5805"/>
    <s v="CA-2017-113873"/>
    <d v="2017-11-13T00:00:00"/>
    <x v="3"/>
    <s v="Q4"/>
    <x v="23"/>
    <d v="2017-11-19T00:00:00"/>
    <s v="Standard Class"/>
    <x v="722"/>
    <x v="722"/>
    <s v="Corporate"/>
    <s v="United States"/>
    <s v="Dallas"/>
    <x v="5"/>
    <n v="75220"/>
    <x v="2"/>
    <x v="1220"/>
    <x v="1"/>
    <x v="4"/>
    <x v="1204"/>
    <n v="61.792000000000002"/>
    <s v="Medium"/>
    <n v="4"/>
    <n v="0.2"/>
    <x v="2"/>
    <x v="2"/>
    <n v="6.1791999999999998"/>
    <n v="9.9999999999999992E-2"/>
    <n v="0"/>
  </r>
  <r>
    <n v="5806"/>
    <s v="CA-2017-113873"/>
    <d v="2017-11-13T00:00:00"/>
    <x v="3"/>
    <s v="Q4"/>
    <x v="23"/>
    <d v="2017-11-19T00:00:00"/>
    <s v="Standard Class"/>
    <x v="722"/>
    <x v="722"/>
    <s v="Corporate"/>
    <s v="United States"/>
    <s v="Dallas"/>
    <x v="5"/>
    <n v="75220"/>
    <x v="2"/>
    <x v="713"/>
    <x v="0"/>
    <x v="0"/>
    <x v="712"/>
    <n v="205.9992"/>
    <s v="High"/>
    <n v="3"/>
    <n v="0.32"/>
    <x v="1"/>
    <x v="7"/>
    <n v="-27.264600000000002"/>
    <n v="-0.13235294117647059"/>
    <n v="1"/>
  </r>
  <r>
    <n v="5807"/>
    <s v="CA-2016-149783"/>
    <d v="2016-09-04T00:00:00"/>
    <x v="0"/>
    <s v="Q3"/>
    <x v="21"/>
    <d v="2016-09-07T00:00:00"/>
    <s v="Second Class"/>
    <x v="111"/>
    <x v="111"/>
    <s v="Consumer"/>
    <s v="United States"/>
    <s v="Knoxville"/>
    <x v="18"/>
    <n v="37918"/>
    <x v="0"/>
    <x v="727"/>
    <x v="1"/>
    <x v="10"/>
    <x v="726"/>
    <n v="12.192"/>
    <s v="Low"/>
    <n v="3"/>
    <n v="0.2"/>
    <x v="2"/>
    <x v="2"/>
    <n v="4.1147999999999998"/>
    <n v="0.33749999999999997"/>
    <n v="0"/>
  </r>
  <r>
    <n v="5808"/>
    <s v="CA-2016-149783"/>
    <d v="2016-09-04T00:00:00"/>
    <x v="0"/>
    <s v="Q3"/>
    <x v="21"/>
    <d v="2016-09-07T00:00:00"/>
    <s v="Second Class"/>
    <x v="111"/>
    <x v="111"/>
    <s v="Consumer"/>
    <s v="United States"/>
    <s v="Knoxville"/>
    <x v="18"/>
    <n v="37918"/>
    <x v="0"/>
    <x v="1309"/>
    <x v="1"/>
    <x v="9"/>
    <x v="1294"/>
    <n v="87.168000000000006"/>
    <s v="Medium"/>
    <n v="2"/>
    <n v="0.2"/>
    <x v="2"/>
    <x v="2"/>
    <n v="8.7167999999999992"/>
    <n v="9.9999999999999978E-2"/>
    <n v="0"/>
  </r>
  <r>
    <n v="5809"/>
    <s v="CA-2016-149783"/>
    <d v="2016-09-04T00:00:00"/>
    <x v="0"/>
    <s v="Q3"/>
    <x v="21"/>
    <d v="2016-09-07T00:00:00"/>
    <s v="Second Class"/>
    <x v="111"/>
    <x v="111"/>
    <s v="Consumer"/>
    <s v="United States"/>
    <s v="Knoxville"/>
    <x v="18"/>
    <n v="37918"/>
    <x v="0"/>
    <x v="1571"/>
    <x v="1"/>
    <x v="6"/>
    <x v="1562"/>
    <n v="31.744"/>
    <s v="Medium"/>
    <n v="2"/>
    <n v="0.2"/>
    <x v="2"/>
    <x v="2"/>
    <n v="8.3328000000000007"/>
    <n v="0.26250000000000001"/>
    <n v="0"/>
  </r>
  <r>
    <n v="5810"/>
    <s v="CA-2016-125017"/>
    <d v="2016-02-06T00:00:00"/>
    <x v="0"/>
    <s v="Q1"/>
    <x v="47"/>
    <d v="2016-02-11T00:00:00"/>
    <s v="Standard Class"/>
    <x v="208"/>
    <x v="208"/>
    <s v="Corporate"/>
    <s v="United States"/>
    <s v="Chattanooga"/>
    <x v="18"/>
    <n v="37421"/>
    <x v="0"/>
    <x v="479"/>
    <x v="0"/>
    <x v="5"/>
    <x v="480"/>
    <n v="132.22399999999999"/>
    <s v="High"/>
    <n v="4"/>
    <n v="0.2"/>
    <x v="2"/>
    <x v="2"/>
    <n v="-18.180800000000001"/>
    <n v="-0.13750000000000001"/>
    <n v="1"/>
  </r>
  <r>
    <n v="5811"/>
    <s v="US-2015-163279"/>
    <d v="2015-03-22T00:00:00"/>
    <x v="1"/>
    <s v="Q1"/>
    <x v="29"/>
    <d v="2015-03-26T00:00:00"/>
    <s v="Standard Class"/>
    <x v="251"/>
    <x v="251"/>
    <s v="Corporate"/>
    <s v="United States"/>
    <s v="San Diego"/>
    <x v="1"/>
    <n v="92037"/>
    <x v="1"/>
    <x v="813"/>
    <x v="1"/>
    <x v="10"/>
    <x v="33"/>
    <n v="105.52"/>
    <s v="Medium"/>
    <n v="4"/>
    <n v="0"/>
    <x v="0"/>
    <x v="0"/>
    <n v="48.539200000000001"/>
    <n v="0.46"/>
    <n v="0"/>
  </r>
  <r>
    <n v="5812"/>
    <s v="US-2015-163279"/>
    <d v="2015-03-22T00:00:00"/>
    <x v="1"/>
    <s v="Q1"/>
    <x v="29"/>
    <d v="2015-03-26T00:00:00"/>
    <s v="Standard Class"/>
    <x v="251"/>
    <x v="251"/>
    <s v="Corporate"/>
    <s v="United States"/>
    <s v="San Diego"/>
    <x v="1"/>
    <n v="92037"/>
    <x v="1"/>
    <x v="1762"/>
    <x v="0"/>
    <x v="5"/>
    <x v="1751"/>
    <n v="91.96"/>
    <s v="Medium"/>
    <n v="2"/>
    <n v="0"/>
    <x v="0"/>
    <x v="0"/>
    <n v="15.6332"/>
    <n v="0.17"/>
    <n v="0"/>
  </r>
  <r>
    <n v="5813"/>
    <s v="US-2015-163279"/>
    <d v="2015-03-22T00:00:00"/>
    <x v="1"/>
    <s v="Q1"/>
    <x v="29"/>
    <d v="2015-03-26T00:00:00"/>
    <s v="Standard Class"/>
    <x v="251"/>
    <x v="251"/>
    <s v="Corporate"/>
    <s v="United States"/>
    <s v="San Diego"/>
    <x v="1"/>
    <n v="92037"/>
    <x v="1"/>
    <x v="647"/>
    <x v="2"/>
    <x v="7"/>
    <x v="647"/>
    <n v="1487.9760000000001"/>
    <s v="High"/>
    <n v="3"/>
    <n v="0.2"/>
    <x v="2"/>
    <x v="2"/>
    <n v="185.99700000000001"/>
    <n v="0.125"/>
    <n v="0"/>
  </r>
  <r>
    <n v="5814"/>
    <s v="CA-2015-150196"/>
    <d v="2015-07-02T00:00:00"/>
    <x v="1"/>
    <s v="Q3"/>
    <x v="38"/>
    <d v="2015-07-03T00:00:00"/>
    <s v="First Class"/>
    <x v="256"/>
    <x v="256"/>
    <s v="Home Office"/>
    <s v="United States"/>
    <s v="New York City"/>
    <x v="15"/>
    <n v="10024"/>
    <x v="3"/>
    <x v="1723"/>
    <x v="1"/>
    <x v="10"/>
    <x v="1710"/>
    <n v="19.440000000000001"/>
    <s v="Low"/>
    <n v="3"/>
    <n v="0"/>
    <x v="0"/>
    <x v="0"/>
    <n v="9.3312000000000008"/>
    <n v="0.48000000000000004"/>
    <n v="0"/>
  </r>
  <r>
    <n v="5815"/>
    <s v="US-2015-106495"/>
    <d v="2015-06-15T00:00:00"/>
    <x v="1"/>
    <s v="Q2"/>
    <x v="40"/>
    <d v="2015-06-17T00:00:00"/>
    <s v="First Class"/>
    <x v="549"/>
    <x v="549"/>
    <s v="Consumer"/>
    <s v="United States"/>
    <s v="Tampa"/>
    <x v="2"/>
    <n v="33614"/>
    <x v="0"/>
    <x v="1207"/>
    <x v="2"/>
    <x v="11"/>
    <x v="1192"/>
    <n v="11.672000000000001"/>
    <s v="Low"/>
    <n v="1"/>
    <n v="0.2"/>
    <x v="2"/>
    <x v="2"/>
    <n v="-0.72950000000000004"/>
    <n v="-6.25E-2"/>
    <n v="1"/>
  </r>
  <r>
    <n v="5816"/>
    <s v="CA-2014-124730"/>
    <d v="2014-11-26T00:00:00"/>
    <x v="2"/>
    <s v="Q4"/>
    <x v="7"/>
    <d v="2014-11-26T00:00:00"/>
    <s v="Same Day"/>
    <x v="201"/>
    <x v="201"/>
    <s v="Consumer"/>
    <s v="United States"/>
    <s v="Utica"/>
    <x v="15"/>
    <n v="13501"/>
    <x v="3"/>
    <x v="599"/>
    <x v="2"/>
    <x v="7"/>
    <x v="599"/>
    <n v="279.95999999999998"/>
    <s v="High"/>
    <n v="4"/>
    <n v="0"/>
    <x v="0"/>
    <x v="0"/>
    <n v="78.388800000000003"/>
    <n v="0.28000000000000003"/>
    <n v="0"/>
  </r>
  <r>
    <n v="5817"/>
    <s v="CA-2014-124730"/>
    <d v="2014-11-26T00:00:00"/>
    <x v="2"/>
    <s v="Q4"/>
    <x v="7"/>
    <d v="2014-11-26T00:00:00"/>
    <s v="Same Day"/>
    <x v="201"/>
    <x v="201"/>
    <s v="Consumer"/>
    <s v="United States"/>
    <s v="Utica"/>
    <x v="15"/>
    <n v="13501"/>
    <x v="3"/>
    <x v="61"/>
    <x v="1"/>
    <x v="8"/>
    <x v="61"/>
    <n v="12.912000000000001"/>
    <s v="Low"/>
    <n v="3"/>
    <n v="0.2"/>
    <x v="2"/>
    <x v="2"/>
    <n v="4.6806000000000001"/>
    <n v="0.36249999999999999"/>
    <n v="0"/>
  </r>
  <r>
    <n v="5818"/>
    <s v="CA-2014-124730"/>
    <d v="2014-11-26T00:00:00"/>
    <x v="2"/>
    <s v="Q4"/>
    <x v="7"/>
    <d v="2014-11-26T00:00:00"/>
    <s v="Same Day"/>
    <x v="201"/>
    <x v="201"/>
    <s v="Consumer"/>
    <s v="United States"/>
    <s v="Utica"/>
    <x v="15"/>
    <n v="13501"/>
    <x v="3"/>
    <x v="880"/>
    <x v="1"/>
    <x v="8"/>
    <x v="874"/>
    <n v="17.088000000000001"/>
    <s v="Low"/>
    <n v="4"/>
    <n v="0.2"/>
    <x v="2"/>
    <x v="2"/>
    <n v="5.7671999999999999"/>
    <n v="0.33749999999999997"/>
    <n v="0"/>
  </r>
  <r>
    <n v="5819"/>
    <s v="CA-2014-124730"/>
    <d v="2014-11-26T00:00:00"/>
    <x v="2"/>
    <s v="Q4"/>
    <x v="7"/>
    <d v="2014-11-26T00:00:00"/>
    <s v="Same Day"/>
    <x v="201"/>
    <x v="201"/>
    <s v="Consumer"/>
    <s v="United States"/>
    <s v="Utica"/>
    <x v="15"/>
    <n v="13501"/>
    <x v="3"/>
    <x v="322"/>
    <x v="1"/>
    <x v="2"/>
    <x v="322"/>
    <n v="93.15"/>
    <s v="Medium"/>
    <n v="9"/>
    <n v="0"/>
    <x v="0"/>
    <x v="0"/>
    <n v="44.712000000000003"/>
    <n v="0.48"/>
    <n v="0"/>
  </r>
  <r>
    <n v="5820"/>
    <s v="CA-2014-124730"/>
    <d v="2014-11-26T00:00:00"/>
    <x v="2"/>
    <s v="Q4"/>
    <x v="7"/>
    <d v="2014-11-26T00:00:00"/>
    <s v="Same Day"/>
    <x v="201"/>
    <x v="201"/>
    <s v="Consumer"/>
    <s v="United States"/>
    <s v="Utica"/>
    <x v="15"/>
    <n v="13501"/>
    <x v="3"/>
    <x v="745"/>
    <x v="1"/>
    <x v="2"/>
    <x v="743"/>
    <n v="11.52"/>
    <s v="Low"/>
    <n v="4"/>
    <n v="0"/>
    <x v="0"/>
    <x v="0"/>
    <n v="5.6448"/>
    <n v="0.49000000000000005"/>
    <n v="0"/>
  </r>
  <r>
    <n v="5821"/>
    <s v="CA-2017-117632"/>
    <d v="2017-05-12T00:00:00"/>
    <x v="3"/>
    <s v="Q2"/>
    <x v="24"/>
    <d v="2017-05-18T00:00:00"/>
    <s v="Standard Class"/>
    <x v="728"/>
    <x v="728"/>
    <s v="Corporate"/>
    <s v="United States"/>
    <s v="San Francisco"/>
    <x v="1"/>
    <n v="94122"/>
    <x v="1"/>
    <x v="1420"/>
    <x v="1"/>
    <x v="14"/>
    <x v="1408"/>
    <n v="238.62"/>
    <s v="High"/>
    <n v="2"/>
    <n v="0"/>
    <x v="0"/>
    <x v="0"/>
    <n v="4.7724000000000002"/>
    <n v="0.02"/>
    <n v="0"/>
  </r>
  <r>
    <n v="5822"/>
    <s v="CA-2017-117632"/>
    <d v="2017-05-12T00:00:00"/>
    <x v="3"/>
    <s v="Q2"/>
    <x v="24"/>
    <d v="2017-05-18T00:00:00"/>
    <s v="Standard Class"/>
    <x v="728"/>
    <x v="728"/>
    <s v="Corporate"/>
    <s v="United States"/>
    <s v="San Francisco"/>
    <x v="1"/>
    <n v="94122"/>
    <x v="1"/>
    <x v="1037"/>
    <x v="1"/>
    <x v="9"/>
    <x v="1027"/>
    <n v="7.77"/>
    <s v="Low"/>
    <n v="1"/>
    <n v="0"/>
    <x v="0"/>
    <x v="0"/>
    <n v="2.0979000000000001"/>
    <n v="0.27"/>
    <n v="0"/>
  </r>
  <r>
    <n v="5823"/>
    <s v="CA-2017-117632"/>
    <d v="2017-05-12T00:00:00"/>
    <x v="3"/>
    <s v="Q2"/>
    <x v="24"/>
    <d v="2017-05-18T00:00:00"/>
    <s v="Standard Class"/>
    <x v="728"/>
    <x v="728"/>
    <s v="Corporate"/>
    <s v="United States"/>
    <s v="San Francisco"/>
    <x v="1"/>
    <n v="94122"/>
    <x v="1"/>
    <x v="719"/>
    <x v="0"/>
    <x v="3"/>
    <x v="718"/>
    <n v="285.48"/>
    <s v="High"/>
    <n v="5"/>
    <n v="0.2"/>
    <x v="2"/>
    <x v="2"/>
    <n v="-10.705500000000001"/>
    <n v="-3.7499999999999999E-2"/>
    <n v="1"/>
  </r>
  <r>
    <n v="5824"/>
    <s v="CA-2017-117632"/>
    <d v="2017-05-12T00:00:00"/>
    <x v="3"/>
    <s v="Q2"/>
    <x v="24"/>
    <d v="2017-05-18T00:00:00"/>
    <s v="Standard Class"/>
    <x v="728"/>
    <x v="728"/>
    <s v="Corporate"/>
    <s v="United States"/>
    <s v="San Francisco"/>
    <x v="1"/>
    <n v="94122"/>
    <x v="1"/>
    <x v="1120"/>
    <x v="1"/>
    <x v="8"/>
    <x v="1108"/>
    <n v="19.167999999999999"/>
    <s v="Low"/>
    <n v="4"/>
    <n v="0.2"/>
    <x v="2"/>
    <x v="2"/>
    <n v="6.4691999999999998"/>
    <n v="0.33750000000000002"/>
    <n v="0"/>
  </r>
  <r>
    <n v="5825"/>
    <s v="CA-2014-115056"/>
    <d v="2014-05-02T00:00:00"/>
    <x v="2"/>
    <s v="Q2"/>
    <x v="8"/>
    <d v="2014-05-02T00:00:00"/>
    <s v="Same Day"/>
    <x v="239"/>
    <x v="239"/>
    <s v="Consumer"/>
    <s v="United States"/>
    <s v="Columbus"/>
    <x v="24"/>
    <n v="43229"/>
    <x v="3"/>
    <x v="930"/>
    <x v="1"/>
    <x v="9"/>
    <x v="923"/>
    <n v="26.135999999999999"/>
    <s v="Medium"/>
    <n v="3"/>
    <n v="0.2"/>
    <x v="2"/>
    <x v="2"/>
    <n v="1.9601999999999999"/>
    <n v="7.4999999999999997E-2"/>
    <n v="0"/>
  </r>
  <r>
    <n v="5826"/>
    <s v="CA-2017-161067"/>
    <d v="2017-09-03T00:00:00"/>
    <x v="3"/>
    <s v="Q3"/>
    <x v="15"/>
    <d v="2017-09-06T00:00:00"/>
    <s v="Second Class"/>
    <x v="683"/>
    <x v="683"/>
    <s v="Home Office"/>
    <s v="United States"/>
    <s v="New York City"/>
    <x v="15"/>
    <n v="10035"/>
    <x v="3"/>
    <x v="976"/>
    <x v="1"/>
    <x v="10"/>
    <x v="970"/>
    <n v="419.4"/>
    <s v="High"/>
    <n v="4"/>
    <n v="0"/>
    <x v="0"/>
    <x v="0"/>
    <n v="201.31200000000001"/>
    <n v="0.48000000000000004"/>
    <n v="0"/>
  </r>
  <r>
    <n v="5827"/>
    <s v="CA-2017-161067"/>
    <d v="2017-09-03T00:00:00"/>
    <x v="3"/>
    <s v="Q3"/>
    <x v="15"/>
    <d v="2017-09-06T00:00:00"/>
    <s v="Second Class"/>
    <x v="683"/>
    <x v="683"/>
    <s v="Home Office"/>
    <s v="United States"/>
    <s v="New York City"/>
    <x v="15"/>
    <n v="10035"/>
    <x v="3"/>
    <x v="1719"/>
    <x v="0"/>
    <x v="1"/>
    <x v="1706"/>
    <n v="90.801000000000002"/>
    <s v="Medium"/>
    <n v="1"/>
    <n v="0.1"/>
    <x v="3"/>
    <x v="8"/>
    <n v="14.124599999999999"/>
    <n v="0.15555555555555553"/>
    <n v="0"/>
  </r>
  <r>
    <n v="5828"/>
    <s v="CA-2017-161067"/>
    <d v="2017-09-03T00:00:00"/>
    <x v="3"/>
    <s v="Q3"/>
    <x v="15"/>
    <d v="2017-09-06T00:00:00"/>
    <s v="Second Class"/>
    <x v="683"/>
    <x v="683"/>
    <s v="Home Office"/>
    <s v="United States"/>
    <s v="New York City"/>
    <x v="15"/>
    <n v="10035"/>
    <x v="3"/>
    <x v="211"/>
    <x v="0"/>
    <x v="1"/>
    <x v="212"/>
    <n v="181.76400000000001"/>
    <s v="High"/>
    <n v="2"/>
    <n v="0.1"/>
    <x v="3"/>
    <x v="8"/>
    <n v="-8.0784000000000002"/>
    <n v="-4.4444444444444446E-2"/>
    <n v="1"/>
  </r>
  <r>
    <n v="5829"/>
    <s v="CA-2017-161067"/>
    <d v="2017-09-03T00:00:00"/>
    <x v="3"/>
    <s v="Q3"/>
    <x v="15"/>
    <d v="2017-09-06T00:00:00"/>
    <s v="Second Class"/>
    <x v="683"/>
    <x v="683"/>
    <s v="Home Office"/>
    <s v="United States"/>
    <s v="New York City"/>
    <x v="15"/>
    <n v="10035"/>
    <x v="3"/>
    <x v="1061"/>
    <x v="1"/>
    <x v="6"/>
    <x v="1050"/>
    <n v="5.56"/>
    <s v="Low"/>
    <n v="2"/>
    <n v="0"/>
    <x v="0"/>
    <x v="0"/>
    <n v="2.2240000000000002"/>
    <n v="0.40000000000000008"/>
    <n v="0"/>
  </r>
  <r>
    <n v="5830"/>
    <s v="CA-2016-122063"/>
    <d v="2016-12-03T00:00:00"/>
    <x v="0"/>
    <s v="Q4"/>
    <x v="5"/>
    <d v="2016-12-07T00:00:00"/>
    <s v="Standard Class"/>
    <x v="462"/>
    <x v="462"/>
    <s v="Consumer"/>
    <s v="United States"/>
    <s v="Richmond"/>
    <x v="14"/>
    <n v="47374"/>
    <x v="2"/>
    <x v="309"/>
    <x v="0"/>
    <x v="3"/>
    <x v="309"/>
    <n v="581.96"/>
    <s v="High"/>
    <n v="2"/>
    <n v="0"/>
    <x v="0"/>
    <x v="0"/>
    <n v="104.75279999999999"/>
    <n v="0.17999999999999997"/>
    <n v="0"/>
  </r>
  <r>
    <n v="5831"/>
    <s v="CA-2016-122063"/>
    <d v="2016-12-03T00:00:00"/>
    <x v="0"/>
    <s v="Q4"/>
    <x v="5"/>
    <d v="2016-12-07T00:00:00"/>
    <s v="Standard Class"/>
    <x v="462"/>
    <x v="462"/>
    <s v="Consumer"/>
    <s v="United States"/>
    <s v="Richmond"/>
    <x v="14"/>
    <n v="47374"/>
    <x v="2"/>
    <x v="1144"/>
    <x v="0"/>
    <x v="1"/>
    <x v="1132"/>
    <n v="29.98"/>
    <s v="Medium"/>
    <n v="1"/>
    <n v="0"/>
    <x v="0"/>
    <x v="0"/>
    <n v="8.0945999999999998"/>
    <n v="0.26999999999999996"/>
    <n v="0"/>
  </r>
  <r>
    <n v="5832"/>
    <s v="CA-2015-111206"/>
    <d v="2015-07-18T00:00:00"/>
    <x v="1"/>
    <s v="Q3"/>
    <x v="38"/>
    <d v="2015-07-22T00:00:00"/>
    <s v="Standard Class"/>
    <x v="288"/>
    <x v="288"/>
    <s v="Consumer"/>
    <s v="United States"/>
    <s v="San Diego"/>
    <x v="1"/>
    <n v="92105"/>
    <x v="1"/>
    <x v="1301"/>
    <x v="2"/>
    <x v="11"/>
    <x v="1286"/>
    <n v="519.96"/>
    <s v="High"/>
    <n v="4"/>
    <n v="0"/>
    <x v="0"/>
    <x v="0"/>
    <n v="176.78639999999999"/>
    <n v="0.33999999999999997"/>
    <n v="0"/>
  </r>
  <r>
    <n v="5833"/>
    <s v="CA-2016-142895"/>
    <d v="2016-07-21T00:00:00"/>
    <x v="0"/>
    <s v="Q3"/>
    <x v="16"/>
    <d v="2016-07-26T00:00:00"/>
    <s v="Standard Class"/>
    <x v="443"/>
    <x v="443"/>
    <s v="Consumer"/>
    <s v="United States"/>
    <s v="Concord"/>
    <x v="3"/>
    <n v="28027"/>
    <x v="0"/>
    <x v="948"/>
    <x v="1"/>
    <x v="2"/>
    <x v="941"/>
    <n v="6.2640000000000002"/>
    <s v="Low"/>
    <n v="3"/>
    <n v="0.2"/>
    <x v="2"/>
    <x v="2"/>
    <n v="2.0358000000000001"/>
    <n v="0.32500000000000001"/>
    <n v="0"/>
  </r>
  <r>
    <n v="5834"/>
    <s v="CA-2016-142895"/>
    <d v="2016-07-21T00:00:00"/>
    <x v="0"/>
    <s v="Q3"/>
    <x v="16"/>
    <d v="2016-07-26T00:00:00"/>
    <s v="Standard Class"/>
    <x v="443"/>
    <x v="443"/>
    <s v="Consumer"/>
    <s v="United States"/>
    <s v="Concord"/>
    <x v="3"/>
    <n v="28027"/>
    <x v="0"/>
    <x v="955"/>
    <x v="0"/>
    <x v="1"/>
    <x v="948"/>
    <n v="363.92"/>
    <s v="High"/>
    <n v="5"/>
    <n v="0.2"/>
    <x v="2"/>
    <x v="2"/>
    <n v="0"/>
    <n v="0"/>
    <n v="0"/>
  </r>
  <r>
    <n v="5835"/>
    <s v="CA-2015-101868"/>
    <d v="2015-06-09T00:00:00"/>
    <x v="1"/>
    <s v="Q2"/>
    <x v="40"/>
    <d v="2015-06-16T00:00:00"/>
    <s v="Standard Class"/>
    <x v="77"/>
    <x v="77"/>
    <s v="Consumer"/>
    <s v="United States"/>
    <s v="Miami"/>
    <x v="2"/>
    <n v="33178"/>
    <x v="0"/>
    <x v="1636"/>
    <x v="1"/>
    <x v="8"/>
    <x v="1626"/>
    <n v="64.2"/>
    <s v="Medium"/>
    <n v="5"/>
    <n v="0.7"/>
    <x v="1"/>
    <x v="5"/>
    <n v="-42.8"/>
    <n v="-0.66666666666666663"/>
    <n v="1"/>
  </r>
  <r>
    <n v="5836"/>
    <s v="CA-2015-101868"/>
    <d v="2015-06-09T00:00:00"/>
    <x v="1"/>
    <s v="Q2"/>
    <x v="40"/>
    <d v="2015-06-16T00:00:00"/>
    <s v="Standard Class"/>
    <x v="77"/>
    <x v="77"/>
    <s v="Consumer"/>
    <s v="United States"/>
    <s v="Miami"/>
    <x v="2"/>
    <n v="33178"/>
    <x v="0"/>
    <x v="1160"/>
    <x v="1"/>
    <x v="8"/>
    <x v="1147"/>
    <n v="38.520000000000003"/>
    <s v="Medium"/>
    <n v="3"/>
    <n v="0.7"/>
    <x v="1"/>
    <x v="5"/>
    <n v="-26.963999999999999"/>
    <n v="-0.7"/>
    <n v="1"/>
  </r>
  <r>
    <n v="5837"/>
    <s v="CA-2015-101868"/>
    <d v="2015-06-09T00:00:00"/>
    <x v="1"/>
    <s v="Q2"/>
    <x v="40"/>
    <d v="2015-06-16T00:00:00"/>
    <s v="Standard Class"/>
    <x v="77"/>
    <x v="77"/>
    <s v="Consumer"/>
    <s v="United States"/>
    <s v="Miami"/>
    <x v="2"/>
    <n v="33178"/>
    <x v="0"/>
    <x v="1700"/>
    <x v="2"/>
    <x v="11"/>
    <x v="1688"/>
    <n v="72.599999999999994"/>
    <s v="Medium"/>
    <n v="5"/>
    <n v="0.2"/>
    <x v="2"/>
    <x v="2"/>
    <n v="-8.1675000000000004"/>
    <n v="-0.11250000000000002"/>
    <n v="1"/>
  </r>
  <r>
    <n v="5838"/>
    <s v="CA-2017-133207"/>
    <d v="2017-11-27T00:00:00"/>
    <x v="3"/>
    <s v="Q4"/>
    <x v="23"/>
    <d v="2017-12-03T00:00:00"/>
    <s v="Standard Class"/>
    <x v="770"/>
    <x v="770"/>
    <s v="Consumer"/>
    <s v="United States"/>
    <s v="Los Angeles"/>
    <x v="1"/>
    <n v="90036"/>
    <x v="1"/>
    <x v="1763"/>
    <x v="2"/>
    <x v="7"/>
    <x v="1752"/>
    <n v="57.567999999999998"/>
    <s v="Medium"/>
    <n v="4"/>
    <n v="0.2"/>
    <x v="2"/>
    <x v="2"/>
    <n v="5.7568000000000001"/>
    <n v="0.1"/>
    <n v="0"/>
  </r>
  <r>
    <n v="5839"/>
    <s v="CA-2015-132948"/>
    <d v="2015-03-27T00:00:00"/>
    <x v="1"/>
    <s v="Q1"/>
    <x v="29"/>
    <d v="2015-04-03T00:00:00"/>
    <s v="Standard Class"/>
    <x v="597"/>
    <x v="597"/>
    <s v="Consumer"/>
    <s v="United States"/>
    <s v="Seattle"/>
    <x v="4"/>
    <n v="98115"/>
    <x v="1"/>
    <x v="1764"/>
    <x v="1"/>
    <x v="4"/>
    <x v="1753"/>
    <n v="83.7"/>
    <s v="Medium"/>
    <n v="5"/>
    <n v="0"/>
    <x v="0"/>
    <x v="0"/>
    <n v="3.3479999999999999"/>
    <n v="3.9999999999999994E-2"/>
    <n v="0"/>
  </r>
  <r>
    <n v="5840"/>
    <s v="CA-2015-134992"/>
    <d v="2015-09-22T00:00:00"/>
    <x v="1"/>
    <s v="Q3"/>
    <x v="11"/>
    <d v="2015-09-26T00:00:00"/>
    <s v="Second Class"/>
    <x v="675"/>
    <x v="675"/>
    <s v="Home Office"/>
    <s v="United States"/>
    <s v="Arlington"/>
    <x v="17"/>
    <n v="22204"/>
    <x v="0"/>
    <x v="1193"/>
    <x v="1"/>
    <x v="10"/>
    <x v="1178"/>
    <n v="32.4"/>
    <s v="Medium"/>
    <n v="5"/>
    <n v="0"/>
    <x v="0"/>
    <x v="0"/>
    <n v="15.552"/>
    <n v="0.48"/>
    <n v="0"/>
  </r>
  <r>
    <n v="5841"/>
    <s v="CA-2015-134992"/>
    <d v="2015-09-22T00:00:00"/>
    <x v="1"/>
    <s v="Q3"/>
    <x v="11"/>
    <d v="2015-09-26T00:00:00"/>
    <s v="Second Class"/>
    <x v="675"/>
    <x v="675"/>
    <s v="Home Office"/>
    <s v="United States"/>
    <s v="Arlington"/>
    <x v="17"/>
    <n v="22204"/>
    <x v="0"/>
    <x v="928"/>
    <x v="0"/>
    <x v="5"/>
    <x v="921"/>
    <n v="47.98"/>
    <s v="Medium"/>
    <n v="2"/>
    <n v="0"/>
    <x v="0"/>
    <x v="0"/>
    <n v="11.035399999999999"/>
    <n v="0.23"/>
    <n v="0"/>
  </r>
  <r>
    <n v="5842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1765"/>
    <x v="2"/>
    <x v="7"/>
    <x v="1754"/>
    <n v="415.96800000000002"/>
    <s v="High"/>
    <n v="4"/>
    <n v="0.2"/>
    <x v="2"/>
    <x v="2"/>
    <n v="51.996000000000002"/>
    <n v="0.125"/>
    <n v="0"/>
  </r>
  <r>
    <n v="5843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886"/>
    <x v="1"/>
    <x v="4"/>
    <x v="879"/>
    <n v="304.89999999999998"/>
    <s v="High"/>
    <n v="5"/>
    <n v="0"/>
    <x v="0"/>
    <x v="0"/>
    <n v="6.0979999999999999"/>
    <n v="0.02"/>
    <n v="0"/>
  </r>
  <r>
    <n v="5844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1702"/>
    <x v="0"/>
    <x v="5"/>
    <x v="1691"/>
    <n v="80.959999999999994"/>
    <s v="Medium"/>
    <n v="4"/>
    <n v="0"/>
    <x v="0"/>
    <x v="0"/>
    <n v="29.145600000000002"/>
    <n v="0.36000000000000004"/>
    <n v="0"/>
  </r>
  <r>
    <n v="5845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1667"/>
    <x v="1"/>
    <x v="4"/>
    <x v="1655"/>
    <n v="777.21"/>
    <s v="High"/>
    <n v="7"/>
    <n v="0"/>
    <x v="0"/>
    <x v="0"/>
    <n v="54.404699999999998"/>
    <n v="6.9999999999999993E-2"/>
    <n v="0"/>
  </r>
  <r>
    <n v="5846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988"/>
    <x v="1"/>
    <x v="10"/>
    <x v="981"/>
    <n v="32.4"/>
    <s v="Medium"/>
    <n v="5"/>
    <n v="0"/>
    <x v="0"/>
    <x v="0"/>
    <n v="15.552"/>
    <n v="0.48"/>
    <n v="0"/>
  </r>
  <r>
    <n v="5847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901"/>
    <x v="0"/>
    <x v="1"/>
    <x v="893"/>
    <n v="225.56800000000001"/>
    <s v="High"/>
    <n v="2"/>
    <n v="0.2"/>
    <x v="2"/>
    <x v="2"/>
    <n v="2.8195999999999999"/>
    <n v="1.2499999999999999E-2"/>
    <n v="0"/>
  </r>
  <r>
    <n v="5848"/>
    <s v="CA-2015-126725"/>
    <d v="2015-11-17T00:00:00"/>
    <x v="1"/>
    <s v="Q4"/>
    <x v="6"/>
    <d v="2015-11-21T00:00:00"/>
    <s v="Standard Class"/>
    <x v="574"/>
    <x v="574"/>
    <s v="Consumer"/>
    <s v="United States"/>
    <s v="San Diego"/>
    <x v="1"/>
    <n v="92105"/>
    <x v="1"/>
    <x v="1122"/>
    <x v="0"/>
    <x v="5"/>
    <x v="1110"/>
    <n v="36.6"/>
    <s v="Medium"/>
    <n v="3"/>
    <n v="0"/>
    <x v="0"/>
    <x v="0"/>
    <n v="15.372"/>
    <n v="0.42"/>
    <n v="0"/>
  </r>
  <r>
    <n v="5849"/>
    <s v="CA-2015-121783"/>
    <d v="2015-11-10T00:00:00"/>
    <x v="1"/>
    <s v="Q4"/>
    <x v="6"/>
    <d v="2015-11-14T00:00:00"/>
    <s v="Standard Class"/>
    <x v="178"/>
    <x v="178"/>
    <s v="Home Office"/>
    <s v="United States"/>
    <s v="Roseville"/>
    <x v="11"/>
    <n v="55113"/>
    <x v="2"/>
    <x v="847"/>
    <x v="1"/>
    <x v="9"/>
    <x v="841"/>
    <n v="715.64"/>
    <s v="High"/>
    <n v="2"/>
    <n v="0"/>
    <x v="0"/>
    <x v="0"/>
    <n v="178.91"/>
    <n v="0.25"/>
    <n v="0"/>
  </r>
  <r>
    <n v="5850"/>
    <s v="CA-2015-121783"/>
    <d v="2015-11-10T00:00:00"/>
    <x v="1"/>
    <s v="Q4"/>
    <x v="6"/>
    <d v="2015-11-14T00:00:00"/>
    <s v="Standard Class"/>
    <x v="178"/>
    <x v="178"/>
    <s v="Home Office"/>
    <s v="United States"/>
    <s v="Roseville"/>
    <x v="11"/>
    <n v="55113"/>
    <x v="2"/>
    <x v="1244"/>
    <x v="1"/>
    <x v="4"/>
    <x v="1227"/>
    <n v="795.51"/>
    <s v="High"/>
    <n v="3"/>
    <n v="0"/>
    <x v="0"/>
    <x v="0"/>
    <n v="143.1918"/>
    <n v="0.18"/>
    <n v="0"/>
  </r>
  <r>
    <n v="5851"/>
    <s v="CA-2015-121783"/>
    <d v="2015-11-10T00:00:00"/>
    <x v="1"/>
    <s v="Q4"/>
    <x v="6"/>
    <d v="2015-11-14T00:00:00"/>
    <s v="Standard Class"/>
    <x v="178"/>
    <x v="178"/>
    <s v="Home Office"/>
    <s v="United States"/>
    <s v="Roseville"/>
    <x v="11"/>
    <n v="55113"/>
    <x v="2"/>
    <x v="1572"/>
    <x v="2"/>
    <x v="16"/>
    <x v="1563"/>
    <n v="549.99"/>
    <s v="High"/>
    <n v="1"/>
    <n v="0"/>
    <x v="0"/>
    <x v="0"/>
    <n v="274.995"/>
    <n v="0.5"/>
    <n v="0"/>
  </r>
  <r>
    <n v="5852"/>
    <s v="CA-2015-121783"/>
    <d v="2015-11-10T00:00:00"/>
    <x v="1"/>
    <s v="Q4"/>
    <x v="6"/>
    <d v="2015-11-14T00:00:00"/>
    <s v="Standard Class"/>
    <x v="178"/>
    <x v="178"/>
    <s v="Home Office"/>
    <s v="United States"/>
    <s v="Roseville"/>
    <x v="11"/>
    <n v="55113"/>
    <x v="2"/>
    <x v="444"/>
    <x v="1"/>
    <x v="8"/>
    <x v="444"/>
    <n v="74.760000000000005"/>
    <s v="Medium"/>
    <n v="3"/>
    <n v="0"/>
    <x v="0"/>
    <x v="0"/>
    <n v="34.389600000000002"/>
    <n v="0.45999999999999996"/>
    <n v="0"/>
  </r>
  <r>
    <n v="5853"/>
    <s v="CA-2015-121783"/>
    <d v="2015-11-10T00:00:00"/>
    <x v="1"/>
    <s v="Q4"/>
    <x v="6"/>
    <d v="2015-11-14T00:00:00"/>
    <s v="Standard Class"/>
    <x v="178"/>
    <x v="178"/>
    <s v="Home Office"/>
    <s v="United States"/>
    <s v="Roseville"/>
    <x v="11"/>
    <n v="55113"/>
    <x v="2"/>
    <x v="221"/>
    <x v="0"/>
    <x v="5"/>
    <x v="222"/>
    <n v="29.22"/>
    <s v="Medium"/>
    <n v="3"/>
    <n v="0"/>
    <x v="0"/>
    <x v="0"/>
    <n v="12.8568"/>
    <n v="0.44"/>
    <n v="0"/>
  </r>
  <r>
    <n v="5854"/>
    <s v="US-2014-138835"/>
    <d v="2014-09-10T00:00:00"/>
    <x v="2"/>
    <s v="Q3"/>
    <x v="30"/>
    <d v="2014-09-14T00:00:00"/>
    <s v="Standard Class"/>
    <x v="526"/>
    <x v="526"/>
    <s v="Home Office"/>
    <s v="United States"/>
    <s v="Virginia Beach"/>
    <x v="17"/>
    <n v="23464"/>
    <x v="0"/>
    <x v="308"/>
    <x v="1"/>
    <x v="8"/>
    <x v="308"/>
    <n v="9.64"/>
    <s v="Low"/>
    <n v="2"/>
    <n v="0"/>
    <x v="0"/>
    <x v="0"/>
    <n v="4.7236000000000002"/>
    <n v="0.49"/>
    <n v="0"/>
  </r>
  <r>
    <n v="5855"/>
    <s v="CA-2015-112214"/>
    <d v="2015-08-05T00:00:00"/>
    <x v="1"/>
    <s v="Q3"/>
    <x v="37"/>
    <d v="2015-08-11T00:00:00"/>
    <s v="Standard Class"/>
    <x v="706"/>
    <x v="706"/>
    <s v="Corporate"/>
    <s v="United States"/>
    <s v="Dallas"/>
    <x v="5"/>
    <n v="75220"/>
    <x v="2"/>
    <x v="1198"/>
    <x v="1"/>
    <x v="4"/>
    <x v="1183"/>
    <n v="33.488"/>
    <s v="Medium"/>
    <n v="7"/>
    <n v="0.2"/>
    <x v="2"/>
    <x v="2"/>
    <n v="-1.2558"/>
    <n v="-3.7499999999999999E-2"/>
    <n v="1"/>
  </r>
  <r>
    <n v="5856"/>
    <s v="CA-2015-112214"/>
    <d v="2015-08-05T00:00:00"/>
    <x v="1"/>
    <s v="Q3"/>
    <x v="37"/>
    <d v="2015-08-11T00:00:00"/>
    <s v="Standard Class"/>
    <x v="706"/>
    <x v="706"/>
    <s v="Corporate"/>
    <s v="United States"/>
    <s v="Dallas"/>
    <x v="5"/>
    <n v="75220"/>
    <x v="2"/>
    <x v="1511"/>
    <x v="1"/>
    <x v="14"/>
    <x v="1498"/>
    <n v="23.04"/>
    <s v="Low"/>
    <n v="3"/>
    <n v="0.2"/>
    <x v="2"/>
    <x v="2"/>
    <n v="-4.8959999999999999"/>
    <n v="-0.21249999999999999"/>
    <n v="1"/>
  </r>
  <r>
    <n v="5857"/>
    <s v="CA-2015-112214"/>
    <d v="2015-08-05T00:00:00"/>
    <x v="1"/>
    <s v="Q3"/>
    <x v="37"/>
    <d v="2015-08-11T00:00:00"/>
    <s v="Standard Class"/>
    <x v="706"/>
    <x v="706"/>
    <s v="Corporate"/>
    <s v="United States"/>
    <s v="Dallas"/>
    <x v="5"/>
    <n v="75220"/>
    <x v="2"/>
    <x v="1282"/>
    <x v="1"/>
    <x v="8"/>
    <x v="1267"/>
    <n v="1.3620000000000001"/>
    <s v="Low"/>
    <n v="1"/>
    <n v="0.8"/>
    <x v="1"/>
    <x v="3"/>
    <n v="-2.1791999999999998"/>
    <n v="-1.5999999999999996"/>
    <n v="1"/>
  </r>
  <r>
    <n v="5858"/>
    <s v="CA-2015-112214"/>
    <d v="2015-08-05T00:00:00"/>
    <x v="1"/>
    <s v="Q3"/>
    <x v="37"/>
    <d v="2015-08-11T00:00:00"/>
    <s v="Standard Class"/>
    <x v="706"/>
    <x v="706"/>
    <s v="Corporate"/>
    <s v="United States"/>
    <s v="Dallas"/>
    <x v="5"/>
    <n v="75220"/>
    <x v="2"/>
    <x v="1256"/>
    <x v="0"/>
    <x v="5"/>
    <x v="1240"/>
    <n v="14.76"/>
    <s v="Low"/>
    <n v="5"/>
    <n v="0.6"/>
    <x v="1"/>
    <x v="6"/>
    <n v="-11.439"/>
    <n v="-0.77500000000000002"/>
    <n v="1"/>
  </r>
  <r>
    <n v="5859"/>
    <s v="US-2017-153255"/>
    <d v="2017-09-03T00:00:00"/>
    <x v="3"/>
    <s v="Q3"/>
    <x v="15"/>
    <d v="2017-09-07T00:00:00"/>
    <s v="Second Class"/>
    <x v="300"/>
    <x v="300"/>
    <s v="Consumer"/>
    <s v="United States"/>
    <s v="Concord"/>
    <x v="1"/>
    <n v="94521"/>
    <x v="1"/>
    <x v="1601"/>
    <x v="0"/>
    <x v="0"/>
    <x v="1593"/>
    <n v="239.666"/>
    <s v="High"/>
    <n v="2"/>
    <n v="0.15"/>
    <x v="2"/>
    <x v="2"/>
    <n v="14.098000000000001"/>
    <n v="5.8823529411764712E-2"/>
    <n v="0"/>
  </r>
  <r>
    <n v="5860"/>
    <s v="CA-2015-108119"/>
    <d v="2015-11-01T00:00:00"/>
    <x v="1"/>
    <s v="Q4"/>
    <x v="6"/>
    <d v="2015-11-08T00:00:00"/>
    <s v="Standard Class"/>
    <x v="652"/>
    <x v="652"/>
    <s v="Consumer"/>
    <s v="United States"/>
    <s v="Conway"/>
    <x v="36"/>
    <n v="72032"/>
    <x v="0"/>
    <x v="1000"/>
    <x v="0"/>
    <x v="3"/>
    <x v="992"/>
    <n v="301.95999999999998"/>
    <s v="High"/>
    <n v="2"/>
    <n v="0"/>
    <x v="0"/>
    <x v="0"/>
    <n v="45.293999999999997"/>
    <n v="0.15"/>
    <n v="0"/>
  </r>
  <r>
    <n v="5861"/>
    <s v="CA-2015-157434"/>
    <d v="2015-04-29T00:00:00"/>
    <x v="1"/>
    <s v="Q2"/>
    <x v="19"/>
    <d v="2015-05-04T00:00:00"/>
    <s v="Second Class"/>
    <x v="82"/>
    <x v="82"/>
    <s v="Home Office"/>
    <s v="United States"/>
    <s v="Philadelphia"/>
    <x v="9"/>
    <n v="19120"/>
    <x v="3"/>
    <x v="1050"/>
    <x v="1"/>
    <x v="10"/>
    <x v="1039"/>
    <n v="7.968"/>
    <s v="Low"/>
    <n v="2"/>
    <n v="0.2"/>
    <x v="2"/>
    <x v="2"/>
    <n v="2.8883999999999999"/>
    <n v="0.36249999999999999"/>
    <n v="0"/>
  </r>
  <r>
    <n v="5862"/>
    <s v="CA-2016-101525"/>
    <d v="2016-05-01T00:00:00"/>
    <x v="0"/>
    <s v="Q2"/>
    <x v="35"/>
    <d v="2016-05-04T00:00:00"/>
    <s v="Second Class"/>
    <x v="632"/>
    <x v="632"/>
    <s v="Consumer"/>
    <s v="United States"/>
    <s v="Little Rock"/>
    <x v="36"/>
    <n v="72209"/>
    <x v="0"/>
    <x v="1766"/>
    <x v="1"/>
    <x v="10"/>
    <x v="1755"/>
    <n v="109.92"/>
    <s v="Medium"/>
    <n v="2"/>
    <n v="0"/>
    <x v="0"/>
    <x v="0"/>
    <n v="53.860799999999998"/>
    <n v="0.49"/>
    <n v="0"/>
  </r>
  <r>
    <n v="5863"/>
    <s v="CA-2016-101525"/>
    <d v="2016-05-01T00:00:00"/>
    <x v="0"/>
    <s v="Q2"/>
    <x v="35"/>
    <d v="2016-05-04T00:00:00"/>
    <s v="Second Class"/>
    <x v="632"/>
    <x v="632"/>
    <s v="Consumer"/>
    <s v="United States"/>
    <s v="Little Rock"/>
    <x v="36"/>
    <n v="72209"/>
    <x v="0"/>
    <x v="1307"/>
    <x v="1"/>
    <x v="10"/>
    <x v="1292"/>
    <n v="19.440000000000001"/>
    <s v="Low"/>
    <n v="3"/>
    <n v="0"/>
    <x v="0"/>
    <x v="0"/>
    <n v="9.3312000000000008"/>
    <n v="0.48000000000000004"/>
    <n v="0"/>
  </r>
  <r>
    <n v="5864"/>
    <s v="CA-2016-101525"/>
    <d v="2016-05-01T00:00:00"/>
    <x v="0"/>
    <s v="Q2"/>
    <x v="35"/>
    <d v="2016-05-04T00:00:00"/>
    <s v="Second Class"/>
    <x v="632"/>
    <x v="632"/>
    <s v="Consumer"/>
    <s v="United States"/>
    <s v="Little Rock"/>
    <x v="36"/>
    <n v="72209"/>
    <x v="0"/>
    <x v="796"/>
    <x v="1"/>
    <x v="6"/>
    <x v="794"/>
    <n v="11.16"/>
    <s v="Low"/>
    <n v="2"/>
    <n v="0"/>
    <x v="0"/>
    <x v="0"/>
    <n v="4.3524000000000003"/>
    <n v="0.39"/>
    <n v="0"/>
  </r>
  <r>
    <n v="5865"/>
    <s v="US-2014-117968"/>
    <d v="2014-08-05T00:00:00"/>
    <x v="2"/>
    <s v="Q3"/>
    <x v="9"/>
    <d v="2014-08-07T00:00:00"/>
    <s v="Second Class"/>
    <x v="602"/>
    <x v="602"/>
    <s v="Corporate"/>
    <s v="United States"/>
    <s v="Meriden"/>
    <x v="29"/>
    <n v="6450"/>
    <x v="3"/>
    <x v="1276"/>
    <x v="1"/>
    <x v="9"/>
    <x v="1261"/>
    <n v="79.47"/>
    <s v="Medium"/>
    <n v="3"/>
    <n v="0"/>
    <x v="0"/>
    <x v="0"/>
    <n v="22.2516"/>
    <n v="0.28000000000000003"/>
    <n v="0"/>
  </r>
  <r>
    <n v="5866"/>
    <s v="US-2014-117968"/>
    <d v="2014-08-05T00:00:00"/>
    <x v="2"/>
    <s v="Q3"/>
    <x v="9"/>
    <d v="2014-08-07T00:00:00"/>
    <s v="Second Class"/>
    <x v="602"/>
    <x v="602"/>
    <s v="Corporate"/>
    <s v="United States"/>
    <s v="Meriden"/>
    <x v="29"/>
    <n v="6450"/>
    <x v="3"/>
    <x v="1605"/>
    <x v="1"/>
    <x v="6"/>
    <x v="1597"/>
    <n v="4.5599999999999996"/>
    <s v="Low"/>
    <n v="2"/>
    <n v="0"/>
    <x v="0"/>
    <x v="0"/>
    <n v="2.0064000000000002"/>
    <n v="0.44000000000000006"/>
    <n v="0"/>
  </r>
  <r>
    <n v="5867"/>
    <s v="US-2014-117968"/>
    <d v="2014-08-05T00:00:00"/>
    <x v="2"/>
    <s v="Q3"/>
    <x v="9"/>
    <d v="2014-08-07T00:00:00"/>
    <s v="Second Class"/>
    <x v="602"/>
    <x v="602"/>
    <s v="Corporate"/>
    <s v="United States"/>
    <s v="Meriden"/>
    <x v="29"/>
    <n v="6450"/>
    <x v="3"/>
    <x v="629"/>
    <x v="0"/>
    <x v="1"/>
    <x v="629"/>
    <n v="1133.3499999999999"/>
    <s v="High"/>
    <n v="5"/>
    <n v="0"/>
    <x v="0"/>
    <x v="0"/>
    <n v="294.67099999999999"/>
    <n v="0.26"/>
    <n v="0"/>
  </r>
  <r>
    <n v="5868"/>
    <s v="CA-2016-158211"/>
    <d v="2016-01-04T00:00:00"/>
    <x v="0"/>
    <s v="Q1"/>
    <x v="12"/>
    <d v="2016-01-08T00:00:00"/>
    <s v="Standard Class"/>
    <x v="130"/>
    <x v="130"/>
    <s v="Corporate"/>
    <s v="United States"/>
    <s v="Philadelphia"/>
    <x v="9"/>
    <n v="19143"/>
    <x v="3"/>
    <x v="512"/>
    <x v="1"/>
    <x v="6"/>
    <x v="512"/>
    <n v="4.6719999999999997"/>
    <s v="Low"/>
    <n v="1"/>
    <n v="0.2"/>
    <x v="2"/>
    <x v="2"/>
    <n v="0.58399999999999996"/>
    <n v="0.125"/>
    <n v="0"/>
  </r>
  <r>
    <n v="5869"/>
    <s v="CA-2016-158211"/>
    <d v="2016-01-04T00:00:00"/>
    <x v="0"/>
    <s v="Q1"/>
    <x v="12"/>
    <d v="2016-01-08T00:00:00"/>
    <s v="Standard Class"/>
    <x v="130"/>
    <x v="130"/>
    <s v="Corporate"/>
    <s v="United States"/>
    <s v="Philadelphia"/>
    <x v="9"/>
    <n v="19143"/>
    <x v="3"/>
    <x v="920"/>
    <x v="1"/>
    <x v="8"/>
    <x v="912"/>
    <n v="104.58"/>
    <s v="Medium"/>
    <n v="6"/>
    <n v="0.7"/>
    <x v="1"/>
    <x v="5"/>
    <n v="-80.177999999999997"/>
    <n v="-0.76666666666666661"/>
    <n v="1"/>
  </r>
  <r>
    <n v="5870"/>
    <s v="CA-2016-152247"/>
    <d v="2016-11-07T00:00:00"/>
    <x v="0"/>
    <s v="Q4"/>
    <x v="0"/>
    <d v="2016-11-12T00:00:00"/>
    <s v="Standard Class"/>
    <x v="671"/>
    <x v="671"/>
    <s v="Home Office"/>
    <s v="United States"/>
    <s v="Cheyenne"/>
    <x v="47"/>
    <n v="82001"/>
    <x v="1"/>
    <x v="445"/>
    <x v="0"/>
    <x v="1"/>
    <x v="445"/>
    <n v="1603.136"/>
    <s v="High"/>
    <n v="4"/>
    <n v="0.2"/>
    <x v="2"/>
    <x v="2"/>
    <n v="100.196"/>
    <n v="6.25E-2"/>
    <n v="0"/>
  </r>
  <r>
    <n v="5871"/>
    <s v="CA-2016-128223"/>
    <d v="2016-06-14T00:00:00"/>
    <x v="0"/>
    <s v="Q2"/>
    <x v="1"/>
    <d v="2016-06-14T00:00:00"/>
    <s v="Same Day"/>
    <x v="182"/>
    <x v="182"/>
    <s v="Corporate"/>
    <s v="United States"/>
    <s v="Anaheim"/>
    <x v="1"/>
    <n v="92804"/>
    <x v="1"/>
    <x v="1744"/>
    <x v="0"/>
    <x v="3"/>
    <x v="1733"/>
    <n v="1293.4880000000001"/>
    <s v="High"/>
    <n v="7"/>
    <n v="0.2"/>
    <x v="2"/>
    <x v="2"/>
    <n v="80.843000000000004"/>
    <n v="6.25E-2"/>
    <n v="0"/>
  </r>
  <r>
    <n v="5872"/>
    <s v="CA-2016-154235"/>
    <d v="2016-09-24T00:00:00"/>
    <x v="0"/>
    <s v="Q3"/>
    <x v="21"/>
    <d v="2016-09-28T00:00:00"/>
    <s v="Standard Class"/>
    <x v="76"/>
    <x v="76"/>
    <s v="Consumer"/>
    <s v="United States"/>
    <s v="Bloomington"/>
    <x v="14"/>
    <n v="47401"/>
    <x v="2"/>
    <x v="101"/>
    <x v="0"/>
    <x v="5"/>
    <x v="101"/>
    <n v="127.95"/>
    <s v="High"/>
    <n v="3"/>
    <n v="0"/>
    <x v="0"/>
    <x v="0"/>
    <n v="21.7515"/>
    <n v="0.16999999999999998"/>
    <n v="0"/>
  </r>
  <r>
    <n v="5873"/>
    <s v="CA-2017-129910"/>
    <d v="2017-03-30T00:00:00"/>
    <x v="3"/>
    <s v="Q1"/>
    <x v="42"/>
    <d v="2017-04-03T00:00:00"/>
    <s v="Standard Class"/>
    <x v="467"/>
    <x v="467"/>
    <s v="Home Office"/>
    <s v="United States"/>
    <s v="Columbus"/>
    <x v="32"/>
    <n v="31907"/>
    <x v="0"/>
    <x v="42"/>
    <x v="1"/>
    <x v="4"/>
    <x v="42"/>
    <n v="59.76"/>
    <s v="Medium"/>
    <n v="1"/>
    <n v="0"/>
    <x v="0"/>
    <x v="0"/>
    <n v="16.732800000000001"/>
    <n v="0.28000000000000003"/>
    <n v="0"/>
  </r>
  <r>
    <n v="5874"/>
    <s v="CA-2017-133095"/>
    <d v="2017-06-04T00:00:00"/>
    <x v="3"/>
    <s v="Q2"/>
    <x v="27"/>
    <d v="2017-06-04T00:00:00"/>
    <s v="Same Day"/>
    <x v="382"/>
    <x v="382"/>
    <s v="Home Office"/>
    <s v="United States"/>
    <s v="Jonesboro"/>
    <x v="36"/>
    <n v="72401"/>
    <x v="0"/>
    <x v="1087"/>
    <x v="1"/>
    <x v="8"/>
    <x v="1077"/>
    <n v="108.08"/>
    <s v="Medium"/>
    <n v="7"/>
    <n v="0"/>
    <x v="0"/>
    <x v="0"/>
    <n v="54.04"/>
    <n v="0.5"/>
    <n v="0"/>
  </r>
  <r>
    <n v="5875"/>
    <s v="CA-2017-133095"/>
    <d v="2017-06-04T00:00:00"/>
    <x v="3"/>
    <s v="Q2"/>
    <x v="27"/>
    <d v="2017-06-04T00:00:00"/>
    <s v="Same Day"/>
    <x v="382"/>
    <x v="382"/>
    <s v="Home Office"/>
    <s v="United States"/>
    <s v="Jonesboro"/>
    <x v="36"/>
    <n v="72401"/>
    <x v="0"/>
    <x v="1310"/>
    <x v="1"/>
    <x v="8"/>
    <x v="1296"/>
    <n v="9.5399999999999991"/>
    <s v="Low"/>
    <n v="3"/>
    <n v="0"/>
    <x v="0"/>
    <x v="0"/>
    <n v="4.3883999999999999"/>
    <n v="0.46"/>
    <n v="0"/>
  </r>
  <r>
    <n v="5876"/>
    <s v="CA-2015-130554"/>
    <d v="2015-04-07T00:00:00"/>
    <x v="1"/>
    <s v="Q2"/>
    <x v="19"/>
    <d v="2015-04-09T00:00:00"/>
    <s v="First Class"/>
    <x v="86"/>
    <x v="86"/>
    <s v="Home Office"/>
    <s v="United States"/>
    <s v="Philadelphia"/>
    <x v="9"/>
    <n v="19140"/>
    <x v="3"/>
    <x v="563"/>
    <x v="1"/>
    <x v="6"/>
    <x v="563"/>
    <n v="11.736000000000001"/>
    <s v="Low"/>
    <n v="3"/>
    <n v="0.2"/>
    <x v="2"/>
    <x v="2"/>
    <n v="1.0268999999999999"/>
    <n v="8.7499999999999994E-2"/>
    <n v="0"/>
  </r>
  <r>
    <n v="5877"/>
    <s v="CA-2014-152443"/>
    <d v="2014-05-21T00:00:00"/>
    <x v="2"/>
    <s v="Q2"/>
    <x v="8"/>
    <d v="2014-05-26T00:00:00"/>
    <s v="Standard Class"/>
    <x v="435"/>
    <x v="435"/>
    <s v="Home Office"/>
    <s v="United States"/>
    <s v="Lawrence"/>
    <x v="31"/>
    <n v="1841"/>
    <x v="3"/>
    <x v="669"/>
    <x v="1"/>
    <x v="8"/>
    <x v="669"/>
    <n v="447.86"/>
    <s v="High"/>
    <n v="7"/>
    <n v="0"/>
    <x v="0"/>
    <x v="0"/>
    <n v="219.45140000000001"/>
    <n v="0.49"/>
    <n v="0"/>
  </r>
  <r>
    <n v="5878"/>
    <s v="CA-2014-152443"/>
    <d v="2014-05-21T00:00:00"/>
    <x v="2"/>
    <s v="Q2"/>
    <x v="8"/>
    <d v="2014-05-26T00:00:00"/>
    <s v="Standard Class"/>
    <x v="435"/>
    <x v="435"/>
    <s v="Home Office"/>
    <s v="United States"/>
    <s v="Lawrence"/>
    <x v="31"/>
    <n v="1841"/>
    <x v="3"/>
    <x v="1665"/>
    <x v="1"/>
    <x v="10"/>
    <x v="1653"/>
    <n v="17.940000000000001"/>
    <s v="Low"/>
    <n v="3"/>
    <n v="0"/>
    <x v="0"/>
    <x v="0"/>
    <n v="8.7905999999999995"/>
    <n v="0.48999999999999994"/>
    <n v="0"/>
  </r>
  <r>
    <n v="5879"/>
    <s v="CA-2014-152443"/>
    <d v="2014-05-21T00:00:00"/>
    <x v="2"/>
    <s v="Q2"/>
    <x v="8"/>
    <d v="2014-05-26T00:00:00"/>
    <s v="Standard Class"/>
    <x v="435"/>
    <x v="435"/>
    <s v="Home Office"/>
    <s v="United States"/>
    <s v="Lawrence"/>
    <x v="31"/>
    <n v="1841"/>
    <x v="3"/>
    <x v="1360"/>
    <x v="1"/>
    <x v="9"/>
    <x v="1346"/>
    <n v="245.88"/>
    <s v="High"/>
    <n v="6"/>
    <n v="0"/>
    <x v="0"/>
    <x v="0"/>
    <n v="68.846400000000003"/>
    <n v="0.28000000000000003"/>
    <n v="0"/>
  </r>
  <r>
    <n v="5880"/>
    <s v="CA-2016-133319"/>
    <d v="2016-09-05T00:00:00"/>
    <x v="0"/>
    <s v="Q3"/>
    <x v="21"/>
    <d v="2016-09-11T00:00:00"/>
    <s v="Standard Class"/>
    <x v="597"/>
    <x v="597"/>
    <s v="Consumer"/>
    <s v="United States"/>
    <s v="New York City"/>
    <x v="15"/>
    <n v="10011"/>
    <x v="3"/>
    <x v="1415"/>
    <x v="1"/>
    <x v="10"/>
    <x v="1402"/>
    <n v="192.16"/>
    <s v="High"/>
    <n v="4"/>
    <n v="0"/>
    <x v="0"/>
    <x v="0"/>
    <n v="92.236800000000002"/>
    <n v="0.48000000000000004"/>
    <n v="0"/>
  </r>
  <r>
    <n v="5881"/>
    <s v="CA-2016-133935"/>
    <d v="2016-09-18T00:00:00"/>
    <x v="0"/>
    <s v="Q3"/>
    <x v="21"/>
    <d v="2016-09-22T00:00:00"/>
    <s v="Standard Class"/>
    <x v="478"/>
    <x v="478"/>
    <s v="Corporate"/>
    <s v="United States"/>
    <s v="San Diego"/>
    <x v="1"/>
    <n v="92105"/>
    <x v="1"/>
    <x v="445"/>
    <x v="0"/>
    <x v="1"/>
    <x v="445"/>
    <n v="801.56799999999998"/>
    <s v="High"/>
    <n v="2"/>
    <n v="0.2"/>
    <x v="2"/>
    <x v="2"/>
    <n v="50.097999999999999"/>
    <n v="6.25E-2"/>
    <n v="0"/>
  </r>
  <r>
    <n v="5882"/>
    <s v="CA-2016-133935"/>
    <d v="2016-09-18T00:00:00"/>
    <x v="0"/>
    <s v="Q3"/>
    <x v="21"/>
    <d v="2016-09-22T00:00:00"/>
    <s v="Standard Class"/>
    <x v="478"/>
    <x v="478"/>
    <s v="Corporate"/>
    <s v="United States"/>
    <s v="San Diego"/>
    <x v="1"/>
    <n v="92105"/>
    <x v="1"/>
    <x v="839"/>
    <x v="1"/>
    <x v="10"/>
    <x v="833"/>
    <n v="368.91"/>
    <s v="High"/>
    <n v="9"/>
    <n v="0"/>
    <x v="0"/>
    <x v="0"/>
    <n v="180.76589999999999"/>
    <n v="0.48999999999999994"/>
    <n v="0"/>
  </r>
  <r>
    <n v="5883"/>
    <s v="CA-2016-133935"/>
    <d v="2016-09-18T00:00:00"/>
    <x v="0"/>
    <s v="Q3"/>
    <x v="21"/>
    <d v="2016-09-22T00:00:00"/>
    <s v="Standard Class"/>
    <x v="478"/>
    <x v="478"/>
    <s v="Corporate"/>
    <s v="United States"/>
    <s v="San Diego"/>
    <x v="1"/>
    <n v="92105"/>
    <x v="1"/>
    <x v="812"/>
    <x v="0"/>
    <x v="1"/>
    <x v="809"/>
    <n v="885.52800000000002"/>
    <s v="High"/>
    <n v="9"/>
    <n v="0.2"/>
    <x v="2"/>
    <x v="2"/>
    <n v="-99.621899999999997"/>
    <n v="-0.11249999999999999"/>
    <n v="1"/>
  </r>
  <r>
    <n v="5884"/>
    <s v="CA-2016-136301"/>
    <d v="2016-03-13T00:00:00"/>
    <x v="0"/>
    <s v="Q1"/>
    <x v="17"/>
    <d v="2016-03-15T00:00:00"/>
    <s v="Second Class"/>
    <x v="553"/>
    <x v="553"/>
    <s v="Corporate"/>
    <s v="United States"/>
    <s v="San Francisco"/>
    <x v="1"/>
    <n v="94109"/>
    <x v="1"/>
    <x v="375"/>
    <x v="0"/>
    <x v="5"/>
    <x v="376"/>
    <n v="28.28"/>
    <s v="Medium"/>
    <n v="2"/>
    <n v="0"/>
    <x v="0"/>
    <x v="0"/>
    <n v="7.3528000000000002"/>
    <n v="0.26"/>
    <n v="0"/>
  </r>
  <r>
    <n v="5885"/>
    <s v="CA-2016-136301"/>
    <d v="2016-03-13T00:00:00"/>
    <x v="0"/>
    <s v="Q1"/>
    <x v="17"/>
    <d v="2016-03-15T00:00:00"/>
    <s v="Second Class"/>
    <x v="553"/>
    <x v="553"/>
    <s v="Corporate"/>
    <s v="United States"/>
    <s v="San Francisco"/>
    <x v="1"/>
    <n v="94109"/>
    <x v="1"/>
    <x v="1359"/>
    <x v="1"/>
    <x v="14"/>
    <x v="1345"/>
    <n v="4912.59"/>
    <s v="High"/>
    <n v="3"/>
    <n v="0"/>
    <x v="0"/>
    <x v="0"/>
    <n v="196.50360000000001"/>
    <n v="0.04"/>
    <n v="0"/>
  </r>
  <r>
    <n v="5886"/>
    <s v="US-2014-109456"/>
    <d v="2014-10-16T00:00:00"/>
    <x v="2"/>
    <s v="Q4"/>
    <x v="18"/>
    <d v="2014-10-17T00:00:00"/>
    <s v="Same Day"/>
    <x v="201"/>
    <x v="201"/>
    <s v="Consumer"/>
    <s v="United States"/>
    <s v="San Francisco"/>
    <x v="1"/>
    <n v="94110"/>
    <x v="1"/>
    <x v="952"/>
    <x v="1"/>
    <x v="8"/>
    <x v="945"/>
    <n v="14.352"/>
    <s v="Low"/>
    <n v="3"/>
    <n v="0.2"/>
    <x v="2"/>
    <x v="2"/>
    <n v="5.0232000000000001"/>
    <n v="0.35"/>
    <n v="0"/>
  </r>
  <r>
    <n v="5887"/>
    <s v="US-2014-109456"/>
    <d v="2014-10-16T00:00:00"/>
    <x v="2"/>
    <s v="Q4"/>
    <x v="18"/>
    <d v="2014-10-17T00:00:00"/>
    <s v="Same Day"/>
    <x v="201"/>
    <x v="201"/>
    <s v="Consumer"/>
    <s v="United States"/>
    <s v="San Francisco"/>
    <x v="1"/>
    <n v="94110"/>
    <x v="1"/>
    <x v="603"/>
    <x v="2"/>
    <x v="11"/>
    <x v="603"/>
    <n v="179.97"/>
    <s v="High"/>
    <n v="3"/>
    <n v="0"/>
    <x v="0"/>
    <x v="0"/>
    <n v="86.385599999999997"/>
    <n v="0.48"/>
    <n v="0"/>
  </r>
  <r>
    <n v="5888"/>
    <s v="CA-2017-151596"/>
    <d v="2017-10-08T00:00:00"/>
    <x v="3"/>
    <s v="Q4"/>
    <x v="13"/>
    <d v="2017-10-11T00:00:00"/>
    <s v="First Class"/>
    <x v="771"/>
    <x v="771"/>
    <s v="Corporate"/>
    <s v="United States"/>
    <s v="Cranston"/>
    <x v="34"/>
    <n v="2920"/>
    <x v="3"/>
    <x v="1354"/>
    <x v="1"/>
    <x v="4"/>
    <x v="1340"/>
    <n v="42.76"/>
    <s v="Medium"/>
    <n v="1"/>
    <n v="0"/>
    <x v="0"/>
    <x v="0"/>
    <n v="11.117599999999999"/>
    <n v="0.26"/>
    <n v="0"/>
  </r>
  <r>
    <n v="5889"/>
    <s v="CA-2015-147879"/>
    <d v="2015-05-07T00:00:00"/>
    <x v="1"/>
    <s v="Q2"/>
    <x v="33"/>
    <d v="2015-05-12T00:00:00"/>
    <s v="Standard Class"/>
    <x v="417"/>
    <x v="417"/>
    <s v="Consumer"/>
    <s v="United States"/>
    <s v="Owensboro"/>
    <x v="0"/>
    <n v="42301"/>
    <x v="0"/>
    <x v="1767"/>
    <x v="1"/>
    <x v="10"/>
    <x v="1756"/>
    <n v="45.68"/>
    <s v="Medium"/>
    <n v="2"/>
    <n v="0"/>
    <x v="0"/>
    <x v="0"/>
    <n v="21.012799999999999"/>
    <n v="0.45999999999999996"/>
    <n v="0"/>
  </r>
  <r>
    <n v="5890"/>
    <s v="CA-2016-166625"/>
    <d v="2016-04-14T00:00:00"/>
    <x v="0"/>
    <s v="Q2"/>
    <x v="25"/>
    <d v="2016-04-17T00:00:00"/>
    <s v="First Class"/>
    <x v="758"/>
    <x v="758"/>
    <s v="Consumer"/>
    <s v="United States"/>
    <s v="Baltimore"/>
    <x v="39"/>
    <n v="21215"/>
    <x v="3"/>
    <x v="1095"/>
    <x v="1"/>
    <x v="8"/>
    <x v="1085"/>
    <n v="25.06"/>
    <s v="Medium"/>
    <n v="2"/>
    <n v="0"/>
    <x v="0"/>
    <x v="0"/>
    <n v="11.7782"/>
    <n v="0.47000000000000003"/>
    <n v="0"/>
  </r>
  <r>
    <n v="5891"/>
    <s v="CA-2016-146157"/>
    <d v="2016-11-21T00:00:00"/>
    <x v="0"/>
    <s v="Q4"/>
    <x v="0"/>
    <d v="2016-11-26T00:00:00"/>
    <s v="Standard Class"/>
    <x v="742"/>
    <x v="742"/>
    <s v="Consumer"/>
    <s v="United States"/>
    <s v="Chicago"/>
    <x v="10"/>
    <n v="60610"/>
    <x v="2"/>
    <x v="694"/>
    <x v="1"/>
    <x v="10"/>
    <x v="694"/>
    <n v="38.432000000000002"/>
    <s v="Medium"/>
    <n v="1"/>
    <n v="0.2"/>
    <x v="2"/>
    <x v="2"/>
    <n v="13.4512"/>
    <n v="0.35"/>
    <n v="0"/>
  </r>
  <r>
    <n v="5892"/>
    <s v="CA-2016-146157"/>
    <d v="2016-11-21T00:00:00"/>
    <x v="0"/>
    <s v="Q4"/>
    <x v="0"/>
    <d v="2016-11-26T00:00:00"/>
    <s v="Standard Class"/>
    <x v="742"/>
    <x v="742"/>
    <s v="Consumer"/>
    <s v="United States"/>
    <s v="Chicago"/>
    <x v="10"/>
    <n v="60610"/>
    <x v="2"/>
    <x v="146"/>
    <x v="1"/>
    <x v="4"/>
    <x v="147"/>
    <n v="21.568000000000001"/>
    <s v="Low"/>
    <n v="2"/>
    <n v="0.2"/>
    <x v="2"/>
    <x v="2"/>
    <n v="1.6175999999999999"/>
    <n v="7.4999999999999997E-2"/>
    <n v="0"/>
  </r>
  <r>
    <n v="5893"/>
    <s v="CA-2016-146157"/>
    <d v="2016-11-21T00:00:00"/>
    <x v="0"/>
    <s v="Q4"/>
    <x v="0"/>
    <d v="2016-11-26T00:00:00"/>
    <s v="Standard Class"/>
    <x v="742"/>
    <x v="742"/>
    <s v="Consumer"/>
    <s v="United States"/>
    <s v="Chicago"/>
    <x v="10"/>
    <n v="60610"/>
    <x v="2"/>
    <x v="151"/>
    <x v="2"/>
    <x v="11"/>
    <x v="152"/>
    <n v="81.575999999999993"/>
    <s v="Medium"/>
    <n v="3"/>
    <n v="0.2"/>
    <x v="2"/>
    <x v="2"/>
    <n v="2.0394000000000001"/>
    <n v="2.5000000000000005E-2"/>
    <n v="0"/>
  </r>
  <r>
    <n v="5894"/>
    <s v="CA-2017-159954"/>
    <d v="2017-09-10T00:00:00"/>
    <x v="3"/>
    <s v="Q3"/>
    <x v="15"/>
    <d v="2017-09-14T00:00:00"/>
    <s v="Standard Class"/>
    <x v="757"/>
    <x v="757"/>
    <s v="Consumer"/>
    <s v="United States"/>
    <s v="Atlanta"/>
    <x v="32"/>
    <n v="30318"/>
    <x v="0"/>
    <x v="994"/>
    <x v="1"/>
    <x v="8"/>
    <x v="986"/>
    <n v="2.78"/>
    <s v="Low"/>
    <n v="1"/>
    <n v="0"/>
    <x v="0"/>
    <x v="0"/>
    <n v="1.3622000000000001"/>
    <n v="0.49000000000000005"/>
    <n v="0"/>
  </r>
  <r>
    <n v="5895"/>
    <s v="CA-2017-100825"/>
    <d v="2017-09-09T00:00:00"/>
    <x v="3"/>
    <s v="Q3"/>
    <x v="15"/>
    <d v="2017-09-14T00:00:00"/>
    <s v="Standard Class"/>
    <x v="470"/>
    <x v="470"/>
    <s v="Corporate"/>
    <s v="United States"/>
    <s v="Los Angeles"/>
    <x v="1"/>
    <n v="90036"/>
    <x v="1"/>
    <x v="1291"/>
    <x v="1"/>
    <x v="4"/>
    <x v="1277"/>
    <n v="99.87"/>
    <s v="Medium"/>
    <n v="3"/>
    <n v="0"/>
    <x v="0"/>
    <x v="0"/>
    <n v="23.968800000000002"/>
    <n v="0.24000000000000002"/>
    <n v="0"/>
  </r>
  <r>
    <n v="5896"/>
    <s v="CA-2014-168305"/>
    <d v="2014-11-01T00:00:00"/>
    <x v="2"/>
    <s v="Q4"/>
    <x v="7"/>
    <d v="2014-11-08T00:00:00"/>
    <s v="Standard Class"/>
    <x v="484"/>
    <x v="484"/>
    <s v="Home Office"/>
    <s v="United States"/>
    <s v="Los Angeles"/>
    <x v="1"/>
    <n v="90049"/>
    <x v="1"/>
    <x v="1760"/>
    <x v="1"/>
    <x v="2"/>
    <x v="1749"/>
    <n v="44.4"/>
    <s v="Medium"/>
    <n v="3"/>
    <n v="0"/>
    <x v="0"/>
    <x v="0"/>
    <n v="22.2"/>
    <n v="0.5"/>
    <n v="0"/>
  </r>
  <r>
    <n v="5897"/>
    <s v="CA-2014-168305"/>
    <d v="2014-11-01T00:00:00"/>
    <x v="2"/>
    <s v="Q4"/>
    <x v="7"/>
    <d v="2014-11-08T00:00:00"/>
    <s v="Standard Class"/>
    <x v="484"/>
    <x v="484"/>
    <s v="Home Office"/>
    <s v="United States"/>
    <s v="Los Angeles"/>
    <x v="1"/>
    <n v="90049"/>
    <x v="1"/>
    <x v="1115"/>
    <x v="1"/>
    <x v="10"/>
    <x v="33"/>
    <n v="21.4"/>
    <s v="Low"/>
    <n v="5"/>
    <n v="0"/>
    <x v="0"/>
    <x v="0"/>
    <n v="9.6300000000000008"/>
    <n v="0.45000000000000007"/>
    <n v="0"/>
  </r>
  <r>
    <n v="5898"/>
    <s v="CA-2016-167682"/>
    <d v="2016-04-03T00:00:00"/>
    <x v="0"/>
    <s v="Q2"/>
    <x v="25"/>
    <d v="2016-04-09T00:00:00"/>
    <s v="Standard Class"/>
    <x v="9"/>
    <x v="9"/>
    <s v="Consumer"/>
    <s v="United States"/>
    <s v="Richmond"/>
    <x v="14"/>
    <n v="47374"/>
    <x v="2"/>
    <x v="90"/>
    <x v="0"/>
    <x v="5"/>
    <x v="90"/>
    <n v="71.12"/>
    <s v="Medium"/>
    <n v="4"/>
    <n v="0"/>
    <x v="0"/>
    <x v="0"/>
    <n v="22.0472"/>
    <n v="0.31"/>
    <n v="0"/>
  </r>
  <r>
    <n v="5899"/>
    <s v="CA-2016-167682"/>
    <d v="2016-04-03T00:00:00"/>
    <x v="0"/>
    <s v="Q2"/>
    <x v="25"/>
    <d v="2016-04-09T00:00:00"/>
    <s v="Standard Class"/>
    <x v="9"/>
    <x v="9"/>
    <s v="Consumer"/>
    <s v="United States"/>
    <s v="Richmond"/>
    <x v="14"/>
    <n v="47374"/>
    <x v="2"/>
    <x v="1417"/>
    <x v="2"/>
    <x v="7"/>
    <x v="1405"/>
    <n v="259.95999999999998"/>
    <s v="High"/>
    <n v="4"/>
    <n v="0"/>
    <x v="0"/>
    <x v="0"/>
    <n v="124.7808"/>
    <n v="0.48000000000000004"/>
    <n v="0"/>
  </r>
  <r>
    <n v="5900"/>
    <s v="CA-2017-108000"/>
    <d v="2017-01-12T00:00:00"/>
    <x v="3"/>
    <s v="Q1"/>
    <x v="44"/>
    <d v="2017-01-16T00:00:00"/>
    <s v="Standard Class"/>
    <x v="322"/>
    <x v="322"/>
    <s v="Corporate"/>
    <s v="United States"/>
    <s v="San Francisco"/>
    <x v="1"/>
    <n v="94110"/>
    <x v="1"/>
    <x v="1170"/>
    <x v="1"/>
    <x v="12"/>
    <x v="153"/>
    <n v="9.7799999999999994"/>
    <s v="Low"/>
    <n v="1"/>
    <n v="0"/>
    <x v="0"/>
    <x v="0"/>
    <n v="4.8899999999999997"/>
    <n v="0.5"/>
    <n v="0"/>
  </r>
  <r>
    <n v="5901"/>
    <s v="CA-2015-146465"/>
    <d v="2015-11-20T00:00:00"/>
    <x v="1"/>
    <s v="Q4"/>
    <x v="6"/>
    <d v="2015-11-24T00:00:00"/>
    <s v="Standard Class"/>
    <x v="583"/>
    <x v="583"/>
    <s v="Home Office"/>
    <s v="United States"/>
    <s v="San Francisco"/>
    <x v="1"/>
    <n v="94122"/>
    <x v="1"/>
    <x v="472"/>
    <x v="1"/>
    <x v="8"/>
    <x v="473"/>
    <n v="24.192"/>
    <s v="Low"/>
    <n v="9"/>
    <n v="0.2"/>
    <x v="2"/>
    <x v="2"/>
    <n v="7.56"/>
    <n v="0.3125"/>
    <n v="0"/>
  </r>
  <r>
    <n v="5902"/>
    <s v="CA-2016-159639"/>
    <d v="2016-11-27T00:00:00"/>
    <x v="0"/>
    <s v="Q4"/>
    <x v="0"/>
    <d v="2016-12-02T00:00:00"/>
    <s v="Standard Class"/>
    <x v="331"/>
    <x v="331"/>
    <s v="Corporate"/>
    <s v="United States"/>
    <s v="Westfield"/>
    <x v="30"/>
    <n v="7090"/>
    <x v="3"/>
    <x v="1172"/>
    <x v="0"/>
    <x v="5"/>
    <x v="1158"/>
    <n v="31.56"/>
    <s v="Medium"/>
    <n v="3"/>
    <n v="0"/>
    <x v="0"/>
    <x v="0"/>
    <n v="10.4148"/>
    <n v="0.33"/>
    <n v="0"/>
  </r>
  <r>
    <n v="5903"/>
    <s v="US-2017-153948"/>
    <d v="2017-11-06T00:00:00"/>
    <x v="3"/>
    <s v="Q4"/>
    <x v="23"/>
    <d v="2017-11-06T00:00:00"/>
    <s v="Same Day"/>
    <x v="86"/>
    <x v="86"/>
    <s v="Home Office"/>
    <s v="United States"/>
    <s v="San Francisco"/>
    <x v="1"/>
    <n v="94122"/>
    <x v="1"/>
    <x v="368"/>
    <x v="1"/>
    <x v="10"/>
    <x v="369"/>
    <n v="59.94"/>
    <s v="Medium"/>
    <n v="3"/>
    <n v="0"/>
    <x v="0"/>
    <x v="0"/>
    <n v="28.171800000000001"/>
    <n v="0.47000000000000003"/>
    <n v="0"/>
  </r>
  <r>
    <n v="5904"/>
    <s v="US-2017-153948"/>
    <d v="2017-11-06T00:00:00"/>
    <x v="3"/>
    <s v="Q4"/>
    <x v="23"/>
    <d v="2017-11-06T00:00:00"/>
    <s v="Same Day"/>
    <x v="86"/>
    <x v="86"/>
    <s v="Home Office"/>
    <s v="United States"/>
    <s v="San Francisco"/>
    <x v="1"/>
    <n v="94122"/>
    <x v="1"/>
    <x v="1713"/>
    <x v="1"/>
    <x v="10"/>
    <x v="33"/>
    <n v="45.36"/>
    <s v="Medium"/>
    <n v="4"/>
    <n v="0"/>
    <x v="0"/>
    <x v="0"/>
    <n v="22.226400000000002"/>
    <n v="0.49000000000000005"/>
    <n v="0"/>
  </r>
  <r>
    <n v="5905"/>
    <s v="US-2017-153948"/>
    <d v="2017-11-06T00:00:00"/>
    <x v="3"/>
    <s v="Q4"/>
    <x v="23"/>
    <d v="2017-11-06T00:00:00"/>
    <s v="Same Day"/>
    <x v="86"/>
    <x v="86"/>
    <s v="Home Office"/>
    <s v="United States"/>
    <s v="San Francisco"/>
    <x v="1"/>
    <n v="94122"/>
    <x v="1"/>
    <x v="1714"/>
    <x v="1"/>
    <x v="10"/>
    <x v="1701"/>
    <n v="26.4"/>
    <s v="Medium"/>
    <n v="5"/>
    <n v="0"/>
    <x v="0"/>
    <x v="0"/>
    <n v="12.672000000000001"/>
    <n v="0.48000000000000004"/>
    <n v="0"/>
  </r>
  <r>
    <n v="5906"/>
    <s v="US-2017-153948"/>
    <d v="2017-11-06T00:00:00"/>
    <x v="3"/>
    <s v="Q4"/>
    <x v="23"/>
    <d v="2017-11-06T00:00:00"/>
    <s v="Same Day"/>
    <x v="86"/>
    <x v="86"/>
    <s v="Home Office"/>
    <s v="United States"/>
    <s v="San Francisco"/>
    <x v="1"/>
    <n v="94122"/>
    <x v="1"/>
    <x v="1655"/>
    <x v="1"/>
    <x v="2"/>
    <x v="1643"/>
    <n v="41.4"/>
    <s v="Medium"/>
    <n v="4"/>
    <n v="0"/>
    <x v="0"/>
    <x v="0"/>
    <n v="19.872"/>
    <n v="0.48000000000000004"/>
    <n v="0"/>
  </r>
  <r>
    <n v="5907"/>
    <s v="US-2017-153948"/>
    <d v="2017-11-06T00:00:00"/>
    <x v="3"/>
    <s v="Q4"/>
    <x v="23"/>
    <d v="2017-11-06T00:00:00"/>
    <s v="Same Day"/>
    <x v="86"/>
    <x v="86"/>
    <s v="Home Office"/>
    <s v="United States"/>
    <s v="San Francisco"/>
    <x v="1"/>
    <n v="94122"/>
    <x v="1"/>
    <x v="658"/>
    <x v="2"/>
    <x v="11"/>
    <x v="658"/>
    <n v="16.95"/>
    <s v="Low"/>
    <n v="1"/>
    <n v="0"/>
    <x v="0"/>
    <x v="0"/>
    <n v="1.0169999999999999"/>
    <n v="0.06"/>
    <n v="0"/>
  </r>
  <r>
    <n v="5908"/>
    <s v="US-2016-113985"/>
    <d v="2016-12-02T00:00:00"/>
    <x v="0"/>
    <s v="Q4"/>
    <x v="5"/>
    <d v="2016-12-07T00:00:00"/>
    <s v="Standard Class"/>
    <x v="470"/>
    <x v="470"/>
    <s v="Corporate"/>
    <s v="United States"/>
    <s v="San Jose"/>
    <x v="1"/>
    <n v="95123"/>
    <x v="1"/>
    <x v="1087"/>
    <x v="1"/>
    <x v="8"/>
    <x v="1077"/>
    <n v="24.704000000000001"/>
    <s v="Low"/>
    <n v="2"/>
    <n v="0.2"/>
    <x v="2"/>
    <x v="2"/>
    <n v="9.2639999999999993"/>
    <n v="0.37499999999999994"/>
    <n v="0"/>
  </r>
  <r>
    <n v="5909"/>
    <s v="US-2016-113985"/>
    <d v="2016-12-02T00:00:00"/>
    <x v="0"/>
    <s v="Q4"/>
    <x v="5"/>
    <d v="2016-12-07T00:00:00"/>
    <s v="Standard Class"/>
    <x v="470"/>
    <x v="470"/>
    <s v="Corporate"/>
    <s v="United States"/>
    <s v="San Jose"/>
    <x v="1"/>
    <n v="95123"/>
    <x v="1"/>
    <x v="941"/>
    <x v="1"/>
    <x v="9"/>
    <x v="934"/>
    <n v="59.7"/>
    <s v="Medium"/>
    <n v="3"/>
    <n v="0"/>
    <x v="0"/>
    <x v="0"/>
    <n v="26.864999999999998"/>
    <n v="0.44999999999999996"/>
    <n v="0"/>
  </r>
  <r>
    <n v="5910"/>
    <s v="US-2016-113985"/>
    <d v="2016-12-02T00:00:00"/>
    <x v="0"/>
    <s v="Q4"/>
    <x v="5"/>
    <d v="2016-12-07T00:00:00"/>
    <s v="Standard Class"/>
    <x v="470"/>
    <x v="470"/>
    <s v="Corporate"/>
    <s v="United States"/>
    <s v="San Jose"/>
    <x v="1"/>
    <n v="95123"/>
    <x v="1"/>
    <x v="1573"/>
    <x v="0"/>
    <x v="5"/>
    <x v="1564"/>
    <n v="14.52"/>
    <s v="Low"/>
    <n v="3"/>
    <n v="0"/>
    <x v="0"/>
    <x v="0"/>
    <n v="5.6627999999999998"/>
    <n v="0.39"/>
    <n v="0"/>
  </r>
  <r>
    <n v="5911"/>
    <s v="US-2016-113985"/>
    <d v="2016-12-02T00:00:00"/>
    <x v="0"/>
    <s v="Q4"/>
    <x v="5"/>
    <d v="2016-12-07T00:00:00"/>
    <s v="Standard Class"/>
    <x v="470"/>
    <x v="470"/>
    <s v="Corporate"/>
    <s v="United States"/>
    <s v="San Jose"/>
    <x v="1"/>
    <n v="95123"/>
    <x v="1"/>
    <x v="1311"/>
    <x v="1"/>
    <x v="8"/>
    <x v="1297"/>
    <n v="104.184"/>
    <s v="Medium"/>
    <n v="3"/>
    <n v="0.2"/>
    <x v="2"/>
    <x v="2"/>
    <n v="33.8598"/>
    <n v="0.32500000000000001"/>
    <n v="0"/>
  </r>
  <r>
    <n v="5912"/>
    <s v="CA-2016-155383"/>
    <d v="2016-12-17T00:00:00"/>
    <x v="0"/>
    <s v="Q4"/>
    <x v="5"/>
    <d v="2016-12-22T00:00:00"/>
    <s v="Standard Class"/>
    <x v="649"/>
    <x v="649"/>
    <s v="Home Office"/>
    <s v="United States"/>
    <s v="Seattle"/>
    <x v="4"/>
    <n v="98115"/>
    <x v="1"/>
    <x v="177"/>
    <x v="1"/>
    <x v="4"/>
    <x v="178"/>
    <n v="46.53"/>
    <s v="Medium"/>
    <n v="3"/>
    <n v="0"/>
    <x v="0"/>
    <x v="0"/>
    <n v="13.0284"/>
    <n v="0.27999999999999997"/>
    <n v="0"/>
  </r>
  <r>
    <n v="5913"/>
    <s v="CA-2014-120432"/>
    <d v="2014-08-24T00:00:00"/>
    <x v="2"/>
    <s v="Q3"/>
    <x v="9"/>
    <d v="2014-08-26T00:00:00"/>
    <s v="Second Class"/>
    <x v="61"/>
    <x v="61"/>
    <s v="Corporate"/>
    <s v="United States"/>
    <s v="Owensboro"/>
    <x v="0"/>
    <n v="42301"/>
    <x v="0"/>
    <x v="1768"/>
    <x v="1"/>
    <x v="14"/>
    <x v="1757"/>
    <n v="25.5"/>
    <s v="Medium"/>
    <n v="3"/>
    <n v="0"/>
    <x v="0"/>
    <x v="0"/>
    <n v="6.63"/>
    <n v="0.26"/>
    <n v="0"/>
  </r>
  <r>
    <n v="5914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383"/>
    <x v="1"/>
    <x v="4"/>
    <x v="384"/>
    <n v="14.9"/>
    <s v="Low"/>
    <n v="5"/>
    <n v="0"/>
    <x v="0"/>
    <x v="0"/>
    <n v="1.0429999999999999"/>
    <n v="6.9999999999999993E-2"/>
    <n v="0"/>
  </r>
  <r>
    <n v="5915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49"/>
    <x v="1"/>
    <x v="2"/>
    <x v="49"/>
    <n v="87.71"/>
    <s v="Medium"/>
    <n v="7"/>
    <n v="0"/>
    <x v="0"/>
    <x v="0"/>
    <n v="41.223700000000001"/>
    <n v="0.47000000000000003"/>
    <n v="0"/>
  </r>
  <r>
    <n v="5916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913"/>
    <x v="0"/>
    <x v="1"/>
    <x v="905"/>
    <n v="199.76400000000001"/>
    <s v="High"/>
    <n v="2"/>
    <n v="0.1"/>
    <x v="3"/>
    <x v="8"/>
    <n v="8.8783999999999992"/>
    <n v="4.4444444444444439E-2"/>
    <n v="0"/>
  </r>
  <r>
    <n v="5917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392"/>
    <x v="1"/>
    <x v="4"/>
    <x v="393"/>
    <n v="94.6"/>
    <s v="Medium"/>
    <n v="4"/>
    <n v="0"/>
    <x v="0"/>
    <x v="0"/>
    <n v="27.434000000000001"/>
    <n v="0.29000000000000004"/>
    <n v="0"/>
  </r>
  <r>
    <n v="5918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26"/>
    <x v="0"/>
    <x v="0"/>
    <x v="26"/>
    <n v="4228.7039999999997"/>
    <s v="High"/>
    <n v="6"/>
    <n v="0.2"/>
    <x v="2"/>
    <x v="2"/>
    <n v="158.57640000000001"/>
    <n v="3.7500000000000006E-2"/>
    <n v="0"/>
  </r>
  <r>
    <n v="5919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1248"/>
    <x v="0"/>
    <x v="0"/>
    <x v="1232"/>
    <n v="2003.92"/>
    <s v="High"/>
    <n v="5"/>
    <n v="0.2"/>
    <x v="2"/>
    <x v="2"/>
    <n v="-25.048999999999999"/>
    <n v="-1.2499999999999999E-2"/>
    <n v="1"/>
  </r>
  <r>
    <n v="5920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599"/>
    <x v="2"/>
    <x v="7"/>
    <x v="599"/>
    <n v="209.97"/>
    <s v="High"/>
    <n v="3"/>
    <n v="0"/>
    <x v="0"/>
    <x v="0"/>
    <n v="58.791600000000003"/>
    <n v="0.28000000000000003"/>
    <n v="0"/>
  </r>
  <r>
    <n v="5921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764"/>
    <x v="2"/>
    <x v="11"/>
    <x v="763"/>
    <n v="659.9"/>
    <s v="High"/>
    <n v="2"/>
    <n v="0"/>
    <x v="0"/>
    <x v="0"/>
    <n v="217.767"/>
    <n v="0.33"/>
    <n v="0"/>
  </r>
  <r>
    <n v="5922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417"/>
    <x v="1"/>
    <x v="10"/>
    <x v="417"/>
    <n v="110.96"/>
    <s v="Medium"/>
    <n v="2"/>
    <n v="0"/>
    <x v="0"/>
    <x v="0"/>
    <n v="53.260800000000003"/>
    <n v="0.48000000000000004"/>
    <n v="0"/>
  </r>
  <r>
    <n v="5923"/>
    <s v="US-2015-126977"/>
    <d v="2015-09-17T00:00:00"/>
    <x v="1"/>
    <s v="Q3"/>
    <x v="11"/>
    <d v="2015-09-23T00:00:00"/>
    <s v="Standard Class"/>
    <x v="724"/>
    <x v="724"/>
    <s v="Consumer"/>
    <s v="United States"/>
    <s v="New York City"/>
    <x v="15"/>
    <n v="10035"/>
    <x v="3"/>
    <x v="1049"/>
    <x v="2"/>
    <x v="7"/>
    <x v="1038"/>
    <n v="67.8"/>
    <s v="Medium"/>
    <n v="4"/>
    <n v="0"/>
    <x v="0"/>
    <x v="0"/>
    <n v="1.3560000000000001"/>
    <n v="2.0000000000000004E-2"/>
    <n v="0"/>
  </r>
  <r>
    <n v="5924"/>
    <s v="CA-2016-130288"/>
    <d v="2016-11-26T00:00:00"/>
    <x v="0"/>
    <s v="Q4"/>
    <x v="0"/>
    <d v="2016-11-30T00:00:00"/>
    <s v="Second Class"/>
    <x v="158"/>
    <x v="158"/>
    <s v="Corporate"/>
    <s v="United States"/>
    <s v="New York City"/>
    <x v="15"/>
    <n v="10011"/>
    <x v="3"/>
    <x v="971"/>
    <x v="0"/>
    <x v="3"/>
    <x v="965"/>
    <n v="313.17599999999999"/>
    <s v="High"/>
    <n v="2"/>
    <n v="0.4"/>
    <x v="1"/>
    <x v="7"/>
    <n v="-120.0508"/>
    <n v="-0.38333333333333336"/>
    <n v="1"/>
  </r>
  <r>
    <n v="5925"/>
    <s v="CA-2017-146458"/>
    <d v="2017-11-19T00:00:00"/>
    <x v="3"/>
    <s v="Q4"/>
    <x v="23"/>
    <d v="2017-11-22T00:00:00"/>
    <s v="Second Class"/>
    <x v="579"/>
    <x v="579"/>
    <s v="Consumer"/>
    <s v="United States"/>
    <s v="Springfield"/>
    <x v="17"/>
    <n v="22153"/>
    <x v="0"/>
    <x v="1241"/>
    <x v="1"/>
    <x v="6"/>
    <x v="1224"/>
    <n v="22.96"/>
    <s v="Low"/>
    <n v="7"/>
    <n v="0"/>
    <x v="0"/>
    <x v="0"/>
    <n v="6.6584000000000003"/>
    <n v="0.28999999999999998"/>
    <n v="0"/>
  </r>
  <r>
    <n v="5926"/>
    <s v="CA-2017-150420"/>
    <d v="2017-06-03T00:00:00"/>
    <x v="3"/>
    <s v="Q2"/>
    <x v="27"/>
    <d v="2017-06-08T00:00:00"/>
    <s v="Standard Class"/>
    <x v="241"/>
    <x v="241"/>
    <s v="Corporate"/>
    <s v="United States"/>
    <s v="Bellingham"/>
    <x v="4"/>
    <n v="98226"/>
    <x v="1"/>
    <x v="989"/>
    <x v="2"/>
    <x v="11"/>
    <x v="982"/>
    <n v="1099.5"/>
    <s v="High"/>
    <n v="10"/>
    <n v="0"/>
    <x v="0"/>
    <x v="0"/>
    <n v="362.83499999999998"/>
    <n v="0.32999999999999996"/>
    <n v="0"/>
  </r>
  <r>
    <n v="5927"/>
    <s v="US-2014-118997"/>
    <d v="2014-04-08T00:00:00"/>
    <x v="2"/>
    <s v="Q2"/>
    <x v="41"/>
    <d v="2014-04-12T00:00:00"/>
    <s v="Standard Class"/>
    <x v="19"/>
    <x v="19"/>
    <s v="Corporate"/>
    <s v="United States"/>
    <s v="Decatur"/>
    <x v="19"/>
    <n v="35601"/>
    <x v="0"/>
    <x v="1746"/>
    <x v="0"/>
    <x v="3"/>
    <x v="1736"/>
    <n v="1215.92"/>
    <s v="High"/>
    <n v="8"/>
    <n v="0"/>
    <x v="0"/>
    <x v="0"/>
    <n v="316.13920000000002"/>
    <n v="0.26"/>
    <n v="0"/>
  </r>
  <r>
    <n v="5928"/>
    <s v="CA-2014-114314"/>
    <d v="2014-10-11T00:00:00"/>
    <x v="2"/>
    <s v="Q4"/>
    <x v="18"/>
    <d v="2014-10-15T00:00:00"/>
    <s v="Standard Class"/>
    <x v="587"/>
    <x v="587"/>
    <s v="Corporate"/>
    <s v="United States"/>
    <s v="Fayetteville"/>
    <x v="36"/>
    <n v="72701"/>
    <x v="0"/>
    <x v="2"/>
    <x v="1"/>
    <x v="2"/>
    <x v="2"/>
    <n v="7.31"/>
    <s v="Low"/>
    <n v="1"/>
    <n v="0"/>
    <x v="0"/>
    <x v="0"/>
    <n v="3.4357000000000002"/>
    <n v="0.47000000000000003"/>
    <n v="0"/>
  </r>
  <r>
    <n v="5929"/>
    <s v="CA-2014-114314"/>
    <d v="2014-10-11T00:00:00"/>
    <x v="2"/>
    <s v="Q4"/>
    <x v="18"/>
    <d v="2014-10-15T00:00:00"/>
    <s v="Standard Class"/>
    <x v="587"/>
    <x v="587"/>
    <s v="Corporate"/>
    <s v="United States"/>
    <s v="Fayetteville"/>
    <x v="36"/>
    <n v="72701"/>
    <x v="0"/>
    <x v="1348"/>
    <x v="0"/>
    <x v="5"/>
    <x v="1333"/>
    <n v="8.92"/>
    <s v="Low"/>
    <n v="4"/>
    <n v="0"/>
    <x v="0"/>
    <x v="0"/>
    <n v="3.9247999999999998"/>
    <n v="0.44"/>
    <n v="0"/>
  </r>
  <r>
    <n v="5930"/>
    <s v="US-2017-169551"/>
    <d v="2017-07-07T00:00:00"/>
    <x v="3"/>
    <s v="Q3"/>
    <x v="10"/>
    <d v="2017-07-09T00:00:00"/>
    <s v="First Class"/>
    <x v="210"/>
    <x v="210"/>
    <s v="Consumer"/>
    <s v="United States"/>
    <s v="Philadelphia"/>
    <x v="9"/>
    <n v="19120"/>
    <x v="3"/>
    <x v="672"/>
    <x v="0"/>
    <x v="0"/>
    <x v="672"/>
    <n v="87.21"/>
    <s v="Medium"/>
    <n v="3"/>
    <n v="0.5"/>
    <x v="1"/>
    <x v="1"/>
    <n v="-45.349200000000003"/>
    <n v="-0.52000000000000013"/>
    <n v="1"/>
  </r>
  <r>
    <n v="5931"/>
    <s v="US-2017-169551"/>
    <d v="2017-07-07T00:00:00"/>
    <x v="3"/>
    <s v="Q3"/>
    <x v="10"/>
    <d v="2017-07-09T00:00:00"/>
    <s v="First Class"/>
    <x v="210"/>
    <x v="210"/>
    <s v="Consumer"/>
    <s v="United States"/>
    <s v="Philadelphia"/>
    <x v="9"/>
    <n v="19120"/>
    <x v="3"/>
    <x v="260"/>
    <x v="1"/>
    <x v="10"/>
    <x v="260"/>
    <n v="15.552"/>
    <s v="Low"/>
    <n v="3"/>
    <n v="0.2"/>
    <x v="2"/>
    <x v="2"/>
    <n v="5.4432"/>
    <n v="0.35000000000000003"/>
    <n v="0"/>
  </r>
  <r>
    <n v="5932"/>
    <s v="US-2017-169551"/>
    <d v="2017-07-07T00:00:00"/>
    <x v="3"/>
    <s v="Q3"/>
    <x v="10"/>
    <d v="2017-07-09T00:00:00"/>
    <s v="First Class"/>
    <x v="210"/>
    <x v="210"/>
    <s v="Consumer"/>
    <s v="United States"/>
    <s v="Philadelphia"/>
    <x v="9"/>
    <n v="19120"/>
    <x v="3"/>
    <x v="432"/>
    <x v="2"/>
    <x v="7"/>
    <x v="432"/>
    <n v="683.98800000000006"/>
    <s v="High"/>
    <n v="2"/>
    <n v="0.4"/>
    <x v="1"/>
    <x v="7"/>
    <n v="-113.998"/>
    <n v="-0.16666666666666666"/>
    <n v="1"/>
  </r>
  <r>
    <n v="5933"/>
    <s v="US-2017-169551"/>
    <d v="2017-07-07T00:00:00"/>
    <x v="3"/>
    <s v="Q3"/>
    <x v="10"/>
    <d v="2017-07-09T00:00:00"/>
    <s v="First Class"/>
    <x v="210"/>
    <x v="210"/>
    <s v="Consumer"/>
    <s v="United States"/>
    <s v="Philadelphia"/>
    <x v="9"/>
    <n v="19120"/>
    <x v="3"/>
    <x v="1427"/>
    <x v="1"/>
    <x v="4"/>
    <x v="1415"/>
    <n v="13.391999999999999"/>
    <s v="Low"/>
    <n v="3"/>
    <n v="0.2"/>
    <x v="2"/>
    <x v="2"/>
    <n v="1.0044"/>
    <n v="7.4999999999999997E-2"/>
    <n v="0"/>
  </r>
  <r>
    <n v="5934"/>
    <s v="US-2017-169551"/>
    <d v="2017-07-07T00:00:00"/>
    <x v="3"/>
    <s v="Q3"/>
    <x v="10"/>
    <d v="2017-07-09T00:00:00"/>
    <s v="First Class"/>
    <x v="210"/>
    <x v="210"/>
    <s v="Consumer"/>
    <s v="United States"/>
    <s v="Philadelphia"/>
    <x v="9"/>
    <n v="19120"/>
    <x v="3"/>
    <x v="1695"/>
    <x v="2"/>
    <x v="11"/>
    <x v="1683"/>
    <n v="16.776"/>
    <s v="Low"/>
    <n v="3"/>
    <n v="0.2"/>
    <x v="2"/>
    <x v="2"/>
    <n v="4.8231000000000002"/>
    <n v="0.28750000000000003"/>
    <n v="0"/>
  </r>
  <r>
    <n v="5935"/>
    <s v="US-2017-169551"/>
    <d v="2017-07-07T00:00:00"/>
    <x v="3"/>
    <s v="Q3"/>
    <x v="10"/>
    <d v="2017-07-09T00:00:00"/>
    <s v="First Class"/>
    <x v="210"/>
    <x v="210"/>
    <s v="Consumer"/>
    <s v="United States"/>
    <s v="Philadelphia"/>
    <x v="9"/>
    <n v="19120"/>
    <x v="3"/>
    <x v="764"/>
    <x v="2"/>
    <x v="11"/>
    <x v="763"/>
    <n v="527.91999999999996"/>
    <s v="High"/>
    <n v="2"/>
    <n v="0.2"/>
    <x v="2"/>
    <x v="2"/>
    <n v="85.787000000000006"/>
    <n v="0.16250000000000003"/>
    <n v="0"/>
  </r>
  <r>
    <n v="5936"/>
    <s v="CA-2016-103107"/>
    <d v="2016-07-04T00:00:00"/>
    <x v="0"/>
    <s v="Q3"/>
    <x v="16"/>
    <d v="2016-07-04T00:00:00"/>
    <s v="Same Day"/>
    <x v="46"/>
    <x v="46"/>
    <s v="Home Office"/>
    <s v="United States"/>
    <s v="Seattle"/>
    <x v="4"/>
    <n v="98103"/>
    <x v="1"/>
    <x v="534"/>
    <x v="0"/>
    <x v="5"/>
    <x v="534"/>
    <n v="25.4"/>
    <s v="Medium"/>
    <n v="5"/>
    <n v="0"/>
    <x v="0"/>
    <x v="0"/>
    <n v="8.6359999999999992"/>
    <n v="0.33999999999999997"/>
    <n v="0"/>
  </r>
  <r>
    <n v="5937"/>
    <s v="CA-2016-103107"/>
    <d v="2016-07-04T00:00:00"/>
    <x v="0"/>
    <s v="Q3"/>
    <x v="16"/>
    <d v="2016-07-04T00:00:00"/>
    <s v="Same Day"/>
    <x v="46"/>
    <x v="46"/>
    <s v="Home Office"/>
    <s v="United States"/>
    <s v="Seattle"/>
    <x v="4"/>
    <n v="98103"/>
    <x v="1"/>
    <x v="1192"/>
    <x v="2"/>
    <x v="7"/>
    <x v="1177"/>
    <n v="177.48"/>
    <s v="High"/>
    <n v="3"/>
    <n v="0.2"/>
    <x v="2"/>
    <x v="2"/>
    <n v="19.9665"/>
    <n v="0.1125"/>
    <n v="0"/>
  </r>
  <r>
    <n v="5938"/>
    <s v="CA-2016-103107"/>
    <d v="2016-07-04T00:00:00"/>
    <x v="0"/>
    <s v="Q3"/>
    <x v="16"/>
    <d v="2016-07-04T00:00:00"/>
    <s v="Same Day"/>
    <x v="46"/>
    <x v="46"/>
    <s v="Home Office"/>
    <s v="United States"/>
    <s v="Seattle"/>
    <x v="4"/>
    <n v="98103"/>
    <x v="1"/>
    <x v="993"/>
    <x v="2"/>
    <x v="7"/>
    <x v="985"/>
    <n v="71.975999999999999"/>
    <s v="Medium"/>
    <n v="3"/>
    <n v="0.2"/>
    <x v="2"/>
    <x v="2"/>
    <n v="8.9969999999999999"/>
    <n v="0.125"/>
    <n v="0"/>
  </r>
  <r>
    <n v="5939"/>
    <s v="CA-2017-122077"/>
    <d v="2017-05-19T00:00:00"/>
    <x v="3"/>
    <s v="Q2"/>
    <x v="24"/>
    <d v="2017-05-25T00:00:00"/>
    <s v="Standard Class"/>
    <x v="639"/>
    <x v="639"/>
    <s v="Consumer"/>
    <s v="United States"/>
    <s v="Plano"/>
    <x v="5"/>
    <n v="75023"/>
    <x v="2"/>
    <x v="1211"/>
    <x v="2"/>
    <x v="7"/>
    <x v="1196"/>
    <n v="95.992000000000004"/>
    <s v="Medium"/>
    <n v="1"/>
    <n v="0.2"/>
    <x v="2"/>
    <x v="2"/>
    <n v="9.5991999999999997"/>
    <n v="9.9999999999999992E-2"/>
    <n v="0"/>
  </r>
  <r>
    <n v="5940"/>
    <s v="CA-2017-122077"/>
    <d v="2017-05-19T00:00:00"/>
    <x v="3"/>
    <s v="Q2"/>
    <x v="24"/>
    <d v="2017-05-25T00:00:00"/>
    <s v="Standard Class"/>
    <x v="639"/>
    <x v="639"/>
    <s v="Consumer"/>
    <s v="United States"/>
    <s v="Plano"/>
    <x v="5"/>
    <n v="75023"/>
    <x v="2"/>
    <x v="1722"/>
    <x v="1"/>
    <x v="2"/>
    <x v="1709"/>
    <n v="13.215999999999999"/>
    <s v="Low"/>
    <n v="4"/>
    <n v="0.2"/>
    <x v="2"/>
    <x v="2"/>
    <n v="4.2952000000000004"/>
    <n v="0.32500000000000007"/>
    <n v="0"/>
  </r>
  <r>
    <n v="5941"/>
    <s v="CA-2017-112431"/>
    <d v="2017-10-12T00:00:00"/>
    <x v="3"/>
    <s v="Q4"/>
    <x v="13"/>
    <d v="2017-10-14T00:00:00"/>
    <s v="Second Class"/>
    <x v="355"/>
    <x v="355"/>
    <s v="Consumer"/>
    <s v="United States"/>
    <s v="Los Angeles"/>
    <x v="1"/>
    <n v="90049"/>
    <x v="1"/>
    <x v="477"/>
    <x v="2"/>
    <x v="11"/>
    <x v="478"/>
    <n v="435.84"/>
    <s v="High"/>
    <n v="12"/>
    <n v="0"/>
    <x v="0"/>
    <x v="0"/>
    <n v="130.75200000000001"/>
    <n v="0.30000000000000004"/>
    <n v="0"/>
  </r>
  <r>
    <n v="5942"/>
    <s v="CA-2017-112431"/>
    <d v="2017-10-12T00:00:00"/>
    <x v="3"/>
    <s v="Q4"/>
    <x v="13"/>
    <d v="2017-10-14T00:00:00"/>
    <s v="Second Class"/>
    <x v="355"/>
    <x v="355"/>
    <s v="Consumer"/>
    <s v="United States"/>
    <s v="Los Angeles"/>
    <x v="1"/>
    <n v="90049"/>
    <x v="1"/>
    <x v="134"/>
    <x v="1"/>
    <x v="6"/>
    <x v="135"/>
    <n v="5.88"/>
    <s v="Low"/>
    <n v="2"/>
    <n v="0"/>
    <x v="0"/>
    <x v="0"/>
    <n v="1.5875999999999999"/>
    <n v="0.26999999999999996"/>
    <n v="0"/>
  </r>
  <r>
    <n v="5943"/>
    <s v="CA-2016-151092"/>
    <d v="2016-08-06T00:00:00"/>
    <x v="0"/>
    <s v="Q3"/>
    <x v="28"/>
    <d v="2016-08-13T00:00:00"/>
    <s v="Standard Class"/>
    <x v="364"/>
    <x v="364"/>
    <s v="Consumer"/>
    <s v="United States"/>
    <s v="Los Angeles"/>
    <x v="1"/>
    <n v="90032"/>
    <x v="1"/>
    <x v="194"/>
    <x v="2"/>
    <x v="7"/>
    <x v="195"/>
    <n v="211.16800000000001"/>
    <s v="High"/>
    <n v="4"/>
    <n v="0.2"/>
    <x v="2"/>
    <x v="2"/>
    <n v="18.4772"/>
    <n v="8.7499999999999994E-2"/>
    <n v="0"/>
  </r>
  <r>
    <n v="5944"/>
    <s v="CA-2014-104178"/>
    <d v="2014-08-25T00:00:00"/>
    <x v="2"/>
    <s v="Q3"/>
    <x v="9"/>
    <d v="2014-08-29T00:00:00"/>
    <s v="Standard Class"/>
    <x v="25"/>
    <x v="25"/>
    <s v="Corporate"/>
    <s v="United States"/>
    <s v="Los Angeles"/>
    <x v="1"/>
    <n v="90036"/>
    <x v="1"/>
    <x v="1448"/>
    <x v="0"/>
    <x v="5"/>
    <x v="1435"/>
    <n v="6.28"/>
    <s v="Low"/>
    <n v="1"/>
    <n v="0"/>
    <x v="0"/>
    <x v="0"/>
    <n v="2.6375999999999999"/>
    <n v="0.42"/>
    <n v="0"/>
  </r>
  <r>
    <n v="5945"/>
    <s v="CA-2014-104178"/>
    <d v="2014-08-25T00:00:00"/>
    <x v="2"/>
    <s v="Q3"/>
    <x v="9"/>
    <d v="2014-08-29T00:00:00"/>
    <s v="Standard Class"/>
    <x v="25"/>
    <x v="25"/>
    <s v="Corporate"/>
    <s v="United States"/>
    <s v="Los Angeles"/>
    <x v="1"/>
    <n v="90036"/>
    <x v="1"/>
    <x v="452"/>
    <x v="2"/>
    <x v="11"/>
    <x v="453"/>
    <n v="95.1"/>
    <s v="Medium"/>
    <n v="5"/>
    <n v="0"/>
    <x v="0"/>
    <x v="0"/>
    <n v="30.431999999999999"/>
    <n v="0.32"/>
    <n v="0"/>
  </r>
  <r>
    <n v="5946"/>
    <s v="CA-2014-104178"/>
    <d v="2014-08-25T00:00:00"/>
    <x v="2"/>
    <s v="Q3"/>
    <x v="9"/>
    <d v="2014-08-29T00:00:00"/>
    <s v="Standard Class"/>
    <x v="25"/>
    <x v="25"/>
    <s v="Corporate"/>
    <s v="United States"/>
    <s v="Los Angeles"/>
    <x v="1"/>
    <n v="90036"/>
    <x v="1"/>
    <x v="1347"/>
    <x v="1"/>
    <x v="10"/>
    <x v="1332"/>
    <n v="25.92"/>
    <s v="Medium"/>
    <n v="4"/>
    <n v="0"/>
    <x v="0"/>
    <x v="0"/>
    <n v="12.441599999999999"/>
    <n v="0.47999999999999993"/>
    <n v="0"/>
  </r>
  <r>
    <n v="5947"/>
    <s v="CA-2014-104178"/>
    <d v="2014-08-25T00:00:00"/>
    <x v="2"/>
    <s v="Q3"/>
    <x v="9"/>
    <d v="2014-08-29T00:00:00"/>
    <s v="Standard Class"/>
    <x v="25"/>
    <x v="25"/>
    <s v="Corporate"/>
    <s v="United States"/>
    <s v="Los Angeles"/>
    <x v="1"/>
    <n v="90036"/>
    <x v="1"/>
    <x v="762"/>
    <x v="1"/>
    <x v="4"/>
    <x v="761"/>
    <n v="48.84"/>
    <s v="Medium"/>
    <n v="4"/>
    <n v="0"/>
    <x v="0"/>
    <x v="0"/>
    <n v="13.1868"/>
    <n v="0.26999999999999996"/>
    <n v="0"/>
  </r>
  <r>
    <n v="5948"/>
    <s v="CA-2015-115924"/>
    <d v="2015-09-14T00:00:00"/>
    <x v="1"/>
    <s v="Q3"/>
    <x v="11"/>
    <d v="2015-09-18T00:00:00"/>
    <s v="Second Class"/>
    <x v="534"/>
    <x v="534"/>
    <s v="Home Office"/>
    <s v="United States"/>
    <s v="Des Moines"/>
    <x v="23"/>
    <n v="50315"/>
    <x v="2"/>
    <x v="1499"/>
    <x v="1"/>
    <x v="8"/>
    <x v="1487"/>
    <n v="25.9"/>
    <s v="Medium"/>
    <n v="5"/>
    <n v="0"/>
    <x v="0"/>
    <x v="0"/>
    <n v="12.691000000000001"/>
    <n v="0.49000000000000005"/>
    <n v="0"/>
  </r>
  <r>
    <n v="5949"/>
    <s v="CA-2017-161046"/>
    <d v="2017-03-05T00:00:00"/>
    <x v="3"/>
    <s v="Q1"/>
    <x v="42"/>
    <d v="2017-03-05T00:00:00"/>
    <s v="Same Day"/>
    <x v="118"/>
    <x v="118"/>
    <s v="Corporate"/>
    <s v="United States"/>
    <s v="Southaven"/>
    <x v="35"/>
    <n v="38671"/>
    <x v="0"/>
    <x v="761"/>
    <x v="1"/>
    <x v="12"/>
    <x v="760"/>
    <n v="42.68"/>
    <s v="Medium"/>
    <n v="4"/>
    <n v="0"/>
    <x v="0"/>
    <x v="0"/>
    <n v="19.6328"/>
    <n v="0.46"/>
    <n v="0"/>
  </r>
  <r>
    <n v="5950"/>
    <s v="CA-2017-161046"/>
    <d v="2017-03-05T00:00:00"/>
    <x v="3"/>
    <s v="Q1"/>
    <x v="42"/>
    <d v="2017-03-05T00:00:00"/>
    <s v="Same Day"/>
    <x v="118"/>
    <x v="118"/>
    <s v="Corporate"/>
    <s v="United States"/>
    <s v="Southaven"/>
    <x v="35"/>
    <n v="38671"/>
    <x v="0"/>
    <x v="409"/>
    <x v="2"/>
    <x v="11"/>
    <x v="409"/>
    <n v="299.97000000000003"/>
    <s v="High"/>
    <n v="3"/>
    <n v="0"/>
    <x v="0"/>
    <x v="0"/>
    <n v="125.98739999999999"/>
    <n v="0.41999999999999993"/>
    <n v="0"/>
  </r>
  <r>
    <n v="5951"/>
    <s v="CA-2017-161046"/>
    <d v="2017-03-05T00:00:00"/>
    <x v="3"/>
    <s v="Q1"/>
    <x v="42"/>
    <d v="2017-03-05T00:00:00"/>
    <s v="Same Day"/>
    <x v="118"/>
    <x v="118"/>
    <s v="Corporate"/>
    <s v="United States"/>
    <s v="Southaven"/>
    <x v="35"/>
    <n v="38671"/>
    <x v="0"/>
    <x v="164"/>
    <x v="1"/>
    <x v="9"/>
    <x v="165"/>
    <n v="262.24"/>
    <s v="High"/>
    <n v="2"/>
    <n v="0"/>
    <x v="0"/>
    <x v="0"/>
    <n v="78.671999999999997"/>
    <n v="0.3"/>
    <n v="0"/>
  </r>
  <r>
    <n v="5952"/>
    <s v="CA-2017-161046"/>
    <d v="2017-03-05T00:00:00"/>
    <x v="3"/>
    <s v="Q1"/>
    <x v="42"/>
    <d v="2017-03-05T00:00:00"/>
    <s v="Same Day"/>
    <x v="118"/>
    <x v="118"/>
    <s v="Corporate"/>
    <s v="United States"/>
    <s v="Southaven"/>
    <x v="35"/>
    <n v="38671"/>
    <x v="0"/>
    <x v="920"/>
    <x v="1"/>
    <x v="8"/>
    <x v="1758"/>
    <n v="234.36"/>
    <s v="High"/>
    <n v="6"/>
    <n v="0"/>
    <x v="0"/>
    <x v="0"/>
    <n v="112.4928"/>
    <n v="0.48"/>
    <n v="0"/>
  </r>
  <r>
    <n v="5953"/>
    <s v="US-2017-141698"/>
    <d v="2017-04-15T00:00:00"/>
    <x v="3"/>
    <s v="Q2"/>
    <x v="4"/>
    <d v="2017-04-21T00:00:00"/>
    <s v="Standard Class"/>
    <x v="174"/>
    <x v="174"/>
    <s v="Home Office"/>
    <s v="United States"/>
    <s v="Houston"/>
    <x v="5"/>
    <n v="77041"/>
    <x v="2"/>
    <x v="1769"/>
    <x v="1"/>
    <x v="10"/>
    <x v="1759"/>
    <n v="20.736000000000001"/>
    <s v="Low"/>
    <n v="4"/>
    <n v="0.2"/>
    <x v="2"/>
    <x v="2"/>
    <n v="7.2576000000000001"/>
    <n v="0.35"/>
    <n v="0"/>
  </r>
  <r>
    <n v="5954"/>
    <s v="US-2014-105151"/>
    <d v="2014-03-30T00:00:00"/>
    <x v="2"/>
    <s v="Q1"/>
    <x v="34"/>
    <d v="2014-03-31T00:00:00"/>
    <s v="First Class"/>
    <x v="737"/>
    <x v="737"/>
    <s v="Corporate"/>
    <s v="United States"/>
    <s v="New York City"/>
    <x v="15"/>
    <n v="10009"/>
    <x v="3"/>
    <x v="1706"/>
    <x v="1"/>
    <x v="6"/>
    <x v="1695"/>
    <n v="10.5"/>
    <s v="Low"/>
    <n v="5"/>
    <n v="0"/>
    <x v="0"/>
    <x v="0"/>
    <n v="2.94"/>
    <n v="0.27999999999999997"/>
    <n v="0"/>
  </r>
  <r>
    <n v="5955"/>
    <s v="CA-2014-155796"/>
    <d v="2014-11-11T00:00:00"/>
    <x v="2"/>
    <s v="Q4"/>
    <x v="7"/>
    <d v="2014-11-15T00:00:00"/>
    <s v="Second Class"/>
    <x v="747"/>
    <x v="747"/>
    <s v="Corporate"/>
    <s v="United States"/>
    <s v="Reading"/>
    <x v="9"/>
    <n v="19601"/>
    <x v="3"/>
    <x v="1442"/>
    <x v="0"/>
    <x v="5"/>
    <x v="1430"/>
    <n v="23.968"/>
    <s v="Low"/>
    <n v="2"/>
    <n v="0.2"/>
    <x v="2"/>
    <x v="2"/>
    <n v="7.7896000000000001"/>
    <n v="0.32500000000000001"/>
    <n v="0"/>
  </r>
  <r>
    <n v="5956"/>
    <s v="CA-2014-155796"/>
    <d v="2014-11-11T00:00:00"/>
    <x v="2"/>
    <s v="Q4"/>
    <x v="7"/>
    <d v="2014-11-15T00:00:00"/>
    <s v="Second Class"/>
    <x v="747"/>
    <x v="747"/>
    <s v="Corporate"/>
    <s v="United States"/>
    <s v="Reading"/>
    <x v="9"/>
    <n v="19601"/>
    <x v="3"/>
    <x v="37"/>
    <x v="0"/>
    <x v="0"/>
    <x v="37"/>
    <n v="521.96"/>
    <s v="High"/>
    <n v="4"/>
    <n v="0.5"/>
    <x v="1"/>
    <x v="1"/>
    <n v="-250.54079999999999"/>
    <n v="-0.47999999999999993"/>
    <n v="1"/>
  </r>
  <r>
    <n v="5957"/>
    <s v="CA-2016-127138"/>
    <d v="2016-03-12T00:00:00"/>
    <x v="0"/>
    <s v="Q1"/>
    <x v="17"/>
    <d v="2016-03-15T00:00:00"/>
    <s v="Second Class"/>
    <x v="158"/>
    <x v="158"/>
    <s v="Corporate"/>
    <s v="United States"/>
    <s v="San Francisco"/>
    <x v="1"/>
    <n v="94109"/>
    <x v="1"/>
    <x v="273"/>
    <x v="1"/>
    <x v="4"/>
    <x v="273"/>
    <n v="676.55"/>
    <s v="High"/>
    <n v="5"/>
    <n v="0"/>
    <x v="0"/>
    <x v="0"/>
    <n v="6.7655000000000003"/>
    <n v="1.0000000000000002E-2"/>
    <n v="0"/>
  </r>
  <r>
    <n v="5958"/>
    <s v="CA-2016-127138"/>
    <d v="2016-03-12T00:00:00"/>
    <x v="0"/>
    <s v="Q1"/>
    <x v="17"/>
    <d v="2016-03-15T00:00:00"/>
    <s v="Second Class"/>
    <x v="158"/>
    <x v="158"/>
    <s v="Corporate"/>
    <s v="United States"/>
    <s v="San Francisco"/>
    <x v="1"/>
    <n v="94109"/>
    <x v="1"/>
    <x v="1271"/>
    <x v="1"/>
    <x v="9"/>
    <x v="1256"/>
    <n v="154.9"/>
    <s v="High"/>
    <n v="5"/>
    <n v="0"/>
    <x v="0"/>
    <x v="0"/>
    <n v="40.274000000000001"/>
    <n v="0.26"/>
    <n v="0"/>
  </r>
  <r>
    <n v="5959"/>
    <s v="CA-2016-127138"/>
    <d v="2016-03-12T00:00:00"/>
    <x v="0"/>
    <s v="Q1"/>
    <x v="17"/>
    <d v="2016-03-15T00:00:00"/>
    <s v="Second Class"/>
    <x v="158"/>
    <x v="158"/>
    <s v="Corporate"/>
    <s v="United States"/>
    <s v="San Francisco"/>
    <x v="1"/>
    <n v="94109"/>
    <x v="1"/>
    <x v="661"/>
    <x v="1"/>
    <x v="12"/>
    <x v="661"/>
    <n v="30.56"/>
    <s v="Medium"/>
    <n v="4"/>
    <n v="0"/>
    <x v="0"/>
    <x v="0"/>
    <n v="14.974399999999999"/>
    <n v="0.49"/>
    <n v="0"/>
  </r>
  <r>
    <n v="5960"/>
    <s v="CA-2016-127138"/>
    <d v="2016-03-12T00:00:00"/>
    <x v="0"/>
    <s v="Q1"/>
    <x v="17"/>
    <d v="2016-03-15T00:00:00"/>
    <s v="Second Class"/>
    <x v="158"/>
    <x v="158"/>
    <s v="Corporate"/>
    <s v="United States"/>
    <s v="San Francisco"/>
    <x v="1"/>
    <n v="94109"/>
    <x v="1"/>
    <x v="623"/>
    <x v="0"/>
    <x v="1"/>
    <x v="623"/>
    <n v="770.35199999999998"/>
    <s v="High"/>
    <n v="3"/>
    <n v="0.2"/>
    <x v="2"/>
    <x v="2"/>
    <n v="77.035200000000003"/>
    <n v="0.1"/>
    <n v="0"/>
  </r>
  <r>
    <n v="5961"/>
    <s v="CA-2017-150602"/>
    <d v="2017-02-09T00:00:00"/>
    <x v="3"/>
    <s v="Q1"/>
    <x v="31"/>
    <d v="2017-02-14T00:00:00"/>
    <s v="Second Class"/>
    <x v="504"/>
    <x v="504"/>
    <s v="Corporate"/>
    <s v="United States"/>
    <s v="Los Angeles"/>
    <x v="1"/>
    <n v="90045"/>
    <x v="1"/>
    <x v="1226"/>
    <x v="0"/>
    <x v="5"/>
    <x v="1210"/>
    <n v="21.12"/>
    <s v="Low"/>
    <n v="4"/>
    <n v="0"/>
    <x v="0"/>
    <x v="0"/>
    <n v="6.5472000000000001"/>
    <n v="0.31"/>
    <n v="0"/>
  </r>
  <r>
    <n v="5962"/>
    <s v="CA-2014-140732"/>
    <d v="2014-11-11T00:00:00"/>
    <x v="2"/>
    <s v="Q4"/>
    <x v="7"/>
    <d v="2014-11-13T00:00:00"/>
    <s v="Second Class"/>
    <x v="15"/>
    <x v="15"/>
    <s v="Home Office"/>
    <s v="United States"/>
    <s v="Los Angeles"/>
    <x v="1"/>
    <n v="90004"/>
    <x v="1"/>
    <x v="516"/>
    <x v="2"/>
    <x v="7"/>
    <x v="516"/>
    <n v="575.928"/>
    <s v="High"/>
    <n v="9"/>
    <n v="0.2"/>
    <x v="2"/>
    <x v="2"/>
    <n v="57.592799999999997"/>
    <n v="9.9999999999999992E-2"/>
    <n v="0"/>
  </r>
  <r>
    <n v="5963"/>
    <s v="CA-2014-140732"/>
    <d v="2014-11-11T00:00:00"/>
    <x v="2"/>
    <s v="Q4"/>
    <x v="7"/>
    <d v="2014-11-13T00:00:00"/>
    <s v="Second Class"/>
    <x v="15"/>
    <x v="15"/>
    <s v="Home Office"/>
    <s v="United States"/>
    <s v="Los Angeles"/>
    <x v="1"/>
    <n v="90004"/>
    <x v="1"/>
    <x v="1034"/>
    <x v="1"/>
    <x v="9"/>
    <x v="1025"/>
    <n v="7.78"/>
    <s v="Low"/>
    <n v="2"/>
    <n v="0"/>
    <x v="0"/>
    <x v="0"/>
    <n v="2.0228000000000002"/>
    <n v="0.26"/>
    <n v="0"/>
  </r>
  <r>
    <n v="5964"/>
    <s v="CA-2014-140732"/>
    <d v="2014-11-11T00:00:00"/>
    <x v="2"/>
    <s v="Q4"/>
    <x v="7"/>
    <d v="2014-11-13T00:00:00"/>
    <s v="Second Class"/>
    <x v="15"/>
    <x v="15"/>
    <s v="Home Office"/>
    <s v="United States"/>
    <s v="Los Angeles"/>
    <x v="1"/>
    <n v="90004"/>
    <x v="1"/>
    <x v="759"/>
    <x v="1"/>
    <x v="10"/>
    <x v="757"/>
    <n v="123.92"/>
    <s v="High"/>
    <n v="4"/>
    <n v="0"/>
    <x v="0"/>
    <x v="0"/>
    <n v="55.764000000000003"/>
    <n v="0.45"/>
    <n v="0"/>
  </r>
  <r>
    <n v="5965"/>
    <s v="CA-2017-119011"/>
    <d v="2017-08-20T00:00:00"/>
    <x v="3"/>
    <s v="Q3"/>
    <x v="43"/>
    <d v="2017-08-25T00:00:00"/>
    <s v="Standard Class"/>
    <x v="756"/>
    <x v="756"/>
    <s v="Corporate"/>
    <s v="United States"/>
    <s v="San Francisco"/>
    <x v="1"/>
    <n v="94109"/>
    <x v="1"/>
    <x v="1322"/>
    <x v="1"/>
    <x v="14"/>
    <x v="1308"/>
    <n v="17.22"/>
    <s v="Low"/>
    <n v="3"/>
    <n v="0"/>
    <x v="0"/>
    <x v="0"/>
    <n v="5.1660000000000004"/>
    <n v="0.30000000000000004"/>
    <n v="0"/>
  </r>
  <r>
    <n v="5966"/>
    <s v="CA-2017-119011"/>
    <d v="2017-08-20T00:00:00"/>
    <x v="3"/>
    <s v="Q3"/>
    <x v="43"/>
    <d v="2017-08-25T00:00:00"/>
    <s v="Standard Class"/>
    <x v="756"/>
    <x v="756"/>
    <s v="Corporate"/>
    <s v="United States"/>
    <s v="San Francisco"/>
    <x v="1"/>
    <n v="94109"/>
    <x v="1"/>
    <x v="117"/>
    <x v="1"/>
    <x v="4"/>
    <x v="117"/>
    <n v="226.56"/>
    <s v="High"/>
    <n v="6"/>
    <n v="0"/>
    <x v="0"/>
    <x v="0"/>
    <n v="63.436799999999998"/>
    <n v="0.27999999999999997"/>
    <n v="0"/>
  </r>
  <r>
    <n v="5967"/>
    <s v="CA-2017-119011"/>
    <d v="2017-08-20T00:00:00"/>
    <x v="3"/>
    <s v="Q3"/>
    <x v="43"/>
    <d v="2017-08-25T00:00:00"/>
    <s v="Standard Class"/>
    <x v="756"/>
    <x v="756"/>
    <s v="Corporate"/>
    <s v="United States"/>
    <s v="San Francisco"/>
    <x v="1"/>
    <n v="94109"/>
    <x v="1"/>
    <x v="1517"/>
    <x v="2"/>
    <x v="7"/>
    <x v="1504"/>
    <n v="107.88"/>
    <s v="Medium"/>
    <n v="3"/>
    <n v="0.2"/>
    <x v="2"/>
    <x v="2"/>
    <n v="10.788"/>
    <n v="0.1"/>
    <n v="0"/>
  </r>
  <r>
    <n v="5968"/>
    <s v="CA-2016-166912"/>
    <d v="2016-01-15T00:00:00"/>
    <x v="0"/>
    <s v="Q1"/>
    <x v="12"/>
    <d v="2016-01-17T00:00:00"/>
    <s v="First Class"/>
    <x v="336"/>
    <x v="336"/>
    <s v="Home Office"/>
    <s v="United States"/>
    <s v="New York City"/>
    <x v="15"/>
    <n v="10009"/>
    <x v="3"/>
    <x v="1522"/>
    <x v="1"/>
    <x v="10"/>
    <x v="1509"/>
    <n v="81.98"/>
    <s v="Medium"/>
    <n v="2"/>
    <n v="0"/>
    <x v="0"/>
    <x v="0"/>
    <n v="40.170200000000001"/>
    <n v="0.49"/>
    <n v="0"/>
  </r>
  <r>
    <n v="5969"/>
    <s v="CA-2014-141726"/>
    <d v="2014-07-20T00:00:00"/>
    <x v="2"/>
    <s v="Q3"/>
    <x v="39"/>
    <d v="2014-07-22T00:00:00"/>
    <s v="First Class"/>
    <x v="230"/>
    <x v="230"/>
    <s v="Consumer"/>
    <s v="United States"/>
    <s v="San Diego"/>
    <x v="1"/>
    <n v="92105"/>
    <x v="1"/>
    <x v="976"/>
    <x v="1"/>
    <x v="10"/>
    <x v="970"/>
    <n v="104.85"/>
    <s v="Medium"/>
    <n v="1"/>
    <n v="0"/>
    <x v="0"/>
    <x v="0"/>
    <n v="50.328000000000003"/>
    <n v="0.48000000000000004"/>
    <n v="0"/>
  </r>
  <r>
    <n v="5970"/>
    <s v="CA-2014-141726"/>
    <d v="2014-07-20T00:00:00"/>
    <x v="2"/>
    <s v="Q3"/>
    <x v="39"/>
    <d v="2014-07-22T00:00:00"/>
    <s v="First Class"/>
    <x v="230"/>
    <x v="230"/>
    <s v="Consumer"/>
    <s v="United States"/>
    <s v="San Diego"/>
    <x v="1"/>
    <n v="92105"/>
    <x v="1"/>
    <x v="304"/>
    <x v="1"/>
    <x v="8"/>
    <x v="304"/>
    <n v="8.7040000000000006"/>
    <s v="Low"/>
    <n v="2"/>
    <n v="0.2"/>
    <x v="2"/>
    <x v="2"/>
    <n v="3.1551999999999998"/>
    <n v="0.36249999999999993"/>
    <n v="0"/>
  </r>
  <r>
    <n v="5971"/>
    <s v="CA-2014-141726"/>
    <d v="2014-07-20T00:00:00"/>
    <x v="2"/>
    <s v="Q3"/>
    <x v="39"/>
    <d v="2014-07-22T00:00:00"/>
    <s v="First Class"/>
    <x v="230"/>
    <x v="230"/>
    <s v="Consumer"/>
    <s v="United States"/>
    <s v="San Diego"/>
    <x v="1"/>
    <n v="92105"/>
    <x v="1"/>
    <x v="388"/>
    <x v="1"/>
    <x v="10"/>
    <x v="389"/>
    <n v="19.920000000000002"/>
    <s v="Low"/>
    <n v="4"/>
    <n v="0"/>
    <x v="0"/>
    <x v="0"/>
    <n v="9.7607999999999997"/>
    <n v="0.48999999999999994"/>
    <n v="0"/>
  </r>
  <r>
    <n v="5972"/>
    <s v="CA-2014-141726"/>
    <d v="2014-07-20T00:00:00"/>
    <x v="2"/>
    <s v="Q3"/>
    <x v="39"/>
    <d v="2014-07-22T00:00:00"/>
    <s v="First Class"/>
    <x v="230"/>
    <x v="230"/>
    <s v="Consumer"/>
    <s v="United States"/>
    <s v="San Diego"/>
    <x v="1"/>
    <n v="92105"/>
    <x v="1"/>
    <x v="613"/>
    <x v="0"/>
    <x v="5"/>
    <x v="613"/>
    <n v="43.02"/>
    <s v="Medium"/>
    <n v="3"/>
    <n v="0"/>
    <x v="0"/>
    <x v="0"/>
    <n v="15.4872"/>
    <n v="0.36"/>
    <n v="0"/>
  </r>
  <r>
    <n v="5973"/>
    <s v="CA-2017-115105"/>
    <d v="2017-02-06T00:00:00"/>
    <x v="3"/>
    <s v="Q1"/>
    <x v="31"/>
    <d v="2017-02-11T00:00:00"/>
    <s v="Standard Class"/>
    <x v="420"/>
    <x v="420"/>
    <s v="Consumer"/>
    <s v="United States"/>
    <s v="New York City"/>
    <x v="15"/>
    <n v="10024"/>
    <x v="3"/>
    <x v="789"/>
    <x v="0"/>
    <x v="0"/>
    <x v="787"/>
    <n v="240.78399999999999"/>
    <s v="High"/>
    <n v="1"/>
    <n v="0.2"/>
    <x v="2"/>
    <x v="2"/>
    <n v="30.097999999999999"/>
    <n v="0.125"/>
    <n v="0"/>
  </r>
  <r>
    <n v="5974"/>
    <s v="CA-2015-143980"/>
    <d v="2015-12-25T00:00:00"/>
    <x v="1"/>
    <s v="Q4"/>
    <x v="14"/>
    <d v="2015-12-29T00:00:00"/>
    <s v="Standard Class"/>
    <x v="82"/>
    <x v="82"/>
    <s v="Home Office"/>
    <s v="United States"/>
    <s v="New York City"/>
    <x v="15"/>
    <n v="10011"/>
    <x v="3"/>
    <x v="1470"/>
    <x v="1"/>
    <x v="9"/>
    <x v="1457"/>
    <n v="414.96"/>
    <s v="High"/>
    <n v="2"/>
    <n v="0"/>
    <x v="0"/>
    <x v="0"/>
    <n v="124.488"/>
    <n v="0.3"/>
    <n v="0"/>
  </r>
  <r>
    <n v="5975"/>
    <s v="CA-2016-135636"/>
    <d v="2016-10-08T00:00:00"/>
    <x v="0"/>
    <s v="Q4"/>
    <x v="32"/>
    <d v="2016-10-13T00:00:00"/>
    <s v="Standard Class"/>
    <x v="140"/>
    <x v="140"/>
    <s v="Consumer"/>
    <s v="United States"/>
    <s v="Charlotte"/>
    <x v="3"/>
    <n v="28205"/>
    <x v="0"/>
    <x v="887"/>
    <x v="1"/>
    <x v="4"/>
    <x v="880"/>
    <n v="387.72"/>
    <s v="High"/>
    <n v="5"/>
    <n v="0.2"/>
    <x v="2"/>
    <x v="2"/>
    <n v="-67.850999999999999"/>
    <n v="-0.17499999999999999"/>
    <n v="1"/>
  </r>
  <r>
    <n v="5976"/>
    <s v="CA-2017-102155"/>
    <d v="2017-07-13T00:00:00"/>
    <x v="3"/>
    <s v="Q3"/>
    <x v="10"/>
    <d v="2017-07-17T00:00:00"/>
    <s v="Standard Class"/>
    <x v="645"/>
    <x v="645"/>
    <s v="Corporate"/>
    <s v="United States"/>
    <s v="Overland Park"/>
    <x v="41"/>
    <n v="66212"/>
    <x v="2"/>
    <x v="734"/>
    <x v="1"/>
    <x v="4"/>
    <x v="733"/>
    <n v="360.38"/>
    <s v="High"/>
    <n v="2"/>
    <n v="0"/>
    <x v="0"/>
    <x v="0"/>
    <n v="93.698800000000006"/>
    <n v="0.26"/>
    <n v="0"/>
  </r>
  <r>
    <n v="5977"/>
    <s v="CA-2017-102155"/>
    <d v="2017-07-13T00:00:00"/>
    <x v="3"/>
    <s v="Q3"/>
    <x v="10"/>
    <d v="2017-07-17T00:00:00"/>
    <s v="Standard Class"/>
    <x v="645"/>
    <x v="645"/>
    <s v="Corporate"/>
    <s v="United States"/>
    <s v="Overland Park"/>
    <x v="41"/>
    <n v="66212"/>
    <x v="2"/>
    <x v="987"/>
    <x v="1"/>
    <x v="10"/>
    <x v="980"/>
    <n v="13.56"/>
    <s v="Low"/>
    <n v="2"/>
    <n v="0"/>
    <x v="0"/>
    <x v="0"/>
    <n v="6.2375999999999996"/>
    <n v="0.45999999999999996"/>
    <n v="0"/>
  </r>
  <r>
    <n v="5978"/>
    <s v="CA-2017-116953"/>
    <d v="2017-04-24T00:00:00"/>
    <x v="3"/>
    <s v="Q2"/>
    <x v="4"/>
    <d v="2017-04-25T00:00:00"/>
    <s v="First Class"/>
    <x v="603"/>
    <x v="603"/>
    <s v="Consumer"/>
    <s v="United States"/>
    <s v="Mesa"/>
    <x v="16"/>
    <n v="85204"/>
    <x v="1"/>
    <x v="302"/>
    <x v="2"/>
    <x v="7"/>
    <x v="302"/>
    <n v="552"/>
    <s v="High"/>
    <n v="10"/>
    <n v="0.2"/>
    <x v="2"/>
    <x v="2"/>
    <n v="34.5"/>
    <n v="6.25E-2"/>
    <n v="0"/>
  </r>
  <r>
    <n v="5979"/>
    <s v="CA-2014-117765"/>
    <d v="2014-09-07T00:00:00"/>
    <x v="2"/>
    <s v="Q3"/>
    <x v="30"/>
    <d v="2014-09-13T00:00:00"/>
    <s v="Standard Class"/>
    <x v="46"/>
    <x v="46"/>
    <s v="Home Office"/>
    <s v="United States"/>
    <s v="Tulsa"/>
    <x v="26"/>
    <n v="74133"/>
    <x v="2"/>
    <x v="977"/>
    <x v="0"/>
    <x v="3"/>
    <x v="832"/>
    <n v="429.9"/>
    <s v="High"/>
    <n v="5"/>
    <n v="0"/>
    <x v="0"/>
    <x v="0"/>
    <n v="111.774"/>
    <n v="0.26"/>
    <n v="0"/>
  </r>
  <r>
    <n v="5980"/>
    <s v="CA-2014-117765"/>
    <d v="2014-09-07T00:00:00"/>
    <x v="2"/>
    <s v="Q3"/>
    <x v="30"/>
    <d v="2014-09-13T00:00:00"/>
    <s v="Standard Class"/>
    <x v="46"/>
    <x v="46"/>
    <s v="Home Office"/>
    <s v="United States"/>
    <s v="Tulsa"/>
    <x v="26"/>
    <n v="74133"/>
    <x v="2"/>
    <x v="27"/>
    <x v="1"/>
    <x v="8"/>
    <x v="27"/>
    <n v="32.06"/>
    <s v="Medium"/>
    <n v="2"/>
    <n v="0"/>
    <x v="0"/>
    <x v="0"/>
    <n v="15.3888"/>
    <n v="0.48"/>
    <n v="0"/>
  </r>
  <r>
    <n v="5981"/>
    <s v="CA-2014-117765"/>
    <d v="2014-09-07T00:00:00"/>
    <x v="2"/>
    <s v="Q3"/>
    <x v="30"/>
    <d v="2014-09-13T00:00:00"/>
    <s v="Standard Class"/>
    <x v="46"/>
    <x v="46"/>
    <s v="Home Office"/>
    <s v="United States"/>
    <s v="Tulsa"/>
    <x v="26"/>
    <n v="74133"/>
    <x v="2"/>
    <x v="167"/>
    <x v="0"/>
    <x v="1"/>
    <x v="168"/>
    <n v="161.96"/>
    <s v="High"/>
    <n v="2"/>
    <n v="0"/>
    <x v="0"/>
    <x v="0"/>
    <n v="45.348799999999997"/>
    <n v="0.27999999999999997"/>
    <n v="0"/>
  </r>
  <r>
    <n v="5982"/>
    <s v="CA-2014-117765"/>
    <d v="2014-09-07T00:00:00"/>
    <x v="2"/>
    <s v="Q3"/>
    <x v="30"/>
    <d v="2014-09-13T00:00:00"/>
    <s v="Standard Class"/>
    <x v="46"/>
    <x v="46"/>
    <s v="Home Office"/>
    <s v="United States"/>
    <s v="Tulsa"/>
    <x v="26"/>
    <n v="74133"/>
    <x v="2"/>
    <x v="337"/>
    <x v="1"/>
    <x v="4"/>
    <x v="337"/>
    <n v="19.86"/>
    <s v="Low"/>
    <n v="2"/>
    <n v="0"/>
    <x v="0"/>
    <x v="0"/>
    <n v="5.7594000000000003"/>
    <n v="0.29000000000000004"/>
    <n v="0"/>
  </r>
  <r>
    <n v="5983"/>
    <s v="CA-2016-114895"/>
    <d v="2016-11-21T00:00:00"/>
    <x v="0"/>
    <s v="Q4"/>
    <x v="0"/>
    <d v="2016-11-28T00:00:00"/>
    <s v="Standard Class"/>
    <x v="160"/>
    <x v="160"/>
    <s v="Consumer"/>
    <s v="United States"/>
    <s v="New York City"/>
    <x v="15"/>
    <n v="10035"/>
    <x v="3"/>
    <x v="1641"/>
    <x v="1"/>
    <x v="10"/>
    <x v="1631"/>
    <n v="12.96"/>
    <s v="Low"/>
    <n v="2"/>
    <n v="0"/>
    <x v="0"/>
    <x v="0"/>
    <n v="6.3503999999999996"/>
    <n v="0.48999999999999994"/>
    <n v="0"/>
  </r>
  <r>
    <n v="5984"/>
    <s v="CA-2017-112984"/>
    <d v="2017-09-16T00:00:00"/>
    <x v="3"/>
    <s v="Q3"/>
    <x v="15"/>
    <d v="2017-09-18T00:00:00"/>
    <s v="Second Class"/>
    <x v="699"/>
    <x v="699"/>
    <s v="Consumer"/>
    <s v="United States"/>
    <s v="Philadelphia"/>
    <x v="9"/>
    <n v="19143"/>
    <x v="3"/>
    <x v="630"/>
    <x v="1"/>
    <x v="10"/>
    <x v="630"/>
    <n v="20.544"/>
    <s v="Low"/>
    <n v="6"/>
    <n v="0.2"/>
    <x v="2"/>
    <x v="2"/>
    <n v="6.42"/>
    <n v="0.3125"/>
    <n v="0"/>
  </r>
  <r>
    <n v="5985"/>
    <s v="CA-2016-163776"/>
    <d v="2016-07-19T00:00:00"/>
    <x v="0"/>
    <s v="Q3"/>
    <x v="16"/>
    <d v="2016-07-25T00:00:00"/>
    <s v="Standard Class"/>
    <x v="559"/>
    <x v="559"/>
    <s v="Consumer"/>
    <s v="United States"/>
    <s v="Hattiesburg"/>
    <x v="35"/>
    <n v="39401"/>
    <x v="0"/>
    <x v="1435"/>
    <x v="0"/>
    <x v="5"/>
    <x v="1423"/>
    <n v="185.58"/>
    <s v="High"/>
    <n v="6"/>
    <n v="0"/>
    <x v="0"/>
    <x v="0"/>
    <n v="76.087800000000001"/>
    <n v="0.41"/>
    <n v="0"/>
  </r>
  <r>
    <n v="5986"/>
    <s v="CA-2016-163776"/>
    <d v="2016-07-19T00:00:00"/>
    <x v="0"/>
    <s v="Q3"/>
    <x v="16"/>
    <d v="2016-07-25T00:00:00"/>
    <s v="Standard Class"/>
    <x v="559"/>
    <x v="559"/>
    <s v="Consumer"/>
    <s v="United States"/>
    <s v="Hattiesburg"/>
    <x v="35"/>
    <n v="39401"/>
    <x v="0"/>
    <x v="1561"/>
    <x v="1"/>
    <x v="8"/>
    <x v="1551"/>
    <n v="77.56"/>
    <s v="Medium"/>
    <n v="2"/>
    <n v="0"/>
    <x v="0"/>
    <x v="0"/>
    <n v="35.677599999999998"/>
    <n v="0.45999999999999996"/>
    <n v="0"/>
  </r>
  <r>
    <n v="5987"/>
    <s v="CA-2016-163776"/>
    <d v="2016-07-19T00:00:00"/>
    <x v="0"/>
    <s v="Q3"/>
    <x v="16"/>
    <d v="2016-07-25T00:00:00"/>
    <s v="Standard Class"/>
    <x v="559"/>
    <x v="559"/>
    <s v="Consumer"/>
    <s v="United States"/>
    <s v="Hattiesburg"/>
    <x v="35"/>
    <n v="39401"/>
    <x v="0"/>
    <x v="210"/>
    <x v="1"/>
    <x v="4"/>
    <x v="211"/>
    <n v="87.92"/>
    <s v="Medium"/>
    <n v="4"/>
    <n v="0"/>
    <x v="0"/>
    <x v="0"/>
    <n v="0.87919999999999998"/>
    <n v="0.01"/>
    <n v="0"/>
  </r>
  <r>
    <n v="5988"/>
    <s v="CA-2016-163776"/>
    <d v="2016-07-19T00:00:00"/>
    <x v="0"/>
    <s v="Q3"/>
    <x v="16"/>
    <d v="2016-07-25T00:00:00"/>
    <s v="Standard Class"/>
    <x v="559"/>
    <x v="559"/>
    <s v="Consumer"/>
    <s v="United States"/>
    <s v="Hattiesburg"/>
    <x v="35"/>
    <n v="39401"/>
    <x v="0"/>
    <x v="1522"/>
    <x v="1"/>
    <x v="10"/>
    <x v="1509"/>
    <n v="245.94"/>
    <s v="High"/>
    <n v="6"/>
    <n v="0"/>
    <x v="0"/>
    <x v="0"/>
    <n v="120.5106"/>
    <n v="0.49"/>
    <n v="0"/>
  </r>
  <r>
    <n v="5989"/>
    <s v="CA-2016-163776"/>
    <d v="2016-07-19T00:00:00"/>
    <x v="0"/>
    <s v="Q3"/>
    <x v="16"/>
    <d v="2016-07-25T00:00:00"/>
    <s v="Standard Class"/>
    <x v="559"/>
    <x v="559"/>
    <s v="Consumer"/>
    <s v="United States"/>
    <s v="Hattiesburg"/>
    <x v="35"/>
    <n v="39401"/>
    <x v="0"/>
    <x v="480"/>
    <x v="1"/>
    <x v="8"/>
    <x v="481"/>
    <n v="8.6"/>
    <s v="Low"/>
    <n v="1"/>
    <n v="0"/>
    <x v="0"/>
    <x v="0"/>
    <n v="4.0419999999999998"/>
    <n v="0.47"/>
    <n v="0"/>
  </r>
  <r>
    <n v="5990"/>
    <s v="CA-2016-163776"/>
    <d v="2016-07-19T00:00:00"/>
    <x v="0"/>
    <s v="Q3"/>
    <x v="16"/>
    <d v="2016-07-25T00:00:00"/>
    <s v="Standard Class"/>
    <x v="559"/>
    <x v="559"/>
    <s v="Consumer"/>
    <s v="United States"/>
    <s v="Hattiesburg"/>
    <x v="35"/>
    <n v="39401"/>
    <x v="0"/>
    <x v="1659"/>
    <x v="0"/>
    <x v="0"/>
    <x v="1647"/>
    <n v="504.9"/>
    <s v="High"/>
    <n v="5"/>
    <n v="0"/>
    <x v="0"/>
    <x v="0"/>
    <n v="126.22499999999999"/>
    <n v="0.25"/>
    <n v="0"/>
  </r>
  <r>
    <n v="5991"/>
    <s v="US-2017-163300"/>
    <d v="2017-09-15T00:00:00"/>
    <x v="3"/>
    <s v="Q3"/>
    <x v="15"/>
    <d v="2017-09-21T00:00:00"/>
    <s v="Standard Class"/>
    <x v="301"/>
    <x v="301"/>
    <s v="Consumer"/>
    <s v="United States"/>
    <s v="Los Angeles"/>
    <x v="1"/>
    <n v="90049"/>
    <x v="1"/>
    <x v="1178"/>
    <x v="1"/>
    <x v="8"/>
    <x v="1164"/>
    <n v="2357.4879999999998"/>
    <s v="High"/>
    <n v="7"/>
    <n v="0.2"/>
    <x v="2"/>
    <x v="2"/>
    <n v="884.05799999999999"/>
    <n v="0.375"/>
    <n v="0"/>
  </r>
  <r>
    <n v="5992"/>
    <s v="US-2017-163300"/>
    <d v="2017-09-15T00:00:00"/>
    <x v="3"/>
    <s v="Q3"/>
    <x v="15"/>
    <d v="2017-09-21T00:00:00"/>
    <s v="Standard Class"/>
    <x v="301"/>
    <x v="301"/>
    <s v="Consumer"/>
    <s v="United States"/>
    <s v="Los Angeles"/>
    <x v="1"/>
    <n v="90049"/>
    <x v="1"/>
    <x v="194"/>
    <x v="2"/>
    <x v="7"/>
    <x v="195"/>
    <n v="369.54399999999998"/>
    <s v="High"/>
    <n v="7"/>
    <n v="0.2"/>
    <x v="2"/>
    <x v="2"/>
    <n v="32.335099999999997"/>
    <n v="8.7499999999999994E-2"/>
    <n v="0"/>
  </r>
  <r>
    <n v="5993"/>
    <s v="US-2017-163300"/>
    <d v="2017-09-15T00:00:00"/>
    <x v="3"/>
    <s v="Q3"/>
    <x v="15"/>
    <d v="2017-09-21T00:00:00"/>
    <s v="Standard Class"/>
    <x v="301"/>
    <x v="301"/>
    <s v="Consumer"/>
    <s v="United States"/>
    <s v="Los Angeles"/>
    <x v="1"/>
    <n v="90049"/>
    <x v="1"/>
    <x v="389"/>
    <x v="0"/>
    <x v="1"/>
    <x v="390"/>
    <n v="184.75200000000001"/>
    <s v="High"/>
    <n v="3"/>
    <n v="0.2"/>
    <x v="2"/>
    <x v="2"/>
    <n v="-20.784600000000001"/>
    <n v="-0.1125"/>
    <n v="1"/>
  </r>
  <r>
    <n v="5994"/>
    <s v="CA-2016-162187"/>
    <d v="2016-12-11T00:00:00"/>
    <x v="0"/>
    <s v="Q4"/>
    <x v="5"/>
    <d v="2016-12-11T00:00:00"/>
    <s v="Same Day"/>
    <x v="374"/>
    <x v="374"/>
    <s v="Corporate"/>
    <s v="United States"/>
    <s v="Columbus"/>
    <x v="24"/>
    <n v="43229"/>
    <x v="3"/>
    <x v="720"/>
    <x v="1"/>
    <x v="4"/>
    <x v="719"/>
    <n v="64.959999999999994"/>
    <s v="Medium"/>
    <n v="5"/>
    <n v="0.2"/>
    <x v="2"/>
    <x v="2"/>
    <n v="-4.0599999999999996"/>
    <n v="-6.25E-2"/>
    <n v="1"/>
  </r>
  <r>
    <n v="5995"/>
    <s v="CA-2016-162187"/>
    <d v="2016-12-11T00:00:00"/>
    <x v="0"/>
    <s v="Q4"/>
    <x v="5"/>
    <d v="2016-12-11T00:00:00"/>
    <s v="Same Day"/>
    <x v="374"/>
    <x v="374"/>
    <s v="Corporate"/>
    <s v="United States"/>
    <s v="Columbus"/>
    <x v="24"/>
    <n v="43229"/>
    <x v="3"/>
    <x v="1566"/>
    <x v="1"/>
    <x v="14"/>
    <x v="1557"/>
    <n v="13.52"/>
    <s v="Low"/>
    <n v="2"/>
    <n v="0.2"/>
    <x v="2"/>
    <x v="2"/>
    <n v="1.69"/>
    <n v="0.125"/>
    <n v="0"/>
  </r>
  <r>
    <n v="5996"/>
    <s v="CA-2016-162187"/>
    <d v="2016-12-11T00:00:00"/>
    <x v="0"/>
    <s v="Q4"/>
    <x v="5"/>
    <d v="2016-12-11T00:00:00"/>
    <s v="Same Day"/>
    <x v="374"/>
    <x v="374"/>
    <s v="Corporate"/>
    <s v="United States"/>
    <s v="Columbus"/>
    <x v="24"/>
    <n v="43229"/>
    <x v="3"/>
    <x v="1585"/>
    <x v="0"/>
    <x v="1"/>
    <x v="1576"/>
    <n v="458.43"/>
    <s v="High"/>
    <n v="5"/>
    <n v="0.3"/>
    <x v="1"/>
    <x v="4"/>
    <n v="-137.529"/>
    <n v="-0.3"/>
    <n v="1"/>
  </r>
  <r>
    <n v="5997"/>
    <s v="CA-2016-162187"/>
    <d v="2016-12-11T00:00:00"/>
    <x v="0"/>
    <s v="Q4"/>
    <x v="5"/>
    <d v="2016-12-11T00:00:00"/>
    <s v="Same Day"/>
    <x v="374"/>
    <x v="374"/>
    <s v="Corporate"/>
    <s v="United States"/>
    <s v="Columbus"/>
    <x v="24"/>
    <n v="43229"/>
    <x v="3"/>
    <x v="643"/>
    <x v="1"/>
    <x v="9"/>
    <x v="850"/>
    <n v="387.13600000000002"/>
    <s v="High"/>
    <n v="4"/>
    <n v="0.2"/>
    <x v="2"/>
    <x v="2"/>
    <n v="24.196000000000002"/>
    <n v="6.25E-2"/>
    <n v="0"/>
  </r>
  <r>
    <n v="5998"/>
    <s v="CA-2016-162187"/>
    <d v="2016-12-11T00:00:00"/>
    <x v="0"/>
    <s v="Q4"/>
    <x v="5"/>
    <d v="2016-12-11T00:00:00"/>
    <s v="Same Day"/>
    <x v="374"/>
    <x v="374"/>
    <s v="Corporate"/>
    <s v="United States"/>
    <s v="Columbus"/>
    <x v="24"/>
    <n v="43229"/>
    <x v="3"/>
    <x v="962"/>
    <x v="0"/>
    <x v="3"/>
    <x v="955"/>
    <n v="328.59"/>
    <s v="High"/>
    <n v="3"/>
    <n v="0.4"/>
    <x v="1"/>
    <x v="7"/>
    <n v="-147.8655"/>
    <n v="-0.45"/>
    <n v="1"/>
  </r>
  <r>
    <n v="5999"/>
    <s v="US-2014-112991"/>
    <d v="2014-12-10T00:00:00"/>
    <x v="2"/>
    <s v="Q4"/>
    <x v="20"/>
    <d v="2014-12-14T00:00:00"/>
    <s v="Standard Class"/>
    <x v="64"/>
    <x v="64"/>
    <s v="Corporate"/>
    <s v="United States"/>
    <s v="Caldwell"/>
    <x v="45"/>
    <n v="83605"/>
    <x v="1"/>
    <x v="901"/>
    <x v="0"/>
    <x v="1"/>
    <x v="893"/>
    <n v="338.35199999999998"/>
    <s v="High"/>
    <n v="3"/>
    <n v="0.2"/>
    <x v="2"/>
    <x v="2"/>
    <n v="4.2294"/>
    <n v="1.2500000000000001E-2"/>
    <n v="0"/>
  </r>
  <r>
    <n v="6000"/>
    <s v="US-2014-112991"/>
    <d v="2014-12-10T00:00:00"/>
    <x v="2"/>
    <s v="Q4"/>
    <x v="20"/>
    <d v="2014-12-14T00:00:00"/>
    <s v="Standard Class"/>
    <x v="64"/>
    <x v="64"/>
    <s v="Corporate"/>
    <s v="United States"/>
    <s v="Caldwell"/>
    <x v="45"/>
    <n v="83605"/>
    <x v="1"/>
    <x v="712"/>
    <x v="1"/>
    <x v="10"/>
    <x v="711"/>
    <n v="25.92"/>
    <s v="Medium"/>
    <n v="4"/>
    <n v="0"/>
    <x v="0"/>
    <x v="0"/>
    <n v="12.441599999999999"/>
    <n v="0.47999999999999993"/>
    <n v="0"/>
  </r>
  <r>
    <n v="6001"/>
    <s v="US-2014-112991"/>
    <d v="2014-12-10T00:00:00"/>
    <x v="2"/>
    <s v="Q4"/>
    <x v="20"/>
    <d v="2014-12-14T00:00:00"/>
    <s v="Standard Class"/>
    <x v="64"/>
    <x v="64"/>
    <s v="Corporate"/>
    <s v="United States"/>
    <s v="Caldwell"/>
    <x v="45"/>
    <n v="83605"/>
    <x v="1"/>
    <x v="393"/>
    <x v="1"/>
    <x v="10"/>
    <x v="394"/>
    <n v="91.36"/>
    <s v="Medium"/>
    <n v="4"/>
    <n v="0"/>
    <x v="0"/>
    <x v="0"/>
    <n v="42.025599999999997"/>
    <n v="0.45999999999999996"/>
    <n v="0"/>
  </r>
  <r>
    <n v="6002"/>
    <s v="CA-2014-124079"/>
    <d v="2014-12-13T00:00:00"/>
    <x v="2"/>
    <s v="Q4"/>
    <x v="20"/>
    <d v="2014-12-17T00:00:00"/>
    <s v="Standard Class"/>
    <x v="575"/>
    <x v="575"/>
    <s v="Corporate"/>
    <s v="United States"/>
    <s v="Phoenix"/>
    <x v="16"/>
    <n v="85023"/>
    <x v="1"/>
    <x v="1142"/>
    <x v="0"/>
    <x v="5"/>
    <x v="1130"/>
    <n v="87.96"/>
    <s v="Medium"/>
    <n v="3"/>
    <n v="0.2"/>
    <x v="2"/>
    <x v="2"/>
    <n v="7.6965000000000003"/>
    <n v="8.7500000000000008E-2"/>
    <n v="0"/>
  </r>
  <r>
    <n v="6003"/>
    <s v="CA-2014-124079"/>
    <d v="2014-12-13T00:00:00"/>
    <x v="2"/>
    <s v="Q4"/>
    <x v="20"/>
    <d v="2014-12-17T00:00:00"/>
    <s v="Standard Class"/>
    <x v="575"/>
    <x v="575"/>
    <s v="Corporate"/>
    <s v="United States"/>
    <s v="Phoenix"/>
    <x v="16"/>
    <n v="85023"/>
    <x v="1"/>
    <x v="530"/>
    <x v="1"/>
    <x v="8"/>
    <x v="530"/>
    <n v="5.2140000000000004"/>
    <s v="Low"/>
    <n v="2"/>
    <n v="0.7"/>
    <x v="1"/>
    <x v="5"/>
    <n v="-4.1711999999999998"/>
    <n v="-0.79999999999999993"/>
    <n v="1"/>
  </r>
  <r>
    <n v="6004"/>
    <s v="US-2017-146878"/>
    <d v="2017-09-21T00:00:00"/>
    <x v="3"/>
    <s v="Q3"/>
    <x v="15"/>
    <d v="2017-09-27T00:00:00"/>
    <s v="Standard Class"/>
    <x v="297"/>
    <x v="297"/>
    <s v="Consumer"/>
    <s v="United States"/>
    <s v="Miami"/>
    <x v="2"/>
    <n v="33142"/>
    <x v="0"/>
    <x v="102"/>
    <x v="1"/>
    <x v="8"/>
    <x v="102"/>
    <n v="12.294"/>
    <s v="Low"/>
    <n v="1"/>
    <n v="0.7"/>
    <x v="1"/>
    <x v="5"/>
    <n v="-8.6058000000000003"/>
    <n v="-0.7"/>
    <n v="1"/>
  </r>
  <r>
    <n v="6005"/>
    <s v="CA-2017-107244"/>
    <d v="2017-09-07T00:00:00"/>
    <x v="3"/>
    <s v="Q3"/>
    <x v="15"/>
    <d v="2017-09-11T00:00:00"/>
    <s v="Standard Class"/>
    <x v="369"/>
    <x v="369"/>
    <s v="Consumer"/>
    <s v="United States"/>
    <s v="Los Angeles"/>
    <x v="1"/>
    <n v="90004"/>
    <x v="1"/>
    <x v="627"/>
    <x v="0"/>
    <x v="5"/>
    <x v="627"/>
    <n v="19.760000000000002"/>
    <s v="Low"/>
    <n v="4"/>
    <n v="0"/>
    <x v="0"/>
    <x v="0"/>
    <n v="8.2992000000000008"/>
    <n v="0.42"/>
    <n v="0"/>
  </r>
  <r>
    <n v="6006"/>
    <s v="CA-2015-100657"/>
    <d v="2015-11-02T00:00:00"/>
    <x v="1"/>
    <s v="Q4"/>
    <x v="6"/>
    <d v="2015-11-07T00:00:00"/>
    <s v="Standard Class"/>
    <x v="573"/>
    <x v="573"/>
    <s v="Consumer"/>
    <s v="United States"/>
    <s v="Troy"/>
    <x v="15"/>
    <n v="12180"/>
    <x v="3"/>
    <x v="1534"/>
    <x v="0"/>
    <x v="1"/>
    <x v="1522"/>
    <n v="109.764"/>
    <s v="Medium"/>
    <n v="2"/>
    <n v="0.1"/>
    <x v="3"/>
    <x v="8"/>
    <n v="8.5372000000000003"/>
    <n v="7.7777777777777779E-2"/>
    <n v="0"/>
  </r>
  <r>
    <n v="6007"/>
    <s v="CA-2017-129581"/>
    <d v="2017-12-11T00:00:00"/>
    <x v="3"/>
    <s v="Q4"/>
    <x v="22"/>
    <d v="2017-12-18T00:00:00"/>
    <s v="Standard Class"/>
    <x v="471"/>
    <x v="471"/>
    <s v="Corporate"/>
    <s v="United States"/>
    <s v="New Bedford"/>
    <x v="31"/>
    <n v="2740"/>
    <x v="3"/>
    <x v="1300"/>
    <x v="2"/>
    <x v="7"/>
    <x v="1285"/>
    <n v="128.85"/>
    <s v="High"/>
    <n v="3"/>
    <n v="0"/>
    <x v="0"/>
    <x v="0"/>
    <n v="3.8654999999999999"/>
    <n v="3.0000000000000002E-2"/>
    <n v="0"/>
  </r>
  <r>
    <n v="6008"/>
    <s v="CA-2017-129028"/>
    <d v="2017-04-01T00:00:00"/>
    <x v="3"/>
    <s v="Q2"/>
    <x v="4"/>
    <d v="2017-04-03T00:00:00"/>
    <s v="First Class"/>
    <x v="334"/>
    <x v="334"/>
    <s v="Corporate"/>
    <s v="United States"/>
    <s v="Florence"/>
    <x v="20"/>
    <n v="29501"/>
    <x v="0"/>
    <x v="101"/>
    <x v="0"/>
    <x v="5"/>
    <x v="101"/>
    <n v="127.95"/>
    <s v="High"/>
    <n v="3"/>
    <n v="0"/>
    <x v="0"/>
    <x v="0"/>
    <n v="21.7515"/>
    <n v="0.16999999999999998"/>
    <n v="0"/>
  </r>
  <r>
    <n v="6009"/>
    <s v="CA-2015-135580"/>
    <d v="2015-12-30T00:00:00"/>
    <x v="1"/>
    <s v="Q4"/>
    <x v="14"/>
    <d v="2016-01-03T00:00:00"/>
    <s v="Standard Class"/>
    <x v="52"/>
    <x v="52"/>
    <s v="Consumer"/>
    <s v="United States"/>
    <s v="Los Angeles"/>
    <x v="1"/>
    <n v="90049"/>
    <x v="1"/>
    <x v="1138"/>
    <x v="1"/>
    <x v="10"/>
    <x v="1126"/>
    <n v="68.52"/>
    <s v="Medium"/>
    <n v="3"/>
    <n v="0"/>
    <x v="0"/>
    <x v="0"/>
    <n v="31.519200000000001"/>
    <n v="0.46"/>
    <n v="0"/>
  </r>
  <r>
    <n v="6010"/>
    <s v="CA-2015-135580"/>
    <d v="2015-12-30T00:00:00"/>
    <x v="1"/>
    <s v="Q4"/>
    <x v="14"/>
    <d v="2016-01-03T00:00:00"/>
    <s v="Standard Class"/>
    <x v="52"/>
    <x v="52"/>
    <s v="Consumer"/>
    <s v="United States"/>
    <s v="Los Angeles"/>
    <x v="1"/>
    <n v="90049"/>
    <x v="1"/>
    <x v="352"/>
    <x v="1"/>
    <x v="4"/>
    <x v="352"/>
    <n v="74.94"/>
    <s v="Medium"/>
    <n v="3"/>
    <n v="0"/>
    <x v="0"/>
    <x v="0"/>
    <n v="14.2386"/>
    <n v="0.19"/>
    <n v="0"/>
  </r>
  <r>
    <n v="6011"/>
    <s v="CA-2015-135580"/>
    <d v="2015-12-30T00:00:00"/>
    <x v="1"/>
    <s v="Q4"/>
    <x v="14"/>
    <d v="2016-01-03T00:00:00"/>
    <s v="Standard Class"/>
    <x v="52"/>
    <x v="52"/>
    <s v="Consumer"/>
    <s v="United States"/>
    <s v="Los Angeles"/>
    <x v="1"/>
    <n v="90049"/>
    <x v="1"/>
    <x v="668"/>
    <x v="2"/>
    <x v="15"/>
    <x v="668"/>
    <n v="2548.56"/>
    <s v="High"/>
    <n v="6"/>
    <n v="0.2"/>
    <x v="2"/>
    <x v="2"/>
    <n v="286.71300000000002"/>
    <n v="0.11250000000000002"/>
    <n v="0"/>
  </r>
  <r>
    <n v="6012"/>
    <s v="CA-2015-135580"/>
    <d v="2015-12-30T00:00:00"/>
    <x v="1"/>
    <s v="Q4"/>
    <x v="14"/>
    <d v="2016-01-03T00:00:00"/>
    <s v="Standard Class"/>
    <x v="52"/>
    <x v="52"/>
    <s v="Consumer"/>
    <s v="United States"/>
    <s v="Los Angeles"/>
    <x v="1"/>
    <n v="90049"/>
    <x v="1"/>
    <x v="231"/>
    <x v="1"/>
    <x v="12"/>
    <x v="232"/>
    <n v="271.44"/>
    <s v="High"/>
    <n v="3"/>
    <n v="0"/>
    <x v="0"/>
    <x v="0"/>
    <n v="122.148"/>
    <n v="0.45"/>
    <n v="0"/>
  </r>
  <r>
    <n v="6013"/>
    <s v="CA-2015-135580"/>
    <d v="2015-12-30T00:00:00"/>
    <x v="1"/>
    <s v="Q4"/>
    <x v="14"/>
    <d v="2016-01-03T00:00:00"/>
    <s v="Standard Class"/>
    <x v="52"/>
    <x v="52"/>
    <s v="Consumer"/>
    <s v="United States"/>
    <s v="Los Angeles"/>
    <x v="1"/>
    <n v="90049"/>
    <x v="1"/>
    <x v="1191"/>
    <x v="2"/>
    <x v="7"/>
    <x v="1176"/>
    <n v="287.88"/>
    <s v="High"/>
    <n v="3"/>
    <n v="0.2"/>
    <x v="2"/>
    <x v="2"/>
    <n v="35.984999999999999"/>
    <n v="0.125"/>
    <n v="0"/>
  </r>
  <r>
    <n v="6014"/>
    <s v="CA-2016-159016"/>
    <d v="2016-03-10T00:00:00"/>
    <x v="0"/>
    <s v="Q1"/>
    <x v="17"/>
    <d v="2016-03-11T00:00:00"/>
    <s v="First Class"/>
    <x v="580"/>
    <x v="580"/>
    <s v="Home Office"/>
    <s v="United States"/>
    <s v="Los Angeles"/>
    <x v="1"/>
    <n v="90008"/>
    <x v="1"/>
    <x v="1102"/>
    <x v="1"/>
    <x v="10"/>
    <x v="1091"/>
    <n v="14.9"/>
    <s v="Low"/>
    <n v="5"/>
    <n v="0"/>
    <x v="0"/>
    <x v="0"/>
    <n v="7.1520000000000001"/>
    <n v="0.48"/>
    <n v="0"/>
  </r>
  <r>
    <n v="6015"/>
    <s v="CA-2016-159016"/>
    <d v="2016-03-10T00:00:00"/>
    <x v="0"/>
    <s v="Q1"/>
    <x v="17"/>
    <d v="2016-03-11T00:00:00"/>
    <s v="First Class"/>
    <x v="580"/>
    <x v="580"/>
    <s v="Home Office"/>
    <s v="United States"/>
    <s v="Los Angeles"/>
    <x v="1"/>
    <n v="90008"/>
    <x v="1"/>
    <x v="1148"/>
    <x v="2"/>
    <x v="7"/>
    <x v="1136"/>
    <n v="4158.9120000000003"/>
    <s v="High"/>
    <n v="8"/>
    <n v="0.2"/>
    <x v="2"/>
    <x v="2"/>
    <n v="363.90480000000002"/>
    <n v="8.7499999999999994E-2"/>
    <n v="0"/>
  </r>
  <r>
    <n v="6016"/>
    <s v="CA-2014-102652"/>
    <d v="2014-04-06T00:00:00"/>
    <x v="2"/>
    <s v="Q2"/>
    <x v="41"/>
    <d v="2014-04-12T00:00:00"/>
    <s v="Standard Class"/>
    <x v="672"/>
    <x v="672"/>
    <s v="Corporate"/>
    <s v="United States"/>
    <s v="Los Angeles"/>
    <x v="1"/>
    <n v="90049"/>
    <x v="1"/>
    <x v="1762"/>
    <x v="0"/>
    <x v="5"/>
    <x v="1751"/>
    <n v="91.96"/>
    <s v="Medium"/>
    <n v="2"/>
    <n v="0"/>
    <x v="0"/>
    <x v="0"/>
    <n v="15.6332"/>
    <n v="0.17"/>
    <n v="0"/>
  </r>
  <r>
    <n v="6017"/>
    <s v="CA-2014-102652"/>
    <d v="2014-04-06T00:00:00"/>
    <x v="2"/>
    <s v="Q2"/>
    <x v="41"/>
    <d v="2014-04-12T00:00:00"/>
    <s v="Standard Class"/>
    <x v="672"/>
    <x v="672"/>
    <s v="Corporate"/>
    <s v="United States"/>
    <s v="Los Angeles"/>
    <x v="1"/>
    <n v="90049"/>
    <x v="1"/>
    <x v="283"/>
    <x v="0"/>
    <x v="5"/>
    <x v="283"/>
    <n v="33.11"/>
    <s v="Medium"/>
    <n v="7"/>
    <n v="0"/>
    <x v="0"/>
    <x v="0"/>
    <n v="12.9129"/>
    <n v="0.39"/>
    <n v="0"/>
  </r>
  <r>
    <n v="6018"/>
    <s v="CA-2014-102652"/>
    <d v="2014-04-06T00:00:00"/>
    <x v="2"/>
    <s v="Q2"/>
    <x v="41"/>
    <d v="2014-04-12T00:00:00"/>
    <s v="Standard Class"/>
    <x v="672"/>
    <x v="672"/>
    <s v="Corporate"/>
    <s v="United States"/>
    <s v="Los Angeles"/>
    <x v="1"/>
    <n v="90049"/>
    <x v="1"/>
    <x v="1165"/>
    <x v="1"/>
    <x v="10"/>
    <x v="1152"/>
    <n v="19.440000000000001"/>
    <s v="Low"/>
    <n v="3"/>
    <n v="0"/>
    <x v="0"/>
    <x v="0"/>
    <n v="9.3312000000000008"/>
    <n v="0.48000000000000004"/>
    <n v="0"/>
  </r>
  <r>
    <n v="6019"/>
    <s v="CA-2014-102652"/>
    <d v="2014-04-06T00:00:00"/>
    <x v="2"/>
    <s v="Q2"/>
    <x v="41"/>
    <d v="2014-04-12T00:00:00"/>
    <s v="Standard Class"/>
    <x v="672"/>
    <x v="672"/>
    <s v="Corporate"/>
    <s v="United States"/>
    <s v="Los Angeles"/>
    <x v="1"/>
    <n v="90049"/>
    <x v="1"/>
    <x v="1486"/>
    <x v="1"/>
    <x v="10"/>
    <x v="1473"/>
    <n v="55.48"/>
    <s v="Medium"/>
    <n v="1"/>
    <n v="0"/>
    <x v="0"/>
    <x v="0"/>
    <n v="26.630400000000002"/>
    <n v="0.48000000000000004"/>
    <n v="0"/>
  </r>
  <r>
    <n v="6020"/>
    <s v="CA-2014-152422"/>
    <d v="2014-10-05T00:00:00"/>
    <x v="2"/>
    <s v="Q4"/>
    <x v="18"/>
    <d v="2014-10-10T00:00:00"/>
    <s v="Second Class"/>
    <x v="631"/>
    <x v="631"/>
    <s v="Consumer"/>
    <s v="United States"/>
    <s v="Columbus"/>
    <x v="24"/>
    <n v="43229"/>
    <x v="3"/>
    <x v="9"/>
    <x v="1"/>
    <x v="9"/>
    <x v="9"/>
    <n v="91.92"/>
    <s v="Medium"/>
    <n v="5"/>
    <n v="0.2"/>
    <x v="2"/>
    <x v="2"/>
    <n v="11.49"/>
    <n v="0.125"/>
    <n v="0"/>
  </r>
  <r>
    <n v="6021"/>
    <s v="US-2016-156692"/>
    <d v="2016-08-13T00:00:00"/>
    <x v="0"/>
    <s v="Q3"/>
    <x v="28"/>
    <d v="2016-08-13T00:00:00"/>
    <s v="Same Day"/>
    <x v="643"/>
    <x v="643"/>
    <s v="Consumer"/>
    <s v="United States"/>
    <s v="Kenner"/>
    <x v="28"/>
    <n v="70065"/>
    <x v="0"/>
    <x v="1295"/>
    <x v="1"/>
    <x v="9"/>
    <x v="360"/>
    <n v="17.34"/>
    <s v="Low"/>
    <n v="2"/>
    <n v="0"/>
    <x v="0"/>
    <x v="0"/>
    <n v="4.6818"/>
    <n v="0.27"/>
    <n v="0"/>
  </r>
  <r>
    <n v="6022"/>
    <s v="US-2016-156692"/>
    <d v="2016-08-13T00:00:00"/>
    <x v="0"/>
    <s v="Q3"/>
    <x v="28"/>
    <d v="2016-08-13T00:00:00"/>
    <s v="Same Day"/>
    <x v="643"/>
    <x v="643"/>
    <s v="Consumer"/>
    <s v="United States"/>
    <s v="Kenner"/>
    <x v="28"/>
    <n v="70065"/>
    <x v="0"/>
    <x v="357"/>
    <x v="2"/>
    <x v="11"/>
    <x v="357"/>
    <n v="71.98"/>
    <s v="Medium"/>
    <n v="2"/>
    <n v="0"/>
    <x v="0"/>
    <x v="0"/>
    <n v="15.1158"/>
    <n v="0.21"/>
    <n v="0"/>
  </r>
  <r>
    <n v="6023"/>
    <s v="CA-2014-130869"/>
    <d v="2014-11-17T00:00:00"/>
    <x v="2"/>
    <s v="Q4"/>
    <x v="7"/>
    <d v="2014-11-21T00:00:00"/>
    <s v="Standard Class"/>
    <x v="90"/>
    <x v="90"/>
    <s v="Consumer"/>
    <s v="United States"/>
    <s v="Cedar Hill"/>
    <x v="5"/>
    <n v="75104"/>
    <x v="2"/>
    <x v="111"/>
    <x v="1"/>
    <x v="12"/>
    <x v="111"/>
    <n v="7.08"/>
    <s v="Low"/>
    <n v="3"/>
    <n v="0.2"/>
    <x v="2"/>
    <x v="2"/>
    <n v="2.4780000000000002"/>
    <n v="0.35000000000000003"/>
    <n v="0"/>
  </r>
  <r>
    <n v="6024"/>
    <s v="US-2017-128832"/>
    <d v="2017-04-24T00:00:00"/>
    <x v="3"/>
    <s v="Q2"/>
    <x v="4"/>
    <d v="2017-04-27T00:00:00"/>
    <s v="First Class"/>
    <x v="322"/>
    <x v="322"/>
    <s v="Corporate"/>
    <s v="United States"/>
    <s v="Providence"/>
    <x v="34"/>
    <n v="2908"/>
    <x v="3"/>
    <x v="1067"/>
    <x v="2"/>
    <x v="11"/>
    <x v="1056"/>
    <n v="69.98"/>
    <s v="Medium"/>
    <n v="2"/>
    <n v="0"/>
    <x v="0"/>
    <x v="0"/>
    <n v="4.8986000000000001"/>
    <n v="6.9999999999999993E-2"/>
    <n v="0"/>
  </r>
  <r>
    <n v="6025"/>
    <s v="CA-2017-139717"/>
    <d v="2017-08-24T00:00:00"/>
    <x v="3"/>
    <s v="Q3"/>
    <x v="43"/>
    <d v="2017-08-26T00:00:00"/>
    <s v="Second Class"/>
    <x v="661"/>
    <x v="661"/>
    <s v="Consumer"/>
    <s v="United States"/>
    <s v="Lancaster"/>
    <x v="24"/>
    <n v="43130"/>
    <x v="3"/>
    <x v="1725"/>
    <x v="1"/>
    <x v="9"/>
    <x v="1712"/>
    <n v="646.27200000000005"/>
    <s v="High"/>
    <n v="8"/>
    <n v="0.2"/>
    <x v="2"/>
    <x v="2"/>
    <n v="64.627200000000002"/>
    <n v="9.9999999999999992E-2"/>
    <n v="0"/>
  </r>
  <r>
    <n v="6026"/>
    <s v="CA-2017-139717"/>
    <d v="2017-08-24T00:00:00"/>
    <x v="3"/>
    <s v="Q3"/>
    <x v="43"/>
    <d v="2017-08-26T00:00:00"/>
    <s v="Second Class"/>
    <x v="661"/>
    <x v="661"/>
    <s v="Consumer"/>
    <s v="United States"/>
    <s v="Lancaster"/>
    <x v="24"/>
    <n v="43130"/>
    <x v="3"/>
    <x v="727"/>
    <x v="1"/>
    <x v="10"/>
    <x v="1552"/>
    <n v="10.368"/>
    <s v="Low"/>
    <n v="2"/>
    <n v="0.2"/>
    <x v="2"/>
    <x v="2"/>
    <n v="3.7584"/>
    <n v="0.36249999999999999"/>
    <n v="0"/>
  </r>
  <r>
    <n v="6027"/>
    <s v="CA-2017-136007"/>
    <d v="2017-02-23T00:00:00"/>
    <x v="3"/>
    <s v="Q1"/>
    <x v="31"/>
    <d v="2017-03-02T00:00:00"/>
    <s v="Standard Class"/>
    <x v="556"/>
    <x v="556"/>
    <s v="Corporate"/>
    <s v="United States"/>
    <s v="Seattle"/>
    <x v="4"/>
    <n v="98115"/>
    <x v="1"/>
    <x v="1471"/>
    <x v="1"/>
    <x v="13"/>
    <x v="1458"/>
    <n v="8.4"/>
    <s v="Low"/>
    <n v="5"/>
    <n v="0"/>
    <x v="0"/>
    <x v="0"/>
    <n v="0.33600000000000002"/>
    <n v="0.04"/>
    <n v="0"/>
  </r>
  <r>
    <n v="6028"/>
    <s v="CA-2017-136007"/>
    <d v="2017-02-23T00:00:00"/>
    <x v="3"/>
    <s v="Q1"/>
    <x v="31"/>
    <d v="2017-03-02T00:00:00"/>
    <s v="Standard Class"/>
    <x v="556"/>
    <x v="556"/>
    <s v="Corporate"/>
    <s v="United States"/>
    <s v="Seattle"/>
    <x v="4"/>
    <n v="98115"/>
    <x v="1"/>
    <x v="831"/>
    <x v="2"/>
    <x v="7"/>
    <x v="826"/>
    <n v="71.959999999999994"/>
    <s v="Medium"/>
    <n v="5"/>
    <n v="0.2"/>
    <x v="2"/>
    <x v="2"/>
    <n v="25.186"/>
    <n v="0.35000000000000003"/>
    <n v="0"/>
  </r>
  <r>
    <n v="6029"/>
    <s v="CA-2016-157364"/>
    <d v="2016-11-19T00:00:00"/>
    <x v="0"/>
    <s v="Q4"/>
    <x v="0"/>
    <d v="2016-11-21T00:00:00"/>
    <s v="First Class"/>
    <x v="299"/>
    <x v="299"/>
    <s v="Consumer"/>
    <s v="United States"/>
    <s v="Jacksonville"/>
    <x v="3"/>
    <n v="28540"/>
    <x v="0"/>
    <x v="684"/>
    <x v="1"/>
    <x v="6"/>
    <x v="684"/>
    <n v="18.48"/>
    <s v="Low"/>
    <n v="2"/>
    <n v="0.2"/>
    <x v="2"/>
    <x v="2"/>
    <n v="6.0060000000000002"/>
    <n v="0.32500000000000001"/>
    <n v="0"/>
  </r>
  <r>
    <n v="6030"/>
    <s v="US-2016-112970"/>
    <d v="2016-11-14T00:00:00"/>
    <x v="0"/>
    <s v="Q4"/>
    <x v="0"/>
    <d v="2016-11-15T00:00:00"/>
    <s v="First Class"/>
    <x v="621"/>
    <x v="621"/>
    <s v="Consumer"/>
    <s v="United States"/>
    <s v="Los Angeles"/>
    <x v="1"/>
    <n v="90049"/>
    <x v="1"/>
    <x v="950"/>
    <x v="1"/>
    <x v="6"/>
    <x v="943"/>
    <n v="9.84"/>
    <s v="Low"/>
    <n v="3"/>
    <n v="0"/>
    <x v="0"/>
    <x v="0"/>
    <n v="2.8536000000000001"/>
    <n v="0.29000000000000004"/>
    <n v="0"/>
  </r>
  <r>
    <n v="6031"/>
    <s v="US-2017-152492"/>
    <d v="2017-07-06T00:00:00"/>
    <x v="3"/>
    <s v="Q3"/>
    <x v="10"/>
    <d v="2017-07-06T00:00:00"/>
    <s v="Same Day"/>
    <x v="738"/>
    <x v="738"/>
    <s v="Consumer"/>
    <s v="United States"/>
    <s v="Miami"/>
    <x v="2"/>
    <n v="33142"/>
    <x v="0"/>
    <x v="1180"/>
    <x v="0"/>
    <x v="1"/>
    <x v="1166"/>
    <n v="239.24"/>
    <s v="High"/>
    <n v="1"/>
    <n v="0.2"/>
    <x v="2"/>
    <x v="2"/>
    <n v="23.923999999999999"/>
    <n v="9.9999999999999992E-2"/>
    <n v="0"/>
  </r>
  <r>
    <n v="6032"/>
    <s v="CA-2016-101168"/>
    <d v="2016-12-25T00:00:00"/>
    <x v="0"/>
    <s v="Q4"/>
    <x v="5"/>
    <d v="2017-01-01T00:00:00"/>
    <s v="Standard Class"/>
    <x v="164"/>
    <x v="164"/>
    <s v="Corporate"/>
    <s v="United States"/>
    <s v="Nashua"/>
    <x v="38"/>
    <n v="3060"/>
    <x v="3"/>
    <x v="1226"/>
    <x v="0"/>
    <x v="5"/>
    <x v="1210"/>
    <n v="21.12"/>
    <s v="Low"/>
    <n v="4"/>
    <n v="0"/>
    <x v="0"/>
    <x v="0"/>
    <n v="6.5472000000000001"/>
    <n v="0.31"/>
    <n v="0"/>
  </r>
  <r>
    <n v="6033"/>
    <s v="CA-2017-104010"/>
    <d v="2017-04-23T00:00:00"/>
    <x v="3"/>
    <s v="Q2"/>
    <x v="4"/>
    <d v="2017-04-25T00:00:00"/>
    <s v="First Class"/>
    <x v="143"/>
    <x v="143"/>
    <s v="Consumer"/>
    <s v="United States"/>
    <s v="New York City"/>
    <x v="15"/>
    <n v="10011"/>
    <x v="3"/>
    <x v="133"/>
    <x v="1"/>
    <x v="14"/>
    <x v="134"/>
    <n v="54.9"/>
    <s v="Medium"/>
    <n v="5"/>
    <n v="0"/>
    <x v="0"/>
    <x v="0"/>
    <n v="15.372"/>
    <n v="0.28000000000000003"/>
    <n v="0"/>
  </r>
  <r>
    <n v="6034"/>
    <s v="CA-2015-130253"/>
    <d v="2015-12-14T00:00:00"/>
    <x v="1"/>
    <s v="Q4"/>
    <x v="14"/>
    <d v="2015-12-18T00:00:00"/>
    <s v="Standard Class"/>
    <x v="452"/>
    <x v="452"/>
    <s v="Home Office"/>
    <s v="United States"/>
    <s v="Los Angeles"/>
    <x v="1"/>
    <n v="90036"/>
    <x v="1"/>
    <x v="1524"/>
    <x v="0"/>
    <x v="5"/>
    <x v="1511"/>
    <n v="15.24"/>
    <s v="Low"/>
    <n v="3"/>
    <n v="0"/>
    <x v="0"/>
    <x v="0"/>
    <n v="5.1816000000000004"/>
    <n v="0.34"/>
    <n v="0"/>
  </r>
  <r>
    <n v="6035"/>
    <s v="US-2015-155369"/>
    <d v="2015-04-19T00:00:00"/>
    <x v="1"/>
    <s v="Q2"/>
    <x v="19"/>
    <d v="2015-04-25T00:00:00"/>
    <s v="Standard Class"/>
    <x v="310"/>
    <x v="310"/>
    <s v="Consumer"/>
    <s v="United States"/>
    <s v="Carrollton"/>
    <x v="5"/>
    <n v="75007"/>
    <x v="2"/>
    <x v="414"/>
    <x v="1"/>
    <x v="9"/>
    <x v="414"/>
    <n v="19.568000000000001"/>
    <s v="Low"/>
    <n v="2"/>
    <n v="0.8"/>
    <x v="1"/>
    <x v="3"/>
    <n v="-52.833599999999997"/>
    <n v="-2.6999999999999997"/>
    <n v="1"/>
  </r>
  <r>
    <n v="6036"/>
    <s v="US-2015-155369"/>
    <d v="2015-04-19T00:00:00"/>
    <x v="1"/>
    <s v="Q2"/>
    <x v="19"/>
    <d v="2015-04-25T00:00:00"/>
    <s v="Standard Class"/>
    <x v="310"/>
    <x v="310"/>
    <s v="Consumer"/>
    <s v="United States"/>
    <s v="Carrollton"/>
    <x v="5"/>
    <n v="75007"/>
    <x v="2"/>
    <x v="760"/>
    <x v="1"/>
    <x v="8"/>
    <x v="758"/>
    <n v="310.392"/>
    <s v="High"/>
    <n v="4"/>
    <n v="0.8"/>
    <x v="1"/>
    <x v="3"/>
    <n v="-512.14679999999998"/>
    <n v="-1.65"/>
    <n v="1"/>
  </r>
  <r>
    <n v="6037"/>
    <s v="CA-2016-131205"/>
    <d v="2016-09-04T00:00:00"/>
    <x v="0"/>
    <s v="Q3"/>
    <x v="21"/>
    <d v="2016-09-08T00:00:00"/>
    <s v="Standard Class"/>
    <x v="731"/>
    <x v="731"/>
    <s v="Consumer"/>
    <s v="United States"/>
    <s v="Georgetown"/>
    <x v="0"/>
    <n v="40324"/>
    <x v="0"/>
    <x v="378"/>
    <x v="0"/>
    <x v="5"/>
    <x v="379"/>
    <n v="42.6"/>
    <s v="Medium"/>
    <n v="3"/>
    <n v="0"/>
    <x v="0"/>
    <x v="0"/>
    <n v="16.614000000000001"/>
    <n v="0.39"/>
    <n v="0"/>
  </r>
  <r>
    <n v="6038"/>
    <s v="CA-2016-131205"/>
    <d v="2016-09-04T00:00:00"/>
    <x v="0"/>
    <s v="Q3"/>
    <x v="21"/>
    <d v="2016-09-08T00:00:00"/>
    <s v="Standard Class"/>
    <x v="731"/>
    <x v="731"/>
    <s v="Consumer"/>
    <s v="United States"/>
    <s v="Georgetown"/>
    <x v="0"/>
    <n v="40324"/>
    <x v="0"/>
    <x v="412"/>
    <x v="1"/>
    <x v="8"/>
    <x v="412"/>
    <n v="113.94"/>
    <s v="Medium"/>
    <n v="6"/>
    <n v="0"/>
    <x v="0"/>
    <x v="0"/>
    <n v="54.691200000000002"/>
    <n v="0.48000000000000004"/>
    <n v="0"/>
  </r>
  <r>
    <n v="6039"/>
    <s v="CA-2016-131205"/>
    <d v="2016-09-04T00:00:00"/>
    <x v="0"/>
    <s v="Q3"/>
    <x v="21"/>
    <d v="2016-09-08T00:00:00"/>
    <s v="Standard Class"/>
    <x v="731"/>
    <x v="731"/>
    <s v="Consumer"/>
    <s v="United States"/>
    <s v="Georgetown"/>
    <x v="0"/>
    <n v="40324"/>
    <x v="0"/>
    <x v="571"/>
    <x v="1"/>
    <x v="4"/>
    <x v="571"/>
    <n v="129.91999999999999"/>
    <s v="High"/>
    <n v="4"/>
    <n v="0"/>
    <x v="0"/>
    <x v="0"/>
    <n v="5.1967999999999996"/>
    <n v="0.04"/>
    <n v="0"/>
  </r>
  <r>
    <n v="6040"/>
    <s v="CA-2016-131205"/>
    <d v="2016-09-04T00:00:00"/>
    <x v="0"/>
    <s v="Q3"/>
    <x v="21"/>
    <d v="2016-09-08T00:00:00"/>
    <s v="Standard Class"/>
    <x v="731"/>
    <x v="731"/>
    <s v="Consumer"/>
    <s v="United States"/>
    <s v="Georgetown"/>
    <x v="0"/>
    <n v="40324"/>
    <x v="0"/>
    <x v="1273"/>
    <x v="1"/>
    <x v="6"/>
    <x v="1258"/>
    <n v="5.28"/>
    <s v="Low"/>
    <n v="3"/>
    <n v="0"/>
    <x v="0"/>
    <x v="0"/>
    <n v="2.5344000000000002"/>
    <n v="0.48000000000000004"/>
    <n v="0"/>
  </r>
  <r>
    <n v="6041"/>
    <s v="CA-2017-122364"/>
    <d v="2017-09-24T00:00:00"/>
    <x v="3"/>
    <s v="Q3"/>
    <x v="15"/>
    <d v="2017-09-29T00:00:00"/>
    <s v="Standard Class"/>
    <x v="135"/>
    <x v="135"/>
    <s v="Corporate"/>
    <s v="United States"/>
    <s v="Los Angeles"/>
    <x v="1"/>
    <n v="90008"/>
    <x v="1"/>
    <x v="1118"/>
    <x v="2"/>
    <x v="7"/>
    <x v="1106"/>
    <n v="859.2"/>
    <s v="High"/>
    <n v="3"/>
    <n v="0.2"/>
    <x v="2"/>
    <x v="2"/>
    <n v="75.180000000000007"/>
    <n v="8.7500000000000008E-2"/>
    <n v="0"/>
  </r>
  <r>
    <n v="6042"/>
    <s v="CA-2017-122364"/>
    <d v="2017-09-24T00:00:00"/>
    <x v="3"/>
    <s v="Q3"/>
    <x v="15"/>
    <d v="2017-09-29T00:00:00"/>
    <s v="Standard Class"/>
    <x v="135"/>
    <x v="135"/>
    <s v="Corporate"/>
    <s v="United States"/>
    <s v="Los Angeles"/>
    <x v="1"/>
    <n v="90008"/>
    <x v="1"/>
    <x v="1770"/>
    <x v="2"/>
    <x v="15"/>
    <x v="1760"/>
    <n v="506.28"/>
    <s v="High"/>
    <n v="3"/>
    <n v="0.2"/>
    <x v="2"/>
    <x v="2"/>
    <n v="177.19800000000001"/>
    <n v="0.35000000000000003"/>
    <n v="0"/>
  </r>
  <r>
    <n v="6043"/>
    <s v="CA-2016-117912"/>
    <d v="2016-02-04T00:00:00"/>
    <x v="0"/>
    <s v="Q1"/>
    <x v="47"/>
    <d v="2016-02-08T00:00:00"/>
    <s v="Standard Class"/>
    <x v="14"/>
    <x v="14"/>
    <s v="Consumer"/>
    <s v="United States"/>
    <s v="Sierra Vista"/>
    <x v="16"/>
    <n v="85635"/>
    <x v="1"/>
    <x v="1104"/>
    <x v="0"/>
    <x v="5"/>
    <x v="1093"/>
    <n v="14.368"/>
    <s v="Low"/>
    <n v="2"/>
    <n v="0.2"/>
    <x v="2"/>
    <x v="2"/>
    <n v="3.9512"/>
    <n v="0.27500000000000002"/>
    <n v="0"/>
  </r>
  <r>
    <n v="6044"/>
    <s v="CA-2017-145702"/>
    <d v="2017-05-19T00:00:00"/>
    <x v="3"/>
    <s v="Q2"/>
    <x v="24"/>
    <d v="2017-05-24T00:00:00"/>
    <s v="Second Class"/>
    <x v="340"/>
    <x v="340"/>
    <s v="Corporate"/>
    <s v="United States"/>
    <s v="Knoxville"/>
    <x v="18"/>
    <n v="37918"/>
    <x v="0"/>
    <x v="541"/>
    <x v="0"/>
    <x v="1"/>
    <x v="541"/>
    <n v="314.35199999999998"/>
    <s v="High"/>
    <n v="3"/>
    <n v="0.2"/>
    <x v="2"/>
    <x v="2"/>
    <n v="-35.364600000000003"/>
    <n v="-0.11250000000000002"/>
    <n v="1"/>
  </r>
  <r>
    <n v="6045"/>
    <s v="CA-2017-145702"/>
    <d v="2017-05-19T00:00:00"/>
    <x v="3"/>
    <s v="Q2"/>
    <x v="24"/>
    <d v="2017-05-24T00:00:00"/>
    <s v="Second Class"/>
    <x v="340"/>
    <x v="340"/>
    <s v="Corporate"/>
    <s v="United States"/>
    <s v="Knoxville"/>
    <x v="18"/>
    <n v="37918"/>
    <x v="0"/>
    <x v="1050"/>
    <x v="1"/>
    <x v="10"/>
    <x v="1039"/>
    <n v="27.888000000000002"/>
    <s v="Medium"/>
    <n v="7"/>
    <n v="0.2"/>
    <x v="2"/>
    <x v="2"/>
    <n v="10.109400000000001"/>
    <n v="0.36249999999999999"/>
    <n v="0"/>
  </r>
  <r>
    <n v="6046"/>
    <s v="CA-2015-113215"/>
    <d v="2015-09-03T00:00:00"/>
    <x v="1"/>
    <s v="Q3"/>
    <x v="11"/>
    <d v="2015-09-08T00:00:00"/>
    <s v="Standard Class"/>
    <x v="434"/>
    <x v="434"/>
    <s v="Corporate"/>
    <s v="United States"/>
    <s v="Tucson"/>
    <x v="16"/>
    <n v="85705"/>
    <x v="1"/>
    <x v="1071"/>
    <x v="0"/>
    <x v="5"/>
    <x v="1060"/>
    <n v="238.15199999999999"/>
    <s v="High"/>
    <n v="3"/>
    <n v="0.2"/>
    <x v="2"/>
    <x v="2"/>
    <n v="89.307000000000002"/>
    <n v="0.37500000000000006"/>
    <n v="0"/>
  </r>
  <r>
    <n v="6047"/>
    <s v="CA-2016-154662"/>
    <d v="2016-06-09T00:00:00"/>
    <x v="0"/>
    <s v="Q2"/>
    <x v="1"/>
    <d v="2016-06-16T00:00:00"/>
    <s v="Standard Class"/>
    <x v="682"/>
    <x v="682"/>
    <s v="Home Office"/>
    <s v="United States"/>
    <s v="Minneapolis"/>
    <x v="11"/>
    <n v="55407"/>
    <x v="2"/>
    <x v="1744"/>
    <x v="0"/>
    <x v="3"/>
    <x v="1733"/>
    <n v="692.94"/>
    <s v="High"/>
    <n v="3"/>
    <n v="0"/>
    <x v="0"/>
    <x v="0"/>
    <n v="173.23500000000001"/>
    <n v="0.25"/>
    <n v="0"/>
  </r>
  <r>
    <n v="6048"/>
    <s v="CA-2015-105571"/>
    <d v="2015-11-07T00:00:00"/>
    <x v="1"/>
    <s v="Q4"/>
    <x v="6"/>
    <d v="2015-11-11T00:00:00"/>
    <s v="Standard Class"/>
    <x v="291"/>
    <x v="291"/>
    <s v="Corporate"/>
    <s v="United States"/>
    <s v="Miami"/>
    <x v="2"/>
    <n v="33142"/>
    <x v="0"/>
    <x v="570"/>
    <x v="1"/>
    <x v="8"/>
    <x v="570"/>
    <n v="16.146000000000001"/>
    <s v="Low"/>
    <n v="9"/>
    <n v="0.7"/>
    <x v="1"/>
    <x v="5"/>
    <n v="-12.9168"/>
    <n v="-0.79999999999999993"/>
    <n v="1"/>
  </r>
  <r>
    <n v="6049"/>
    <s v="CA-2015-105571"/>
    <d v="2015-11-07T00:00:00"/>
    <x v="1"/>
    <s v="Q4"/>
    <x v="6"/>
    <d v="2015-11-11T00:00:00"/>
    <s v="Standard Class"/>
    <x v="291"/>
    <x v="291"/>
    <s v="Corporate"/>
    <s v="United States"/>
    <s v="Miami"/>
    <x v="2"/>
    <n v="33142"/>
    <x v="0"/>
    <x v="1176"/>
    <x v="1"/>
    <x v="8"/>
    <x v="1162"/>
    <n v="1345.4849999999999"/>
    <s v="High"/>
    <n v="5"/>
    <n v="0.7"/>
    <x v="1"/>
    <x v="5"/>
    <n v="-1031.5385000000001"/>
    <n v="-0.76666666666666683"/>
    <n v="1"/>
  </r>
  <r>
    <n v="6050"/>
    <s v="CA-2016-152765"/>
    <d v="2016-06-15T00:00:00"/>
    <x v="0"/>
    <s v="Q2"/>
    <x v="1"/>
    <d v="2016-06-18T00:00:00"/>
    <s v="First Class"/>
    <x v="201"/>
    <x v="201"/>
    <s v="Consumer"/>
    <s v="United States"/>
    <s v="Houston"/>
    <x v="5"/>
    <n v="77036"/>
    <x v="2"/>
    <x v="1693"/>
    <x v="1"/>
    <x v="10"/>
    <x v="1681"/>
    <n v="173.488"/>
    <s v="High"/>
    <n v="7"/>
    <n v="0.2"/>
    <x v="2"/>
    <x v="2"/>
    <n v="54.215000000000003"/>
    <n v="0.3125"/>
    <n v="0"/>
  </r>
  <r>
    <n v="6051"/>
    <s v="CA-2015-153878"/>
    <d v="2015-04-25T00:00:00"/>
    <x v="1"/>
    <s v="Q2"/>
    <x v="19"/>
    <d v="2015-04-30T00:00:00"/>
    <s v="Standard Class"/>
    <x v="772"/>
    <x v="772"/>
    <s v="Consumer"/>
    <s v="United States"/>
    <s v="Milwaukee"/>
    <x v="6"/>
    <n v="53209"/>
    <x v="2"/>
    <x v="332"/>
    <x v="1"/>
    <x v="6"/>
    <x v="332"/>
    <n v="57.75"/>
    <s v="Medium"/>
    <n v="5"/>
    <n v="0"/>
    <x v="0"/>
    <x v="0"/>
    <n v="16.170000000000002"/>
    <n v="0.28000000000000003"/>
    <n v="0"/>
  </r>
  <r>
    <n v="6052"/>
    <s v="CA-2015-153878"/>
    <d v="2015-04-25T00:00:00"/>
    <x v="1"/>
    <s v="Q2"/>
    <x v="19"/>
    <d v="2015-04-30T00:00:00"/>
    <s v="Standard Class"/>
    <x v="772"/>
    <x v="772"/>
    <s v="Consumer"/>
    <s v="United States"/>
    <s v="Milwaukee"/>
    <x v="6"/>
    <n v="53209"/>
    <x v="2"/>
    <x v="1309"/>
    <x v="1"/>
    <x v="9"/>
    <x v="1294"/>
    <n v="272.39999999999998"/>
    <s v="High"/>
    <n v="5"/>
    <n v="0"/>
    <x v="0"/>
    <x v="0"/>
    <n v="76.272000000000006"/>
    <n v="0.28000000000000003"/>
    <n v="0"/>
  </r>
  <r>
    <n v="6053"/>
    <s v="CA-2016-124016"/>
    <d v="2016-09-23T00:00:00"/>
    <x v="0"/>
    <s v="Q3"/>
    <x v="21"/>
    <d v="2016-09-26T00:00:00"/>
    <s v="Second Class"/>
    <x v="185"/>
    <x v="185"/>
    <s v="Home Office"/>
    <s v="United States"/>
    <s v="Lancaster"/>
    <x v="24"/>
    <n v="43130"/>
    <x v="3"/>
    <x v="1025"/>
    <x v="1"/>
    <x v="10"/>
    <x v="1016"/>
    <n v="11.952"/>
    <s v="Low"/>
    <n v="3"/>
    <n v="0.2"/>
    <x v="2"/>
    <x v="2"/>
    <n v="4.0338000000000003"/>
    <n v="0.33750000000000002"/>
    <n v="0"/>
  </r>
  <r>
    <n v="6054"/>
    <s v="CA-2016-124016"/>
    <d v="2016-09-23T00:00:00"/>
    <x v="0"/>
    <s v="Q3"/>
    <x v="21"/>
    <d v="2016-09-26T00:00:00"/>
    <s v="Second Class"/>
    <x v="185"/>
    <x v="185"/>
    <s v="Home Office"/>
    <s v="United States"/>
    <s v="Lancaster"/>
    <x v="24"/>
    <n v="43130"/>
    <x v="3"/>
    <x v="1457"/>
    <x v="0"/>
    <x v="5"/>
    <x v="1443"/>
    <n v="28"/>
    <s v="Medium"/>
    <n v="4"/>
    <n v="0.2"/>
    <x v="2"/>
    <x v="2"/>
    <n v="7.7"/>
    <n v="0.27500000000000002"/>
    <n v="0"/>
  </r>
  <r>
    <n v="6055"/>
    <s v="CA-2016-124016"/>
    <d v="2016-09-23T00:00:00"/>
    <x v="0"/>
    <s v="Q3"/>
    <x v="21"/>
    <d v="2016-09-26T00:00:00"/>
    <s v="Second Class"/>
    <x v="185"/>
    <x v="185"/>
    <s v="Home Office"/>
    <s v="United States"/>
    <s v="Lancaster"/>
    <x v="24"/>
    <n v="43130"/>
    <x v="3"/>
    <x v="699"/>
    <x v="1"/>
    <x v="8"/>
    <x v="699"/>
    <n v="12.201000000000001"/>
    <s v="Low"/>
    <n v="7"/>
    <n v="0.7"/>
    <x v="1"/>
    <x v="5"/>
    <n v="-9.7607999999999997"/>
    <n v="-0.79999999999999993"/>
    <n v="1"/>
  </r>
  <r>
    <n v="6056"/>
    <s v="CA-2016-113551"/>
    <d v="2016-08-18T00:00:00"/>
    <x v="0"/>
    <s v="Q3"/>
    <x v="28"/>
    <d v="2016-08-20T00:00:00"/>
    <s v="First Class"/>
    <x v="173"/>
    <x v="173"/>
    <s v="Consumer"/>
    <s v="United States"/>
    <s v="Edinburg"/>
    <x v="5"/>
    <n v="78539"/>
    <x v="2"/>
    <x v="1339"/>
    <x v="1"/>
    <x v="8"/>
    <x v="1324"/>
    <n v="2.0680000000000001"/>
    <s v="Low"/>
    <n v="1"/>
    <n v="0.8"/>
    <x v="1"/>
    <x v="3"/>
    <n v="-3.4121999999999999"/>
    <n v="-1.65"/>
    <n v="1"/>
  </r>
  <r>
    <n v="6057"/>
    <s v="CA-2016-113551"/>
    <d v="2016-08-18T00:00:00"/>
    <x v="0"/>
    <s v="Q3"/>
    <x v="28"/>
    <d v="2016-08-20T00:00:00"/>
    <s v="First Class"/>
    <x v="173"/>
    <x v="173"/>
    <s v="Consumer"/>
    <s v="United States"/>
    <s v="Edinburg"/>
    <x v="5"/>
    <n v="78539"/>
    <x v="2"/>
    <x v="1402"/>
    <x v="1"/>
    <x v="10"/>
    <x v="1389"/>
    <n v="83.84"/>
    <s v="Medium"/>
    <n v="8"/>
    <n v="0.2"/>
    <x v="2"/>
    <x v="2"/>
    <n v="30.391999999999999"/>
    <n v="0.36249999999999999"/>
    <n v="0"/>
  </r>
  <r>
    <n v="6058"/>
    <s v="CA-2014-107524"/>
    <d v="2014-03-02T00:00:00"/>
    <x v="2"/>
    <s v="Q1"/>
    <x v="34"/>
    <d v="2014-03-08T00:00:00"/>
    <s v="Standard Class"/>
    <x v="607"/>
    <x v="607"/>
    <s v="Home Office"/>
    <s v="United States"/>
    <s v="New York City"/>
    <x v="15"/>
    <n v="10009"/>
    <x v="3"/>
    <x v="152"/>
    <x v="1"/>
    <x v="12"/>
    <x v="153"/>
    <n v="11.36"/>
    <s v="Low"/>
    <n v="2"/>
    <n v="0"/>
    <x v="0"/>
    <x v="0"/>
    <n v="5.3391999999999999"/>
    <n v="0.47000000000000003"/>
    <n v="0"/>
  </r>
  <r>
    <n v="6059"/>
    <s v="CA-2014-107524"/>
    <d v="2014-03-02T00:00:00"/>
    <x v="2"/>
    <s v="Q1"/>
    <x v="34"/>
    <d v="2014-03-08T00:00:00"/>
    <s v="Standard Class"/>
    <x v="607"/>
    <x v="607"/>
    <s v="Home Office"/>
    <s v="United States"/>
    <s v="New York City"/>
    <x v="15"/>
    <n v="10009"/>
    <x v="3"/>
    <x v="57"/>
    <x v="1"/>
    <x v="10"/>
    <x v="57"/>
    <n v="36.4"/>
    <s v="Medium"/>
    <n v="5"/>
    <n v="0"/>
    <x v="0"/>
    <x v="0"/>
    <n v="17.472000000000001"/>
    <n v="0.48000000000000004"/>
    <n v="0"/>
  </r>
  <r>
    <n v="6060"/>
    <s v="CA-2014-138072"/>
    <d v="2014-12-30T00:00:00"/>
    <x v="2"/>
    <s v="Q4"/>
    <x v="20"/>
    <d v="2015-01-03T00:00:00"/>
    <s v="Standard Class"/>
    <x v="315"/>
    <x v="315"/>
    <s v="Consumer"/>
    <s v="United States"/>
    <s v="Philadelphia"/>
    <x v="9"/>
    <n v="19120"/>
    <x v="3"/>
    <x v="1563"/>
    <x v="2"/>
    <x v="11"/>
    <x v="1554"/>
    <n v="27.968"/>
    <s v="Medium"/>
    <n v="2"/>
    <n v="0.2"/>
    <x v="2"/>
    <x v="2"/>
    <n v="6.992"/>
    <n v="0.25"/>
    <n v="0"/>
  </r>
  <r>
    <n v="6061"/>
    <s v="CA-2015-134201"/>
    <d v="2015-04-10T00:00:00"/>
    <x v="1"/>
    <s v="Q2"/>
    <x v="19"/>
    <d v="2015-04-16T00:00:00"/>
    <s v="Standard Class"/>
    <x v="258"/>
    <x v="258"/>
    <s v="Home Office"/>
    <s v="United States"/>
    <s v="Rochester"/>
    <x v="15"/>
    <n v="14609"/>
    <x v="3"/>
    <x v="841"/>
    <x v="1"/>
    <x v="4"/>
    <x v="835"/>
    <n v="142.04"/>
    <s v="High"/>
    <n v="4"/>
    <n v="0"/>
    <x v="0"/>
    <x v="0"/>
    <n v="38.3508"/>
    <n v="0.27"/>
    <n v="0"/>
  </r>
  <r>
    <n v="6062"/>
    <s v="CA-2015-134201"/>
    <d v="2015-04-10T00:00:00"/>
    <x v="1"/>
    <s v="Q2"/>
    <x v="19"/>
    <d v="2015-04-16T00:00:00"/>
    <s v="Standard Class"/>
    <x v="258"/>
    <x v="258"/>
    <s v="Home Office"/>
    <s v="United States"/>
    <s v="Rochester"/>
    <x v="15"/>
    <n v="14609"/>
    <x v="3"/>
    <x v="282"/>
    <x v="1"/>
    <x v="6"/>
    <x v="282"/>
    <n v="14.67"/>
    <s v="Low"/>
    <n v="3"/>
    <n v="0"/>
    <x v="0"/>
    <x v="0"/>
    <n v="6.0147000000000004"/>
    <n v="0.41000000000000003"/>
    <n v="0"/>
  </r>
  <r>
    <n v="6063"/>
    <s v="CA-2015-111780"/>
    <d v="2015-12-25T00:00:00"/>
    <x v="1"/>
    <s v="Q4"/>
    <x v="14"/>
    <d v="2015-12-30T00:00:00"/>
    <s v="Second Class"/>
    <x v="267"/>
    <x v="267"/>
    <s v="Consumer"/>
    <s v="United States"/>
    <s v="San Diego"/>
    <x v="1"/>
    <n v="92037"/>
    <x v="1"/>
    <x v="851"/>
    <x v="2"/>
    <x v="16"/>
    <x v="844"/>
    <n v="1199.96"/>
    <s v="High"/>
    <n v="5"/>
    <n v="0.2"/>
    <x v="2"/>
    <x v="2"/>
    <n v="224.99250000000001"/>
    <n v="0.1875"/>
    <n v="0"/>
  </r>
  <r>
    <n v="6064"/>
    <s v="CA-2015-111780"/>
    <d v="2015-12-25T00:00:00"/>
    <x v="1"/>
    <s v="Q4"/>
    <x v="14"/>
    <d v="2015-12-30T00:00:00"/>
    <s v="Second Class"/>
    <x v="267"/>
    <x v="267"/>
    <s v="Consumer"/>
    <s v="United States"/>
    <s v="San Diego"/>
    <x v="1"/>
    <n v="92037"/>
    <x v="1"/>
    <x v="794"/>
    <x v="1"/>
    <x v="10"/>
    <x v="792"/>
    <n v="12.6"/>
    <s v="Low"/>
    <n v="3"/>
    <n v="0"/>
    <x v="0"/>
    <x v="0"/>
    <n v="6.1740000000000004"/>
    <n v="0.49000000000000005"/>
    <n v="0"/>
  </r>
  <r>
    <n v="6065"/>
    <s v="CA-2015-111780"/>
    <d v="2015-12-25T00:00:00"/>
    <x v="1"/>
    <s v="Q4"/>
    <x v="14"/>
    <d v="2015-12-30T00:00:00"/>
    <s v="Second Class"/>
    <x v="267"/>
    <x v="267"/>
    <s v="Consumer"/>
    <s v="United States"/>
    <s v="San Diego"/>
    <x v="1"/>
    <n v="92037"/>
    <x v="1"/>
    <x v="457"/>
    <x v="1"/>
    <x v="10"/>
    <x v="458"/>
    <n v="17.940000000000001"/>
    <s v="Low"/>
    <n v="3"/>
    <n v="0"/>
    <x v="0"/>
    <x v="0"/>
    <n v="8.0730000000000004"/>
    <n v="0.45"/>
    <n v="0"/>
  </r>
  <r>
    <n v="6066"/>
    <s v="CA-2015-119942"/>
    <d v="2015-04-05T00:00:00"/>
    <x v="1"/>
    <s v="Q2"/>
    <x v="19"/>
    <d v="2015-04-07T00:00:00"/>
    <s v="First Class"/>
    <x v="74"/>
    <x v="74"/>
    <s v="Consumer"/>
    <s v="United States"/>
    <s v="Philadelphia"/>
    <x v="9"/>
    <n v="19120"/>
    <x v="3"/>
    <x v="639"/>
    <x v="1"/>
    <x v="2"/>
    <x v="639"/>
    <n v="23.904"/>
    <s v="Low"/>
    <n v="6"/>
    <n v="0.2"/>
    <x v="2"/>
    <x v="2"/>
    <n v="7.7687999999999997"/>
    <n v="0.32500000000000001"/>
    <n v="0"/>
  </r>
  <r>
    <n v="6067"/>
    <s v="CA-2015-151547"/>
    <d v="2015-01-17T00:00:00"/>
    <x v="1"/>
    <s v="Q1"/>
    <x v="26"/>
    <d v="2015-01-23T00:00:00"/>
    <s v="Standard Class"/>
    <x v="733"/>
    <x v="733"/>
    <s v="Consumer"/>
    <s v="United States"/>
    <s v="Bartlett"/>
    <x v="18"/>
    <n v="38134"/>
    <x v="0"/>
    <x v="1205"/>
    <x v="1"/>
    <x v="14"/>
    <x v="1190"/>
    <n v="88.96"/>
    <s v="Medium"/>
    <n v="8"/>
    <n v="0.2"/>
    <x v="2"/>
    <x v="2"/>
    <n v="10.007999999999999"/>
    <n v="0.1125"/>
    <n v="0"/>
  </r>
  <r>
    <n v="6068"/>
    <s v="CA-2017-166695"/>
    <d v="2017-05-20T00:00:00"/>
    <x v="3"/>
    <s v="Q2"/>
    <x v="24"/>
    <d v="2017-05-24T00:00:00"/>
    <s v="Standard Class"/>
    <x v="254"/>
    <x v="254"/>
    <s v="Home Office"/>
    <s v="United States"/>
    <s v="Lakewood"/>
    <x v="1"/>
    <n v="90712"/>
    <x v="1"/>
    <x v="405"/>
    <x v="0"/>
    <x v="1"/>
    <x v="406"/>
    <n v="518.27200000000005"/>
    <s v="High"/>
    <n v="8"/>
    <n v="0.2"/>
    <x v="2"/>
    <x v="2"/>
    <n v="-97.176000000000002"/>
    <n v="-0.1875"/>
    <n v="1"/>
  </r>
  <r>
    <n v="6069"/>
    <s v="CA-2017-166695"/>
    <d v="2017-05-20T00:00:00"/>
    <x v="3"/>
    <s v="Q2"/>
    <x v="24"/>
    <d v="2017-05-24T00:00:00"/>
    <s v="Standard Class"/>
    <x v="254"/>
    <x v="254"/>
    <s v="Home Office"/>
    <s v="United States"/>
    <s v="Lakewood"/>
    <x v="1"/>
    <n v="90712"/>
    <x v="1"/>
    <x v="770"/>
    <x v="0"/>
    <x v="5"/>
    <x v="769"/>
    <n v="6.98"/>
    <s v="Low"/>
    <n v="1"/>
    <n v="0"/>
    <x v="0"/>
    <x v="0"/>
    <n v="3.3504"/>
    <n v="0.48"/>
    <n v="0"/>
  </r>
  <r>
    <n v="6070"/>
    <s v="CA-2017-166695"/>
    <d v="2017-05-20T00:00:00"/>
    <x v="3"/>
    <s v="Q2"/>
    <x v="24"/>
    <d v="2017-05-24T00:00:00"/>
    <s v="Standard Class"/>
    <x v="254"/>
    <x v="254"/>
    <s v="Home Office"/>
    <s v="United States"/>
    <s v="Lakewood"/>
    <x v="1"/>
    <n v="90712"/>
    <x v="1"/>
    <x v="1771"/>
    <x v="2"/>
    <x v="15"/>
    <x v="1761"/>
    <n v="343.2"/>
    <s v="High"/>
    <n v="1"/>
    <n v="0.2"/>
    <x v="2"/>
    <x v="2"/>
    <n v="38.61"/>
    <n v="0.1125"/>
    <n v="0"/>
  </r>
  <r>
    <n v="6071"/>
    <s v="CA-2017-167542"/>
    <d v="2017-08-13T00:00:00"/>
    <x v="3"/>
    <s v="Q3"/>
    <x v="43"/>
    <d v="2017-08-20T00:00:00"/>
    <s v="Standard Class"/>
    <x v="470"/>
    <x v="470"/>
    <s v="Corporate"/>
    <s v="United States"/>
    <s v="Philadelphia"/>
    <x v="9"/>
    <n v="19120"/>
    <x v="3"/>
    <x v="676"/>
    <x v="1"/>
    <x v="2"/>
    <x v="676"/>
    <n v="17.544"/>
    <s v="Low"/>
    <n v="3"/>
    <n v="0.2"/>
    <x v="2"/>
    <x v="2"/>
    <n v="5.9211"/>
    <n v="0.33749999999999997"/>
    <n v="0"/>
  </r>
  <r>
    <n v="6072"/>
    <s v="CA-2015-120901"/>
    <d v="2015-12-31T00:00:00"/>
    <x v="1"/>
    <s v="Q4"/>
    <x v="14"/>
    <d v="2016-01-04T00:00:00"/>
    <s v="Standard Class"/>
    <x v="767"/>
    <x v="767"/>
    <s v="Consumer"/>
    <s v="United States"/>
    <s v="Austin"/>
    <x v="5"/>
    <n v="78745"/>
    <x v="2"/>
    <x v="621"/>
    <x v="1"/>
    <x v="4"/>
    <x v="621"/>
    <n v="152.68799999999999"/>
    <s v="High"/>
    <n v="2"/>
    <n v="0.2"/>
    <x v="2"/>
    <x v="2"/>
    <n v="-26.720400000000001"/>
    <n v="-0.17500000000000002"/>
    <n v="1"/>
  </r>
  <r>
    <n v="6073"/>
    <s v="CA-2015-120901"/>
    <d v="2015-12-31T00:00:00"/>
    <x v="1"/>
    <s v="Q4"/>
    <x v="14"/>
    <d v="2016-01-04T00:00:00"/>
    <s v="Standard Class"/>
    <x v="767"/>
    <x v="767"/>
    <s v="Consumer"/>
    <s v="United States"/>
    <s v="Austin"/>
    <x v="5"/>
    <n v="78745"/>
    <x v="2"/>
    <x v="845"/>
    <x v="1"/>
    <x v="13"/>
    <x v="839"/>
    <n v="3.488"/>
    <s v="Low"/>
    <n v="2"/>
    <n v="0.2"/>
    <x v="2"/>
    <x v="2"/>
    <n v="0.56679999999999997"/>
    <n v="0.16250000000000001"/>
    <n v="0"/>
  </r>
  <r>
    <n v="6074"/>
    <s v="CA-2015-120901"/>
    <d v="2015-12-31T00:00:00"/>
    <x v="1"/>
    <s v="Q4"/>
    <x v="14"/>
    <d v="2016-01-04T00:00:00"/>
    <s v="Standard Class"/>
    <x v="767"/>
    <x v="767"/>
    <s v="Consumer"/>
    <s v="United States"/>
    <s v="Austin"/>
    <x v="5"/>
    <n v="78745"/>
    <x v="2"/>
    <x v="327"/>
    <x v="1"/>
    <x v="14"/>
    <x v="327"/>
    <n v="5.8879999999999999"/>
    <s v="Low"/>
    <n v="2"/>
    <n v="0.2"/>
    <x v="2"/>
    <x v="2"/>
    <n v="-1.3248"/>
    <n v="-0.22500000000000001"/>
    <n v="1"/>
  </r>
  <r>
    <n v="6075"/>
    <s v="CA-2017-121398"/>
    <d v="2017-12-25T00:00:00"/>
    <x v="3"/>
    <s v="Q4"/>
    <x v="22"/>
    <d v="2017-12-29T00:00:00"/>
    <s v="Standard Class"/>
    <x v="92"/>
    <x v="92"/>
    <s v="Corporate"/>
    <s v="United States"/>
    <s v="Los Angeles"/>
    <x v="1"/>
    <n v="90008"/>
    <x v="1"/>
    <x v="1242"/>
    <x v="1"/>
    <x v="8"/>
    <x v="1225"/>
    <n v="153.55199999999999"/>
    <s v="High"/>
    <n v="3"/>
    <n v="0.2"/>
    <x v="2"/>
    <x v="2"/>
    <n v="51.823799999999999"/>
    <n v="0.33750000000000002"/>
    <n v="0"/>
  </r>
  <r>
    <n v="6076"/>
    <s v="CA-2017-121398"/>
    <d v="2017-12-25T00:00:00"/>
    <x v="3"/>
    <s v="Q4"/>
    <x v="22"/>
    <d v="2017-12-29T00:00:00"/>
    <s v="Standard Class"/>
    <x v="92"/>
    <x v="92"/>
    <s v="Corporate"/>
    <s v="United States"/>
    <s v="Los Angeles"/>
    <x v="1"/>
    <n v="90008"/>
    <x v="1"/>
    <x v="273"/>
    <x v="1"/>
    <x v="4"/>
    <x v="273"/>
    <n v="270.62"/>
    <s v="High"/>
    <n v="2"/>
    <n v="0"/>
    <x v="0"/>
    <x v="0"/>
    <n v="2.7061999999999999"/>
    <n v="0.01"/>
    <n v="0"/>
  </r>
  <r>
    <n v="6077"/>
    <s v="CA-2016-151561"/>
    <d v="2016-09-01T00:00:00"/>
    <x v="0"/>
    <s v="Q3"/>
    <x v="21"/>
    <d v="2016-09-07T00:00:00"/>
    <s v="Standard Class"/>
    <x v="310"/>
    <x v="310"/>
    <s v="Consumer"/>
    <s v="United States"/>
    <s v="New York City"/>
    <x v="15"/>
    <n v="10011"/>
    <x v="3"/>
    <x v="475"/>
    <x v="2"/>
    <x v="11"/>
    <x v="476"/>
    <n v="468.9"/>
    <s v="High"/>
    <n v="6"/>
    <n v="0"/>
    <x v="0"/>
    <x v="0"/>
    <n v="206.316"/>
    <n v="0.44"/>
    <n v="0"/>
  </r>
  <r>
    <n v="6078"/>
    <s v="CA-2016-151561"/>
    <d v="2016-09-01T00:00:00"/>
    <x v="0"/>
    <s v="Q3"/>
    <x v="21"/>
    <d v="2016-09-07T00:00:00"/>
    <s v="Standard Class"/>
    <x v="310"/>
    <x v="310"/>
    <s v="Consumer"/>
    <s v="United States"/>
    <s v="New York City"/>
    <x v="15"/>
    <n v="10011"/>
    <x v="3"/>
    <x v="1519"/>
    <x v="2"/>
    <x v="11"/>
    <x v="1506"/>
    <n v="72.48"/>
    <s v="Medium"/>
    <n v="2"/>
    <n v="0"/>
    <x v="0"/>
    <x v="0"/>
    <n v="30.441600000000001"/>
    <n v="0.42"/>
    <n v="0"/>
  </r>
  <r>
    <n v="6079"/>
    <s v="CA-2016-151561"/>
    <d v="2016-09-01T00:00:00"/>
    <x v="0"/>
    <s v="Q3"/>
    <x v="21"/>
    <d v="2016-09-07T00:00:00"/>
    <s v="Standard Class"/>
    <x v="310"/>
    <x v="310"/>
    <s v="Consumer"/>
    <s v="United States"/>
    <s v="New York City"/>
    <x v="15"/>
    <n v="10011"/>
    <x v="3"/>
    <x v="503"/>
    <x v="1"/>
    <x v="14"/>
    <x v="503"/>
    <n v="10.95"/>
    <s v="Low"/>
    <n v="3"/>
    <n v="0"/>
    <x v="0"/>
    <x v="0"/>
    <n v="3.2850000000000001"/>
    <n v="0.30000000000000004"/>
    <n v="0"/>
  </r>
  <r>
    <n v="6080"/>
    <s v="CA-2016-151561"/>
    <d v="2016-09-01T00:00:00"/>
    <x v="0"/>
    <s v="Q3"/>
    <x v="21"/>
    <d v="2016-09-07T00:00:00"/>
    <s v="Standard Class"/>
    <x v="310"/>
    <x v="310"/>
    <s v="Consumer"/>
    <s v="United States"/>
    <s v="New York City"/>
    <x v="15"/>
    <n v="10011"/>
    <x v="3"/>
    <x v="441"/>
    <x v="0"/>
    <x v="5"/>
    <x v="441"/>
    <n v="191.82"/>
    <s v="High"/>
    <n v="3"/>
    <n v="0"/>
    <x v="0"/>
    <x v="0"/>
    <n v="61.382399999999997"/>
    <n v="0.32"/>
    <n v="0"/>
  </r>
  <r>
    <n v="6081"/>
    <s v="CA-2017-154676"/>
    <d v="2017-08-05T00:00:00"/>
    <x v="3"/>
    <s v="Q3"/>
    <x v="43"/>
    <d v="2017-08-08T00:00:00"/>
    <s v="First Class"/>
    <x v="125"/>
    <x v="125"/>
    <s v="Home Office"/>
    <s v="United States"/>
    <s v="Houston"/>
    <x v="5"/>
    <n v="77070"/>
    <x v="2"/>
    <x v="1222"/>
    <x v="1"/>
    <x v="4"/>
    <x v="1206"/>
    <n v="151.05600000000001"/>
    <s v="High"/>
    <n v="9"/>
    <n v="0.2"/>
    <x v="2"/>
    <x v="2"/>
    <n v="7.5528000000000004"/>
    <n v="4.9999999999999996E-2"/>
    <n v="0"/>
  </r>
  <r>
    <n v="6082"/>
    <s v="US-2014-165589"/>
    <d v="2014-02-18T00:00:00"/>
    <x v="2"/>
    <s v="Q1"/>
    <x v="45"/>
    <d v="2014-02-18T00:00:00"/>
    <s v="Same Day"/>
    <x v="180"/>
    <x v="180"/>
    <s v="Consumer"/>
    <s v="United States"/>
    <s v="Lubbock"/>
    <x v="5"/>
    <n v="79424"/>
    <x v="2"/>
    <x v="1598"/>
    <x v="0"/>
    <x v="5"/>
    <x v="1590"/>
    <n v="25.16"/>
    <s v="Medium"/>
    <n v="5"/>
    <n v="0.6"/>
    <x v="1"/>
    <x v="6"/>
    <n v="-11.321999999999999"/>
    <n v="-0.44999999999999996"/>
    <n v="1"/>
  </r>
  <r>
    <n v="6083"/>
    <s v="US-2016-132577"/>
    <d v="2016-11-22T00:00:00"/>
    <x v="0"/>
    <s v="Q4"/>
    <x v="0"/>
    <d v="2016-11-27T00:00:00"/>
    <s v="Standard Class"/>
    <x v="188"/>
    <x v="188"/>
    <s v="Consumer"/>
    <s v="United States"/>
    <s v="Houston"/>
    <x v="5"/>
    <n v="77095"/>
    <x v="2"/>
    <x v="1499"/>
    <x v="1"/>
    <x v="8"/>
    <x v="1487"/>
    <n v="6.2160000000000002"/>
    <s v="Low"/>
    <n v="6"/>
    <n v="0.8"/>
    <x v="1"/>
    <x v="3"/>
    <n v="-9.6348000000000003"/>
    <n v="-1.55"/>
    <n v="1"/>
  </r>
  <r>
    <n v="6084"/>
    <s v="US-2016-132577"/>
    <d v="2016-11-22T00:00:00"/>
    <x v="0"/>
    <s v="Q4"/>
    <x v="0"/>
    <d v="2016-11-27T00:00:00"/>
    <s v="Standard Class"/>
    <x v="188"/>
    <x v="188"/>
    <s v="Consumer"/>
    <s v="United States"/>
    <s v="Houston"/>
    <x v="5"/>
    <n v="77095"/>
    <x v="2"/>
    <x v="1609"/>
    <x v="1"/>
    <x v="6"/>
    <x v="1600"/>
    <n v="23.616"/>
    <s v="Low"/>
    <n v="9"/>
    <n v="0.2"/>
    <x v="2"/>
    <x v="2"/>
    <n v="2.6568000000000001"/>
    <n v="0.1125"/>
    <n v="0"/>
  </r>
  <r>
    <n v="6085"/>
    <s v="US-2016-132577"/>
    <d v="2016-11-22T00:00:00"/>
    <x v="0"/>
    <s v="Q4"/>
    <x v="0"/>
    <d v="2016-11-27T00:00:00"/>
    <s v="Standard Class"/>
    <x v="188"/>
    <x v="188"/>
    <s v="Consumer"/>
    <s v="United States"/>
    <s v="Houston"/>
    <x v="5"/>
    <n v="77095"/>
    <x v="2"/>
    <x v="1374"/>
    <x v="2"/>
    <x v="11"/>
    <x v="1359"/>
    <n v="24.032"/>
    <s v="Low"/>
    <n v="2"/>
    <n v="0.2"/>
    <x v="2"/>
    <x v="2"/>
    <n v="-0.6008"/>
    <n v="-2.5000000000000001E-2"/>
    <n v="1"/>
  </r>
  <r>
    <n v="6086"/>
    <s v="US-2016-132577"/>
    <d v="2016-11-22T00:00:00"/>
    <x v="0"/>
    <s v="Q4"/>
    <x v="0"/>
    <d v="2016-11-27T00:00:00"/>
    <s v="Standard Class"/>
    <x v="188"/>
    <x v="188"/>
    <s v="Consumer"/>
    <s v="United States"/>
    <s v="Houston"/>
    <x v="5"/>
    <n v="77095"/>
    <x v="2"/>
    <x v="948"/>
    <x v="1"/>
    <x v="2"/>
    <x v="941"/>
    <n v="2.0880000000000001"/>
    <s v="Low"/>
    <n v="1"/>
    <n v="0.2"/>
    <x v="2"/>
    <x v="2"/>
    <n v="0.67859999999999998"/>
    <n v="0.32499999999999996"/>
    <n v="0"/>
  </r>
  <r>
    <n v="6087"/>
    <s v="US-2016-132577"/>
    <d v="2016-11-22T00:00:00"/>
    <x v="0"/>
    <s v="Q4"/>
    <x v="0"/>
    <d v="2016-11-27T00:00:00"/>
    <s v="Standard Class"/>
    <x v="188"/>
    <x v="188"/>
    <s v="Consumer"/>
    <s v="United States"/>
    <s v="Houston"/>
    <x v="5"/>
    <n v="77095"/>
    <x v="2"/>
    <x v="1390"/>
    <x v="1"/>
    <x v="8"/>
    <x v="1376"/>
    <n v="4.4880000000000004"/>
    <s v="Low"/>
    <n v="6"/>
    <n v="0.8"/>
    <x v="1"/>
    <x v="3"/>
    <n v="-6.7320000000000002"/>
    <n v="-1.5"/>
    <n v="1"/>
  </r>
  <r>
    <n v="6088"/>
    <s v="CA-2015-114048"/>
    <d v="2015-12-14T00:00:00"/>
    <x v="1"/>
    <s v="Q4"/>
    <x v="14"/>
    <d v="2015-12-18T00:00:00"/>
    <s v="Standard Class"/>
    <x v="13"/>
    <x v="13"/>
    <s v="Consumer"/>
    <s v="United States"/>
    <s v="Costa Mesa"/>
    <x v="1"/>
    <n v="92627"/>
    <x v="1"/>
    <x v="221"/>
    <x v="0"/>
    <x v="5"/>
    <x v="222"/>
    <n v="29.22"/>
    <s v="Medium"/>
    <n v="3"/>
    <n v="0"/>
    <x v="0"/>
    <x v="0"/>
    <n v="12.8568"/>
    <n v="0.44"/>
    <n v="0"/>
  </r>
  <r>
    <n v="6089"/>
    <s v="CA-2015-137281"/>
    <d v="2015-06-13T00:00:00"/>
    <x v="1"/>
    <s v="Q2"/>
    <x v="40"/>
    <d v="2015-06-17T00:00:00"/>
    <s v="Standard Class"/>
    <x v="541"/>
    <x v="541"/>
    <s v="Corporate"/>
    <s v="United States"/>
    <s v="Roswell"/>
    <x v="32"/>
    <n v="30076"/>
    <x v="0"/>
    <x v="680"/>
    <x v="1"/>
    <x v="10"/>
    <x v="680"/>
    <n v="6.48"/>
    <s v="Low"/>
    <n v="1"/>
    <n v="0"/>
    <x v="0"/>
    <x v="0"/>
    <n v="3.1103999999999998"/>
    <n v="0.47999999999999993"/>
    <n v="0"/>
  </r>
  <r>
    <n v="6090"/>
    <s v="US-2017-162068"/>
    <d v="2017-12-28T00:00:00"/>
    <x v="3"/>
    <s v="Q4"/>
    <x v="22"/>
    <d v="2017-12-31T00:00:00"/>
    <s v="Second Class"/>
    <x v="331"/>
    <x v="331"/>
    <s v="Corporate"/>
    <s v="United States"/>
    <s v="Loveland"/>
    <x v="22"/>
    <n v="80538"/>
    <x v="1"/>
    <x v="922"/>
    <x v="1"/>
    <x v="8"/>
    <x v="914"/>
    <n v="1.1879999999999999"/>
    <s v="Low"/>
    <n v="2"/>
    <n v="0.7"/>
    <x v="1"/>
    <x v="5"/>
    <n v="-0.99"/>
    <n v="-0.83333333333333337"/>
    <n v="1"/>
  </r>
  <r>
    <n v="6091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931"/>
    <x v="0"/>
    <x v="1"/>
    <x v="924"/>
    <n v="272.64600000000002"/>
    <s v="High"/>
    <n v="3"/>
    <n v="0.1"/>
    <x v="3"/>
    <x v="8"/>
    <n v="18.176400000000001"/>
    <n v="6.6666666666666666E-2"/>
    <n v="0"/>
  </r>
  <r>
    <n v="6092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1772"/>
    <x v="2"/>
    <x v="11"/>
    <x v="1762"/>
    <n v="212.8"/>
    <s v="High"/>
    <n v="2"/>
    <n v="0"/>
    <x v="0"/>
    <x v="0"/>
    <n v="95.76"/>
    <n v="0.45"/>
    <n v="0"/>
  </r>
  <r>
    <n v="6093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1671"/>
    <x v="1"/>
    <x v="10"/>
    <x v="1659"/>
    <n v="38.520000000000003"/>
    <s v="Medium"/>
    <n v="9"/>
    <n v="0"/>
    <x v="0"/>
    <x v="0"/>
    <n v="18.104399999999998"/>
    <n v="0.46999999999999992"/>
    <n v="0"/>
  </r>
  <r>
    <n v="6094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477"/>
    <x v="2"/>
    <x v="11"/>
    <x v="478"/>
    <n v="72.64"/>
    <s v="Medium"/>
    <n v="2"/>
    <n v="0"/>
    <x v="0"/>
    <x v="0"/>
    <n v="21.792000000000002"/>
    <n v="0.30000000000000004"/>
    <n v="0"/>
  </r>
  <r>
    <n v="6095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75"/>
    <x v="1"/>
    <x v="4"/>
    <x v="75"/>
    <n v="45.4"/>
    <s v="Medium"/>
    <n v="4"/>
    <n v="0"/>
    <x v="0"/>
    <x v="0"/>
    <n v="12.712"/>
    <n v="0.28000000000000003"/>
    <n v="0"/>
  </r>
  <r>
    <n v="6096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320"/>
    <x v="1"/>
    <x v="10"/>
    <x v="320"/>
    <n v="13.76"/>
    <s v="Low"/>
    <n v="2"/>
    <n v="0"/>
    <x v="0"/>
    <x v="0"/>
    <n v="6.3296000000000001"/>
    <n v="0.46"/>
    <n v="0"/>
  </r>
  <r>
    <n v="6097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51"/>
    <x v="0"/>
    <x v="1"/>
    <x v="51"/>
    <n v="80.991"/>
    <s v="Medium"/>
    <n v="1"/>
    <n v="0.1"/>
    <x v="3"/>
    <x v="8"/>
    <n v="8.0991"/>
    <n v="0.1"/>
    <n v="0"/>
  </r>
  <r>
    <n v="6098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185"/>
    <x v="1"/>
    <x v="8"/>
    <x v="186"/>
    <n v="11.784000000000001"/>
    <s v="Low"/>
    <n v="3"/>
    <n v="0.2"/>
    <x v="2"/>
    <x v="2"/>
    <n v="3.9771000000000001"/>
    <n v="0.33749999999999997"/>
    <n v="0"/>
  </r>
  <r>
    <n v="6099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52"/>
    <x v="1"/>
    <x v="13"/>
    <x v="52"/>
    <n v="4.3600000000000003"/>
    <s v="Low"/>
    <n v="2"/>
    <n v="0"/>
    <x v="0"/>
    <x v="0"/>
    <n v="1.7876000000000001"/>
    <n v="0.41"/>
    <n v="0"/>
  </r>
  <r>
    <n v="6100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284"/>
    <x v="0"/>
    <x v="1"/>
    <x v="284"/>
    <n v="2888.127"/>
    <s v="High"/>
    <n v="11"/>
    <n v="0.1"/>
    <x v="3"/>
    <x v="8"/>
    <n v="609.71569999999997"/>
    <n v="0.21111111111111111"/>
    <n v="0"/>
  </r>
  <r>
    <n v="6101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1148"/>
    <x v="2"/>
    <x v="7"/>
    <x v="1136"/>
    <n v="1299.6600000000001"/>
    <s v="High"/>
    <n v="2"/>
    <n v="0"/>
    <x v="0"/>
    <x v="0"/>
    <n v="350.90820000000002"/>
    <n v="0.27"/>
    <n v="0"/>
  </r>
  <r>
    <n v="6102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445"/>
    <x v="0"/>
    <x v="1"/>
    <x v="445"/>
    <n v="2254.41"/>
    <s v="High"/>
    <n v="5"/>
    <n v="0.1"/>
    <x v="3"/>
    <x v="8"/>
    <n v="375.73500000000001"/>
    <n v="0.16666666666666669"/>
    <n v="0"/>
  </r>
  <r>
    <n v="6103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139"/>
    <x v="2"/>
    <x v="7"/>
    <x v="140"/>
    <n v="104.85"/>
    <s v="Medium"/>
    <n v="3"/>
    <n v="0"/>
    <x v="0"/>
    <x v="0"/>
    <n v="28.3095"/>
    <n v="0.27"/>
    <n v="0"/>
  </r>
  <r>
    <n v="6104"/>
    <s v="CA-2017-100111"/>
    <d v="2017-09-20T00:00:00"/>
    <x v="3"/>
    <s v="Q3"/>
    <x v="15"/>
    <d v="2017-09-26T00:00:00"/>
    <s v="Standard Class"/>
    <x v="277"/>
    <x v="277"/>
    <s v="Consumer"/>
    <s v="United States"/>
    <s v="New York City"/>
    <x v="15"/>
    <n v="10035"/>
    <x v="3"/>
    <x v="84"/>
    <x v="2"/>
    <x v="11"/>
    <x v="84"/>
    <n v="59.97"/>
    <s v="Medium"/>
    <n v="3"/>
    <n v="0"/>
    <x v="0"/>
    <x v="0"/>
    <n v="20.389800000000001"/>
    <n v="0.34"/>
    <n v="0"/>
  </r>
  <r>
    <n v="6105"/>
    <s v="US-2017-132381"/>
    <d v="2017-08-22T00:00:00"/>
    <x v="3"/>
    <s v="Q3"/>
    <x v="43"/>
    <d v="2017-08-24T00:00:00"/>
    <s v="First Class"/>
    <x v="656"/>
    <x v="656"/>
    <s v="Home Office"/>
    <s v="United States"/>
    <s v="Philadelphia"/>
    <x v="9"/>
    <n v="19143"/>
    <x v="3"/>
    <x v="736"/>
    <x v="0"/>
    <x v="3"/>
    <x v="735"/>
    <n v="314.53199999999998"/>
    <s v="High"/>
    <n v="2"/>
    <n v="0.4"/>
    <x v="1"/>
    <x v="7"/>
    <n v="-83.875200000000007"/>
    <n v="-0.26666666666666672"/>
    <n v="1"/>
  </r>
  <r>
    <n v="6106"/>
    <s v="CA-2015-147011"/>
    <d v="2015-06-18T00:00:00"/>
    <x v="1"/>
    <s v="Q2"/>
    <x v="40"/>
    <d v="2015-06-22T00:00:00"/>
    <s v="Standard Class"/>
    <x v="403"/>
    <x v="403"/>
    <s v="Corporate"/>
    <s v="United States"/>
    <s v="Miami"/>
    <x v="2"/>
    <n v="33178"/>
    <x v="0"/>
    <x v="319"/>
    <x v="1"/>
    <x v="6"/>
    <x v="319"/>
    <n v="13.632"/>
    <s v="Low"/>
    <n v="4"/>
    <n v="0.2"/>
    <x v="2"/>
    <x v="2"/>
    <n v="3.5783999999999998"/>
    <n v="0.26250000000000001"/>
    <n v="0"/>
  </r>
  <r>
    <n v="6107"/>
    <s v="CA-2014-120852"/>
    <d v="2014-12-20T00:00:00"/>
    <x v="2"/>
    <s v="Q4"/>
    <x v="20"/>
    <d v="2014-12-25T00:00:00"/>
    <s v="Standard Class"/>
    <x v="576"/>
    <x v="576"/>
    <s v="Consumer"/>
    <s v="United States"/>
    <s v="Grand Prairie"/>
    <x v="5"/>
    <n v="75051"/>
    <x v="2"/>
    <x v="535"/>
    <x v="1"/>
    <x v="9"/>
    <x v="535"/>
    <n v="19.431999999999999"/>
    <s v="Low"/>
    <n v="2"/>
    <n v="0.8"/>
    <x v="1"/>
    <x v="3"/>
    <n v="-49.551600000000001"/>
    <n v="-2.5500000000000003"/>
    <n v="1"/>
  </r>
  <r>
    <n v="6108"/>
    <s v="CA-2014-120852"/>
    <d v="2014-12-20T00:00:00"/>
    <x v="2"/>
    <s v="Q4"/>
    <x v="20"/>
    <d v="2014-12-25T00:00:00"/>
    <s v="Standard Class"/>
    <x v="576"/>
    <x v="576"/>
    <s v="Consumer"/>
    <s v="United States"/>
    <s v="Grand Prairie"/>
    <x v="5"/>
    <n v="75051"/>
    <x v="2"/>
    <x v="960"/>
    <x v="2"/>
    <x v="11"/>
    <x v="953"/>
    <n v="65.44"/>
    <s v="Medium"/>
    <n v="5"/>
    <n v="0.2"/>
    <x v="2"/>
    <x v="2"/>
    <n v="-8.18"/>
    <n v="-0.125"/>
    <n v="1"/>
  </r>
  <r>
    <n v="6109"/>
    <s v="CA-2016-150007"/>
    <d v="2016-09-11T00:00:00"/>
    <x v="0"/>
    <s v="Q3"/>
    <x v="21"/>
    <d v="2016-09-16T00:00:00"/>
    <s v="Standard Class"/>
    <x v="548"/>
    <x v="548"/>
    <s v="Consumer"/>
    <s v="United States"/>
    <s v="Chicago"/>
    <x v="10"/>
    <n v="60653"/>
    <x v="2"/>
    <x v="1550"/>
    <x v="1"/>
    <x v="2"/>
    <x v="1538"/>
    <n v="6"/>
    <s v="Low"/>
    <n v="2"/>
    <n v="0.2"/>
    <x v="2"/>
    <x v="2"/>
    <n v="2.1"/>
    <n v="0.35000000000000003"/>
    <n v="0"/>
  </r>
  <r>
    <n v="6110"/>
    <s v="CA-2016-150007"/>
    <d v="2016-09-11T00:00:00"/>
    <x v="0"/>
    <s v="Q3"/>
    <x v="21"/>
    <d v="2016-09-16T00:00:00"/>
    <s v="Standard Class"/>
    <x v="548"/>
    <x v="548"/>
    <s v="Consumer"/>
    <s v="United States"/>
    <s v="Chicago"/>
    <x v="10"/>
    <n v="60653"/>
    <x v="2"/>
    <x v="1310"/>
    <x v="1"/>
    <x v="8"/>
    <x v="1296"/>
    <n v="1.9079999999999999"/>
    <s v="Low"/>
    <n v="3"/>
    <n v="0.8"/>
    <x v="1"/>
    <x v="3"/>
    <n v="-3.2435999999999998"/>
    <n v="-1.7"/>
    <n v="1"/>
  </r>
  <r>
    <n v="6111"/>
    <s v="CA-2016-124590"/>
    <d v="2016-11-12T00:00:00"/>
    <x v="0"/>
    <s v="Q4"/>
    <x v="0"/>
    <d v="2016-11-16T00:00:00"/>
    <s v="Standard Class"/>
    <x v="727"/>
    <x v="727"/>
    <s v="Consumer"/>
    <s v="United States"/>
    <s v="Parma"/>
    <x v="24"/>
    <n v="44134"/>
    <x v="3"/>
    <x v="1496"/>
    <x v="0"/>
    <x v="1"/>
    <x v="1484"/>
    <n v="1474.8019999999999"/>
    <s v="High"/>
    <n v="7"/>
    <n v="0.3"/>
    <x v="1"/>
    <x v="4"/>
    <n v="-21.0686"/>
    <n v="-1.4285714285714287E-2"/>
    <n v="1"/>
  </r>
  <r>
    <n v="6112"/>
    <s v="CA-2016-124590"/>
    <d v="2016-11-12T00:00:00"/>
    <x v="0"/>
    <s v="Q4"/>
    <x v="0"/>
    <d v="2016-11-16T00:00:00"/>
    <s v="Standard Class"/>
    <x v="727"/>
    <x v="727"/>
    <s v="Consumer"/>
    <s v="United States"/>
    <s v="Parma"/>
    <x v="24"/>
    <n v="44134"/>
    <x v="3"/>
    <x v="14"/>
    <x v="1"/>
    <x v="9"/>
    <x v="14"/>
    <n v="110.096"/>
    <s v="Medium"/>
    <n v="2"/>
    <n v="0.2"/>
    <x v="2"/>
    <x v="2"/>
    <n v="33.028799999999997"/>
    <n v="0.3"/>
    <n v="0"/>
  </r>
  <r>
    <n v="6113"/>
    <s v="CA-2016-124590"/>
    <d v="2016-11-12T00:00:00"/>
    <x v="0"/>
    <s v="Q4"/>
    <x v="0"/>
    <d v="2016-11-16T00:00:00"/>
    <s v="Standard Class"/>
    <x v="727"/>
    <x v="727"/>
    <s v="Consumer"/>
    <s v="United States"/>
    <s v="Parma"/>
    <x v="24"/>
    <n v="44134"/>
    <x v="3"/>
    <x v="203"/>
    <x v="1"/>
    <x v="13"/>
    <x v="204"/>
    <n v="16.751999999999999"/>
    <s v="Low"/>
    <n v="6"/>
    <n v="0.2"/>
    <x v="2"/>
    <x v="2"/>
    <n v="5.4443999999999999"/>
    <n v="0.32500000000000001"/>
    <n v="0"/>
  </r>
  <r>
    <n v="6114"/>
    <s v="CA-2016-124590"/>
    <d v="2016-11-12T00:00:00"/>
    <x v="0"/>
    <s v="Q4"/>
    <x v="0"/>
    <d v="2016-11-16T00:00:00"/>
    <s v="Standard Class"/>
    <x v="727"/>
    <x v="727"/>
    <s v="Consumer"/>
    <s v="United States"/>
    <s v="Parma"/>
    <x v="24"/>
    <n v="44134"/>
    <x v="3"/>
    <x v="1"/>
    <x v="0"/>
    <x v="1"/>
    <x v="1"/>
    <n v="1537.0740000000001"/>
    <s v="High"/>
    <n v="9"/>
    <n v="0.3"/>
    <x v="1"/>
    <x v="4"/>
    <n v="0"/>
    <n v="0"/>
    <n v="0"/>
  </r>
  <r>
    <n v="6115"/>
    <s v="CA-2016-124590"/>
    <d v="2016-11-12T00:00:00"/>
    <x v="0"/>
    <s v="Q4"/>
    <x v="0"/>
    <d v="2016-11-16T00:00:00"/>
    <s v="Standard Class"/>
    <x v="727"/>
    <x v="727"/>
    <s v="Consumer"/>
    <s v="United States"/>
    <s v="Parma"/>
    <x v="24"/>
    <n v="44134"/>
    <x v="3"/>
    <x v="623"/>
    <x v="0"/>
    <x v="1"/>
    <x v="623"/>
    <n v="449.37200000000001"/>
    <s v="High"/>
    <n v="2"/>
    <n v="0.3"/>
    <x v="1"/>
    <x v="4"/>
    <n v="-12.8392"/>
    <n v="-2.8571428571428571E-2"/>
    <n v="1"/>
  </r>
  <r>
    <n v="6116"/>
    <s v="CA-2016-133802"/>
    <d v="2016-03-14T00:00:00"/>
    <x v="0"/>
    <s v="Q1"/>
    <x v="17"/>
    <d v="2016-03-20T00:00:00"/>
    <s v="Standard Class"/>
    <x v="70"/>
    <x v="70"/>
    <s v="Corporate"/>
    <s v="United States"/>
    <s v="Redwood City"/>
    <x v="1"/>
    <n v="94061"/>
    <x v="1"/>
    <x v="44"/>
    <x v="1"/>
    <x v="8"/>
    <x v="44"/>
    <n v="41.904000000000003"/>
    <s v="Medium"/>
    <n v="6"/>
    <n v="0.2"/>
    <x v="2"/>
    <x v="2"/>
    <n v="14.1426"/>
    <n v="0.33749999999999997"/>
    <n v="0"/>
  </r>
  <r>
    <n v="6117"/>
    <s v="US-2016-113677"/>
    <d v="2016-11-13T00:00:00"/>
    <x v="0"/>
    <s v="Q4"/>
    <x v="0"/>
    <d v="2016-11-19T00:00:00"/>
    <s v="Standard Class"/>
    <x v="475"/>
    <x v="475"/>
    <s v="Home Office"/>
    <s v="United States"/>
    <s v="New York City"/>
    <x v="15"/>
    <n v="10011"/>
    <x v="3"/>
    <x v="1773"/>
    <x v="2"/>
    <x v="7"/>
    <x v="1763"/>
    <n v="2279.96"/>
    <s v="High"/>
    <n v="4"/>
    <n v="0"/>
    <x v="0"/>
    <x v="0"/>
    <n v="592.78959999999995"/>
    <n v="0.25999999999999995"/>
    <n v="0"/>
  </r>
  <r>
    <n v="6118"/>
    <s v="US-2016-113677"/>
    <d v="2016-11-13T00:00:00"/>
    <x v="0"/>
    <s v="Q4"/>
    <x v="0"/>
    <d v="2016-11-19T00:00:00"/>
    <s v="Standard Class"/>
    <x v="475"/>
    <x v="475"/>
    <s v="Home Office"/>
    <s v="United States"/>
    <s v="New York City"/>
    <x v="15"/>
    <n v="10011"/>
    <x v="3"/>
    <x v="639"/>
    <x v="1"/>
    <x v="2"/>
    <x v="639"/>
    <n v="14.94"/>
    <s v="Low"/>
    <n v="3"/>
    <n v="0"/>
    <x v="0"/>
    <x v="0"/>
    <n v="6.8723999999999998"/>
    <n v="0.46"/>
    <n v="0"/>
  </r>
  <r>
    <n v="6119"/>
    <s v="CA-2017-143378"/>
    <d v="2017-09-19T00:00:00"/>
    <x v="3"/>
    <s v="Q3"/>
    <x v="15"/>
    <d v="2017-09-25T00:00:00"/>
    <s v="Standard Class"/>
    <x v="335"/>
    <x v="335"/>
    <s v="Corporate"/>
    <s v="United States"/>
    <s v="Springfield"/>
    <x v="21"/>
    <n v="97477"/>
    <x v="1"/>
    <x v="516"/>
    <x v="2"/>
    <x v="7"/>
    <x v="516"/>
    <n v="191.976"/>
    <s v="High"/>
    <n v="3"/>
    <n v="0.2"/>
    <x v="2"/>
    <x v="2"/>
    <n v="19.197600000000001"/>
    <n v="0.1"/>
    <n v="0"/>
  </r>
  <r>
    <n v="6120"/>
    <s v="CA-2017-143378"/>
    <d v="2017-09-19T00:00:00"/>
    <x v="3"/>
    <s v="Q3"/>
    <x v="15"/>
    <d v="2017-09-25T00:00:00"/>
    <s v="Standard Class"/>
    <x v="335"/>
    <x v="335"/>
    <s v="Corporate"/>
    <s v="United States"/>
    <s v="Springfield"/>
    <x v="21"/>
    <n v="97477"/>
    <x v="1"/>
    <x v="1068"/>
    <x v="1"/>
    <x v="6"/>
    <x v="1057"/>
    <n v="23.832000000000001"/>
    <s v="Low"/>
    <n v="3"/>
    <n v="0.2"/>
    <x v="2"/>
    <x v="2"/>
    <n v="6.5537999999999998"/>
    <n v="0.27499999999999997"/>
    <n v="0"/>
  </r>
  <r>
    <n v="6121"/>
    <s v="CA-2017-143378"/>
    <d v="2017-09-19T00:00:00"/>
    <x v="3"/>
    <s v="Q3"/>
    <x v="15"/>
    <d v="2017-09-25T00:00:00"/>
    <s v="Standard Class"/>
    <x v="335"/>
    <x v="335"/>
    <s v="Corporate"/>
    <s v="United States"/>
    <s v="Springfield"/>
    <x v="21"/>
    <n v="97477"/>
    <x v="1"/>
    <x v="441"/>
    <x v="0"/>
    <x v="5"/>
    <x v="441"/>
    <n v="409.21600000000001"/>
    <s v="High"/>
    <n v="8"/>
    <n v="0.2"/>
    <x v="2"/>
    <x v="2"/>
    <n v="61.382399999999997"/>
    <n v="0.15"/>
    <n v="0"/>
  </r>
  <r>
    <n v="6122"/>
    <s v="CA-2017-143378"/>
    <d v="2017-09-19T00:00:00"/>
    <x v="3"/>
    <s v="Q3"/>
    <x v="15"/>
    <d v="2017-09-25T00:00:00"/>
    <s v="Standard Class"/>
    <x v="335"/>
    <x v="335"/>
    <s v="Corporate"/>
    <s v="United States"/>
    <s v="Springfield"/>
    <x v="21"/>
    <n v="97477"/>
    <x v="1"/>
    <x v="366"/>
    <x v="0"/>
    <x v="0"/>
    <x v="367"/>
    <n v="72.587999999999994"/>
    <s v="Medium"/>
    <n v="2"/>
    <n v="0.7"/>
    <x v="1"/>
    <x v="5"/>
    <n v="-128.2388"/>
    <n v="-1.7666666666666668"/>
    <n v="1"/>
  </r>
  <r>
    <n v="6123"/>
    <s v="CA-2017-152660"/>
    <d v="2017-12-04T00:00:00"/>
    <x v="3"/>
    <s v="Q4"/>
    <x v="22"/>
    <d v="2017-12-09T00:00:00"/>
    <s v="Standard Class"/>
    <x v="558"/>
    <x v="558"/>
    <s v="Consumer"/>
    <s v="United States"/>
    <s v="Chicago"/>
    <x v="10"/>
    <n v="60610"/>
    <x v="2"/>
    <x v="1424"/>
    <x v="1"/>
    <x v="4"/>
    <x v="1412"/>
    <n v="61.567999999999998"/>
    <s v="Medium"/>
    <n v="2"/>
    <n v="0.2"/>
    <x v="2"/>
    <x v="2"/>
    <n v="4.6176000000000004"/>
    <n v="7.5000000000000011E-2"/>
    <n v="0"/>
  </r>
  <r>
    <n v="6124"/>
    <s v="CA-2015-142139"/>
    <d v="2015-08-31T00:00:00"/>
    <x v="1"/>
    <s v="Q3"/>
    <x v="37"/>
    <d v="2015-09-05T00:00:00"/>
    <s v="Standard Class"/>
    <x v="174"/>
    <x v="174"/>
    <s v="Home Office"/>
    <s v="United States"/>
    <s v="Bedford"/>
    <x v="5"/>
    <n v="76021"/>
    <x v="2"/>
    <x v="1254"/>
    <x v="1"/>
    <x v="10"/>
    <x v="1238"/>
    <n v="20.96"/>
    <s v="Low"/>
    <n v="4"/>
    <n v="0.2"/>
    <x v="2"/>
    <x v="2"/>
    <n v="6.8120000000000003"/>
    <n v="0.32500000000000001"/>
    <n v="0"/>
  </r>
  <r>
    <n v="6125"/>
    <s v="CA-2017-145772"/>
    <d v="2017-06-03T00:00:00"/>
    <x v="3"/>
    <s v="Q2"/>
    <x v="27"/>
    <d v="2017-06-07T00:00:00"/>
    <s v="Standard Class"/>
    <x v="164"/>
    <x v="164"/>
    <s v="Corporate"/>
    <s v="United States"/>
    <s v="Los Angeles"/>
    <x v="1"/>
    <n v="90036"/>
    <x v="1"/>
    <x v="1044"/>
    <x v="2"/>
    <x v="11"/>
    <x v="1033"/>
    <n v="44.75"/>
    <s v="Medium"/>
    <n v="5"/>
    <n v="0"/>
    <x v="0"/>
    <x v="0"/>
    <n v="8.5024999999999995"/>
    <n v="0.19"/>
    <n v="0"/>
  </r>
  <r>
    <n v="6126"/>
    <s v="CA-2017-145772"/>
    <d v="2017-06-03T00:00:00"/>
    <x v="3"/>
    <s v="Q2"/>
    <x v="27"/>
    <d v="2017-06-07T00:00:00"/>
    <s v="Standard Class"/>
    <x v="164"/>
    <x v="164"/>
    <s v="Corporate"/>
    <s v="United States"/>
    <s v="Los Angeles"/>
    <x v="1"/>
    <n v="90036"/>
    <x v="1"/>
    <x v="1774"/>
    <x v="1"/>
    <x v="10"/>
    <x v="1764"/>
    <n v="11.96"/>
    <s v="Low"/>
    <n v="2"/>
    <n v="0"/>
    <x v="0"/>
    <x v="0"/>
    <n v="5.3819999999999997"/>
    <n v="0.44999999999999996"/>
    <n v="0"/>
  </r>
  <r>
    <n v="6127"/>
    <s v="CA-2017-145772"/>
    <d v="2017-06-03T00:00:00"/>
    <x v="3"/>
    <s v="Q2"/>
    <x v="27"/>
    <d v="2017-06-07T00:00:00"/>
    <s v="Standard Class"/>
    <x v="164"/>
    <x v="164"/>
    <s v="Corporate"/>
    <s v="United States"/>
    <s v="Los Angeles"/>
    <x v="1"/>
    <n v="90036"/>
    <x v="1"/>
    <x v="766"/>
    <x v="1"/>
    <x v="8"/>
    <x v="765"/>
    <n v="3.9119999999999999"/>
    <s v="Low"/>
    <n v="1"/>
    <n v="0.2"/>
    <x v="2"/>
    <x v="2"/>
    <n v="1.2714000000000001"/>
    <n v="0.32500000000000001"/>
    <n v="0"/>
  </r>
  <r>
    <n v="6128"/>
    <s v="CA-2016-124100"/>
    <d v="2016-03-31T00:00:00"/>
    <x v="0"/>
    <s v="Q1"/>
    <x v="17"/>
    <d v="2016-04-06T00:00:00"/>
    <s v="Standard Class"/>
    <x v="552"/>
    <x v="552"/>
    <s v="Consumer"/>
    <s v="United States"/>
    <s v="New York City"/>
    <x v="15"/>
    <n v="10009"/>
    <x v="3"/>
    <x v="163"/>
    <x v="0"/>
    <x v="1"/>
    <x v="164"/>
    <n v="327.99599999999998"/>
    <s v="High"/>
    <n v="6"/>
    <n v="0.1"/>
    <x v="3"/>
    <x v="8"/>
    <n v="54.665999999999997"/>
    <n v="0.16666666666666666"/>
    <n v="0"/>
  </r>
  <r>
    <n v="6129"/>
    <s v="US-2014-158400"/>
    <d v="2014-10-25T00:00:00"/>
    <x v="2"/>
    <s v="Q4"/>
    <x v="18"/>
    <d v="2014-10-28T00:00:00"/>
    <s v="First Class"/>
    <x v="692"/>
    <x v="692"/>
    <s v="Corporate"/>
    <s v="United States"/>
    <s v="San Francisco"/>
    <x v="1"/>
    <n v="94109"/>
    <x v="1"/>
    <x v="1087"/>
    <x v="1"/>
    <x v="8"/>
    <x v="1077"/>
    <n v="49.408000000000001"/>
    <s v="Medium"/>
    <n v="4"/>
    <n v="0.2"/>
    <x v="2"/>
    <x v="2"/>
    <n v="18.527999999999999"/>
    <n v="0.37499999999999994"/>
    <n v="0"/>
  </r>
  <r>
    <n v="6130"/>
    <s v="CA-2017-162033"/>
    <d v="2017-03-26T00:00:00"/>
    <x v="3"/>
    <s v="Q1"/>
    <x v="42"/>
    <d v="2017-04-02T00:00:00"/>
    <s v="Standard Class"/>
    <x v="773"/>
    <x v="773"/>
    <s v="Home Office"/>
    <s v="United States"/>
    <s v="Virginia Beach"/>
    <x v="17"/>
    <n v="23464"/>
    <x v="0"/>
    <x v="936"/>
    <x v="2"/>
    <x v="11"/>
    <x v="929"/>
    <n v="53.25"/>
    <s v="Medium"/>
    <n v="3"/>
    <n v="0"/>
    <x v="0"/>
    <x v="0"/>
    <n v="20.767499999999998"/>
    <n v="0.38999999999999996"/>
    <n v="0"/>
  </r>
  <r>
    <n v="6131"/>
    <s v="CA-2017-162033"/>
    <d v="2017-03-26T00:00:00"/>
    <x v="3"/>
    <s v="Q1"/>
    <x v="42"/>
    <d v="2017-04-02T00:00:00"/>
    <s v="Standard Class"/>
    <x v="773"/>
    <x v="773"/>
    <s v="Home Office"/>
    <s v="United States"/>
    <s v="Virginia Beach"/>
    <x v="17"/>
    <n v="23464"/>
    <x v="0"/>
    <x v="1014"/>
    <x v="1"/>
    <x v="13"/>
    <x v="128"/>
    <n v="3.76"/>
    <s v="Low"/>
    <n v="2"/>
    <n v="0"/>
    <x v="0"/>
    <x v="0"/>
    <n v="1.3160000000000001"/>
    <n v="0.35000000000000003"/>
    <n v="0"/>
  </r>
  <r>
    <n v="6132"/>
    <s v="CA-2014-163447"/>
    <d v="2014-12-27T00:00:00"/>
    <x v="2"/>
    <s v="Q4"/>
    <x v="20"/>
    <d v="2014-12-31T00:00:00"/>
    <s v="Standard Class"/>
    <x v="353"/>
    <x v="353"/>
    <s v="Home Office"/>
    <s v="United States"/>
    <s v="New York City"/>
    <x v="15"/>
    <n v="10011"/>
    <x v="3"/>
    <x v="212"/>
    <x v="0"/>
    <x v="1"/>
    <x v="213"/>
    <n v="767.21400000000006"/>
    <s v="High"/>
    <n v="14"/>
    <n v="0.1"/>
    <x v="3"/>
    <x v="8"/>
    <n v="161.9674"/>
    <n v="0.21111111111111108"/>
    <n v="0"/>
  </r>
  <r>
    <n v="6133"/>
    <s v="CA-2017-145737"/>
    <d v="2017-09-15T00:00:00"/>
    <x v="3"/>
    <s v="Q3"/>
    <x v="15"/>
    <d v="2017-09-20T00:00:00"/>
    <s v="Standard Class"/>
    <x v="269"/>
    <x v="269"/>
    <s v="Consumer"/>
    <s v="United States"/>
    <s v="Lebanon"/>
    <x v="18"/>
    <n v="37087"/>
    <x v="0"/>
    <x v="1522"/>
    <x v="1"/>
    <x v="10"/>
    <x v="1509"/>
    <n v="163.96"/>
    <s v="High"/>
    <n v="5"/>
    <n v="0.2"/>
    <x v="2"/>
    <x v="2"/>
    <n v="59.435499999999998"/>
    <n v="0.36249999999999999"/>
    <n v="0"/>
  </r>
  <r>
    <n v="6134"/>
    <s v="CA-2016-148096"/>
    <d v="2016-08-16T00:00:00"/>
    <x v="0"/>
    <s v="Q3"/>
    <x v="28"/>
    <d v="2016-08-19T00:00:00"/>
    <s v="First Class"/>
    <x v="774"/>
    <x v="774"/>
    <s v="Corporate"/>
    <s v="United States"/>
    <s v="Los Angeles"/>
    <x v="1"/>
    <n v="90045"/>
    <x v="1"/>
    <x v="1529"/>
    <x v="0"/>
    <x v="3"/>
    <x v="1516"/>
    <n v="161.28"/>
    <s v="High"/>
    <n v="2"/>
    <n v="0.2"/>
    <x v="2"/>
    <x v="2"/>
    <n v="12.096"/>
    <n v="7.4999999999999997E-2"/>
    <n v="0"/>
  </r>
  <r>
    <n v="6135"/>
    <s v="CA-2016-146766"/>
    <d v="2016-11-04T00:00:00"/>
    <x v="0"/>
    <s v="Q4"/>
    <x v="0"/>
    <d v="2016-11-04T00:00:00"/>
    <s v="Same Day"/>
    <x v="627"/>
    <x v="627"/>
    <s v="Consumer"/>
    <s v="United States"/>
    <s v="Chula Vista"/>
    <x v="1"/>
    <n v="91911"/>
    <x v="1"/>
    <x v="281"/>
    <x v="1"/>
    <x v="6"/>
    <x v="281"/>
    <n v="192.8"/>
    <s v="High"/>
    <n v="4"/>
    <n v="0"/>
    <x v="0"/>
    <x v="0"/>
    <n v="55.911999999999999"/>
    <n v="0.28999999999999998"/>
    <n v="0"/>
  </r>
  <r>
    <n v="6136"/>
    <s v="CA-2015-105613"/>
    <d v="2015-10-18T00:00:00"/>
    <x v="1"/>
    <s v="Q4"/>
    <x v="2"/>
    <d v="2015-10-22T00:00:00"/>
    <s v="Standard Class"/>
    <x v="607"/>
    <x v="607"/>
    <s v="Home Office"/>
    <s v="United States"/>
    <s v="Mcallen"/>
    <x v="5"/>
    <n v="78501"/>
    <x v="2"/>
    <x v="1575"/>
    <x v="2"/>
    <x v="11"/>
    <x v="1566"/>
    <n v="27.696000000000002"/>
    <s v="Medium"/>
    <n v="3"/>
    <n v="0.2"/>
    <x v="2"/>
    <x v="2"/>
    <n v="3.4620000000000002"/>
    <n v="0.125"/>
    <n v="0"/>
  </r>
  <r>
    <n v="6137"/>
    <s v="CA-2015-105613"/>
    <d v="2015-10-18T00:00:00"/>
    <x v="1"/>
    <s v="Q4"/>
    <x v="2"/>
    <d v="2015-10-22T00:00:00"/>
    <s v="Standard Class"/>
    <x v="607"/>
    <x v="607"/>
    <s v="Home Office"/>
    <s v="United States"/>
    <s v="Mcallen"/>
    <x v="5"/>
    <n v="78501"/>
    <x v="2"/>
    <x v="1306"/>
    <x v="1"/>
    <x v="9"/>
    <x v="1291"/>
    <n v="73.164000000000001"/>
    <s v="Medium"/>
    <n v="6"/>
    <n v="0.8"/>
    <x v="1"/>
    <x v="3"/>
    <n v="-186.56819999999999"/>
    <n v="-2.5499999999999998"/>
    <n v="1"/>
  </r>
  <r>
    <n v="6138"/>
    <s v="US-2016-142251"/>
    <d v="2016-10-31T00:00:00"/>
    <x v="0"/>
    <s v="Q4"/>
    <x v="32"/>
    <d v="2016-11-04T00:00:00"/>
    <s v="Second Class"/>
    <x v="383"/>
    <x v="383"/>
    <s v="Consumer"/>
    <s v="United States"/>
    <s v="Hollywood"/>
    <x v="2"/>
    <n v="33021"/>
    <x v="0"/>
    <x v="481"/>
    <x v="1"/>
    <x v="10"/>
    <x v="482"/>
    <n v="32.064"/>
    <s v="Medium"/>
    <n v="6"/>
    <n v="0.2"/>
    <x v="2"/>
    <x v="2"/>
    <n v="11.2224"/>
    <n v="0.35000000000000003"/>
    <n v="0"/>
  </r>
  <r>
    <n v="6139"/>
    <s v="CA-2014-131247"/>
    <d v="2014-03-30T00:00:00"/>
    <x v="2"/>
    <s v="Q1"/>
    <x v="34"/>
    <d v="2014-04-04T00:00:00"/>
    <s v="Standard Class"/>
    <x v="315"/>
    <x v="315"/>
    <s v="Consumer"/>
    <s v="United States"/>
    <s v="San Francisco"/>
    <x v="1"/>
    <n v="94110"/>
    <x v="1"/>
    <x v="430"/>
    <x v="0"/>
    <x v="0"/>
    <x v="430"/>
    <n v="205.666"/>
    <s v="High"/>
    <n v="2"/>
    <n v="0.15"/>
    <x v="2"/>
    <x v="2"/>
    <n v="-12.098000000000001"/>
    <n v="-5.8823529411764712E-2"/>
    <n v="1"/>
  </r>
  <r>
    <n v="6140"/>
    <s v="US-2015-113593"/>
    <d v="2015-04-18T00:00:00"/>
    <x v="1"/>
    <s v="Q2"/>
    <x v="19"/>
    <d v="2015-04-20T00:00:00"/>
    <s v="First Class"/>
    <x v="720"/>
    <x v="720"/>
    <s v="Consumer"/>
    <s v="United States"/>
    <s v="Santa Maria"/>
    <x v="1"/>
    <n v="93454"/>
    <x v="1"/>
    <x v="1424"/>
    <x v="1"/>
    <x v="4"/>
    <x v="1412"/>
    <n v="115.44"/>
    <s v="Medium"/>
    <n v="3"/>
    <n v="0"/>
    <x v="0"/>
    <x v="0"/>
    <n v="30.014399999999998"/>
    <n v="0.26"/>
    <n v="0"/>
  </r>
  <r>
    <n v="6141"/>
    <s v="CA-2017-121083"/>
    <d v="2017-07-09T00:00:00"/>
    <x v="3"/>
    <s v="Q3"/>
    <x v="10"/>
    <d v="2017-07-15T00:00:00"/>
    <s v="Standard Class"/>
    <x v="440"/>
    <x v="440"/>
    <s v="Consumer"/>
    <s v="United States"/>
    <s v="Manchester"/>
    <x v="29"/>
    <n v="6040"/>
    <x v="3"/>
    <x v="1766"/>
    <x v="1"/>
    <x v="10"/>
    <x v="1755"/>
    <n v="274.8"/>
    <s v="High"/>
    <n v="5"/>
    <n v="0"/>
    <x v="0"/>
    <x v="0"/>
    <n v="134.65199999999999"/>
    <n v="0.48999999999999994"/>
    <n v="0"/>
  </r>
  <r>
    <n v="6142"/>
    <s v="CA-2017-121083"/>
    <d v="2017-07-09T00:00:00"/>
    <x v="3"/>
    <s v="Q3"/>
    <x v="10"/>
    <d v="2017-07-15T00:00:00"/>
    <s v="Standard Class"/>
    <x v="440"/>
    <x v="440"/>
    <s v="Consumer"/>
    <s v="United States"/>
    <s v="Manchester"/>
    <x v="29"/>
    <n v="6040"/>
    <x v="3"/>
    <x v="1166"/>
    <x v="1"/>
    <x v="4"/>
    <x v="1153"/>
    <n v="195.64"/>
    <s v="High"/>
    <n v="4"/>
    <n v="0"/>
    <x v="0"/>
    <x v="0"/>
    <n v="3.9127999999999998"/>
    <n v="0.02"/>
    <n v="0"/>
  </r>
  <r>
    <n v="6143"/>
    <s v="CA-2017-121083"/>
    <d v="2017-07-09T00:00:00"/>
    <x v="3"/>
    <s v="Q3"/>
    <x v="10"/>
    <d v="2017-07-15T00:00:00"/>
    <s v="Standard Class"/>
    <x v="440"/>
    <x v="440"/>
    <s v="Consumer"/>
    <s v="United States"/>
    <s v="Manchester"/>
    <x v="29"/>
    <n v="6040"/>
    <x v="3"/>
    <x v="957"/>
    <x v="2"/>
    <x v="7"/>
    <x v="950"/>
    <n v="257.98"/>
    <s v="High"/>
    <n v="2"/>
    <n v="0"/>
    <x v="0"/>
    <x v="0"/>
    <n v="74.8142"/>
    <n v="0.28999999999999998"/>
    <n v="0"/>
  </r>
  <r>
    <n v="6144"/>
    <s v="CA-2017-121083"/>
    <d v="2017-07-09T00:00:00"/>
    <x v="3"/>
    <s v="Q3"/>
    <x v="10"/>
    <d v="2017-07-15T00:00:00"/>
    <s v="Standard Class"/>
    <x v="440"/>
    <x v="440"/>
    <s v="Consumer"/>
    <s v="United States"/>
    <s v="Manchester"/>
    <x v="29"/>
    <n v="6040"/>
    <x v="3"/>
    <x v="1571"/>
    <x v="1"/>
    <x v="6"/>
    <x v="1562"/>
    <n v="119.04"/>
    <s v="Medium"/>
    <n v="6"/>
    <n v="0"/>
    <x v="0"/>
    <x v="0"/>
    <n v="48.806399999999996"/>
    <n v="0.41"/>
    <n v="0"/>
  </r>
  <r>
    <n v="6145"/>
    <s v="CA-2017-151190"/>
    <d v="2017-06-27T00:00:00"/>
    <x v="3"/>
    <s v="Q2"/>
    <x v="27"/>
    <d v="2017-07-01T00:00:00"/>
    <s v="Standard Class"/>
    <x v="218"/>
    <x v="218"/>
    <s v="Consumer"/>
    <s v="United States"/>
    <s v="Omaha"/>
    <x v="8"/>
    <n v="68104"/>
    <x v="2"/>
    <x v="1070"/>
    <x v="1"/>
    <x v="10"/>
    <x v="1059"/>
    <n v="20.07"/>
    <s v="Low"/>
    <n v="3"/>
    <n v="0"/>
    <x v="0"/>
    <x v="0"/>
    <n v="9.2322000000000006"/>
    <n v="0.46"/>
    <n v="0"/>
  </r>
  <r>
    <n v="6146"/>
    <s v="CA-2014-133543"/>
    <d v="2014-12-22T00:00:00"/>
    <x v="2"/>
    <s v="Q4"/>
    <x v="20"/>
    <d v="2014-12-26T00:00:00"/>
    <s v="Standard Class"/>
    <x v="730"/>
    <x v="730"/>
    <s v="Consumer"/>
    <s v="United States"/>
    <s v="San Jose"/>
    <x v="1"/>
    <n v="95123"/>
    <x v="1"/>
    <x v="501"/>
    <x v="1"/>
    <x v="6"/>
    <x v="501"/>
    <n v="11.76"/>
    <s v="Low"/>
    <n v="4"/>
    <n v="0"/>
    <x v="0"/>
    <x v="0"/>
    <n v="3.1751999999999998"/>
    <n v="0.26999999999999996"/>
    <n v="0"/>
  </r>
  <r>
    <n v="6147"/>
    <s v="CA-2017-105130"/>
    <d v="2017-11-21T00:00:00"/>
    <x v="3"/>
    <s v="Q4"/>
    <x v="23"/>
    <d v="2017-11-25T00:00:00"/>
    <s v="Standard Class"/>
    <x v="601"/>
    <x v="601"/>
    <s v="Corporate"/>
    <s v="United States"/>
    <s v="San Francisco"/>
    <x v="1"/>
    <n v="94122"/>
    <x v="1"/>
    <x v="501"/>
    <x v="1"/>
    <x v="6"/>
    <x v="501"/>
    <n v="11.76"/>
    <s v="Low"/>
    <n v="4"/>
    <n v="0"/>
    <x v="0"/>
    <x v="0"/>
    <n v="3.1751999999999998"/>
    <n v="0.26999999999999996"/>
    <n v="0"/>
  </r>
  <r>
    <n v="6148"/>
    <s v="CA-2017-105130"/>
    <d v="2017-11-21T00:00:00"/>
    <x v="3"/>
    <s v="Q4"/>
    <x v="23"/>
    <d v="2017-11-25T00:00:00"/>
    <s v="Standard Class"/>
    <x v="601"/>
    <x v="601"/>
    <s v="Corporate"/>
    <s v="United States"/>
    <s v="San Francisco"/>
    <x v="1"/>
    <n v="94122"/>
    <x v="1"/>
    <x v="986"/>
    <x v="1"/>
    <x v="8"/>
    <x v="979"/>
    <n v="40.735999999999997"/>
    <s v="Medium"/>
    <n v="2"/>
    <n v="0.2"/>
    <x v="2"/>
    <x v="2"/>
    <n v="14.7668"/>
    <n v="0.36250000000000004"/>
    <n v="0"/>
  </r>
  <r>
    <n v="6149"/>
    <s v="CA-2016-161928"/>
    <d v="2016-06-27T00:00:00"/>
    <x v="0"/>
    <s v="Q2"/>
    <x v="1"/>
    <d v="2016-06-29T00:00:00"/>
    <s v="Second Class"/>
    <x v="663"/>
    <x v="663"/>
    <s v="Consumer"/>
    <s v="United States"/>
    <s v="San Francisco"/>
    <x v="1"/>
    <n v="94109"/>
    <x v="1"/>
    <x v="1551"/>
    <x v="2"/>
    <x v="7"/>
    <x v="1539"/>
    <n v="201.584"/>
    <s v="High"/>
    <n v="2"/>
    <n v="0.2"/>
    <x v="2"/>
    <x v="2"/>
    <n v="12.599"/>
    <n v="6.25E-2"/>
    <n v="0"/>
  </r>
  <r>
    <n v="6150"/>
    <s v="CA-2017-101322"/>
    <d v="2017-12-28T00:00:00"/>
    <x v="3"/>
    <s v="Q4"/>
    <x v="22"/>
    <d v="2017-12-31T00:00:00"/>
    <s v="First Class"/>
    <x v="684"/>
    <x v="684"/>
    <s v="Corporate"/>
    <s v="United States"/>
    <s v="Long Beach"/>
    <x v="1"/>
    <n v="90805"/>
    <x v="1"/>
    <x v="56"/>
    <x v="0"/>
    <x v="1"/>
    <x v="56"/>
    <n v="340.70400000000001"/>
    <s v="High"/>
    <n v="6"/>
    <n v="0.2"/>
    <x v="2"/>
    <x v="2"/>
    <n v="-34.070399999999999"/>
    <n v="-9.9999999999999992E-2"/>
    <n v="1"/>
  </r>
  <r>
    <n v="6151"/>
    <s v="US-2016-106600"/>
    <d v="2016-04-08T00:00:00"/>
    <x v="0"/>
    <s v="Q2"/>
    <x v="25"/>
    <d v="2016-04-11T00:00:00"/>
    <s v="First Class"/>
    <x v="528"/>
    <x v="528"/>
    <s v="Consumer"/>
    <s v="United States"/>
    <s v="Columbus"/>
    <x v="32"/>
    <n v="31907"/>
    <x v="0"/>
    <x v="1544"/>
    <x v="0"/>
    <x v="0"/>
    <x v="1532"/>
    <n v="354.9"/>
    <s v="High"/>
    <n v="5"/>
    <n v="0"/>
    <x v="0"/>
    <x v="0"/>
    <n v="88.724999999999994"/>
    <n v="0.25"/>
    <n v="0"/>
  </r>
  <r>
    <n v="6152"/>
    <s v="CA-2014-111871"/>
    <d v="2014-03-18T00:00:00"/>
    <x v="2"/>
    <s v="Q1"/>
    <x v="34"/>
    <d v="2014-03-21T00:00:00"/>
    <s v="Second Class"/>
    <x v="735"/>
    <x v="735"/>
    <s v="Home Office"/>
    <s v="United States"/>
    <s v="San Francisco"/>
    <x v="1"/>
    <n v="94110"/>
    <x v="1"/>
    <x v="1601"/>
    <x v="0"/>
    <x v="0"/>
    <x v="1593"/>
    <n v="1198.33"/>
    <s v="High"/>
    <n v="10"/>
    <n v="0.15"/>
    <x v="2"/>
    <x v="2"/>
    <n v="70.489999999999995"/>
    <n v="5.8823529411764705E-2"/>
    <n v="0"/>
  </r>
  <r>
    <n v="6153"/>
    <s v="CA-2017-139437"/>
    <d v="2017-07-03T00:00:00"/>
    <x v="3"/>
    <s v="Q3"/>
    <x v="10"/>
    <d v="2017-07-08T00:00:00"/>
    <s v="Standard Class"/>
    <x v="361"/>
    <x v="361"/>
    <s v="Consumer"/>
    <s v="United States"/>
    <s v="Los Angeles"/>
    <x v="1"/>
    <n v="90004"/>
    <x v="1"/>
    <x v="210"/>
    <x v="1"/>
    <x v="4"/>
    <x v="211"/>
    <n v="87.92"/>
    <s v="Medium"/>
    <n v="4"/>
    <n v="0"/>
    <x v="0"/>
    <x v="0"/>
    <n v="0.87919999999999998"/>
    <n v="0.01"/>
    <n v="0"/>
  </r>
  <r>
    <n v="6154"/>
    <s v="CA-2017-151484"/>
    <d v="2017-04-20T00:00:00"/>
    <x v="3"/>
    <s v="Q2"/>
    <x v="4"/>
    <d v="2017-04-23T00:00:00"/>
    <s v="First Class"/>
    <x v="51"/>
    <x v="51"/>
    <s v="Corporate"/>
    <s v="United States"/>
    <s v="Philadelphia"/>
    <x v="9"/>
    <n v="19120"/>
    <x v="3"/>
    <x v="1416"/>
    <x v="0"/>
    <x v="5"/>
    <x v="1403"/>
    <n v="51.968000000000004"/>
    <s v="Medium"/>
    <n v="2"/>
    <n v="0.2"/>
    <x v="2"/>
    <x v="2"/>
    <n v="10.393599999999999"/>
    <n v="0.19999999999999998"/>
    <n v="0"/>
  </r>
  <r>
    <n v="6155"/>
    <s v="CA-2017-151484"/>
    <d v="2017-04-20T00:00:00"/>
    <x v="3"/>
    <s v="Q2"/>
    <x v="4"/>
    <d v="2017-04-23T00:00:00"/>
    <s v="First Class"/>
    <x v="51"/>
    <x v="51"/>
    <s v="Corporate"/>
    <s v="United States"/>
    <s v="Philadelphia"/>
    <x v="9"/>
    <n v="19120"/>
    <x v="3"/>
    <x v="80"/>
    <x v="1"/>
    <x v="4"/>
    <x v="80"/>
    <n v="51.335999999999999"/>
    <s v="Medium"/>
    <n v="3"/>
    <n v="0.2"/>
    <x v="2"/>
    <x v="2"/>
    <n v="5.7752999999999997"/>
    <n v="0.1125"/>
    <n v="0"/>
  </r>
  <r>
    <n v="6156"/>
    <s v="CA-2017-151484"/>
    <d v="2017-04-20T00:00:00"/>
    <x v="3"/>
    <s v="Q2"/>
    <x v="4"/>
    <d v="2017-04-23T00:00:00"/>
    <s v="First Class"/>
    <x v="51"/>
    <x v="51"/>
    <s v="Corporate"/>
    <s v="United States"/>
    <s v="Philadelphia"/>
    <x v="9"/>
    <n v="19120"/>
    <x v="3"/>
    <x v="403"/>
    <x v="1"/>
    <x v="4"/>
    <x v="404"/>
    <n v="332.70400000000001"/>
    <s v="High"/>
    <n v="1"/>
    <n v="0.2"/>
    <x v="2"/>
    <x v="2"/>
    <n v="33.270400000000002"/>
    <n v="0.1"/>
    <n v="0"/>
  </r>
  <r>
    <n v="6157"/>
    <s v="CA-2017-151484"/>
    <d v="2017-04-20T00:00:00"/>
    <x v="3"/>
    <s v="Q2"/>
    <x v="4"/>
    <d v="2017-04-23T00:00:00"/>
    <s v="First Class"/>
    <x v="51"/>
    <x v="51"/>
    <s v="Corporate"/>
    <s v="United States"/>
    <s v="Philadelphia"/>
    <x v="9"/>
    <n v="19120"/>
    <x v="3"/>
    <x v="1381"/>
    <x v="0"/>
    <x v="5"/>
    <x v="1366"/>
    <n v="42.408000000000001"/>
    <s v="Medium"/>
    <n v="3"/>
    <n v="0.2"/>
    <x v="2"/>
    <x v="2"/>
    <n v="9.5418000000000003"/>
    <n v="0.22500000000000001"/>
    <n v="0"/>
  </r>
  <r>
    <n v="6158"/>
    <s v="CA-2016-104150"/>
    <d v="2016-08-03T00:00:00"/>
    <x v="0"/>
    <s v="Q3"/>
    <x v="28"/>
    <d v="2016-08-05T00:00:00"/>
    <s v="Second Class"/>
    <x v="743"/>
    <x v="743"/>
    <s v="Consumer"/>
    <s v="United States"/>
    <s v="Tulsa"/>
    <x v="26"/>
    <n v="74133"/>
    <x v="2"/>
    <x v="113"/>
    <x v="1"/>
    <x v="12"/>
    <x v="113"/>
    <n v="81.540000000000006"/>
    <s v="Medium"/>
    <n v="3"/>
    <n v="0"/>
    <x v="0"/>
    <x v="0"/>
    <n v="38.323799999999999"/>
    <n v="0.47"/>
    <n v="0"/>
  </r>
  <r>
    <n v="6159"/>
    <s v="CA-2016-104150"/>
    <d v="2016-08-03T00:00:00"/>
    <x v="0"/>
    <s v="Q3"/>
    <x v="28"/>
    <d v="2016-08-05T00:00:00"/>
    <s v="Second Class"/>
    <x v="743"/>
    <x v="743"/>
    <s v="Consumer"/>
    <s v="United States"/>
    <s v="Tulsa"/>
    <x v="26"/>
    <n v="74133"/>
    <x v="2"/>
    <x v="1775"/>
    <x v="2"/>
    <x v="11"/>
    <x v="1765"/>
    <n v="167.28"/>
    <s v="High"/>
    <n v="12"/>
    <n v="0"/>
    <x v="0"/>
    <x v="0"/>
    <n v="23.4192"/>
    <n v="0.13999999999999999"/>
    <n v="0"/>
  </r>
  <r>
    <n v="6160"/>
    <s v="CA-2016-161025"/>
    <d v="2016-12-03T00:00:00"/>
    <x v="0"/>
    <s v="Q4"/>
    <x v="5"/>
    <d v="2016-12-09T00:00:00"/>
    <s v="Standard Class"/>
    <x v="306"/>
    <x v="306"/>
    <s v="Consumer"/>
    <s v="United States"/>
    <s v="Los Angeles"/>
    <x v="1"/>
    <n v="90049"/>
    <x v="1"/>
    <x v="1662"/>
    <x v="1"/>
    <x v="4"/>
    <x v="1650"/>
    <n v="772.68"/>
    <s v="High"/>
    <n v="4"/>
    <n v="0"/>
    <x v="0"/>
    <x v="0"/>
    <n v="108.1752"/>
    <n v="0.14000000000000001"/>
    <n v="0"/>
  </r>
  <r>
    <n v="6161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524"/>
    <x v="2"/>
    <x v="7"/>
    <x v="524"/>
    <n v="323.976"/>
    <s v="High"/>
    <n v="3"/>
    <n v="0.2"/>
    <x v="2"/>
    <x v="2"/>
    <n v="28.347899999999999"/>
    <n v="8.7499999999999994E-2"/>
    <n v="0"/>
  </r>
  <r>
    <n v="6162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1139"/>
    <x v="1"/>
    <x v="2"/>
    <x v="1127"/>
    <n v="11.808"/>
    <s v="Low"/>
    <n v="4"/>
    <n v="0.2"/>
    <x v="2"/>
    <x v="2"/>
    <n v="3.9851999999999999"/>
    <n v="0.33749999999999997"/>
    <n v="0"/>
  </r>
  <r>
    <n v="6163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376"/>
    <x v="1"/>
    <x v="4"/>
    <x v="377"/>
    <n v="26.16"/>
    <s v="Medium"/>
    <n v="3"/>
    <n v="0.2"/>
    <x v="2"/>
    <x v="2"/>
    <n v="1.962"/>
    <n v="7.4999999999999997E-2"/>
    <n v="0"/>
  </r>
  <r>
    <n v="6164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1403"/>
    <x v="1"/>
    <x v="8"/>
    <x v="1390"/>
    <n v="33.57"/>
    <s v="Medium"/>
    <n v="5"/>
    <n v="0.7"/>
    <x v="1"/>
    <x v="5"/>
    <n v="-25.736999999999998"/>
    <n v="-0.76666666666666661"/>
    <n v="1"/>
  </r>
  <r>
    <n v="6165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1035"/>
    <x v="0"/>
    <x v="5"/>
    <x v="325"/>
    <n v="4.992"/>
    <s v="Low"/>
    <n v="3"/>
    <n v="0.2"/>
    <x v="2"/>
    <x v="2"/>
    <n v="1.3728"/>
    <n v="0.27500000000000002"/>
    <n v="0"/>
  </r>
  <r>
    <n v="6166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1682"/>
    <x v="0"/>
    <x v="5"/>
    <x v="1670"/>
    <n v="20.015999999999998"/>
    <s v="Low"/>
    <n v="3"/>
    <n v="0.2"/>
    <x v="2"/>
    <x v="2"/>
    <n v="5.5044000000000004"/>
    <n v="0.27500000000000002"/>
    <n v="0"/>
  </r>
  <r>
    <n v="6167"/>
    <s v="CA-2014-103989"/>
    <d v="2014-03-19T00:00:00"/>
    <x v="2"/>
    <s v="Q1"/>
    <x v="34"/>
    <d v="2014-03-21T00:00:00"/>
    <s v="First Class"/>
    <x v="204"/>
    <x v="204"/>
    <s v="Corporate"/>
    <s v="United States"/>
    <s v="Lakeland"/>
    <x v="2"/>
    <n v="33801"/>
    <x v="0"/>
    <x v="1772"/>
    <x v="2"/>
    <x v="11"/>
    <x v="1762"/>
    <n v="170.24"/>
    <s v="High"/>
    <n v="2"/>
    <n v="0.2"/>
    <x v="2"/>
    <x v="2"/>
    <n v="53.2"/>
    <n v="0.3125"/>
    <n v="0"/>
  </r>
  <r>
    <n v="6168"/>
    <s v="CA-2015-142433"/>
    <d v="2015-04-20T00:00:00"/>
    <x v="1"/>
    <s v="Q2"/>
    <x v="19"/>
    <d v="2015-04-25T00:00:00"/>
    <s v="Standard Class"/>
    <x v="301"/>
    <x v="301"/>
    <s v="Consumer"/>
    <s v="United States"/>
    <s v="Houston"/>
    <x v="5"/>
    <n v="77036"/>
    <x v="2"/>
    <x v="126"/>
    <x v="1"/>
    <x v="10"/>
    <x v="127"/>
    <n v="117.456"/>
    <s v="Medium"/>
    <n v="3"/>
    <n v="0.2"/>
    <x v="2"/>
    <x v="2"/>
    <n v="44.045999999999999"/>
    <n v="0.375"/>
    <n v="0"/>
  </r>
  <r>
    <n v="6169"/>
    <s v="CA-2015-132815"/>
    <d v="2015-09-19T00:00:00"/>
    <x v="1"/>
    <s v="Q3"/>
    <x v="11"/>
    <d v="2015-09-22T00:00:00"/>
    <s v="Second Class"/>
    <x v="459"/>
    <x v="459"/>
    <s v="Corporate"/>
    <s v="United States"/>
    <s v="Los Angeles"/>
    <x v="1"/>
    <n v="90008"/>
    <x v="1"/>
    <x v="496"/>
    <x v="1"/>
    <x v="10"/>
    <x v="496"/>
    <n v="22.96"/>
    <s v="Low"/>
    <n v="2"/>
    <n v="0"/>
    <x v="0"/>
    <x v="0"/>
    <n v="11.250400000000001"/>
    <n v="0.49"/>
    <n v="0"/>
  </r>
  <r>
    <n v="6170"/>
    <s v="CA-2014-101266"/>
    <d v="2014-08-27T00:00:00"/>
    <x v="2"/>
    <s v="Q3"/>
    <x v="9"/>
    <d v="2014-08-30T00:00:00"/>
    <s v="Second Class"/>
    <x v="462"/>
    <x v="462"/>
    <s v="Consumer"/>
    <s v="United States"/>
    <s v="Springfield"/>
    <x v="17"/>
    <n v="22153"/>
    <x v="0"/>
    <x v="481"/>
    <x v="1"/>
    <x v="10"/>
    <x v="482"/>
    <n v="13.36"/>
    <s v="Low"/>
    <n v="2"/>
    <n v="0"/>
    <x v="0"/>
    <x v="0"/>
    <n v="6.4127999999999998"/>
    <n v="0.48"/>
    <n v="0"/>
  </r>
  <r>
    <n v="6171"/>
    <s v="CA-2016-141523"/>
    <d v="2016-12-19T00:00:00"/>
    <x v="0"/>
    <s v="Q4"/>
    <x v="5"/>
    <d v="2016-12-24T00:00:00"/>
    <s v="Second Class"/>
    <x v="775"/>
    <x v="775"/>
    <s v="Corporate"/>
    <s v="United States"/>
    <s v="New York City"/>
    <x v="15"/>
    <n v="10035"/>
    <x v="3"/>
    <x v="1395"/>
    <x v="1"/>
    <x v="8"/>
    <x v="1382"/>
    <n v="34.247999999999998"/>
    <s v="Medium"/>
    <n v="3"/>
    <n v="0.2"/>
    <x v="2"/>
    <x v="2"/>
    <n v="11.5587"/>
    <n v="0.33750000000000002"/>
    <n v="0"/>
  </r>
  <r>
    <n v="6172"/>
    <s v="CA-2016-141523"/>
    <d v="2016-12-19T00:00:00"/>
    <x v="0"/>
    <s v="Q4"/>
    <x v="5"/>
    <d v="2016-12-24T00:00:00"/>
    <s v="Second Class"/>
    <x v="775"/>
    <x v="775"/>
    <s v="Corporate"/>
    <s v="United States"/>
    <s v="New York City"/>
    <x v="15"/>
    <n v="10035"/>
    <x v="3"/>
    <x v="824"/>
    <x v="1"/>
    <x v="6"/>
    <x v="820"/>
    <n v="3.52"/>
    <s v="Low"/>
    <n v="2"/>
    <n v="0"/>
    <x v="0"/>
    <x v="0"/>
    <n v="1.0207999999999999"/>
    <n v="0.28999999999999998"/>
    <n v="0"/>
  </r>
  <r>
    <n v="6173"/>
    <s v="US-2014-106299"/>
    <d v="2014-08-02T00:00:00"/>
    <x v="2"/>
    <s v="Q3"/>
    <x v="9"/>
    <d v="2014-08-08T00:00:00"/>
    <s v="Standard Class"/>
    <x v="125"/>
    <x v="125"/>
    <s v="Home Office"/>
    <s v="United States"/>
    <s v="Springfield"/>
    <x v="25"/>
    <n v="65807"/>
    <x v="2"/>
    <x v="951"/>
    <x v="1"/>
    <x v="8"/>
    <x v="944"/>
    <n v="26.7"/>
    <s v="Medium"/>
    <n v="5"/>
    <n v="0"/>
    <x v="0"/>
    <x v="0"/>
    <n v="12.548999999999999"/>
    <n v="0.47"/>
    <n v="0"/>
  </r>
  <r>
    <n v="6174"/>
    <s v="US-2014-106299"/>
    <d v="2014-08-02T00:00:00"/>
    <x v="2"/>
    <s v="Q3"/>
    <x v="9"/>
    <d v="2014-08-08T00:00:00"/>
    <s v="Standard Class"/>
    <x v="125"/>
    <x v="125"/>
    <s v="Home Office"/>
    <s v="United States"/>
    <s v="Springfield"/>
    <x v="25"/>
    <n v="65807"/>
    <x v="2"/>
    <x v="1651"/>
    <x v="2"/>
    <x v="11"/>
    <x v="1640"/>
    <n v="21.2"/>
    <s v="Low"/>
    <n v="2"/>
    <n v="0"/>
    <x v="0"/>
    <x v="0"/>
    <n v="9.1159999999999997"/>
    <n v="0.43"/>
    <n v="0"/>
  </r>
  <r>
    <n v="6175"/>
    <s v="US-2014-106299"/>
    <d v="2014-08-02T00:00:00"/>
    <x v="2"/>
    <s v="Q3"/>
    <x v="9"/>
    <d v="2014-08-08T00:00:00"/>
    <s v="Standard Class"/>
    <x v="125"/>
    <x v="125"/>
    <s v="Home Office"/>
    <s v="United States"/>
    <s v="Springfield"/>
    <x v="25"/>
    <n v="65807"/>
    <x v="2"/>
    <x v="1074"/>
    <x v="1"/>
    <x v="4"/>
    <x v="1064"/>
    <n v="838.38"/>
    <s v="High"/>
    <n v="2"/>
    <n v="0"/>
    <x v="0"/>
    <x v="0"/>
    <n v="226.36259999999999"/>
    <n v="0.26999999999999996"/>
    <n v="0"/>
  </r>
  <r>
    <n v="6176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774"/>
    <x v="0"/>
    <x v="1"/>
    <x v="773"/>
    <n v="1690.04"/>
    <s v="High"/>
    <n v="4"/>
    <n v="0"/>
    <x v="0"/>
    <x v="0"/>
    <n v="422.51"/>
    <n v="0.25"/>
    <n v="0"/>
  </r>
  <r>
    <n v="6177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576"/>
    <x v="1"/>
    <x v="4"/>
    <x v="576"/>
    <n v="85.96"/>
    <s v="Medium"/>
    <n v="7"/>
    <n v="0"/>
    <x v="0"/>
    <x v="0"/>
    <n v="24.0688"/>
    <n v="0.28000000000000003"/>
    <n v="0"/>
  </r>
  <r>
    <n v="6178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1697"/>
    <x v="1"/>
    <x v="12"/>
    <x v="1685"/>
    <n v="121.96"/>
    <s v="Medium"/>
    <n v="2"/>
    <n v="0"/>
    <x v="0"/>
    <x v="0"/>
    <n v="57.321199999999997"/>
    <n v="0.47000000000000003"/>
    <n v="0"/>
  </r>
  <r>
    <n v="6179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1776"/>
    <x v="1"/>
    <x v="10"/>
    <x v="1766"/>
    <n v="23.92"/>
    <s v="Low"/>
    <n v="4"/>
    <n v="0"/>
    <x v="0"/>
    <x v="0"/>
    <n v="11.720800000000001"/>
    <n v="0.49"/>
    <n v="0"/>
  </r>
  <r>
    <n v="6180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911"/>
    <x v="1"/>
    <x v="4"/>
    <x v="903"/>
    <n v="63.96"/>
    <s v="Medium"/>
    <n v="2"/>
    <n v="0"/>
    <x v="0"/>
    <x v="0"/>
    <n v="6.3959999999999999"/>
    <n v="9.9999999999999992E-2"/>
    <n v="0"/>
  </r>
  <r>
    <n v="6181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1370"/>
    <x v="2"/>
    <x v="7"/>
    <x v="1355"/>
    <n v="629.95000000000005"/>
    <s v="High"/>
    <n v="5"/>
    <n v="0"/>
    <x v="0"/>
    <x v="0"/>
    <n v="176.386"/>
    <n v="0.27999999999999997"/>
    <n v="0"/>
  </r>
  <r>
    <n v="6182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529"/>
    <x v="2"/>
    <x v="7"/>
    <x v="529"/>
    <n v="113.73"/>
    <s v="Medium"/>
    <n v="3"/>
    <n v="0"/>
    <x v="0"/>
    <x v="0"/>
    <n v="32.981699999999996"/>
    <n v="0.28999999999999998"/>
    <n v="0"/>
  </r>
  <r>
    <n v="6183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347"/>
    <x v="1"/>
    <x v="8"/>
    <x v="347"/>
    <n v="14.6"/>
    <s v="Low"/>
    <n v="2"/>
    <n v="0"/>
    <x v="0"/>
    <x v="0"/>
    <n v="6.8620000000000001"/>
    <n v="0.47000000000000003"/>
    <n v="0"/>
  </r>
  <r>
    <n v="6184"/>
    <s v="CA-2015-158421"/>
    <d v="2015-09-21T00:00:00"/>
    <x v="1"/>
    <s v="Q3"/>
    <x v="11"/>
    <d v="2015-09-26T00:00:00"/>
    <s v="Standard Class"/>
    <x v="673"/>
    <x v="673"/>
    <s v="Consumer"/>
    <s v="United States"/>
    <s v="Columbia"/>
    <x v="20"/>
    <n v="29203"/>
    <x v="0"/>
    <x v="16"/>
    <x v="1"/>
    <x v="4"/>
    <x v="16"/>
    <n v="887.84"/>
    <s v="High"/>
    <n v="8"/>
    <n v="0"/>
    <x v="0"/>
    <x v="0"/>
    <n v="17.756799999999998"/>
    <n v="1.9999999999999997E-2"/>
    <n v="0"/>
  </r>
  <r>
    <n v="6185"/>
    <s v="CA-2016-143609"/>
    <d v="2016-12-11T00:00:00"/>
    <x v="0"/>
    <s v="Q4"/>
    <x v="5"/>
    <d v="2016-12-13T00:00:00"/>
    <s v="First Class"/>
    <x v="489"/>
    <x v="489"/>
    <s v="Home Office"/>
    <s v="United States"/>
    <s v="Portland"/>
    <x v="21"/>
    <n v="97206"/>
    <x v="1"/>
    <x v="38"/>
    <x v="0"/>
    <x v="1"/>
    <x v="38"/>
    <n v="403.92"/>
    <s v="High"/>
    <n v="5"/>
    <n v="0.2"/>
    <x v="2"/>
    <x v="2"/>
    <n v="25.245000000000001"/>
    <n v="6.25E-2"/>
    <n v="0"/>
  </r>
  <r>
    <n v="6186"/>
    <s v="CA-2015-138331"/>
    <d v="2015-08-07T00:00:00"/>
    <x v="1"/>
    <s v="Q3"/>
    <x v="37"/>
    <d v="2015-08-12T00:00:00"/>
    <s v="Standard Class"/>
    <x v="600"/>
    <x v="600"/>
    <s v="Consumer"/>
    <s v="United States"/>
    <s v="Philadelphia"/>
    <x v="9"/>
    <n v="19120"/>
    <x v="3"/>
    <x v="818"/>
    <x v="1"/>
    <x v="6"/>
    <x v="814"/>
    <n v="106.8"/>
    <s v="Medium"/>
    <n v="10"/>
    <n v="0.2"/>
    <x v="2"/>
    <x v="2"/>
    <n v="10.68"/>
    <n v="0.1"/>
    <n v="0"/>
  </r>
  <r>
    <n v="6187"/>
    <s v="CA-2015-138954"/>
    <d v="2015-11-15T00:00:00"/>
    <x v="1"/>
    <s v="Q4"/>
    <x v="6"/>
    <d v="2015-11-17T00:00:00"/>
    <s v="First Class"/>
    <x v="186"/>
    <x v="186"/>
    <s v="Corporate"/>
    <s v="United States"/>
    <s v="New York City"/>
    <x v="15"/>
    <n v="10035"/>
    <x v="3"/>
    <x v="392"/>
    <x v="1"/>
    <x v="4"/>
    <x v="393"/>
    <n v="70.95"/>
    <s v="Medium"/>
    <n v="3"/>
    <n v="0"/>
    <x v="0"/>
    <x v="0"/>
    <n v="20.575500000000002"/>
    <n v="0.29000000000000004"/>
    <n v="0"/>
  </r>
  <r>
    <n v="6188"/>
    <s v="CA-2015-138954"/>
    <d v="2015-11-15T00:00:00"/>
    <x v="1"/>
    <s v="Q4"/>
    <x v="6"/>
    <d v="2015-11-17T00:00:00"/>
    <s v="First Class"/>
    <x v="186"/>
    <x v="186"/>
    <s v="Corporate"/>
    <s v="United States"/>
    <s v="New York City"/>
    <x v="15"/>
    <n v="10035"/>
    <x v="3"/>
    <x v="1344"/>
    <x v="1"/>
    <x v="8"/>
    <x v="1329"/>
    <n v="34.944000000000003"/>
    <s v="Medium"/>
    <n v="6"/>
    <n v="0.2"/>
    <x v="2"/>
    <x v="2"/>
    <n v="11.7936"/>
    <n v="0.33749999999999997"/>
    <n v="0"/>
  </r>
  <r>
    <n v="6189"/>
    <s v="CA-2015-138954"/>
    <d v="2015-11-15T00:00:00"/>
    <x v="1"/>
    <s v="Q4"/>
    <x v="6"/>
    <d v="2015-11-17T00:00:00"/>
    <s v="First Class"/>
    <x v="186"/>
    <x v="186"/>
    <s v="Corporate"/>
    <s v="United States"/>
    <s v="New York City"/>
    <x v="15"/>
    <n v="10035"/>
    <x v="3"/>
    <x v="1041"/>
    <x v="1"/>
    <x v="6"/>
    <x v="1030"/>
    <n v="119.04"/>
    <s v="Medium"/>
    <n v="6"/>
    <n v="0"/>
    <x v="0"/>
    <x v="0"/>
    <n v="35.712000000000003"/>
    <n v="0.3"/>
    <n v="0"/>
  </r>
  <r>
    <n v="6190"/>
    <s v="CA-2017-157903"/>
    <d v="2017-04-04T00:00:00"/>
    <x v="3"/>
    <s v="Q2"/>
    <x v="4"/>
    <d v="2017-04-08T00:00:00"/>
    <s v="Standard Class"/>
    <x v="562"/>
    <x v="562"/>
    <s v="Consumer"/>
    <s v="United States"/>
    <s v="Des Plaines"/>
    <x v="10"/>
    <n v="60016"/>
    <x v="2"/>
    <x v="1191"/>
    <x v="2"/>
    <x v="7"/>
    <x v="1176"/>
    <n v="383.84"/>
    <s v="High"/>
    <n v="4"/>
    <n v="0.2"/>
    <x v="2"/>
    <x v="2"/>
    <n v="47.98"/>
    <n v="0.125"/>
    <n v="0"/>
  </r>
  <r>
    <n v="6191"/>
    <s v="CA-2016-157259"/>
    <d v="2016-12-24T00:00:00"/>
    <x v="0"/>
    <s v="Q4"/>
    <x v="5"/>
    <d v="2016-12-28T00:00:00"/>
    <s v="Standard Class"/>
    <x v="341"/>
    <x v="341"/>
    <s v="Consumer"/>
    <s v="United States"/>
    <s v="New York City"/>
    <x v="15"/>
    <n v="10035"/>
    <x v="3"/>
    <x v="1740"/>
    <x v="0"/>
    <x v="5"/>
    <x v="1729"/>
    <n v="799.56"/>
    <s v="High"/>
    <n v="9"/>
    <n v="0"/>
    <x v="0"/>
    <x v="0"/>
    <n v="207.88560000000001"/>
    <n v="0.26"/>
    <n v="0"/>
  </r>
  <r>
    <n v="6192"/>
    <s v="CA-2017-107986"/>
    <d v="2017-12-13T00:00:00"/>
    <x v="3"/>
    <s v="Q4"/>
    <x v="22"/>
    <d v="2017-12-13T00:00:00"/>
    <s v="Same Day"/>
    <x v="596"/>
    <x v="596"/>
    <s v="Consumer"/>
    <s v="United States"/>
    <s v="Seattle"/>
    <x v="4"/>
    <n v="98103"/>
    <x v="1"/>
    <x v="470"/>
    <x v="1"/>
    <x v="4"/>
    <x v="471"/>
    <n v="31.44"/>
    <s v="Medium"/>
    <n v="3"/>
    <n v="0"/>
    <x v="0"/>
    <x v="0"/>
    <n v="8.4887999999999995"/>
    <n v="0.26999999999999996"/>
    <n v="0"/>
  </r>
  <r>
    <n v="6193"/>
    <s v="CA-2017-104927"/>
    <d v="2017-12-22T00:00:00"/>
    <x v="3"/>
    <s v="Q4"/>
    <x v="22"/>
    <d v="2017-12-26T00:00:00"/>
    <s v="Standard Class"/>
    <x v="743"/>
    <x v="743"/>
    <s v="Consumer"/>
    <s v="United States"/>
    <s v="Houston"/>
    <x v="5"/>
    <n v="77095"/>
    <x v="2"/>
    <x v="712"/>
    <x v="1"/>
    <x v="10"/>
    <x v="711"/>
    <n v="25.92"/>
    <s v="Medium"/>
    <n v="5"/>
    <n v="0.2"/>
    <x v="2"/>
    <x v="2"/>
    <n v="9.0719999999999992"/>
    <n v="0.34999999999999992"/>
    <n v="0"/>
  </r>
  <r>
    <n v="6194"/>
    <s v="CA-2017-104927"/>
    <d v="2017-12-22T00:00:00"/>
    <x v="3"/>
    <s v="Q4"/>
    <x v="22"/>
    <d v="2017-12-26T00:00:00"/>
    <s v="Standard Class"/>
    <x v="743"/>
    <x v="743"/>
    <s v="Consumer"/>
    <s v="United States"/>
    <s v="Houston"/>
    <x v="5"/>
    <n v="77095"/>
    <x v="2"/>
    <x v="858"/>
    <x v="1"/>
    <x v="8"/>
    <x v="852"/>
    <n v="6.33"/>
    <s v="Low"/>
    <n v="5"/>
    <n v="0.8"/>
    <x v="1"/>
    <x v="3"/>
    <n v="-9.8115000000000006"/>
    <n v="-1.55"/>
    <n v="1"/>
  </r>
  <r>
    <n v="6195"/>
    <s v="CA-2017-104927"/>
    <d v="2017-12-22T00:00:00"/>
    <x v="3"/>
    <s v="Q4"/>
    <x v="22"/>
    <d v="2017-12-26T00:00:00"/>
    <s v="Standard Class"/>
    <x v="743"/>
    <x v="743"/>
    <s v="Consumer"/>
    <s v="United States"/>
    <s v="Houston"/>
    <x v="5"/>
    <n v="77095"/>
    <x v="2"/>
    <x v="640"/>
    <x v="1"/>
    <x v="10"/>
    <x v="640"/>
    <n v="75.88"/>
    <s v="Medium"/>
    <n v="5"/>
    <n v="0.2"/>
    <x v="2"/>
    <x v="2"/>
    <n v="26.558"/>
    <n v="0.35000000000000003"/>
    <n v="0"/>
  </r>
  <r>
    <n v="6196"/>
    <s v="CA-2017-113453"/>
    <d v="2017-10-21T00:00:00"/>
    <x v="3"/>
    <s v="Q4"/>
    <x v="13"/>
    <d v="2017-10-28T00:00:00"/>
    <s v="Standard Class"/>
    <x v="380"/>
    <x v="380"/>
    <s v="Consumer"/>
    <s v="United States"/>
    <s v="Philadelphia"/>
    <x v="9"/>
    <n v="19143"/>
    <x v="3"/>
    <x v="903"/>
    <x v="2"/>
    <x v="7"/>
    <x v="895"/>
    <n v="329.988"/>
    <s v="High"/>
    <n v="2"/>
    <n v="0.4"/>
    <x v="1"/>
    <x v="7"/>
    <n v="-76.997200000000007"/>
    <n v="-0.23333333333333336"/>
    <n v="1"/>
  </r>
  <r>
    <n v="6197"/>
    <s v="CA-2017-113453"/>
    <d v="2017-10-21T00:00:00"/>
    <x v="3"/>
    <s v="Q4"/>
    <x v="13"/>
    <d v="2017-10-28T00:00:00"/>
    <s v="Standard Class"/>
    <x v="380"/>
    <x v="380"/>
    <s v="Consumer"/>
    <s v="United States"/>
    <s v="Philadelphia"/>
    <x v="9"/>
    <n v="19143"/>
    <x v="3"/>
    <x v="1069"/>
    <x v="1"/>
    <x v="4"/>
    <x v="1058"/>
    <n v="71.376000000000005"/>
    <s v="Medium"/>
    <n v="3"/>
    <n v="0.2"/>
    <x v="2"/>
    <x v="2"/>
    <n v="-4.4610000000000003"/>
    <n v="-6.25E-2"/>
    <n v="1"/>
  </r>
  <r>
    <n v="6198"/>
    <s v="CA-2015-149909"/>
    <d v="2015-11-13T00:00:00"/>
    <x v="1"/>
    <s v="Q4"/>
    <x v="6"/>
    <d v="2015-11-17T00:00:00"/>
    <s v="Standard Class"/>
    <x v="154"/>
    <x v="154"/>
    <s v="Consumer"/>
    <s v="United States"/>
    <s v="Columbus"/>
    <x v="14"/>
    <n v="47201"/>
    <x v="2"/>
    <x v="1346"/>
    <x v="1"/>
    <x v="10"/>
    <x v="1331"/>
    <n v="63.77"/>
    <s v="Medium"/>
    <n v="7"/>
    <n v="0"/>
    <x v="0"/>
    <x v="0"/>
    <n v="28.6965"/>
    <n v="0.44999999999999996"/>
    <n v="0"/>
  </r>
  <r>
    <n v="6199"/>
    <s v="CA-2015-149909"/>
    <d v="2015-11-13T00:00:00"/>
    <x v="1"/>
    <s v="Q4"/>
    <x v="6"/>
    <d v="2015-11-17T00:00:00"/>
    <s v="Standard Class"/>
    <x v="154"/>
    <x v="154"/>
    <s v="Consumer"/>
    <s v="United States"/>
    <s v="Columbus"/>
    <x v="14"/>
    <n v="47201"/>
    <x v="2"/>
    <x v="1259"/>
    <x v="2"/>
    <x v="7"/>
    <x v="1243"/>
    <n v="50.97"/>
    <s v="Medium"/>
    <n v="3"/>
    <n v="0"/>
    <x v="0"/>
    <x v="0"/>
    <n v="13.2522"/>
    <n v="0.26"/>
    <n v="0"/>
  </r>
  <r>
    <n v="6200"/>
    <s v="CA-2015-149909"/>
    <d v="2015-11-13T00:00:00"/>
    <x v="1"/>
    <s v="Q4"/>
    <x v="6"/>
    <d v="2015-11-17T00:00:00"/>
    <s v="Standard Class"/>
    <x v="154"/>
    <x v="154"/>
    <s v="Consumer"/>
    <s v="United States"/>
    <s v="Columbus"/>
    <x v="14"/>
    <n v="47201"/>
    <x v="2"/>
    <x v="694"/>
    <x v="1"/>
    <x v="10"/>
    <x v="694"/>
    <n v="96.08"/>
    <s v="Medium"/>
    <n v="2"/>
    <n v="0"/>
    <x v="0"/>
    <x v="0"/>
    <n v="46.118400000000001"/>
    <n v="0.48000000000000004"/>
    <n v="0"/>
  </r>
  <r>
    <n v="6201"/>
    <s v="CA-2015-146675"/>
    <d v="2015-04-16T00:00:00"/>
    <x v="1"/>
    <s v="Q2"/>
    <x v="19"/>
    <d v="2015-04-20T00:00:00"/>
    <s v="Standard Class"/>
    <x v="766"/>
    <x v="766"/>
    <s v="Consumer"/>
    <s v="United States"/>
    <s v="Evanston"/>
    <x v="10"/>
    <n v="60201"/>
    <x v="2"/>
    <x v="1077"/>
    <x v="2"/>
    <x v="16"/>
    <x v="1067"/>
    <n v="1439.9680000000001"/>
    <s v="High"/>
    <n v="4"/>
    <n v="0.2"/>
    <x v="2"/>
    <x v="2"/>
    <n v="485.98919999999998"/>
    <n v="0.33749999999999997"/>
    <n v="0"/>
  </r>
  <r>
    <n v="6202"/>
    <s v="CA-2015-146675"/>
    <d v="2015-04-16T00:00:00"/>
    <x v="1"/>
    <s v="Q2"/>
    <x v="19"/>
    <d v="2015-04-20T00:00:00"/>
    <s v="Standard Class"/>
    <x v="766"/>
    <x v="766"/>
    <s v="Consumer"/>
    <s v="United States"/>
    <s v="Evanston"/>
    <x v="10"/>
    <n v="60201"/>
    <x v="2"/>
    <x v="1700"/>
    <x v="2"/>
    <x v="11"/>
    <x v="1688"/>
    <n v="43.56"/>
    <s v="Medium"/>
    <n v="3"/>
    <n v="0.2"/>
    <x v="2"/>
    <x v="2"/>
    <n v="-4.9005000000000001"/>
    <n v="-0.1125"/>
    <n v="1"/>
  </r>
  <r>
    <n v="6203"/>
    <s v="CA-2016-118332"/>
    <d v="2016-12-16T00:00:00"/>
    <x v="0"/>
    <s v="Q4"/>
    <x v="5"/>
    <d v="2016-12-23T00:00:00"/>
    <s v="Standard Class"/>
    <x v="7"/>
    <x v="7"/>
    <s v="Consumer"/>
    <s v="United States"/>
    <s v="Apple Valley"/>
    <x v="1"/>
    <n v="92307"/>
    <x v="1"/>
    <x v="901"/>
    <x v="0"/>
    <x v="1"/>
    <x v="893"/>
    <n v="563.91999999999996"/>
    <s v="High"/>
    <n v="5"/>
    <n v="0.2"/>
    <x v="2"/>
    <x v="2"/>
    <n v="7.0490000000000004"/>
    <n v="1.2500000000000002E-2"/>
    <n v="0"/>
  </r>
  <r>
    <n v="6204"/>
    <s v="CA-2016-133669"/>
    <d v="2016-10-21T00:00:00"/>
    <x v="0"/>
    <s v="Q4"/>
    <x v="32"/>
    <d v="2016-10-27T00:00:00"/>
    <s v="Standard Class"/>
    <x v="603"/>
    <x v="603"/>
    <s v="Consumer"/>
    <s v="United States"/>
    <s v="Columbus"/>
    <x v="24"/>
    <n v="43229"/>
    <x v="3"/>
    <x v="1692"/>
    <x v="2"/>
    <x v="7"/>
    <x v="1680"/>
    <n v="235.15199999999999"/>
    <s v="High"/>
    <n v="8"/>
    <n v="0.4"/>
    <x v="1"/>
    <x v="7"/>
    <n v="-47.0304"/>
    <n v="-0.2"/>
    <n v="1"/>
  </r>
  <r>
    <n v="6205"/>
    <s v="CA-2017-145660"/>
    <d v="2017-12-01T00:00:00"/>
    <x v="3"/>
    <s v="Q4"/>
    <x v="22"/>
    <d v="2017-12-03T00:00:00"/>
    <s v="First Class"/>
    <x v="377"/>
    <x v="377"/>
    <s v="Home Office"/>
    <s v="United States"/>
    <s v="Marion"/>
    <x v="24"/>
    <n v="43302"/>
    <x v="3"/>
    <x v="763"/>
    <x v="0"/>
    <x v="5"/>
    <x v="762"/>
    <n v="7.7119999999999997"/>
    <s v="Low"/>
    <n v="2"/>
    <n v="0.2"/>
    <x v="2"/>
    <x v="2"/>
    <n v="1.7352000000000001"/>
    <n v="0.22500000000000001"/>
    <n v="0"/>
  </r>
  <r>
    <n v="6206"/>
    <s v="CA-2016-133697"/>
    <d v="2016-10-20T00:00:00"/>
    <x v="0"/>
    <s v="Q4"/>
    <x v="32"/>
    <d v="2016-10-24T00:00:00"/>
    <s v="Second Class"/>
    <x v="320"/>
    <x v="320"/>
    <s v="Consumer"/>
    <s v="United States"/>
    <s v="Houston"/>
    <x v="5"/>
    <n v="77095"/>
    <x v="2"/>
    <x v="1346"/>
    <x v="1"/>
    <x v="10"/>
    <x v="1331"/>
    <n v="51.015999999999998"/>
    <s v="Medium"/>
    <n v="7"/>
    <n v="0.2"/>
    <x v="2"/>
    <x v="2"/>
    <n v="15.942500000000001"/>
    <n v="0.3125"/>
    <n v="0"/>
  </r>
  <r>
    <n v="6207"/>
    <s v="CA-2016-133697"/>
    <d v="2016-10-20T00:00:00"/>
    <x v="0"/>
    <s v="Q4"/>
    <x v="32"/>
    <d v="2016-10-24T00:00:00"/>
    <s v="Second Class"/>
    <x v="320"/>
    <x v="320"/>
    <s v="Consumer"/>
    <s v="United States"/>
    <s v="Houston"/>
    <x v="5"/>
    <n v="77095"/>
    <x v="2"/>
    <x v="550"/>
    <x v="1"/>
    <x v="13"/>
    <x v="128"/>
    <n v="25.248000000000001"/>
    <s v="Medium"/>
    <n v="4"/>
    <n v="0.2"/>
    <x v="2"/>
    <x v="2"/>
    <n v="7.89"/>
    <n v="0.3125"/>
    <n v="0"/>
  </r>
  <r>
    <n v="6208"/>
    <s v="CA-2016-133697"/>
    <d v="2016-10-20T00:00:00"/>
    <x v="0"/>
    <s v="Q4"/>
    <x v="32"/>
    <d v="2016-10-24T00:00:00"/>
    <s v="Second Class"/>
    <x v="320"/>
    <x v="320"/>
    <s v="Consumer"/>
    <s v="United States"/>
    <s v="Houston"/>
    <x v="5"/>
    <n v="77095"/>
    <x v="2"/>
    <x v="394"/>
    <x v="0"/>
    <x v="1"/>
    <x v="395"/>
    <n v="56.686"/>
    <s v="Medium"/>
    <n v="1"/>
    <n v="0.3"/>
    <x v="1"/>
    <x v="4"/>
    <n v="-14.5764"/>
    <n v="-0.25714285714285712"/>
    <n v="1"/>
  </r>
  <r>
    <n v="6209"/>
    <s v="CA-2017-148138"/>
    <d v="2017-09-29T00:00:00"/>
    <x v="3"/>
    <s v="Q3"/>
    <x v="15"/>
    <d v="2017-10-03T00:00:00"/>
    <s v="Standard Class"/>
    <x v="545"/>
    <x v="545"/>
    <s v="Corporate"/>
    <s v="United States"/>
    <s v="Marion"/>
    <x v="24"/>
    <n v="43302"/>
    <x v="3"/>
    <x v="911"/>
    <x v="1"/>
    <x v="4"/>
    <x v="903"/>
    <n v="51.167999999999999"/>
    <s v="Medium"/>
    <n v="2"/>
    <n v="0.2"/>
    <x v="2"/>
    <x v="2"/>
    <n v="-6.3959999999999999"/>
    <n v="-0.125"/>
    <n v="1"/>
  </r>
  <r>
    <n v="6210"/>
    <s v="CA-2017-119809"/>
    <d v="2017-08-18T00:00:00"/>
    <x v="3"/>
    <s v="Q3"/>
    <x v="43"/>
    <d v="2017-08-25T00:00:00"/>
    <s v="Standard Class"/>
    <x v="453"/>
    <x v="453"/>
    <s v="Corporate"/>
    <s v="United States"/>
    <s v="Seattle"/>
    <x v="4"/>
    <n v="98103"/>
    <x v="1"/>
    <x v="760"/>
    <x v="1"/>
    <x v="8"/>
    <x v="758"/>
    <n v="2793.5279999999998"/>
    <s v="High"/>
    <n v="9"/>
    <n v="0.2"/>
    <x v="2"/>
    <x v="2"/>
    <n v="942.81569999999999"/>
    <n v="0.33750000000000002"/>
    <n v="0"/>
  </r>
  <r>
    <n v="6211"/>
    <s v="CA-2017-119809"/>
    <d v="2017-08-18T00:00:00"/>
    <x v="3"/>
    <s v="Q3"/>
    <x v="43"/>
    <d v="2017-08-25T00:00:00"/>
    <s v="Standard Class"/>
    <x v="453"/>
    <x v="453"/>
    <s v="Corporate"/>
    <s v="United States"/>
    <s v="Seattle"/>
    <x v="4"/>
    <n v="98103"/>
    <x v="1"/>
    <x v="384"/>
    <x v="1"/>
    <x v="4"/>
    <x v="385"/>
    <n v="1000.02"/>
    <s v="High"/>
    <n v="7"/>
    <n v="0"/>
    <x v="0"/>
    <x v="0"/>
    <n v="290.00580000000002"/>
    <n v="0.29000000000000004"/>
    <n v="0"/>
  </r>
  <r>
    <n v="6212"/>
    <s v="CA-2017-119809"/>
    <d v="2017-08-18T00:00:00"/>
    <x v="3"/>
    <s v="Q3"/>
    <x v="43"/>
    <d v="2017-08-25T00:00:00"/>
    <s v="Standard Class"/>
    <x v="453"/>
    <x v="453"/>
    <s v="Corporate"/>
    <s v="United States"/>
    <s v="Seattle"/>
    <x v="4"/>
    <n v="98103"/>
    <x v="1"/>
    <x v="504"/>
    <x v="0"/>
    <x v="5"/>
    <x v="504"/>
    <n v="65.94"/>
    <s v="Medium"/>
    <n v="3"/>
    <n v="0"/>
    <x v="0"/>
    <x v="0"/>
    <n v="22.419599999999999"/>
    <n v="0.34"/>
    <n v="0"/>
  </r>
  <r>
    <n v="6213"/>
    <s v="CA-2017-149944"/>
    <d v="2017-11-12T00:00:00"/>
    <x v="3"/>
    <s v="Q4"/>
    <x v="23"/>
    <d v="2017-11-16T00:00:00"/>
    <s v="Second Class"/>
    <x v="93"/>
    <x v="93"/>
    <s v="Consumer"/>
    <s v="United States"/>
    <s v="Longview"/>
    <x v="4"/>
    <n v="98632"/>
    <x v="1"/>
    <x v="829"/>
    <x v="1"/>
    <x v="13"/>
    <x v="128"/>
    <n v="18.239999999999998"/>
    <s v="Low"/>
    <n v="3"/>
    <n v="0"/>
    <x v="0"/>
    <x v="0"/>
    <n v="9.1199999999999992"/>
    <n v="0.5"/>
    <n v="0"/>
  </r>
  <r>
    <n v="6214"/>
    <s v="CA-2017-149944"/>
    <d v="2017-11-12T00:00:00"/>
    <x v="3"/>
    <s v="Q4"/>
    <x v="23"/>
    <d v="2017-11-16T00:00:00"/>
    <s v="Second Class"/>
    <x v="93"/>
    <x v="93"/>
    <s v="Consumer"/>
    <s v="United States"/>
    <s v="Longview"/>
    <x v="4"/>
    <n v="98632"/>
    <x v="1"/>
    <x v="513"/>
    <x v="1"/>
    <x v="9"/>
    <x v="513"/>
    <n v="76.12"/>
    <s v="Medium"/>
    <n v="2"/>
    <n v="0"/>
    <x v="0"/>
    <x v="0"/>
    <n v="22.0748"/>
    <n v="0.28999999999999998"/>
    <n v="0"/>
  </r>
  <r>
    <n v="6215"/>
    <s v="CA-2014-128538"/>
    <d v="2014-10-11T00:00:00"/>
    <x v="2"/>
    <s v="Q4"/>
    <x v="18"/>
    <d v="2014-10-15T00:00:00"/>
    <s v="Standard Class"/>
    <x v="238"/>
    <x v="238"/>
    <s v="Consumer"/>
    <s v="United States"/>
    <s v="Redondo Beach"/>
    <x v="1"/>
    <n v="90278"/>
    <x v="1"/>
    <x v="588"/>
    <x v="1"/>
    <x v="12"/>
    <x v="588"/>
    <n v="7.64"/>
    <s v="Low"/>
    <n v="1"/>
    <n v="0"/>
    <x v="0"/>
    <x v="0"/>
    <n v="3.7435999999999998"/>
    <n v="0.49"/>
    <n v="0"/>
  </r>
  <r>
    <n v="6216"/>
    <s v="CA-2015-161711"/>
    <d v="2015-11-28T00:00:00"/>
    <x v="1"/>
    <s v="Q4"/>
    <x v="6"/>
    <d v="2015-12-03T00:00:00"/>
    <s v="Standard Class"/>
    <x v="466"/>
    <x v="466"/>
    <s v="Corporate"/>
    <s v="United States"/>
    <s v="New York City"/>
    <x v="15"/>
    <n v="10035"/>
    <x v="3"/>
    <x v="205"/>
    <x v="0"/>
    <x v="5"/>
    <x v="206"/>
    <n v="68.16"/>
    <s v="Medium"/>
    <n v="3"/>
    <n v="0"/>
    <x v="0"/>
    <x v="0"/>
    <n v="27.945599999999999"/>
    <n v="0.41000000000000003"/>
    <n v="0"/>
  </r>
  <r>
    <n v="6217"/>
    <s v="CA-2015-161711"/>
    <d v="2015-11-28T00:00:00"/>
    <x v="1"/>
    <s v="Q4"/>
    <x v="6"/>
    <d v="2015-12-03T00:00:00"/>
    <s v="Standard Class"/>
    <x v="466"/>
    <x v="466"/>
    <s v="Corporate"/>
    <s v="United States"/>
    <s v="New York City"/>
    <x v="15"/>
    <n v="10035"/>
    <x v="3"/>
    <x v="837"/>
    <x v="1"/>
    <x v="12"/>
    <x v="153"/>
    <n v="62.24"/>
    <s v="Medium"/>
    <n v="8"/>
    <n v="0"/>
    <x v="0"/>
    <x v="0"/>
    <n v="29.252800000000001"/>
    <n v="0.47"/>
    <n v="0"/>
  </r>
  <r>
    <n v="6218"/>
    <s v="US-2015-129553"/>
    <d v="2015-07-27T00:00:00"/>
    <x v="1"/>
    <s v="Q3"/>
    <x v="38"/>
    <d v="2015-08-02T00:00:00"/>
    <s v="Standard Class"/>
    <x v="310"/>
    <x v="310"/>
    <s v="Consumer"/>
    <s v="United States"/>
    <s v="Louisville"/>
    <x v="0"/>
    <n v="40214"/>
    <x v="0"/>
    <x v="1136"/>
    <x v="2"/>
    <x v="7"/>
    <x v="1124"/>
    <n v="29.97"/>
    <s v="Medium"/>
    <n v="3"/>
    <n v="0"/>
    <x v="0"/>
    <x v="0"/>
    <n v="0.29970000000000002"/>
    <n v="1.0000000000000002E-2"/>
    <n v="0"/>
  </r>
  <r>
    <n v="6219"/>
    <s v="CA-2016-160220"/>
    <d v="2016-10-20T00:00:00"/>
    <x v="0"/>
    <s v="Q4"/>
    <x v="32"/>
    <d v="2016-10-26T00:00:00"/>
    <s v="Standard Class"/>
    <x v="559"/>
    <x v="559"/>
    <s v="Consumer"/>
    <s v="United States"/>
    <s v="Trenton"/>
    <x v="12"/>
    <n v="48183"/>
    <x v="2"/>
    <x v="1020"/>
    <x v="2"/>
    <x v="7"/>
    <x v="1011"/>
    <n v="125.7"/>
    <s v="High"/>
    <n v="6"/>
    <n v="0"/>
    <x v="0"/>
    <x v="0"/>
    <n v="35.195999999999998"/>
    <n v="0.27999999999999997"/>
    <n v="0"/>
  </r>
  <r>
    <n v="6220"/>
    <s v="CA-2016-160220"/>
    <d v="2016-10-20T00:00:00"/>
    <x v="0"/>
    <s v="Q4"/>
    <x v="32"/>
    <d v="2016-10-26T00:00:00"/>
    <s v="Standard Class"/>
    <x v="559"/>
    <x v="559"/>
    <s v="Consumer"/>
    <s v="United States"/>
    <s v="Trenton"/>
    <x v="12"/>
    <n v="48183"/>
    <x v="2"/>
    <x v="664"/>
    <x v="2"/>
    <x v="7"/>
    <x v="664"/>
    <n v="191.98"/>
    <s v="High"/>
    <n v="2"/>
    <n v="0"/>
    <x v="0"/>
    <x v="0"/>
    <n v="51.834600000000002"/>
    <n v="0.27"/>
    <n v="0"/>
  </r>
  <r>
    <n v="6221"/>
    <s v="CA-2016-160220"/>
    <d v="2016-10-20T00:00:00"/>
    <x v="0"/>
    <s v="Q4"/>
    <x v="32"/>
    <d v="2016-10-26T00:00:00"/>
    <s v="Standard Class"/>
    <x v="559"/>
    <x v="559"/>
    <s v="Consumer"/>
    <s v="United States"/>
    <s v="Trenton"/>
    <x v="12"/>
    <n v="48183"/>
    <x v="2"/>
    <x v="383"/>
    <x v="1"/>
    <x v="4"/>
    <x v="384"/>
    <n v="20.86"/>
    <s v="Low"/>
    <n v="7"/>
    <n v="0"/>
    <x v="0"/>
    <x v="0"/>
    <n v="1.4601999999999999"/>
    <n v="6.9999999999999993E-2"/>
    <n v="0"/>
  </r>
  <r>
    <n v="6222"/>
    <s v="US-2017-157224"/>
    <d v="2017-09-14T00:00:00"/>
    <x v="3"/>
    <s v="Q3"/>
    <x v="15"/>
    <d v="2017-09-18T00:00:00"/>
    <s v="Second Class"/>
    <x v="677"/>
    <x v="677"/>
    <s v="Consumer"/>
    <s v="United States"/>
    <s v="Los Angeles"/>
    <x v="1"/>
    <n v="90045"/>
    <x v="1"/>
    <x v="919"/>
    <x v="1"/>
    <x v="2"/>
    <x v="911"/>
    <n v="56.7"/>
    <s v="Medium"/>
    <n v="9"/>
    <n v="0"/>
    <x v="0"/>
    <x v="0"/>
    <n v="26.082000000000001"/>
    <n v="0.45999999999999996"/>
    <n v="0"/>
  </r>
  <r>
    <n v="6223"/>
    <s v="CA-2017-140627"/>
    <d v="2017-12-23T00:00:00"/>
    <x v="3"/>
    <s v="Q4"/>
    <x v="22"/>
    <d v="2017-12-27T00:00:00"/>
    <s v="Standard Class"/>
    <x v="213"/>
    <x v="213"/>
    <s v="Consumer"/>
    <s v="United States"/>
    <s v="Hendersonville"/>
    <x v="18"/>
    <n v="37075"/>
    <x v="0"/>
    <x v="205"/>
    <x v="0"/>
    <x v="5"/>
    <x v="206"/>
    <n v="72.703999999999994"/>
    <s v="Medium"/>
    <n v="4"/>
    <n v="0.2"/>
    <x v="2"/>
    <x v="2"/>
    <n v="19.084800000000001"/>
    <n v="0.26250000000000007"/>
    <n v="0"/>
  </r>
  <r>
    <n v="6224"/>
    <s v="CA-2017-140627"/>
    <d v="2017-12-23T00:00:00"/>
    <x v="3"/>
    <s v="Q4"/>
    <x v="22"/>
    <d v="2017-12-27T00:00:00"/>
    <s v="Standard Class"/>
    <x v="213"/>
    <x v="213"/>
    <s v="Consumer"/>
    <s v="United States"/>
    <s v="Hendersonville"/>
    <x v="18"/>
    <n v="37075"/>
    <x v="0"/>
    <x v="909"/>
    <x v="1"/>
    <x v="6"/>
    <x v="901"/>
    <n v="12.263999999999999"/>
    <s v="Low"/>
    <n v="7"/>
    <n v="0.2"/>
    <x v="2"/>
    <x v="2"/>
    <n v="1.0730999999999999"/>
    <n v="8.7499999999999994E-2"/>
    <n v="0"/>
  </r>
  <r>
    <n v="6225"/>
    <s v="CA-2017-140627"/>
    <d v="2017-12-23T00:00:00"/>
    <x v="3"/>
    <s v="Q4"/>
    <x v="22"/>
    <d v="2017-12-27T00:00:00"/>
    <s v="Standard Class"/>
    <x v="213"/>
    <x v="213"/>
    <s v="Consumer"/>
    <s v="United States"/>
    <s v="Hendersonville"/>
    <x v="18"/>
    <n v="37075"/>
    <x v="0"/>
    <x v="72"/>
    <x v="1"/>
    <x v="4"/>
    <x v="72"/>
    <n v="218.352"/>
    <s v="High"/>
    <n v="3"/>
    <n v="0.2"/>
    <x v="2"/>
    <x v="2"/>
    <n v="-54.588000000000001"/>
    <n v="-0.25"/>
    <n v="1"/>
  </r>
  <r>
    <n v="6226"/>
    <s v="CA-2015-133445"/>
    <d v="2015-10-05T00:00:00"/>
    <x v="1"/>
    <s v="Q4"/>
    <x v="2"/>
    <d v="2015-10-09T00:00:00"/>
    <s v="Standard Class"/>
    <x v="223"/>
    <x v="223"/>
    <s v="Consumer"/>
    <s v="United States"/>
    <s v="Portland"/>
    <x v="21"/>
    <n v="97206"/>
    <x v="1"/>
    <x v="1487"/>
    <x v="0"/>
    <x v="0"/>
    <x v="1474"/>
    <n v="66.293999999999997"/>
    <s v="Medium"/>
    <n v="1"/>
    <n v="0.7"/>
    <x v="1"/>
    <x v="5"/>
    <n v="-103.86060000000001"/>
    <n v="-1.5666666666666669"/>
    <n v="1"/>
  </r>
  <r>
    <n v="6227"/>
    <s v="CA-2015-133445"/>
    <d v="2015-10-05T00:00:00"/>
    <x v="1"/>
    <s v="Q4"/>
    <x v="2"/>
    <d v="2015-10-09T00:00:00"/>
    <s v="Standard Class"/>
    <x v="223"/>
    <x v="223"/>
    <s v="Consumer"/>
    <s v="United States"/>
    <s v="Portland"/>
    <x v="21"/>
    <n v="97206"/>
    <x v="1"/>
    <x v="1455"/>
    <x v="0"/>
    <x v="1"/>
    <x v="1441"/>
    <n v="291.16800000000001"/>
    <s v="High"/>
    <n v="4"/>
    <n v="0.2"/>
    <x v="2"/>
    <x v="2"/>
    <n v="-14.558400000000001"/>
    <n v="-0.05"/>
    <n v="1"/>
  </r>
  <r>
    <n v="6228"/>
    <s v="CA-2014-148782"/>
    <d v="2014-11-02T00:00:00"/>
    <x v="2"/>
    <s v="Q4"/>
    <x v="7"/>
    <d v="2014-11-07T00:00:00"/>
    <s v="Standard Class"/>
    <x v="138"/>
    <x v="138"/>
    <s v="Consumer"/>
    <s v="United States"/>
    <s v="Irving"/>
    <x v="5"/>
    <n v="75061"/>
    <x v="2"/>
    <x v="687"/>
    <x v="2"/>
    <x v="7"/>
    <x v="687"/>
    <n v="88.775999999999996"/>
    <s v="Medium"/>
    <n v="3"/>
    <n v="0.2"/>
    <x v="2"/>
    <x v="2"/>
    <n v="7.7679"/>
    <n v="8.7500000000000008E-2"/>
    <n v="0"/>
  </r>
  <r>
    <n v="6229"/>
    <s v="CA-2016-148208"/>
    <d v="2016-01-22T00:00:00"/>
    <x v="0"/>
    <s v="Q1"/>
    <x v="12"/>
    <d v="2016-01-27T00:00:00"/>
    <s v="Standard Class"/>
    <x v="404"/>
    <x v="404"/>
    <s v="Home Office"/>
    <s v="United States"/>
    <s v="Cleveland"/>
    <x v="24"/>
    <n v="44105"/>
    <x v="3"/>
    <x v="40"/>
    <x v="2"/>
    <x v="7"/>
    <x v="40"/>
    <n v="110.376"/>
    <s v="Medium"/>
    <n v="4"/>
    <n v="0.4"/>
    <x v="1"/>
    <x v="7"/>
    <n v="-20.235600000000002"/>
    <n v="-0.18333333333333335"/>
    <n v="1"/>
  </r>
  <r>
    <n v="6230"/>
    <s v="CA-2016-148208"/>
    <d v="2016-01-22T00:00:00"/>
    <x v="0"/>
    <s v="Q1"/>
    <x v="12"/>
    <d v="2016-01-27T00:00:00"/>
    <s v="Standard Class"/>
    <x v="404"/>
    <x v="404"/>
    <s v="Home Office"/>
    <s v="United States"/>
    <s v="Cleveland"/>
    <x v="24"/>
    <n v="44105"/>
    <x v="3"/>
    <x v="43"/>
    <x v="2"/>
    <x v="11"/>
    <x v="43"/>
    <n v="55.176000000000002"/>
    <s v="Medium"/>
    <n v="3"/>
    <n v="0.2"/>
    <x v="2"/>
    <x v="2"/>
    <n v="15.863099999999999"/>
    <n v="0.28749999999999998"/>
    <n v="0"/>
  </r>
  <r>
    <n v="6231"/>
    <s v="CA-2017-127656"/>
    <d v="2017-07-11T00:00:00"/>
    <x v="3"/>
    <s v="Q3"/>
    <x v="10"/>
    <d v="2017-07-17T00:00:00"/>
    <s v="Standard Class"/>
    <x v="508"/>
    <x v="508"/>
    <s v="Consumer"/>
    <s v="United States"/>
    <s v="Waterloo"/>
    <x v="23"/>
    <n v="50701"/>
    <x v="2"/>
    <x v="773"/>
    <x v="1"/>
    <x v="6"/>
    <x v="772"/>
    <n v="30.32"/>
    <s v="Medium"/>
    <n v="4"/>
    <n v="0"/>
    <x v="0"/>
    <x v="0"/>
    <n v="11.8248"/>
    <n v="0.39"/>
    <n v="0"/>
  </r>
  <r>
    <n v="6232"/>
    <s v="US-2017-142188"/>
    <d v="2017-09-11T00:00:00"/>
    <x v="3"/>
    <s v="Q3"/>
    <x v="15"/>
    <d v="2017-09-11T00:00:00"/>
    <s v="Same Day"/>
    <x v="226"/>
    <x v="226"/>
    <s v="Consumer"/>
    <s v="United States"/>
    <s v="Seattle"/>
    <x v="4"/>
    <n v="98105"/>
    <x v="1"/>
    <x v="637"/>
    <x v="0"/>
    <x v="1"/>
    <x v="637"/>
    <n v="177.56800000000001"/>
    <s v="High"/>
    <n v="2"/>
    <n v="0.2"/>
    <x v="2"/>
    <x v="2"/>
    <n v="8.8783999999999992"/>
    <n v="4.9999999999999989E-2"/>
    <n v="0"/>
  </r>
  <r>
    <n v="6233"/>
    <s v="US-2017-142188"/>
    <d v="2017-09-11T00:00:00"/>
    <x v="3"/>
    <s v="Q3"/>
    <x v="15"/>
    <d v="2017-09-11T00:00:00"/>
    <s v="Same Day"/>
    <x v="226"/>
    <x v="226"/>
    <s v="Consumer"/>
    <s v="United States"/>
    <s v="Seattle"/>
    <x v="4"/>
    <n v="98105"/>
    <x v="1"/>
    <x v="510"/>
    <x v="1"/>
    <x v="10"/>
    <x v="510"/>
    <n v="19.440000000000001"/>
    <s v="Low"/>
    <n v="3"/>
    <n v="0"/>
    <x v="0"/>
    <x v="0"/>
    <n v="9.3312000000000008"/>
    <n v="0.48000000000000004"/>
    <n v="0"/>
  </r>
  <r>
    <n v="6234"/>
    <s v="US-2017-142188"/>
    <d v="2017-09-11T00:00:00"/>
    <x v="3"/>
    <s v="Q3"/>
    <x v="15"/>
    <d v="2017-09-11T00:00:00"/>
    <s v="Same Day"/>
    <x v="226"/>
    <x v="226"/>
    <s v="Consumer"/>
    <s v="United States"/>
    <s v="Seattle"/>
    <x v="4"/>
    <n v="98105"/>
    <x v="1"/>
    <x v="511"/>
    <x v="1"/>
    <x v="10"/>
    <x v="511"/>
    <n v="71.28"/>
    <s v="Medium"/>
    <n v="11"/>
    <n v="0"/>
    <x v="0"/>
    <x v="0"/>
    <n v="34.214399999999998"/>
    <n v="0.48"/>
    <n v="0"/>
  </r>
  <r>
    <n v="6235"/>
    <s v="US-2017-142188"/>
    <d v="2017-09-11T00:00:00"/>
    <x v="3"/>
    <s v="Q3"/>
    <x v="15"/>
    <d v="2017-09-11T00:00:00"/>
    <s v="Same Day"/>
    <x v="226"/>
    <x v="226"/>
    <s v="Consumer"/>
    <s v="United States"/>
    <s v="Seattle"/>
    <x v="4"/>
    <n v="98105"/>
    <x v="1"/>
    <x v="1498"/>
    <x v="1"/>
    <x v="8"/>
    <x v="1486"/>
    <n v="1471.96"/>
    <s v="High"/>
    <n v="5"/>
    <n v="0.2"/>
    <x v="2"/>
    <x v="2"/>
    <n v="459.98750000000001"/>
    <n v="0.3125"/>
    <n v="0"/>
  </r>
  <r>
    <n v="6236"/>
    <s v="US-2017-142188"/>
    <d v="2017-09-11T00:00:00"/>
    <x v="3"/>
    <s v="Q3"/>
    <x v="15"/>
    <d v="2017-09-11T00:00:00"/>
    <s v="Same Day"/>
    <x v="226"/>
    <x v="226"/>
    <s v="Consumer"/>
    <s v="United States"/>
    <s v="Seattle"/>
    <x v="4"/>
    <n v="98105"/>
    <x v="1"/>
    <x v="1777"/>
    <x v="2"/>
    <x v="7"/>
    <x v="1767"/>
    <n v="79.959999999999994"/>
    <s v="Medium"/>
    <n v="5"/>
    <n v="0.2"/>
    <x v="2"/>
    <x v="2"/>
    <n v="-17.991"/>
    <n v="-0.22500000000000001"/>
    <n v="1"/>
  </r>
  <r>
    <n v="6237"/>
    <s v="CA-2016-144400"/>
    <d v="2016-02-23T00:00:00"/>
    <x v="0"/>
    <s v="Q1"/>
    <x v="47"/>
    <d v="2016-02-27T00:00:00"/>
    <s v="Standard Class"/>
    <x v="141"/>
    <x v="141"/>
    <s v="Corporate"/>
    <s v="United States"/>
    <s v="Philadelphia"/>
    <x v="9"/>
    <n v="19120"/>
    <x v="3"/>
    <x v="244"/>
    <x v="1"/>
    <x v="12"/>
    <x v="245"/>
    <n v="57.576000000000001"/>
    <s v="Medium"/>
    <n v="3"/>
    <n v="0.2"/>
    <x v="2"/>
    <x v="2"/>
    <n v="21.591000000000001"/>
    <n v="0.375"/>
    <n v="0"/>
  </r>
  <r>
    <n v="6238"/>
    <s v="US-2016-155180"/>
    <d v="2016-01-22T00:00:00"/>
    <x v="0"/>
    <s v="Q1"/>
    <x v="12"/>
    <d v="2016-01-29T00:00:00"/>
    <s v="Standard Class"/>
    <x v="509"/>
    <x v="509"/>
    <s v="Consumer"/>
    <s v="United States"/>
    <s v="New York City"/>
    <x v="15"/>
    <n v="10009"/>
    <x v="3"/>
    <x v="1263"/>
    <x v="1"/>
    <x v="8"/>
    <x v="1247"/>
    <n v="26.335999999999999"/>
    <s v="Medium"/>
    <n v="4"/>
    <n v="0.2"/>
    <x v="2"/>
    <x v="2"/>
    <n v="9.2175999999999991"/>
    <n v="0.35"/>
    <n v="0"/>
  </r>
  <r>
    <n v="6239"/>
    <s v="CA-2015-134075"/>
    <d v="2015-12-12T00:00:00"/>
    <x v="1"/>
    <s v="Q4"/>
    <x v="14"/>
    <d v="2015-12-16T00:00:00"/>
    <s v="Standard Class"/>
    <x v="456"/>
    <x v="456"/>
    <s v="Consumer"/>
    <s v="United States"/>
    <s v="San Jose"/>
    <x v="1"/>
    <n v="95123"/>
    <x v="1"/>
    <x v="1281"/>
    <x v="0"/>
    <x v="5"/>
    <x v="1266"/>
    <n v="166.5"/>
    <s v="High"/>
    <n v="3"/>
    <n v="0"/>
    <x v="0"/>
    <x v="0"/>
    <n v="21.645"/>
    <n v="0.13"/>
    <n v="0"/>
  </r>
  <r>
    <n v="6240"/>
    <s v="CA-2015-134075"/>
    <d v="2015-12-12T00:00:00"/>
    <x v="1"/>
    <s v="Q4"/>
    <x v="14"/>
    <d v="2015-12-16T00:00:00"/>
    <s v="Standard Class"/>
    <x v="456"/>
    <x v="456"/>
    <s v="Consumer"/>
    <s v="United States"/>
    <s v="San Jose"/>
    <x v="1"/>
    <n v="95123"/>
    <x v="1"/>
    <x v="734"/>
    <x v="1"/>
    <x v="4"/>
    <x v="733"/>
    <n v="360.38"/>
    <s v="High"/>
    <n v="2"/>
    <n v="0"/>
    <x v="0"/>
    <x v="0"/>
    <n v="93.698800000000006"/>
    <n v="0.26"/>
    <n v="0"/>
  </r>
  <r>
    <n v="6241"/>
    <s v="US-2016-131912"/>
    <d v="2016-10-29T00:00:00"/>
    <x v="0"/>
    <s v="Q4"/>
    <x v="32"/>
    <d v="2016-11-01T00:00:00"/>
    <s v="Second Class"/>
    <x v="109"/>
    <x v="109"/>
    <s v="Consumer"/>
    <s v="United States"/>
    <s v="Los Angeles"/>
    <x v="1"/>
    <n v="90008"/>
    <x v="1"/>
    <x v="908"/>
    <x v="1"/>
    <x v="8"/>
    <x v="900"/>
    <n v="11.744"/>
    <s v="Low"/>
    <n v="1"/>
    <n v="0.2"/>
    <x v="2"/>
    <x v="2"/>
    <n v="3.8168000000000002"/>
    <n v="0.32500000000000001"/>
    <n v="0"/>
  </r>
  <r>
    <n v="6242"/>
    <s v="CA-2017-141572"/>
    <d v="2017-05-28T00:00:00"/>
    <x v="3"/>
    <s v="Q2"/>
    <x v="24"/>
    <d v="2017-05-31T00:00:00"/>
    <s v="Second Class"/>
    <x v="628"/>
    <x v="628"/>
    <s v="Corporate"/>
    <s v="United States"/>
    <s v="Concord"/>
    <x v="38"/>
    <n v="3301"/>
    <x v="3"/>
    <x v="1435"/>
    <x v="0"/>
    <x v="5"/>
    <x v="1423"/>
    <n v="247.44"/>
    <s v="High"/>
    <n v="8"/>
    <n v="0"/>
    <x v="0"/>
    <x v="0"/>
    <n v="101.4504"/>
    <n v="0.41000000000000003"/>
    <n v="0"/>
  </r>
  <r>
    <n v="6243"/>
    <s v="CA-2014-134621"/>
    <d v="2014-12-21T00:00:00"/>
    <x v="2"/>
    <s v="Q4"/>
    <x v="20"/>
    <d v="2014-12-28T00:00:00"/>
    <s v="Standard Class"/>
    <x v="503"/>
    <x v="503"/>
    <s v="Home Office"/>
    <s v="United States"/>
    <s v="Columbia"/>
    <x v="18"/>
    <n v="38401"/>
    <x v="0"/>
    <x v="999"/>
    <x v="1"/>
    <x v="8"/>
    <x v="991"/>
    <n v="18.239999999999998"/>
    <s v="Low"/>
    <n v="2"/>
    <n v="0.7"/>
    <x v="1"/>
    <x v="5"/>
    <n v="-14.592000000000001"/>
    <n v="-0.8"/>
    <n v="1"/>
  </r>
  <r>
    <n v="6244"/>
    <s v="CA-2016-165561"/>
    <d v="2016-11-24T00:00:00"/>
    <x v="0"/>
    <s v="Q4"/>
    <x v="0"/>
    <d v="2016-11-28T00:00:00"/>
    <s v="Standard Class"/>
    <x v="615"/>
    <x v="615"/>
    <s v="Home Office"/>
    <s v="United States"/>
    <s v="Bellevue"/>
    <x v="4"/>
    <n v="98006"/>
    <x v="1"/>
    <x v="1566"/>
    <x v="1"/>
    <x v="14"/>
    <x v="1557"/>
    <n v="25.35"/>
    <s v="Medium"/>
    <n v="3"/>
    <n v="0"/>
    <x v="0"/>
    <x v="0"/>
    <n v="7.6050000000000004"/>
    <n v="0.3"/>
    <n v="0"/>
  </r>
  <r>
    <n v="6245"/>
    <s v="CA-2015-112305"/>
    <d v="2015-11-20T00:00:00"/>
    <x v="1"/>
    <s v="Q4"/>
    <x v="6"/>
    <d v="2015-11-25T00:00:00"/>
    <s v="Standard Class"/>
    <x v="683"/>
    <x v="683"/>
    <s v="Home Office"/>
    <s v="United States"/>
    <s v="Seattle"/>
    <x v="4"/>
    <n v="98105"/>
    <x v="1"/>
    <x v="1167"/>
    <x v="1"/>
    <x v="6"/>
    <x v="1154"/>
    <n v="119.04"/>
    <s v="Medium"/>
    <n v="6"/>
    <n v="0"/>
    <x v="0"/>
    <x v="0"/>
    <n v="30.950399999999998"/>
    <n v="0.25999999999999995"/>
    <n v="0"/>
  </r>
  <r>
    <n v="6246"/>
    <s v="CA-2015-112305"/>
    <d v="2015-11-20T00:00:00"/>
    <x v="1"/>
    <s v="Q4"/>
    <x v="6"/>
    <d v="2015-11-25T00:00:00"/>
    <s v="Standard Class"/>
    <x v="683"/>
    <x v="683"/>
    <s v="Home Office"/>
    <s v="United States"/>
    <s v="Seattle"/>
    <x v="4"/>
    <n v="98105"/>
    <x v="1"/>
    <x v="1256"/>
    <x v="0"/>
    <x v="5"/>
    <x v="1240"/>
    <n v="22.14"/>
    <s v="Low"/>
    <n v="3"/>
    <n v="0"/>
    <x v="0"/>
    <x v="0"/>
    <n v="6.4206000000000003"/>
    <n v="0.28999999999999998"/>
    <n v="0"/>
  </r>
  <r>
    <n v="6247"/>
    <s v="CA-2015-112305"/>
    <d v="2015-11-20T00:00:00"/>
    <x v="1"/>
    <s v="Q4"/>
    <x v="6"/>
    <d v="2015-11-25T00:00:00"/>
    <s v="Standard Class"/>
    <x v="683"/>
    <x v="683"/>
    <s v="Home Office"/>
    <s v="United States"/>
    <s v="Seattle"/>
    <x v="4"/>
    <n v="98105"/>
    <x v="1"/>
    <x v="1695"/>
    <x v="2"/>
    <x v="11"/>
    <x v="1683"/>
    <n v="13.98"/>
    <s v="Low"/>
    <n v="2"/>
    <n v="0"/>
    <x v="0"/>
    <x v="0"/>
    <n v="6.0114000000000001"/>
    <n v="0.43"/>
    <n v="0"/>
  </r>
  <r>
    <n v="6248"/>
    <s v="CA-2017-121580"/>
    <d v="2017-05-29T00:00:00"/>
    <x v="3"/>
    <s v="Q2"/>
    <x v="24"/>
    <d v="2017-06-04T00:00:00"/>
    <s v="Standard Class"/>
    <x v="586"/>
    <x v="586"/>
    <s v="Consumer"/>
    <s v="United States"/>
    <s v="Columbus"/>
    <x v="14"/>
    <n v="47201"/>
    <x v="2"/>
    <x v="1311"/>
    <x v="1"/>
    <x v="8"/>
    <x v="1297"/>
    <n v="43.41"/>
    <s v="Medium"/>
    <n v="1"/>
    <n v="0"/>
    <x v="0"/>
    <x v="0"/>
    <n v="19.968599999999999"/>
    <n v="0.46"/>
    <n v="0"/>
  </r>
  <r>
    <n v="6249"/>
    <s v="CA-2017-121580"/>
    <d v="2017-05-29T00:00:00"/>
    <x v="3"/>
    <s v="Q2"/>
    <x v="24"/>
    <d v="2017-06-04T00:00:00"/>
    <s v="Standard Class"/>
    <x v="586"/>
    <x v="586"/>
    <s v="Consumer"/>
    <s v="United States"/>
    <s v="Columbus"/>
    <x v="14"/>
    <n v="47201"/>
    <x v="2"/>
    <x v="1035"/>
    <x v="0"/>
    <x v="5"/>
    <x v="325"/>
    <n v="6.24"/>
    <s v="Low"/>
    <n v="3"/>
    <n v="0"/>
    <x v="0"/>
    <x v="0"/>
    <n v="2.6208"/>
    <n v="0.42"/>
    <n v="0"/>
  </r>
  <r>
    <n v="6250"/>
    <s v="CA-2017-121580"/>
    <d v="2017-05-29T00:00:00"/>
    <x v="3"/>
    <s v="Q2"/>
    <x v="24"/>
    <d v="2017-06-04T00:00:00"/>
    <s v="Standard Class"/>
    <x v="586"/>
    <x v="586"/>
    <s v="Consumer"/>
    <s v="United States"/>
    <s v="Columbus"/>
    <x v="14"/>
    <n v="47201"/>
    <x v="2"/>
    <x v="1778"/>
    <x v="1"/>
    <x v="9"/>
    <x v="1768"/>
    <n v="465.16"/>
    <s v="High"/>
    <n v="2"/>
    <n v="0"/>
    <x v="0"/>
    <x v="0"/>
    <n v="120.94159999999999"/>
    <n v="0.25999999999999995"/>
    <n v="0"/>
  </r>
  <r>
    <n v="6251"/>
    <s v="CA-2017-121580"/>
    <d v="2017-05-29T00:00:00"/>
    <x v="3"/>
    <s v="Q2"/>
    <x v="24"/>
    <d v="2017-06-04T00:00:00"/>
    <s v="Standard Class"/>
    <x v="586"/>
    <x v="586"/>
    <s v="Consumer"/>
    <s v="United States"/>
    <s v="Columbus"/>
    <x v="14"/>
    <n v="47201"/>
    <x v="2"/>
    <x v="226"/>
    <x v="1"/>
    <x v="10"/>
    <x v="227"/>
    <n v="7.98"/>
    <s v="Low"/>
    <n v="1"/>
    <n v="0"/>
    <x v="0"/>
    <x v="0"/>
    <n v="3.99"/>
    <n v="0.5"/>
    <n v="0"/>
  </r>
  <r>
    <n v="6252"/>
    <s v="CA-2014-101147"/>
    <d v="2014-12-02T00:00:00"/>
    <x v="2"/>
    <s v="Q4"/>
    <x v="20"/>
    <d v="2014-12-04T00:00:00"/>
    <s v="First Class"/>
    <x v="430"/>
    <x v="430"/>
    <s v="Consumer"/>
    <s v="United States"/>
    <s v="Chicago"/>
    <x v="10"/>
    <n v="60623"/>
    <x v="2"/>
    <x v="360"/>
    <x v="1"/>
    <x v="9"/>
    <x v="360"/>
    <n v="2.3940000000000001"/>
    <s v="Low"/>
    <n v="1"/>
    <n v="0.8"/>
    <x v="1"/>
    <x v="3"/>
    <n v="-6.3441000000000001"/>
    <n v="-2.65"/>
    <n v="1"/>
  </r>
  <r>
    <n v="6253"/>
    <s v="CA-2014-165806"/>
    <d v="2014-04-07T00:00:00"/>
    <x v="2"/>
    <s v="Q2"/>
    <x v="41"/>
    <d v="2014-04-07T00:00:00"/>
    <s v="Same Day"/>
    <x v="91"/>
    <x v="91"/>
    <s v="Home Office"/>
    <s v="United States"/>
    <s v="Marietta"/>
    <x v="32"/>
    <n v="30062"/>
    <x v="0"/>
    <x v="490"/>
    <x v="1"/>
    <x v="10"/>
    <x v="490"/>
    <n v="58.32"/>
    <s v="Medium"/>
    <n v="9"/>
    <n v="0"/>
    <x v="0"/>
    <x v="0"/>
    <n v="27.993600000000001"/>
    <n v="0.48"/>
    <n v="0"/>
  </r>
  <r>
    <n v="6254"/>
    <s v="CA-2014-165806"/>
    <d v="2014-04-07T00:00:00"/>
    <x v="2"/>
    <s v="Q2"/>
    <x v="41"/>
    <d v="2014-04-07T00:00:00"/>
    <s v="Same Day"/>
    <x v="91"/>
    <x v="91"/>
    <s v="Home Office"/>
    <s v="United States"/>
    <s v="Marietta"/>
    <x v="32"/>
    <n v="30062"/>
    <x v="0"/>
    <x v="1086"/>
    <x v="2"/>
    <x v="7"/>
    <x v="1076"/>
    <n v="200.97"/>
    <s v="High"/>
    <n v="3"/>
    <n v="0"/>
    <x v="0"/>
    <x v="0"/>
    <n v="50.2425"/>
    <n v="0.25"/>
    <n v="0"/>
  </r>
  <r>
    <n v="6255"/>
    <s v="CA-2015-151624"/>
    <d v="2015-09-08T00:00:00"/>
    <x v="1"/>
    <s v="Q3"/>
    <x v="11"/>
    <d v="2015-09-14T00:00:00"/>
    <s v="Standard Class"/>
    <x v="100"/>
    <x v="100"/>
    <s v="Corporate"/>
    <s v="United States"/>
    <s v="Montgomery"/>
    <x v="19"/>
    <n v="36116"/>
    <x v="0"/>
    <x v="1565"/>
    <x v="0"/>
    <x v="5"/>
    <x v="1556"/>
    <n v="21.36"/>
    <s v="Low"/>
    <n v="8"/>
    <n v="0"/>
    <x v="0"/>
    <x v="0"/>
    <n v="8.1167999999999996"/>
    <n v="0.38"/>
    <n v="0"/>
  </r>
  <r>
    <n v="6256"/>
    <s v="CA-2017-139444"/>
    <d v="2017-09-09T00:00:00"/>
    <x v="3"/>
    <s v="Q3"/>
    <x v="15"/>
    <d v="2017-09-15T00:00:00"/>
    <s v="Standard Class"/>
    <x v="136"/>
    <x v="136"/>
    <s v="Corporate"/>
    <s v="United States"/>
    <s v="Plano"/>
    <x v="5"/>
    <n v="75023"/>
    <x v="2"/>
    <x v="85"/>
    <x v="1"/>
    <x v="2"/>
    <x v="85"/>
    <n v="9.8559999999999999"/>
    <s v="Low"/>
    <n v="4"/>
    <n v="0.2"/>
    <x v="2"/>
    <x v="2"/>
    <n v="3.4496000000000002"/>
    <n v="0.35000000000000003"/>
    <n v="0"/>
  </r>
  <r>
    <n v="6257"/>
    <s v="CA-2015-133977"/>
    <d v="2015-09-06T00:00:00"/>
    <x v="1"/>
    <s v="Q3"/>
    <x v="11"/>
    <d v="2015-09-08T00:00:00"/>
    <s v="Second Class"/>
    <x v="401"/>
    <x v="401"/>
    <s v="Home Office"/>
    <s v="United States"/>
    <s v="Tamarac"/>
    <x v="2"/>
    <n v="33319"/>
    <x v="0"/>
    <x v="1426"/>
    <x v="1"/>
    <x v="8"/>
    <x v="1414"/>
    <n v="3.444"/>
    <s v="Low"/>
    <n v="1"/>
    <n v="0.7"/>
    <x v="1"/>
    <x v="5"/>
    <n v="-2.5255999999999998"/>
    <n v="-0.73333333333333328"/>
    <n v="1"/>
  </r>
  <r>
    <n v="6258"/>
    <s v="CA-2017-141425"/>
    <d v="2017-11-02T00:00:00"/>
    <x v="3"/>
    <s v="Q4"/>
    <x v="23"/>
    <d v="2017-11-06T00:00:00"/>
    <s v="Second Class"/>
    <x v="255"/>
    <x v="255"/>
    <s v="Corporate"/>
    <s v="United States"/>
    <s v="Columbus"/>
    <x v="24"/>
    <n v="43229"/>
    <x v="3"/>
    <x v="262"/>
    <x v="1"/>
    <x v="14"/>
    <x v="262"/>
    <n v="384.59199999999998"/>
    <s v="High"/>
    <n v="2"/>
    <n v="0.2"/>
    <x v="2"/>
    <x v="2"/>
    <n v="-81.725800000000007"/>
    <n v="-0.21250000000000002"/>
    <n v="1"/>
  </r>
  <r>
    <n v="6259"/>
    <s v="CA-2015-133536"/>
    <d v="2015-03-28T00:00:00"/>
    <x v="1"/>
    <s v="Q1"/>
    <x v="29"/>
    <d v="2015-03-30T00:00:00"/>
    <s v="Second Class"/>
    <x v="581"/>
    <x v="581"/>
    <s v="Consumer"/>
    <s v="United States"/>
    <s v="New York City"/>
    <x v="15"/>
    <n v="10009"/>
    <x v="3"/>
    <x v="661"/>
    <x v="1"/>
    <x v="12"/>
    <x v="661"/>
    <n v="22.92"/>
    <s v="Low"/>
    <n v="3"/>
    <n v="0"/>
    <x v="0"/>
    <x v="0"/>
    <n v="11.2308"/>
    <n v="0.49"/>
    <n v="0"/>
  </r>
  <r>
    <n v="6260"/>
    <s v="CA-2015-150441"/>
    <d v="2015-08-13T00:00:00"/>
    <x v="1"/>
    <s v="Q3"/>
    <x v="37"/>
    <d v="2015-08-17T00:00:00"/>
    <s v="Second Class"/>
    <x v="267"/>
    <x v="267"/>
    <s v="Consumer"/>
    <s v="United States"/>
    <s v="Richmond"/>
    <x v="14"/>
    <n v="47374"/>
    <x v="2"/>
    <x v="798"/>
    <x v="1"/>
    <x v="8"/>
    <x v="796"/>
    <n v="11.36"/>
    <s v="Low"/>
    <n v="4"/>
    <n v="0"/>
    <x v="0"/>
    <x v="0"/>
    <n v="5.5663999999999998"/>
    <n v="0.49"/>
    <n v="0"/>
  </r>
  <r>
    <n v="6261"/>
    <s v="CA-2015-162607"/>
    <d v="2015-05-12T00:00:00"/>
    <x v="1"/>
    <s v="Q2"/>
    <x v="33"/>
    <d v="2015-05-18T00:00:00"/>
    <s v="Standard Class"/>
    <x v="197"/>
    <x v="197"/>
    <s v="Consumer"/>
    <s v="United States"/>
    <s v="Seattle"/>
    <x v="4"/>
    <n v="98115"/>
    <x v="1"/>
    <x v="525"/>
    <x v="1"/>
    <x v="8"/>
    <x v="525"/>
    <n v="14.592000000000001"/>
    <s v="Low"/>
    <n v="3"/>
    <n v="0.2"/>
    <x v="2"/>
    <x v="2"/>
    <n v="4.9248000000000003"/>
    <n v="0.33750000000000002"/>
    <n v="0"/>
  </r>
  <r>
    <n v="6262"/>
    <s v="CA-2017-103506"/>
    <d v="2017-07-23T00:00:00"/>
    <x v="3"/>
    <s v="Q3"/>
    <x v="10"/>
    <d v="2017-07-27T00:00:00"/>
    <s v="Standard Class"/>
    <x v="756"/>
    <x v="756"/>
    <s v="Corporate"/>
    <s v="United States"/>
    <s v="Long Beach"/>
    <x v="15"/>
    <n v="11561"/>
    <x v="3"/>
    <x v="322"/>
    <x v="1"/>
    <x v="2"/>
    <x v="322"/>
    <n v="41.4"/>
    <s v="Medium"/>
    <n v="4"/>
    <n v="0"/>
    <x v="0"/>
    <x v="0"/>
    <n v="19.872"/>
    <n v="0.48000000000000004"/>
    <n v="0"/>
  </r>
  <r>
    <n v="6263"/>
    <s v="CA-2016-132479"/>
    <d v="2016-09-24T00:00:00"/>
    <x v="0"/>
    <s v="Q3"/>
    <x v="21"/>
    <d v="2016-09-26T00:00:00"/>
    <s v="First Class"/>
    <x v="149"/>
    <x v="149"/>
    <s v="Corporate"/>
    <s v="United States"/>
    <s v="Rockford"/>
    <x v="10"/>
    <n v="61107"/>
    <x v="2"/>
    <x v="382"/>
    <x v="1"/>
    <x v="8"/>
    <x v="383"/>
    <n v="442.37200000000001"/>
    <s v="High"/>
    <n v="7"/>
    <n v="0.8"/>
    <x v="1"/>
    <x v="3"/>
    <n v="-729.91380000000004"/>
    <n v="-1.6500000000000001"/>
    <n v="1"/>
  </r>
  <r>
    <n v="6264"/>
    <s v="CA-2017-160724"/>
    <d v="2017-05-05T00:00:00"/>
    <x v="3"/>
    <s v="Q2"/>
    <x v="24"/>
    <d v="2017-05-10T00:00:00"/>
    <s v="Standard Class"/>
    <x v="453"/>
    <x v="453"/>
    <s v="Corporate"/>
    <s v="United States"/>
    <s v="Columbus"/>
    <x v="32"/>
    <n v="31907"/>
    <x v="0"/>
    <x v="1023"/>
    <x v="1"/>
    <x v="8"/>
    <x v="1014"/>
    <n v="34.5"/>
    <s v="Medium"/>
    <n v="3"/>
    <n v="0"/>
    <x v="0"/>
    <x v="0"/>
    <n v="15.525"/>
    <n v="0.45"/>
    <n v="0"/>
  </r>
  <r>
    <n v="6265"/>
    <s v="US-2016-115952"/>
    <d v="2016-10-06T00:00:00"/>
    <x v="0"/>
    <s v="Q4"/>
    <x v="32"/>
    <d v="2016-10-06T00:00:00"/>
    <s v="Same Day"/>
    <x v="101"/>
    <x v="101"/>
    <s v="Consumer"/>
    <s v="United States"/>
    <s v="Tulsa"/>
    <x v="26"/>
    <n v="74133"/>
    <x v="2"/>
    <x v="68"/>
    <x v="1"/>
    <x v="8"/>
    <x v="68"/>
    <n v="28.85"/>
    <s v="Medium"/>
    <n v="5"/>
    <n v="0"/>
    <x v="0"/>
    <x v="0"/>
    <n v="14.425000000000001"/>
    <n v="0.5"/>
    <n v="0"/>
  </r>
  <r>
    <n v="6266"/>
    <s v="CA-2014-146731"/>
    <d v="2014-11-03T00:00:00"/>
    <x v="2"/>
    <s v="Q4"/>
    <x v="7"/>
    <d v="2014-11-08T00:00:00"/>
    <s v="Standard Class"/>
    <x v="247"/>
    <x v="247"/>
    <s v="Consumer"/>
    <s v="United States"/>
    <s v="Nashville"/>
    <x v="18"/>
    <n v="37211"/>
    <x v="0"/>
    <x v="834"/>
    <x v="1"/>
    <x v="10"/>
    <x v="829"/>
    <n v="3.488"/>
    <s v="Low"/>
    <n v="2"/>
    <n v="0.2"/>
    <x v="2"/>
    <x v="2"/>
    <n v="1.1772"/>
    <n v="0.33750000000000002"/>
    <n v="0"/>
  </r>
  <r>
    <n v="6267"/>
    <s v="CA-2014-146731"/>
    <d v="2014-11-03T00:00:00"/>
    <x v="2"/>
    <s v="Q4"/>
    <x v="7"/>
    <d v="2014-11-08T00:00:00"/>
    <s v="Standard Class"/>
    <x v="247"/>
    <x v="247"/>
    <s v="Consumer"/>
    <s v="United States"/>
    <s v="Nashville"/>
    <x v="18"/>
    <n v="37211"/>
    <x v="0"/>
    <x v="681"/>
    <x v="1"/>
    <x v="10"/>
    <x v="681"/>
    <n v="143.85599999999999"/>
    <s v="High"/>
    <n v="9"/>
    <n v="0.2"/>
    <x v="2"/>
    <x v="2"/>
    <n v="48.551400000000001"/>
    <n v="0.33750000000000002"/>
    <n v="0"/>
  </r>
  <r>
    <n v="6268"/>
    <s v="CA-2015-115392"/>
    <d v="2015-10-01T00:00:00"/>
    <x v="1"/>
    <s v="Q4"/>
    <x v="2"/>
    <d v="2015-10-04T00:00:00"/>
    <s v="Second Class"/>
    <x v="84"/>
    <x v="84"/>
    <s v="Home Office"/>
    <s v="United States"/>
    <s v="Cambridge"/>
    <x v="31"/>
    <n v="2138"/>
    <x v="3"/>
    <x v="495"/>
    <x v="2"/>
    <x v="7"/>
    <x v="495"/>
    <n v="311.98"/>
    <s v="High"/>
    <n v="2"/>
    <n v="0"/>
    <x v="0"/>
    <x v="0"/>
    <n v="93.593999999999994"/>
    <n v="0.3"/>
    <n v="0"/>
  </r>
  <r>
    <n v="6269"/>
    <s v="CA-2015-115392"/>
    <d v="2015-10-01T00:00:00"/>
    <x v="1"/>
    <s v="Q4"/>
    <x v="2"/>
    <d v="2015-10-04T00:00:00"/>
    <s v="Second Class"/>
    <x v="84"/>
    <x v="84"/>
    <s v="Home Office"/>
    <s v="United States"/>
    <s v="Cambridge"/>
    <x v="31"/>
    <n v="2138"/>
    <x v="3"/>
    <x v="1366"/>
    <x v="1"/>
    <x v="8"/>
    <x v="307"/>
    <n v="22.45"/>
    <s v="Low"/>
    <n v="5"/>
    <n v="0"/>
    <x v="0"/>
    <x v="0"/>
    <n v="10.327"/>
    <n v="0.46"/>
    <n v="0"/>
  </r>
  <r>
    <n v="6270"/>
    <s v="CA-2017-102379"/>
    <d v="2017-12-02T00:00:00"/>
    <x v="3"/>
    <s v="Q4"/>
    <x v="22"/>
    <d v="2017-12-06T00:00:00"/>
    <s v="Standard Class"/>
    <x v="179"/>
    <x v="179"/>
    <s v="Corporate"/>
    <s v="United States"/>
    <s v="Oakland"/>
    <x v="1"/>
    <n v="94601"/>
    <x v="1"/>
    <x v="140"/>
    <x v="2"/>
    <x v="7"/>
    <x v="141"/>
    <n v="39.991999999999997"/>
    <s v="Medium"/>
    <n v="1"/>
    <n v="0.2"/>
    <x v="2"/>
    <x v="2"/>
    <n v="-7.9984000000000002"/>
    <n v="-0.2"/>
    <n v="1"/>
  </r>
  <r>
    <n v="6271"/>
    <s v="CA-2017-102379"/>
    <d v="2017-12-02T00:00:00"/>
    <x v="3"/>
    <s v="Q4"/>
    <x v="22"/>
    <d v="2017-12-06T00:00:00"/>
    <s v="Standard Class"/>
    <x v="179"/>
    <x v="179"/>
    <s v="Corporate"/>
    <s v="United States"/>
    <s v="Oakland"/>
    <x v="1"/>
    <n v="94601"/>
    <x v="1"/>
    <x v="1578"/>
    <x v="0"/>
    <x v="1"/>
    <x v="1569"/>
    <n v="1159.056"/>
    <s v="High"/>
    <n v="9"/>
    <n v="0.2"/>
    <x v="2"/>
    <x v="2"/>
    <n v="43.464599999999997"/>
    <n v="3.7499999999999999E-2"/>
    <n v="0"/>
  </r>
  <r>
    <n v="6272"/>
    <s v="CA-2017-102379"/>
    <d v="2017-12-02T00:00:00"/>
    <x v="3"/>
    <s v="Q4"/>
    <x v="22"/>
    <d v="2017-12-06T00:00:00"/>
    <s v="Standard Class"/>
    <x v="179"/>
    <x v="179"/>
    <s v="Corporate"/>
    <s v="United States"/>
    <s v="Oakland"/>
    <x v="1"/>
    <n v="94601"/>
    <x v="1"/>
    <x v="915"/>
    <x v="1"/>
    <x v="6"/>
    <x v="907"/>
    <n v="179.9"/>
    <s v="High"/>
    <n v="5"/>
    <n v="0"/>
    <x v="0"/>
    <x v="0"/>
    <n v="44.975000000000001"/>
    <n v="0.25"/>
    <n v="0"/>
  </r>
  <r>
    <n v="6273"/>
    <s v="CA-2017-149706"/>
    <d v="2017-12-11T00:00:00"/>
    <x v="3"/>
    <s v="Q4"/>
    <x v="22"/>
    <d v="2017-12-12T00:00:00"/>
    <s v="First Class"/>
    <x v="155"/>
    <x v="155"/>
    <s v="Corporate"/>
    <s v="United States"/>
    <s v="Palatine"/>
    <x v="10"/>
    <n v="60067"/>
    <x v="2"/>
    <x v="1196"/>
    <x v="2"/>
    <x v="11"/>
    <x v="1181"/>
    <n v="116.312"/>
    <s v="Medium"/>
    <n v="7"/>
    <n v="0.2"/>
    <x v="2"/>
    <x v="2"/>
    <n v="23.2624"/>
    <n v="0.2"/>
    <n v="0"/>
  </r>
  <r>
    <n v="6274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1379"/>
    <x v="0"/>
    <x v="5"/>
    <x v="1364"/>
    <n v="12.42"/>
    <s v="Low"/>
    <n v="3"/>
    <n v="0"/>
    <x v="0"/>
    <x v="0"/>
    <n v="4.4711999999999996"/>
    <n v="0.36"/>
    <n v="0"/>
  </r>
  <r>
    <n v="6275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1779"/>
    <x v="2"/>
    <x v="11"/>
    <x v="1769"/>
    <n v="428.4"/>
    <s v="High"/>
    <n v="3"/>
    <n v="0"/>
    <x v="0"/>
    <x v="0"/>
    <n v="89.963999999999999"/>
    <n v="0.21000000000000002"/>
    <n v="0"/>
  </r>
  <r>
    <n v="6276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1592"/>
    <x v="0"/>
    <x v="5"/>
    <x v="1584"/>
    <n v="24.75"/>
    <s v="Low"/>
    <n v="5"/>
    <n v="0"/>
    <x v="0"/>
    <x v="0"/>
    <n v="10.89"/>
    <n v="0.44"/>
    <n v="0"/>
  </r>
  <r>
    <n v="6277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300"/>
    <x v="1"/>
    <x v="2"/>
    <x v="300"/>
    <n v="87.71"/>
    <s v="Medium"/>
    <n v="7"/>
    <n v="0"/>
    <x v="0"/>
    <x v="0"/>
    <n v="41.223700000000001"/>
    <n v="0.47000000000000003"/>
    <n v="0"/>
  </r>
  <r>
    <n v="6278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54"/>
    <x v="1"/>
    <x v="4"/>
    <x v="54"/>
    <n v="69.52"/>
    <s v="Medium"/>
    <n v="2"/>
    <n v="0"/>
    <x v="0"/>
    <x v="0"/>
    <n v="17.38"/>
    <n v="0.25"/>
    <n v="0"/>
  </r>
  <r>
    <n v="6279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780"/>
    <x v="2"/>
    <x v="7"/>
    <x v="779"/>
    <n v="20.783999999999999"/>
    <s v="Low"/>
    <n v="2"/>
    <n v="0.2"/>
    <x v="2"/>
    <x v="2"/>
    <n v="-4.6764000000000001"/>
    <n v="-0.22500000000000001"/>
    <n v="1"/>
  </r>
  <r>
    <n v="6280"/>
    <s v="US-2016-139087"/>
    <d v="2016-07-17T00:00:00"/>
    <x v="0"/>
    <s v="Q3"/>
    <x v="16"/>
    <d v="2016-07-22T00:00:00"/>
    <s v="Second Class"/>
    <x v="589"/>
    <x v="589"/>
    <s v="Consumer"/>
    <s v="United States"/>
    <s v="Seattle"/>
    <x v="4"/>
    <n v="98105"/>
    <x v="1"/>
    <x v="961"/>
    <x v="1"/>
    <x v="8"/>
    <x v="954"/>
    <n v="12.816000000000001"/>
    <s v="Low"/>
    <n v="3"/>
    <n v="0.2"/>
    <x v="2"/>
    <x v="2"/>
    <n v="4.1651999999999996"/>
    <n v="0.32499999999999996"/>
    <n v="0"/>
  </r>
  <r>
    <n v="6281"/>
    <s v="CA-2017-152226"/>
    <d v="2017-05-12T00:00:00"/>
    <x v="3"/>
    <s v="Q2"/>
    <x v="24"/>
    <d v="2017-05-16T00:00:00"/>
    <s v="Standard Class"/>
    <x v="101"/>
    <x v="101"/>
    <s v="Consumer"/>
    <s v="United States"/>
    <s v="Cincinnati"/>
    <x v="24"/>
    <n v="45231"/>
    <x v="3"/>
    <x v="1139"/>
    <x v="1"/>
    <x v="2"/>
    <x v="1127"/>
    <n v="5.9039999999999999"/>
    <s v="Low"/>
    <n v="2"/>
    <n v="0.2"/>
    <x v="2"/>
    <x v="2"/>
    <n v="1.9925999999999999"/>
    <n v="0.33749999999999997"/>
    <n v="0"/>
  </r>
  <r>
    <n v="6282"/>
    <s v="CA-2015-116484"/>
    <d v="2015-11-20T00:00:00"/>
    <x v="1"/>
    <s v="Q4"/>
    <x v="6"/>
    <d v="2015-11-26T00:00:00"/>
    <s v="Standard Class"/>
    <x v="523"/>
    <x v="523"/>
    <s v="Consumer"/>
    <s v="United States"/>
    <s v="Marion"/>
    <x v="24"/>
    <n v="43302"/>
    <x v="3"/>
    <x v="1780"/>
    <x v="0"/>
    <x v="5"/>
    <x v="1770"/>
    <n v="63.823999999999998"/>
    <s v="Medium"/>
    <n v="2"/>
    <n v="0.2"/>
    <x v="2"/>
    <x v="2"/>
    <n v="9.5736000000000008"/>
    <n v="0.15000000000000002"/>
    <n v="0"/>
  </r>
  <r>
    <n v="6283"/>
    <s v="CA-2015-116484"/>
    <d v="2015-11-20T00:00:00"/>
    <x v="1"/>
    <s v="Q4"/>
    <x v="6"/>
    <d v="2015-11-26T00:00:00"/>
    <s v="Standard Class"/>
    <x v="523"/>
    <x v="523"/>
    <s v="Consumer"/>
    <s v="United States"/>
    <s v="Marion"/>
    <x v="24"/>
    <n v="43302"/>
    <x v="3"/>
    <x v="1755"/>
    <x v="1"/>
    <x v="4"/>
    <x v="1745"/>
    <n v="141.55199999999999"/>
    <s v="High"/>
    <n v="3"/>
    <n v="0.2"/>
    <x v="2"/>
    <x v="2"/>
    <n v="-26.541"/>
    <n v="-0.1875"/>
    <n v="1"/>
  </r>
  <r>
    <n v="6284"/>
    <s v="CA-2016-100944"/>
    <d v="2016-09-24T00:00:00"/>
    <x v="0"/>
    <s v="Q3"/>
    <x v="21"/>
    <d v="2016-09-28T00:00:00"/>
    <s v="Standard Class"/>
    <x v="553"/>
    <x v="553"/>
    <s v="Corporate"/>
    <s v="United States"/>
    <s v="Los Angeles"/>
    <x v="1"/>
    <n v="90049"/>
    <x v="1"/>
    <x v="1697"/>
    <x v="1"/>
    <x v="12"/>
    <x v="1685"/>
    <n v="304.89999999999998"/>
    <s v="High"/>
    <n v="5"/>
    <n v="0"/>
    <x v="0"/>
    <x v="0"/>
    <n v="143.303"/>
    <n v="0.47000000000000003"/>
    <n v="0"/>
  </r>
  <r>
    <n v="6285"/>
    <s v="CA-2016-100944"/>
    <d v="2016-09-24T00:00:00"/>
    <x v="0"/>
    <s v="Q3"/>
    <x v="21"/>
    <d v="2016-09-28T00:00:00"/>
    <s v="Standard Class"/>
    <x v="553"/>
    <x v="553"/>
    <s v="Corporate"/>
    <s v="United States"/>
    <s v="Los Angeles"/>
    <x v="1"/>
    <n v="90049"/>
    <x v="1"/>
    <x v="1153"/>
    <x v="0"/>
    <x v="1"/>
    <x v="1141"/>
    <n v="563.24"/>
    <s v="High"/>
    <n v="5"/>
    <n v="0.2"/>
    <x v="2"/>
    <x v="2"/>
    <n v="56.323999999999998"/>
    <n v="9.9999999999999992E-2"/>
    <n v="0"/>
  </r>
  <r>
    <n v="6286"/>
    <s v="CA-2016-125080"/>
    <d v="2016-10-21T00:00:00"/>
    <x v="0"/>
    <s v="Q4"/>
    <x v="32"/>
    <d v="2016-10-26T00:00:00"/>
    <s v="Standard Class"/>
    <x v="100"/>
    <x v="100"/>
    <s v="Corporate"/>
    <s v="United States"/>
    <s v="Lakewood"/>
    <x v="24"/>
    <n v="44107"/>
    <x v="3"/>
    <x v="1258"/>
    <x v="0"/>
    <x v="3"/>
    <x v="1242"/>
    <n v="661.17600000000004"/>
    <s v="High"/>
    <n v="2"/>
    <n v="0.4"/>
    <x v="1"/>
    <x v="7"/>
    <n v="-231.41159999999999"/>
    <n v="-0.35"/>
    <n v="1"/>
  </r>
  <r>
    <n v="6287"/>
    <s v="CA-2016-121020"/>
    <d v="2016-10-24T00:00:00"/>
    <x v="0"/>
    <s v="Q4"/>
    <x v="32"/>
    <d v="2016-10-31T00:00:00"/>
    <s v="Standard Class"/>
    <x v="344"/>
    <x v="344"/>
    <s v="Home Office"/>
    <s v="United States"/>
    <s v="Lebanon"/>
    <x v="18"/>
    <n v="37087"/>
    <x v="0"/>
    <x v="835"/>
    <x v="2"/>
    <x v="7"/>
    <x v="830"/>
    <n v="239.976"/>
    <s v="High"/>
    <n v="3"/>
    <n v="0.2"/>
    <x v="2"/>
    <x v="2"/>
    <n v="17.998200000000001"/>
    <n v="7.4999999999999997E-2"/>
    <n v="0"/>
  </r>
  <r>
    <n v="6288"/>
    <s v="CA-2014-100090"/>
    <d v="2014-07-08T00:00:00"/>
    <x v="2"/>
    <s v="Q3"/>
    <x v="39"/>
    <d v="2014-07-12T00:00:00"/>
    <s v="Standard Class"/>
    <x v="182"/>
    <x v="182"/>
    <s v="Corporate"/>
    <s v="United States"/>
    <s v="San Francisco"/>
    <x v="1"/>
    <n v="94122"/>
    <x v="1"/>
    <x v="1021"/>
    <x v="0"/>
    <x v="3"/>
    <x v="1012"/>
    <n v="502.488"/>
    <s v="High"/>
    <n v="3"/>
    <n v="0.2"/>
    <x v="2"/>
    <x v="2"/>
    <n v="-87.935400000000001"/>
    <n v="-0.17500000000000002"/>
    <n v="1"/>
  </r>
  <r>
    <n v="6289"/>
    <s v="CA-2014-100090"/>
    <d v="2014-07-08T00:00:00"/>
    <x v="2"/>
    <s v="Q3"/>
    <x v="39"/>
    <d v="2014-07-12T00:00:00"/>
    <s v="Standard Class"/>
    <x v="182"/>
    <x v="182"/>
    <s v="Corporate"/>
    <s v="United States"/>
    <s v="San Francisco"/>
    <x v="1"/>
    <n v="94122"/>
    <x v="1"/>
    <x v="800"/>
    <x v="1"/>
    <x v="8"/>
    <x v="798"/>
    <n v="196.70400000000001"/>
    <s v="High"/>
    <n v="6"/>
    <n v="0.2"/>
    <x v="2"/>
    <x v="2"/>
    <n v="68.846400000000003"/>
    <n v="0.35"/>
    <n v="0"/>
  </r>
  <r>
    <n v="6290"/>
    <s v="US-2015-139675"/>
    <d v="2015-03-13T00:00:00"/>
    <x v="1"/>
    <s v="Q1"/>
    <x v="29"/>
    <d v="2015-03-18T00:00:00"/>
    <s v="Second Class"/>
    <x v="376"/>
    <x v="376"/>
    <s v="Home Office"/>
    <s v="United States"/>
    <s v="Chico"/>
    <x v="1"/>
    <n v="95928"/>
    <x v="1"/>
    <x v="120"/>
    <x v="0"/>
    <x v="1"/>
    <x v="120"/>
    <n v="915.13599999999997"/>
    <s v="High"/>
    <n v="4"/>
    <n v="0.2"/>
    <x v="2"/>
    <x v="2"/>
    <n v="102.9528"/>
    <n v="0.1125"/>
    <n v="0"/>
  </r>
  <r>
    <n v="6291"/>
    <s v="US-2015-139675"/>
    <d v="2015-03-13T00:00:00"/>
    <x v="1"/>
    <s v="Q1"/>
    <x v="29"/>
    <d v="2015-03-18T00:00:00"/>
    <s v="Second Class"/>
    <x v="376"/>
    <x v="376"/>
    <s v="Home Office"/>
    <s v="United States"/>
    <s v="Chico"/>
    <x v="1"/>
    <n v="95928"/>
    <x v="1"/>
    <x v="514"/>
    <x v="0"/>
    <x v="5"/>
    <x v="514"/>
    <n v="327.76"/>
    <s v="High"/>
    <n v="8"/>
    <n v="0"/>
    <x v="0"/>
    <x v="0"/>
    <n v="91.772800000000004"/>
    <n v="0.28000000000000003"/>
    <n v="0"/>
  </r>
  <r>
    <n v="6292"/>
    <s v="CA-2017-143756"/>
    <d v="2017-12-02T00:00:00"/>
    <x v="3"/>
    <s v="Q4"/>
    <x v="22"/>
    <d v="2017-12-05T00:00:00"/>
    <s v="First Class"/>
    <x v="250"/>
    <x v="250"/>
    <s v="Consumer"/>
    <s v="United States"/>
    <s v="Salem"/>
    <x v="17"/>
    <n v="24153"/>
    <x v="0"/>
    <x v="1131"/>
    <x v="0"/>
    <x v="1"/>
    <x v="1119"/>
    <n v="701.96"/>
    <s v="High"/>
    <n v="2"/>
    <n v="0"/>
    <x v="0"/>
    <x v="0"/>
    <n v="168.47040000000001"/>
    <n v="0.24"/>
    <n v="0"/>
  </r>
  <r>
    <n v="6293"/>
    <s v="CA-2015-151253"/>
    <d v="2015-04-22T00:00:00"/>
    <x v="1"/>
    <s v="Q2"/>
    <x v="19"/>
    <d v="2015-04-26T00:00:00"/>
    <s v="Standard Class"/>
    <x v="616"/>
    <x v="616"/>
    <s v="Consumer"/>
    <s v="United States"/>
    <s v="Los Angeles"/>
    <x v="1"/>
    <n v="90008"/>
    <x v="1"/>
    <x v="687"/>
    <x v="2"/>
    <x v="7"/>
    <x v="687"/>
    <n v="88.775999999999996"/>
    <s v="Medium"/>
    <n v="3"/>
    <n v="0.2"/>
    <x v="2"/>
    <x v="2"/>
    <n v="7.7679"/>
    <n v="8.7500000000000008E-2"/>
    <n v="0"/>
  </r>
  <r>
    <n v="6294"/>
    <s v="CA-2015-151253"/>
    <d v="2015-04-22T00:00:00"/>
    <x v="1"/>
    <s v="Q2"/>
    <x v="19"/>
    <d v="2015-04-26T00:00:00"/>
    <s v="Standard Class"/>
    <x v="616"/>
    <x v="616"/>
    <s v="Consumer"/>
    <s v="United States"/>
    <s v="Los Angeles"/>
    <x v="1"/>
    <n v="90008"/>
    <x v="1"/>
    <x v="1394"/>
    <x v="1"/>
    <x v="6"/>
    <x v="1380"/>
    <n v="64.14"/>
    <s v="Medium"/>
    <n v="3"/>
    <n v="0"/>
    <x v="0"/>
    <x v="0"/>
    <n v="16.676400000000001"/>
    <n v="0.26"/>
    <n v="0"/>
  </r>
  <r>
    <n v="6295"/>
    <s v="CA-2014-141152"/>
    <d v="2014-09-16T00:00:00"/>
    <x v="2"/>
    <s v="Q3"/>
    <x v="30"/>
    <d v="2014-09-19T00:00:00"/>
    <s v="First Class"/>
    <x v="575"/>
    <x v="575"/>
    <s v="Corporate"/>
    <s v="United States"/>
    <s v="New York City"/>
    <x v="15"/>
    <n v="10024"/>
    <x v="3"/>
    <x v="735"/>
    <x v="1"/>
    <x v="8"/>
    <x v="734"/>
    <n v="33.552"/>
    <s v="Medium"/>
    <n v="1"/>
    <n v="0.2"/>
    <x v="2"/>
    <x v="2"/>
    <n v="12.582000000000001"/>
    <n v="0.375"/>
    <n v="0"/>
  </r>
  <r>
    <n v="6296"/>
    <s v="CA-2014-141313"/>
    <d v="2014-12-28T00:00:00"/>
    <x v="2"/>
    <s v="Q4"/>
    <x v="20"/>
    <d v="2015-01-01T00:00:00"/>
    <s v="Standard Class"/>
    <x v="321"/>
    <x v="321"/>
    <s v="Corporate"/>
    <s v="United States"/>
    <s v="Beverly"/>
    <x v="31"/>
    <n v="1915"/>
    <x v="3"/>
    <x v="1364"/>
    <x v="1"/>
    <x v="9"/>
    <x v="1350"/>
    <n v="1737.18"/>
    <s v="High"/>
    <n v="6"/>
    <n v="0"/>
    <x v="0"/>
    <x v="0"/>
    <n v="503.78219999999999"/>
    <n v="0.28999999999999998"/>
    <n v="0"/>
  </r>
  <r>
    <n v="6297"/>
    <s v="CA-2014-141313"/>
    <d v="2014-12-28T00:00:00"/>
    <x v="2"/>
    <s v="Q4"/>
    <x v="20"/>
    <d v="2015-01-01T00:00:00"/>
    <s v="Standard Class"/>
    <x v="321"/>
    <x v="321"/>
    <s v="Corporate"/>
    <s v="United States"/>
    <s v="Beverly"/>
    <x v="31"/>
    <n v="1915"/>
    <x v="3"/>
    <x v="426"/>
    <x v="1"/>
    <x v="4"/>
    <x v="426"/>
    <n v="704.25"/>
    <s v="High"/>
    <n v="5"/>
    <n v="0"/>
    <x v="0"/>
    <x v="0"/>
    <n v="84.51"/>
    <n v="0.12000000000000001"/>
    <n v="0"/>
  </r>
  <r>
    <n v="6298"/>
    <s v="CA-2014-141313"/>
    <d v="2014-12-28T00:00:00"/>
    <x v="2"/>
    <s v="Q4"/>
    <x v="20"/>
    <d v="2015-01-01T00:00:00"/>
    <s v="Standard Class"/>
    <x v="321"/>
    <x v="321"/>
    <s v="Corporate"/>
    <s v="United States"/>
    <s v="Beverly"/>
    <x v="31"/>
    <n v="1915"/>
    <x v="3"/>
    <x v="1733"/>
    <x v="1"/>
    <x v="10"/>
    <x v="1721"/>
    <n v="141.76"/>
    <s v="High"/>
    <n v="4"/>
    <n v="0"/>
    <x v="0"/>
    <x v="0"/>
    <n v="66.627200000000002"/>
    <n v="0.47000000000000003"/>
    <n v="0"/>
  </r>
  <r>
    <n v="6299"/>
    <s v="CA-2014-169852"/>
    <d v="2014-10-21T00:00:00"/>
    <x v="2"/>
    <s v="Q4"/>
    <x v="18"/>
    <d v="2014-10-26T00:00:00"/>
    <s v="Standard Class"/>
    <x v="245"/>
    <x v="245"/>
    <s v="Corporate"/>
    <s v="United States"/>
    <s v="San Diego"/>
    <x v="1"/>
    <n v="92024"/>
    <x v="1"/>
    <x v="58"/>
    <x v="1"/>
    <x v="8"/>
    <x v="58"/>
    <n v="36.36"/>
    <s v="Medium"/>
    <n v="3"/>
    <n v="0.2"/>
    <x v="2"/>
    <x v="2"/>
    <n v="12.2715"/>
    <n v="0.33750000000000002"/>
    <n v="0"/>
  </r>
  <r>
    <n v="6300"/>
    <s v="CA-2017-107314"/>
    <d v="2017-11-30T00:00:00"/>
    <x v="3"/>
    <s v="Q4"/>
    <x v="23"/>
    <d v="2017-12-03T00:00:00"/>
    <s v="First Class"/>
    <x v="595"/>
    <x v="595"/>
    <s v="Home Office"/>
    <s v="United States"/>
    <s v="San Francisco"/>
    <x v="1"/>
    <n v="94109"/>
    <x v="1"/>
    <x v="1781"/>
    <x v="0"/>
    <x v="5"/>
    <x v="1771"/>
    <n v="25.83"/>
    <s v="Medium"/>
    <n v="3"/>
    <n v="0"/>
    <x v="0"/>
    <x v="0"/>
    <n v="9.5571000000000002"/>
    <n v="0.37000000000000005"/>
    <n v="0"/>
  </r>
  <r>
    <n v="6301"/>
    <s v="US-2014-161305"/>
    <d v="2014-06-06T00:00:00"/>
    <x v="2"/>
    <s v="Q2"/>
    <x v="3"/>
    <d v="2014-06-12T00:00:00"/>
    <s v="Standard Class"/>
    <x v="641"/>
    <x v="641"/>
    <s v="Consumer"/>
    <s v="United States"/>
    <s v="Chicago"/>
    <x v="10"/>
    <n v="60623"/>
    <x v="2"/>
    <x v="102"/>
    <x v="1"/>
    <x v="8"/>
    <x v="102"/>
    <n v="24.588000000000001"/>
    <s v="Low"/>
    <n v="3"/>
    <n v="0.8"/>
    <x v="1"/>
    <x v="3"/>
    <n v="-38.111400000000003"/>
    <n v="-1.55"/>
    <n v="1"/>
  </r>
  <r>
    <n v="6302"/>
    <s v="US-2014-161305"/>
    <d v="2014-06-06T00:00:00"/>
    <x v="2"/>
    <s v="Q2"/>
    <x v="3"/>
    <d v="2014-06-12T00:00:00"/>
    <s v="Standard Class"/>
    <x v="641"/>
    <x v="641"/>
    <s v="Consumer"/>
    <s v="United States"/>
    <s v="Chicago"/>
    <x v="10"/>
    <n v="60623"/>
    <x v="2"/>
    <x v="755"/>
    <x v="1"/>
    <x v="12"/>
    <x v="753"/>
    <n v="13.984"/>
    <s v="Low"/>
    <n v="2"/>
    <n v="0.2"/>
    <x v="2"/>
    <x v="2"/>
    <n v="4.7195999999999998"/>
    <n v="0.33749999999999997"/>
    <n v="0"/>
  </r>
  <r>
    <n v="6303"/>
    <s v="CA-2017-166919"/>
    <d v="2017-11-23T00:00:00"/>
    <x v="3"/>
    <s v="Q4"/>
    <x v="23"/>
    <d v="2017-11-27T00:00:00"/>
    <s v="Standard Class"/>
    <x v="117"/>
    <x v="117"/>
    <s v="Consumer"/>
    <s v="United States"/>
    <s v="Dallas"/>
    <x v="5"/>
    <n v="75220"/>
    <x v="2"/>
    <x v="1692"/>
    <x v="2"/>
    <x v="7"/>
    <x v="1680"/>
    <n v="195.96"/>
    <s v="High"/>
    <n v="5"/>
    <n v="0.2"/>
    <x v="2"/>
    <x v="2"/>
    <n v="19.596"/>
    <n v="9.9999999999999992E-2"/>
    <n v="0"/>
  </r>
  <r>
    <n v="6304"/>
    <s v="CA-2017-162712"/>
    <d v="2017-06-18T00:00:00"/>
    <x v="3"/>
    <s v="Q2"/>
    <x v="27"/>
    <d v="2017-06-20T00:00:00"/>
    <s v="Second Class"/>
    <x v="71"/>
    <x v="71"/>
    <s v="Home Office"/>
    <s v="United States"/>
    <s v="Corpus Christi"/>
    <x v="5"/>
    <n v="78415"/>
    <x v="2"/>
    <x v="1090"/>
    <x v="1"/>
    <x v="10"/>
    <x v="1080"/>
    <n v="74.352000000000004"/>
    <s v="Medium"/>
    <n v="3"/>
    <n v="0.2"/>
    <x v="2"/>
    <x v="2"/>
    <n v="23.234999999999999"/>
    <n v="0.3125"/>
    <n v="0"/>
  </r>
  <r>
    <n v="6305"/>
    <s v="CA-2017-107552"/>
    <d v="2017-05-05T00:00:00"/>
    <x v="3"/>
    <s v="Q2"/>
    <x v="24"/>
    <d v="2017-05-05T00:00:00"/>
    <s v="Same Day"/>
    <x v="482"/>
    <x v="482"/>
    <s v="Consumer"/>
    <s v="United States"/>
    <s v="New York City"/>
    <x v="15"/>
    <n v="10035"/>
    <x v="3"/>
    <x v="711"/>
    <x v="1"/>
    <x v="10"/>
    <x v="710"/>
    <n v="6.68"/>
    <s v="Low"/>
    <n v="1"/>
    <n v="0"/>
    <x v="0"/>
    <x v="0"/>
    <n v="3.2063999999999999"/>
    <n v="0.48"/>
    <n v="0"/>
  </r>
  <r>
    <n v="6306"/>
    <s v="CA-2016-163328"/>
    <d v="2016-11-04T00:00:00"/>
    <x v="0"/>
    <s v="Q4"/>
    <x v="0"/>
    <d v="2016-11-06T00:00:00"/>
    <s v="Second Class"/>
    <x v="734"/>
    <x v="734"/>
    <s v="Corporate"/>
    <s v="United States"/>
    <s v="Eugene"/>
    <x v="21"/>
    <n v="97405"/>
    <x v="1"/>
    <x v="1590"/>
    <x v="1"/>
    <x v="14"/>
    <x v="1582"/>
    <n v="17.584"/>
    <s v="Low"/>
    <n v="7"/>
    <n v="0.2"/>
    <x v="2"/>
    <x v="2"/>
    <n v="-4.1761999999999997"/>
    <n v="-0.23749999999999999"/>
    <n v="1"/>
  </r>
  <r>
    <n v="6307"/>
    <s v="CA-2016-163328"/>
    <d v="2016-11-04T00:00:00"/>
    <x v="0"/>
    <s v="Q4"/>
    <x v="0"/>
    <d v="2016-11-06T00:00:00"/>
    <s v="Second Class"/>
    <x v="734"/>
    <x v="734"/>
    <s v="Corporate"/>
    <s v="United States"/>
    <s v="Eugene"/>
    <x v="21"/>
    <n v="97405"/>
    <x v="1"/>
    <x v="1585"/>
    <x v="0"/>
    <x v="1"/>
    <x v="1576"/>
    <n v="104.78400000000001"/>
    <s v="Medium"/>
    <n v="1"/>
    <n v="0.2"/>
    <x v="2"/>
    <x v="2"/>
    <n v="-14.4078"/>
    <n v="-0.13749999999999998"/>
    <n v="1"/>
  </r>
  <r>
    <n v="6308"/>
    <s v="CA-2016-163328"/>
    <d v="2016-11-04T00:00:00"/>
    <x v="0"/>
    <s v="Q4"/>
    <x v="0"/>
    <d v="2016-11-06T00:00:00"/>
    <s v="Second Class"/>
    <x v="734"/>
    <x v="734"/>
    <s v="Corporate"/>
    <s v="United States"/>
    <s v="Eugene"/>
    <x v="21"/>
    <n v="97405"/>
    <x v="1"/>
    <x v="1673"/>
    <x v="1"/>
    <x v="10"/>
    <x v="1661"/>
    <n v="47.951999999999998"/>
    <s v="Medium"/>
    <n v="3"/>
    <n v="0.2"/>
    <x v="2"/>
    <x v="2"/>
    <n v="16.783200000000001"/>
    <n v="0.35000000000000003"/>
    <n v="0"/>
  </r>
  <r>
    <n v="6309"/>
    <s v="CA-2016-163328"/>
    <d v="2016-11-04T00:00:00"/>
    <x v="0"/>
    <s v="Q4"/>
    <x v="0"/>
    <d v="2016-11-06T00:00:00"/>
    <s v="Second Class"/>
    <x v="734"/>
    <x v="734"/>
    <s v="Corporate"/>
    <s v="United States"/>
    <s v="Eugene"/>
    <x v="21"/>
    <n v="97405"/>
    <x v="1"/>
    <x v="1631"/>
    <x v="0"/>
    <x v="1"/>
    <x v="1621"/>
    <n v="650.35199999999998"/>
    <s v="High"/>
    <n v="3"/>
    <n v="0.2"/>
    <x v="2"/>
    <x v="2"/>
    <n v="-97.552800000000005"/>
    <n v="-0.15000000000000002"/>
    <n v="1"/>
  </r>
  <r>
    <n v="6310"/>
    <s v="CA-2016-163328"/>
    <d v="2016-11-04T00:00:00"/>
    <x v="0"/>
    <s v="Q4"/>
    <x v="0"/>
    <d v="2016-11-06T00:00:00"/>
    <s v="Second Class"/>
    <x v="734"/>
    <x v="734"/>
    <s v="Corporate"/>
    <s v="United States"/>
    <s v="Eugene"/>
    <x v="21"/>
    <n v="97405"/>
    <x v="1"/>
    <x v="508"/>
    <x v="1"/>
    <x v="2"/>
    <x v="508"/>
    <n v="629.18399999999997"/>
    <s v="High"/>
    <n v="8"/>
    <n v="0.2"/>
    <x v="2"/>
    <x v="2"/>
    <n v="228.07919999999999"/>
    <n v="0.36249999999999999"/>
    <n v="0"/>
  </r>
  <r>
    <n v="6311"/>
    <s v="CA-2016-163328"/>
    <d v="2016-11-04T00:00:00"/>
    <x v="0"/>
    <s v="Q4"/>
    <x v="0"/>
    <d v="2016-11-06T00:00:00"/>
    <s v="Second Class"/>
    <x v="734"/>
    <x v="734"/>
    <s v="Corporate"/>
    <s v="United States"/>
    <s v="Eugene"/>
    <x v="21"/>
    <n v="97405"/>
    <x v="1"/>
    <x v="640"/>
    <x v="1"/>
    <x v="10"/>
    <x v="640"/>
    <n v="15.176"/>
    <s v="Low"/>
    <n v="1"/>
    <n v="0.2"/>
    <x v="2"/>
    <x v="2"/>
    <n v="5.3116000000000003"/>
    <n v="0.35000000000000003"/>
    <n v="0"/>
  </r>
  <r>
    <n v="6312"/>
    <s v="CA-2014-112837"/>
    <d v="2014-09-11T00:00:00"/>
    <x v="2"/>
    <s v="Q3"/>
    <x v="30"/>
    <d v="2014-09-16T00:00:00"/>
    <s v="Standard Class"/>
    <x v="752"/>
    <x v="752"/>
    <s v="Consumer"/>
    <s v="United States"/>
    <s v="Oxnard"/>
    <x v="1"/>
    <n v="93030"/>
    <x v="1"/>
    <x v="101"/>
    <x v="0"/>
    <x v="5"/>
    <x v="101"/>
    <n v="127.95"/>
    <s v="High"/>
    <n v="3"/>
    <n v="0"/>
    <x v="0"/>
    <x v="0"/>
    <n v="21.7515"/>
    <n v="0.16999999999999998"/>
    <n v="0"/>
  </r>
  <r>
    <n v="6313"/>
    <s v="CA-2017-120019"/>
    <d v="2017-02-16T00:00:00"/>
    <x v="3"/>
    <s v="Q1"/>
    <x v="31"/>
    <d v="2017-02-21T00:00:00"/>
    <s v="Standard Class"/>
    <x v="243"/>
    <x v="243"/>
    <s v="Corporate"/>
    <s v="United States"/>
    <s v="Fairfield"/>
    <x v="29"/>
    <n v="6824"/>
    <x v="3"/>
    <x v="1662"/>
    <x v="1"/>
    <x v="4"/>
    <x v="1650"/>
    <n v="579.51"/>
    <s v="High"/>
    <n v="3"/>
    <n v="0"/>
    <x v="0"/>
    <x v="0"/>
    <n v="81.131399999999999"/>
    <n v="0.14000000000000001"/>
    <n v="0"/>
  </r>
  <r>
    <n v="6314"/>
    <s v="CA-2017-120019"/>
    <d v="2017-02-16T00:00:00"/>
    <x v="3"/>
    <s v="Q1"/>
    <x v="31"/>
    <d v="2017-02-21T00:00:00"/>
    <s v="Standard Class"/>
    <x v="243"/>
    <x v="243"/>
    <s v="Corporate"/>
    <s v="United States"/>
    <s v="Fairfield"/>
    <x v="29"/>
    <n v="6824"/>
    <x v="3"/>
    <x v="1250"/>
    <x v="2"/>
    <x v="7"/>
    <x v="1234"/>
    <n v="14.99"/>
    <s v="Low"/>
    <n v="1"/>
    <n v="0"/>
    <x v="0"/>
    <x v="0"/>
    <n v="7.3451000000000004"/>
    <n v="0.49000000000000005"/>
    <n v="0"/>
  </r>
  <r>
    <n v="6315"/>
    <s v="CA-2014-100762"/>
    <d v="2014-11-24T00:00:00"/>
    <x v="2"/>
    <s v="Q4"/>
    <x v="7"/>
    <d v="2014-11-29T00:00:00"/>
    <s v="Standard Class"/>
    <x v="243"/>
    <x v="243"/>
    <s v="Corporate"/>
    <s v="United States"/>
    <s v="Jackson"/>
    <x v="12"/>
    <n v="49201"/>
    <x v="2"/>
    <x v="108"/>
    <x v="1"/>
    <x v="6"/>
    <x v="108"/>
    <n v="151.91999999999999"/>
    <s v="High"/>
    <n v="4"/>
    <n v="0"/>
    <x v="0"/>
    <x v="0"/>
    <n v="45.576000000000001"/>
    <n v="0.30000000000000004"/>
    <n v="0"/>
  </r>
  <r>
    <n v="6316"/>
    <s v="CA-2014-100762"/>
    <d v="2014-11-24T00:00:00"/>
    <x v="2"/>
    <s v="Q4"/>
    <x v="7"/>
    <d v="2014-11-29T00:00:00"/>
    <s v="Standard Class"/>
    <x v="243"/>
    <x v="243"/>
    <s v="Corporate"/>
    <s v="United States"/>
    <s v="Jackson"/>
    <x v="12"/>
    <n v="49201"/>
    <x v="2"/>
    <x v="508"/>
    <x v="1"/>
    <x v="2"/>
    <x v="508"/>
    <n v="196.62"/>
    <s v="High"/>
    <n v="2"/>
    <n v="0"/>
    <x v="0"/>
    <x v="0"/>
    <n v="96.343800000000002"/>
    <n v="0.49"/>
    <n v="0"/>
  </r>
  <r>
    <n v="6317"/>
    <s v="CA-2014-100762"/>
    <d v="2014-11-24T00:00:00"/>
    <x v="2"/>
    <s v="Q4"/>
    <x v="7"/>
    <d v="2014-11-29T00:00:00"/>
    <s v="Standard Class"/>
    <x v="243"/>
    <x v="243"/>
    <s v="Corporate"/>
    <s v="United States"/>
    <s v="Jackson"/>
    <x v="12"/>
    <n v="49201"/>
    <x v="2"/>
    <x v="1415"/>
    <x v="1"/>
    <x v="10"/>
    <x v="1402"/>
    <n v="144.12"/>
    <s v="High"/>
    <n v="3"/>
    <n v="0"/>
    <x v="0"/>
    <x v="0"/>
    <n v="69.177599999999998"/>
    <n v="0.48"/>
    <n v="0"/>
  </r>
  <r>
    <n v="6318"/>
    <s v="CA-2014-100762"/>
    <d v="2014-11-24T00:00:00"/>
    <x v="2"/>
    <s v="Q4"/>
    <x v="7"/>
    <d v="2014-11-29T00:00:00"/>
    <s v="Standard Class"/>
    <x v="243"/>
    <x v="243"/>
    <s v="Corporate"/>
    <s v="United States"/>
    <s v="Jackson"/>
    <x v="12"/>
    <n v="49201"/>
    <x v="2"/>
    <x v="226"/>
    <x v="1"/>
    <x v="10"/>
    <x v="227"/>
    <n v="15.96"/>
    <s v="Low"/>
    <n v="2"/>
    <n v="0"/>
    <x v="0"/>
    <x v="0"/>
    <n v="7.98"/>
    <n v="0.5"/>
    <n v="0"/>
  </r>
  <r>
    <n v="6319"/>
    <s v="CA-2017-161459"/>
    <d v="2017-11-25T00:00:00"/>
    <x v="3"/>
    <s v="Q4"/>
    <x v="23"/>
    <d v="2017-11-29T00:00:00"/>
    <s v="Second Class"/>
    <x v="494"/>
    <x v="494"/>
    <s v="Corporate"/>
    <s v="United States"/>
    <s v="Laguna Niguel"/>
    <x v="1"/>
    <n v="92677"/>
    <x v="1"/>
    <x v="1557"/>
    <x v="2"/>
    <x v="7"/>
    <x v="1546"/>
    <n v="39.96"/>
    <s v="Medium"/>
    <n v="5"/>
    <n v="0.2"/>
    <x v="2"/>
    <x v="2"/>
    <n v="3.4965000000000002"/>
    <n v="8.7500000000000008E-2"/>
    <n v="0"/>
  </r>
  <r>
    <n v="6320"/>
    <s v="CA-2017-161459"/>
    <d v="2017-11-25T00:00:00"/>
    <x v="3"/>
    <s v="Q4"/>
    <x v="23"/>
    <d v="2017-11-29T00:00:00"/>
    <s v="Second Class"/>
    <x v="494"/>
    <x v="494"/>
    <s v="Corporate"/>
    <s v="United States"/>
    <s v="Laguna Niguel"/>
    <x v="1"/>
    <n v="92677"/>
    <x v="1"/>
    <x v="126"/>
    <x v="1"/>
    <x v="10"/>
    <x v="562"/>
    <n v="34.08"/>
    <s v="Medium"/>
    <n v="6"/>
    <n v="0"/>
    <x v="0"/>
    <x v="0"/>
    <n v="15.336"/>
    <n v="0.45"/>
    <n v="0"/>
  </r>
  <r>
    <n v="6321"/>
    <s v="CA-2017-160017"/>
    <d v="2017-09-28T00:00:00"/>
    <x v="3"/>
    <s v="Q3"/>
    <x v="15"/>
    <d v="2017-10-02T00:00:00"/>
    <s v="Standard Class"/>
    <x v="133"/>
    <x v="133"/>
    <s v="Corporate"/>
    <s v="United States"/>
    <s v="Jacksonville"/>
    <x v="2"/>
    <n v="32216"/>
    <x v="0"/>
    <x v="585"/>
    <x v="1"/>
    <x v="10"/>
    <x v="585"/>
    <n v="10.368"/>
    <s v="Low"/>
    <n v="2"/>
    <n v="0.2"/>
    <x v="2"/>
    <x v="2"/>
    <n v="3.6288"/>
    <n v="0.35"/>
    <n v="0"/>
  </r>
  <r>
    <n v="6322"/>
    <s v="CA-2014-123316"/>
    <d v="2014-10-13T00:00:00"/>
    <x v="2"/>
    <s v="Q4"/>
    <x v="18"/>
    <d v="2014-10-17T00:00:00"/>
    <s v="Standard Class"/>
    <x v="259"/>
    <x v="259"/>
    <s v="Corporate"/>
    <s v="United States"/>
    <s v="Mount Vernon"/>
    <x v="15"/>
    <n v="10550"/>
    <x v="3"/>
    <x v="507"/>
    <x v="1"/>
    <x v="8"/>
    <x v="507"/>
    <n v="7.7519999999999998"/>
    <s v="Low"/>
    <n v="3"/>
    <n v="0.2"/>
    <x v="2"/>
    <x v="2"/>
    <n v="2.8100999999999998"/>
    <n v="0.36249999999999999"/>
    <n v="0"/>
  </r>
  <r>
    <n v="6323"/>
    <s v="CA-2014-141299"/>
    <d v="2014-06-03T00:00:00"/>
    <x v="2"/>
    <s v="Q2"/>
    <x v="3"/>
    <d v="2014-06-07T00:00:00"/>
    <s v="Second Class"/>
    <x v="176"/>
    <x v="176"/>
    <s v="Home Office"/>
    <s v="United States"/>
    <s v="Midland"/>
    <x v="12"/>
    <n v="48640"/>
    <x v="2"/>
    <x v="661"/>
    <x v="1"/>
    <x v="12"/>
    <x v="661"/>
    <n v="15.28"/>
    <s v="Low"/>
    <n v="2"/>
    <n v="0"/>
    <x v="0"/>
    <x v="0"/>
    <n v="7.4871999999999996"/>
    <n v="0.49"/>
    <n v="0"/>
  </r>
  <r>
    <n v="6324"/>
    <s v="CA-2014-104402"/>
    <d v="2014-06-17T00:00:00"/>
    <x v="2"/>
    <s v="Q2"/>
    <x v="3"/>
    <d v="2014-06-23T00:00:00"/>
    <s v="Standard Class"/>
    <x v="551"/>
    <x v="551"/>
    <s v="Consumer"/>
    <s v="United States"/>
    <s v="Newark"/>
    <x v="13"/>
    <n v="19711"/>
    <x v="3"/>
    <x v="1734"/>
    <x v="2"/>
    <x v="15"/>
    <x v="1722"/>
    <n v="65.97"/>
    <s v="Medium"/>
    <n v="3"/>
    <n v="0"/>
    <x v="0"/>
    <x v="0"/>
    <n v="31.0059"/>
    <n v="0.47000000000000003"/>
    <n v="0"/>
  </r>
  <r>
    <n v="6325"/>
    <s v="CA-2015-110289"/>
    <d v="2015-10-29T00:00:00"/>
    <x v="1"/>
    <s v="Q4"/>
    <x v="2"/>
    <d v="2015-11-02T00:00:00"/>
    <s v="Standard Class"/>
    <x v="240"/>
    <x v="240"/>
    <s v="Corporate"/>
    <s v="United States"/>
    <s v="San Francisco"/>
    <x v="1"/>
    <n v="94109"/>
    <x v="1"/>
    <x v="481"/>
    <x v="1"/>
    <x v="10"/>
    <x v="482"/>
    <n v="33.4"/>
    <s v="Medium"/>
    <n v="5"/>
    <n v="0"/>
    <x v="0"/>
    <x v="0"/>
    <n v="16.032"/>
    <n v="0.48000000000000004"/>
    <n v="0"/>
  </r>
  <r>
    <n v="6326"/>
    <s v="CA-2015-110289"/>
    <d v="2015-10-29T00:00:00"/>
    <x v="1"/>
    <s v="Q4"/>
    <x v="2"/>
    <d v="2015-11-02T00:00:00"/>
    <s v="Standard Class"/>
    <x v="240"/>
    <x v="240"/>
    <s v="Corporate"/>
    <s v="United States"/>
    <s v="San Francisco"/>
    <x v="1"/>
    <n v="94109"/>
    <x v="1"/>
    <x v="439"/>
    <x v="1"/>
    <x v="12"/>
    <x v="439"/>
    <n v="210.84"/>
    <s v="High"/>
    <n v="4"/>
    <n v="0"/>
    <x v="0"/>
    <x v="0"/>
    <n v="103.3116"/>
    <n v="0.49"/>
    <n v="0"/>
  </r>
  <r>
    <n v="6327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4"/>
    <x v="1"/>
    <x v="4"/>
    <x v="4"/>
    <n v="13.98"/>
    <s v="Low"/>
    <n v="1"/>
    <n v="0"/>
    <x v="0"/>
    <x v="0"/>
    <n v="4.0541999999999998"/>
    <n v="0.28999999999999998"/>
    <n v="0"/>
  </r>
  <r>
    <n v="6328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269"/>
    <x v="0"/>
    <x v="5"/>
    <x v="269"/>
    <n v="272.94"/>
    <s v="High"/>
    <n v="3"/>
    <n v="0"/>
    <x v="0"/>
    <x v="0"/>
    <n v="30.023399999999999"/>
    <n v="0.11"/>
    <n v="0"/>
  </r>
  <r>
    <n v="6329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536"/>
    <x v="1"/>
    <x v="8"/>
    <x v="536"/>
    <n v="19.05"/>
    <s v="Low"/>
    <n v="5"/>
    <n v="0"/>
    <x v="0"/>
    <x v="0"/>
    <n v="8.9535"/>
    <n v="0.47"/>
    <n v="0"/>
  </r>
  <r>
    <n v="6330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14"/>
    <x v="1"/>
    <x v="9"/>
    <x v="14"/>
    <n v="247.71600000000001"/>
    <s v="High"/>
    <n v="4"/>
    <n v="0.1"/>
    <x v="3"/>
    <x v="8"/>
    <n v="93.581599999999995"/>
    <n v="0.37777777777777777"/>
    <n v="0"/>
  </r>
  <r>
    <n v="6331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1291"/>
    <x v="1"/>
    <x v="4"/>
    <x v="1277"/>
    <n v="66.58"/>
    <s v="Medium"/>
    <n v="2"/>
    <n v="0"/>
    <x v="0"/>
    <x v="0"/>
    <n v="15.979200000000001"/>
    <n v="0.24000000000000002"/>
    <n v="0"/>
  </r>
  <r>
    <n v="6332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1064"/>
    <x v="1"/>
    <x v="6"/>
    <x v="1053"/>
    <n v="43.92"/>
    <s v="Medium"/>
    <n v="3"/>
    <n v="0"/>
    <x v="0"/>
    <x v="0"/>
    <n v="12.736800000000001"/>
    <n v="0.28999999999999998"/>
    <n v="0"/>
  </r>
  <r>
    <n v="6333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875"/>
    <x v="0"/>
    <x v="5"/>
    <x v="869"/>
    <n v="14.73"/>
    <s v="Low"/>
    <n v="3"/>
    <n v="0"/>
    <x v="0"/>
    <x v="0"/>
    <n v="4.8609"/>
    <n v="0.33"/>
    <n v="0"/>
  </r>
  <r>
    <n v="6334"/>
    <s v="CA-2014-167927"/>
    <d v="2014-01-20T00:00:00"/>
    <x v="2"/>
    <s v="Q1"/>
    <x v="46"/>
    <d v="2014-01-26T00:00:00"/>
    <s v="Standard Class"/>
    <x v="190"/>
    <x v="190"/>
    <s v="Consumer"/>
    <s v="United States"/>
    <s v="Westland"/>
    <x v="12"/>
    <n v="48185"/>
    <x v="2"/>
    <x v="990"/>
    <x v="1"/>
    <x v="8"/>
    <x v="305"/>
    <n v="29.7"/>
    <s v="Medium"/>
    <n v="5"/>
    <n v="0"/>
    <x v="0"/>
    <x v="0"/>
    <n v="13.365"/>
    <n v="0.45"/>
    <n v="0"/>
  </r>
  <r>
    <n v="6335"/>
    <s v="CA-2014-133305"/>
    <d v="2014-07-11T00:00:00"/>
    <x v="2"/>
    <s v="Q3"/>
    <x v="39"/>
    <d v="2014-07-15T00:00:00"/>
    <s v="Standard Class"/>
    <x v="708"/>
    <x v="708"/>
    <s v="Consumer"/>
    <s v="United States"/>
    <s v="New York City"/>
    <x v="15"/>
    <n v="10011"/>
    <x v="3"/>
    <x v="314"/>
    <x v="1"/>
    <x v="10"/>
    <x v="314"/>
    <n v="49.12"/>
    <s v="Medium"/>
    <n v="4"/>
    <n v="0"/>
    <x v="0"/>
    <x v="0"/>
    <n v="23.086400000000001"/>
    <n v="0.47000000000000003"/>
    <n v="0"/>
  </r>
  <r>
    <n v="6336"/>
    <s v="CA-2014-133305"/>
    <d v="2014-07-11T00:00:00"/>
    <x v="2"/>
    <s v="Q3"/>
    <x v="39"/>
    <d v="2014-07-15T00:00:00"/>
    <s v="Standard Class"/>
    <x v="708"/>
    <x v="708"/>
    <s v="Consumer"/>
    <s v="United States"/>
    <s v="New York City"/>
    <x v="15"/>
    <n v="10011"/>
    <x v="3"/>
    <x v="1203"/>
    <x v="1"/>
    <x v="8"/>
    <x v="1188"/>
    <n v="18.28"/>
    <s v="Low"/>
    <n v="5"/>
    <n v="0.2"/>
    <x v="2"/>
    <x v="2"/>
    <n v="6.3979999999999997"/>
    <n v="0.35"/>
    <n v="0"/>
  </r>
  <r>
    <n v="6337"/>
    <s v="CA-2016-165995"/>
    <d v="2016-08-30T00:00:00"/>
    <x v="0"/>
    <s v="Q3"/>
    <x v="28"/>
    <d v="2016-09-06T00:00:00"/>
    <s v="Standard Class"/>
    <x v="696"/>
    <x v="696"/>
    <s v="Consumer"/>
    <s v="United States"/>
    <s v="Los Angeles"/>
    <x v="1"/>
    <n v="90008"/>
    <x v="1"/>
    <x v="1530"/>
    <x v="0"/>
    <x v="5"/>
    <x v="1517"/>
    <n v="47.04"/>
    <s v="Medium"/>
    <n v="4"/>
    <n v="0"/>
    <x v="0"/>
    <x v="0"/>
    <n v="15.993600000000001"/>
    <n v="0.34"/>
    <n v="0"/>
  </r>
  <r>
    <n v="6338"/>
    <s v="CA-2016-165995"/>
    <d v="2016-08-30T00:00:00"/>
    <x v="0"/>
    <s v="Q3"/>
    <x v="28"/>
    <d v="2016-09-06T00:00:00"/>
    <s v="Standard Class"/>
    <x v="696"/>
    <x v="696"/>
    <s v="Consumer"/>
    <s v="United States"/>
    <s v="Los Angeles"/>
    <x v="1"/>
    <n v="90008"/>
    <x v="1"/>
    <x v="1495"/>
    <x v="2"/>
    <x v="7"/>
    <x v="1483"/>
    <n v="339.96"/>
    <s v="High"/>
    <n v="5"/>
    <n v="0.2"/>
    <x v="2"/>
    <x v="2"/>
    <n v="42.494999999999997"/>
    <n v="0.125"/>
    <n v="0"/>
  </r>
  <r>
    <n v="6339"/>
    <s v="CA-2017-143112"/>
    <d v="2017-10-05T00:00:00"/>
    <x v="3"/>
    <s v="Q4"/>
    <x v="13"/>
    <d v="2017-10-09T00:00:00"/>
    <s v="Standard Class"/>
    <x v="477"/>
    <x v="477"/>
    <s v="Corporate"/>
    <s v="United States"/>
    <s v="New York City"/>
    <x v="15"/>
    <n v="10035"/>
    <x v="3"/>
    <x v="1513"/>
    <x v="2"/>
    <x v="7"/>
    <x v="1500"/>
    <n v="87.8"/>
    <s v="Medium"/>
    <n v="4"/>
    <n v="0"/>
    <x v="0"/>
    <x v="0"/>
    <n v="43.9"/>
    <n v="0.5"/>
    <n v="0"/>
  </r>
  <r>
    <n v="6340"/>
    <s v="CA-2017-143112"/>
    <d v="2017-10-05T00:00:00"/>
    <x v="3"/>
    <s v="Q4"/>
    <x v="13"/>
    <d v="2017-10-09T00:00:00"/>
    <s v="Standard Class"/>
    <x v="477"/>
    <x v="477"/>
    <s v="Corporate"/>
    <s v="United States"/>
    <s v="New York City"/>
    <x v="15"/>
    <n v="10035"/>
    <x v="3"/>
    <x v="812"/>
    <x v="0"/>
    <x v="1"/>
    <x v="809"/>
    <n v="221.38200000000001"/>
    <s v="High"/>
    <n v="2"/>
    <n v="0.1"/>
    <x v="3"/>
    <x v="8"/>
    <n v="2.4598"/>
    <n v="1.1111111111111112E-2"/>
    <n v="0"/>
  </r>
  <r>
    <n v="6341"/>
    <s v="CA-2017-143112"/>
    <d v="2017-10-05T00:00:00"/>
    <x v="3"/>
    <s v="Q4"/>
    <x v="13"/>
    <d v="2017-10-09T00:00:00"/>
    <s v="Standard Class"/>
    <x v="477"/>
    <x v="477"/>
    <s v="Corporate"/>
    <s v="United States"/>
    <s v="New York City"/>
    <x v="15"/>
    <n v="10035"/>
    <x v="3"/>
    <x v="1646"/>
    <x v="2"/>
    <x v="15"/>
    <x v="1635"/>
    <n v="5199.96"/>
    <s v="High"/>
    <n v="4"/>
    <n v="0"/>
    <x v="0"/>
    <x v="0"/>
    <n v="1351.9896000000001"/>
    <n v="0.26"/>
    <n v="0"/>
  </r>
  <r>
    <n v="6342"/>
    <s v="US-2017-105830"/>
    <d v="2016-12-31T00:00:00"/>
    <x v="0"/>
    <s v="Q4"/>
    <x v="5"/>
    <d v="2017-01-02T00:00:00"/>
    <s v="First Class"/>
    <x v="551"/>
    <x v="551"/>
    <s v="Consumer"/>
    <s v="United States"/>
    <s v="Lancaster"/>
    <x v="24"/>
    <n v="43130"/>
    <x v="3"/>
    <x v="1166"/>
    <x v="1"/>
    <x v="4"/>
    <x v="1153"/>
    <n v="156.512"/>
    <s v="High"/>
    <n v="4"/>
    <n v="0.2"/>
    <x v="2"/>
    <x v="2"/>
    <n v="-35.215200000000003"/>
    <n v="-0.22500000000000001"/>
    <n v="1"/>
  </r>
  <r>
    <n v="6343"/>
    <s v="CA-2015-146255"/>
    <d v="2015-03-07T00:00:00"/>
    <x v="1"/>
    <s v="Q1"/>
    <x v="29"/>
    <d v="2015-03-10T00:00:00"/>
    <s v="First Class"/>
    <x v="670"/>
    <x v="670"/>
    <s v="Home Office"/>
    <s v="United States"/>
    <s v="Newark"/>
    <x v="13"/>
    <n v="19711"/>
    <x v="3"/>
    <x v="240"/>
    <x v="2"/>
    <x v="11"/>
    <x v="241"/>
    <n v="119.85"/>
    <s v="Medium"/>
    <n v="3"/>
    <n v="0"/>
    <x v="0"/>
    <x v="0"/>
    <n v="52.734000000000002"/>
    <n v="0.44000000000000006"/>
    <n v="0"/>
  </r>
  <r>
    <n v="6344"/>
    <s v="CA-2015-146255"/>
    <d v="2015-03-07T00:00:00"/>
    <x v="1"/>
    <s v="Q1"/>
    <x v="29"/>
    <d v="2015-03-10T00:00:00"/>
    <s v="First Class"/>
    <x v="670"/>
    <x v="670"/>
    <s v="Home Office"/>
    <s v="United States"/>
    <s v="Newark"/>
    <x v="13"/>
    <n v="19711"/>
    <x v="3"/>
    <x v="338"/>
    <x v="1"/>
    <x v="8"/>
    <x v="338"/>
    <n v="30.44"/>
    <s v="Medium"/>
    <n v="2"/>
    <n v="0"/>
    <x v="0"/>
    <x v="0"/>
    <n v="14.9156"/>
    <n v="0.49"/>
    <n v="0"/>
  </r>
  <r>
    <n v="6345"/>
    <s v="CA-2015-146255"/>
    <d v="2015-03-07T00:00:00"/>
    <x v="1"/>
    <s v="Q1"/>
    <x v="29"/>
    <d v="2015-03-10T00:00:00"/>
    <s v="First Class"/>
    <x v="670"/>
    <x v="670"/>
    <s v="Home Office"/>
    <s v="United States"/>
    <s v="Newark"/>
    <x v="13"/>
    <n v="19711"/>
    <x v="3"/>
    <x v="1002"/>
    <x v="1"/>
    <x v="8"/>
    <x v="994"/>
    <n v="69.28"/>
    <s v="Medium"/>
    <n v="2"/>
    <n v="0"/>
    <x v="0"/>
    <x v="0"/>
    <n v="33.254399999999997"/>
    <n v="0.47999999999999993"/>
    <n v="0"/>
  </r>
  <r>
    <n v="6346"/>
    <s v="CA-2015-146255"/>
    <d v="2015-03-07T00:00:00"/>
    <x v="1"/>
    <s v="Q1"/>
    <x v="29"/>
    <d v="2015-03-10T00:00:00"/>
    <s v="First Class"/>
    <x v="670"/>
    <x v="670"/>
    <s v="Home Office"/>
    <s v="United States"/>
    <s v="Newark"/>
    <x v="13"/>
    <n v="19711"/>
    <x v="3"/>
    <x v="1602"/>
    <x v="2"/>
    <x v="7"/>
    <x v="1594"/>
    <n v="587.97"/>
    <s v="High"/>
    <n v="3"/>
    <n v="0"/>
    <x v="0"/>
    <x v="0"/>
    <n v="170.51130000000001"/>
    <n v="0.28999999999999998"/>
    <n v="0"/>
  </r>
  <r>
    <n v="6347"/>
    <s v="CA-2017-104822"/>
    <d v="2017-10-20T00:00:00"/>
    <x v="3"/>
    <s v="Q4"/>
    <x v="13"/>
    <d v="2017-10-20T00:00:00"/>
    <s v="Same Day"/>
    <x v="46"/>
    <x v="46"/>
    <s v="Home Office"/>
    <s v="United States"/>
    <s v="New York City"/>
    <x v="15"/>
    <n v="10024"/>
    <x v="3"/>
    <x v="1123"/>
    <x v="1"/>
    <x v="2"/>
    <x v="1111"/>
    <n v="24.55"/>
    <s v="Low"/>
    <n v="5"/>
    <n v="0"/>
    <x v="0"/>
    <x v="0"/>
    <n v="12.029500000000001"/>
    <n v="0.49"/>
    <n v="0"/>
  </r>
  <r>
    <n v="6348"/>
    <s v="CA-2015-104486"/>
    <d v="2015-05-01T00:00:00"/>
    <x v="1"/>
    <s v="Q2"/>
    <x v="33"/>
    <d v="2015-05-06T00:00:00"/>
    <s v="Standard Class"/>
    <x v="138"/>
    <x v="138"/>
    <s v="Consumer"/>
    <s v="United States"/>
    <s v="San Francisco"/>
    <x v="1"/>
    <n v="94109"/>
    <x v="1"/>
    <x v="338"/>
    <x v="1"/>
    <x v="8"/>
    <x v="338"/>
    <n v="12.176"/>
    <s v="Low"/>
    <n v="1"/>
    <n v="0.2"/>
    <x v="2"/>
    <x v="2"/>
    <n v="4.4138000000000002"/>
    <n v="0.36249999999999999"/>
    <n v="0"/>
  </r>
  <r>
    <n v="6349"/>
    <s v="CA-2015-104486"/>
    <d v="2015-05-01T00:00:00"/>
    <x v="1"/>
    <s v="Q2"/>
    <x v="33"/>
    <d v="2015-05-06T00:00:00"/>
    <s v="Standard Class"/>
    <x v="138"/>
    <x v="138"/>
    <s v="Consumer"/>
    <s v="United States"/>
    <s v="San Francisco"/>
    <x v="1"/>
    <n v="94109"/>
    <x v="1"/>
    <x v="253"/>
    <x v="1"/>
    <x v="4"/>
    <x v="254"/>
    <n v="37.32"/>
    <s v="Medium"/>
    <n v="3"/>
    <n v="0"/>
    <x v="0"/>
    <x v="0"/>
    <n v="10.4496"/>
    <n v="0.28000000000000003"/>
    <n v="0"/>
  </r>
  <r>
    <n v="6350"/>
    <s v="CA-2015-104486"/>
    <d v="2015-05-01T00:00:00"/>
    <x v="1"/>
    <s v="Q2"/>
    <x v="33"/>
    <d v="2015-05-06T00:00:00"/>
    <s v="Standard Class"/>
    <x v="138"/>
    <x v="138"/>
    <s v="Consumer"/>
    <s v="United States"/>
    <s v="San Francisco"/>
    <x v="1"/>
    <n v="94109"/>
    <x v="1"/>
    <x v="354"/>
    <x v="1"/>
    <x v="14"/>
    <x v="354"/>
    <n v="35.06"/>
    <s v="Medium"/>
    <n v="2"/>
    <n v="0"/>
    <x v="0"/>
    <x v="0"/>
    <n v="10.518000000000001"/>
    <n v="0.3"/>
    <n v="0"/>
  </r>
  <r>
    <n v="6351"/>
    <s v="CA-2017-161557"/>
    <d v="2017-09-03T00:00:00"/>
    <x v="3"/>
    <s v="Q3"/>
    <x v="15"/>
    <d v="2017-09-08T00:00:00"/>
    <s v="Standard Class"/>
    <x v="151"/>
    <x v="151"/>
    <s v="Consumer"/>
    <s v="United States"/>
    <s v="Dallas"/>
    <x v="5"/>
    <n v="75217"/>
    <x v="2"/>
    <x v="797"/>
    <x v="0"/>
    <x v="5"/>
    <x v="795"/>
    <n v="108.4"/>
    <s v="Medium"/>
    <n v="5"/>
    <n v="0.6"/>
    <x v="1"/>
    <x v="6"/>
    <n v="-105.69"/>
    <n v="-0.97499999999999998"/>
    <n v="1"/>
  </r>
  <r>
    <n v="6352"/>
    <s v="CA-2017-161130"/>
    <d v="2017-11-03T00:00:00"/>
    <x v="3"/>
    <s v="Q4"/>
    <x v="23"/>
    <d v="2017-11-08T00:00:00"/>
    <s v="Standard Class"/>
    <x v="667"/>
    <x v="667"/>
    <s v="Corporate"/>
    <s v="United States"/>
    <s v="Miami"/>
    <x v="2"/>
    <n v="33178"/>
    <x v="0"/>
    <x v="944"/>
    <x v="2"/>
    <x v="7"/>
    <x v="937"/>
    <n v="361.37599999999998"/>
    <s v="High"/>
    <n v="2"/>
    <n v="0.2"/>
    <x v="2"/>
    <x v="2"/>
    <n v="27.103200000000001"/>
    <n v="7.5000000000000011E-2"/>
    <n v="0"/>
  </r>
  <r>
    <n v="6353"/>
    <s v="US-2015-161347"/>
    <d v="2015-09-13T00:00:00"/>
    <x v="1"/>
    <s v="Q3"/>
    <x v="11"/>
    <d v="2015-09-19T00:00:00"/>
    <s v="Standard Class"/>
    <x v="668"/>
    <x v="668"/>
    <s v="Consumer"/>
    <s v="United States"/>
    <s v="Philadelphia"/>
    <x v="9"/>
    <n v="19120"/>
    <x v="3"/>
    <x v="1232"/>
    <x v="1"/>
    <x v="8"/>
    <x v="1215"/>
    <n v="2.4119999999999999"/>
    <s v="Low"/>
    <n v="1"/>
    <n v="0.7"/>
    <x v="1"/>
    <x v="5"/>
    <n v="-2.0099999999999998"/>
    <n v="-0.83333333333333326"/>
    <n v="1"/>
  </r>
  <r>
    <n v="6354"/>
    <s v="US-2015-109015"/>
    <d v="2015-09-06T00:00:00"/>
    <x v="1"/>
    <s v="Q3"/>
    <x v="11"/>
    <d v="2015-09-12T00:00:00"/>
    <s v="Standard Class"/>
    <x v="29"/>
    <x v="29"/>
    <s v="Corporate"/>
    <s v="United States"/>
    <s v="New York City"/>
    <x v="15"/>
    <n v="10011"/>
    <x v="3"/>
    <x v="1612"/>
    <x v="1"/>
    <x v="9"/>
    <x v="1603"/>
    <n v="8.39"/>
    <s v="Low"/>
    <n v="1"/>
    <n v="0"/>
    <x v="0"/>
    <x v="0"/>
    <n v="2.0975000000000001"/>
    <n v="0.25"/>
    <n v="0"/>
  </r>
  <r>
    <n v="6355"/>
    <s v="US-2015-109015"/>
    <d v="2015-09-06T00:00:00"/>
    <x v="1"/>
    <s v="Q3"/>
    <x v="11"/>
    <d v="2015-09-12T00:00:00"/>
    <s v="Standard Class"/>
    <x v="29"/>
    <x v="29"/>
    <s v="Corporate"/>
    <s v="United States"/>
    <s v="New York City"/>
    <x v="15"/>
    <n v="10011"/>
    <x v="3"/>
    <x v="981"/>
    <x v="2"/>
    <x v="7"/>
    <x v="974"/>
    <n v="337.98"/>
    <s v="High"/>
    <n v="2"/>
    <n v="0"/>
    <x v="0"/>
    <x v="0"/>
    <n v="101.39400000000001"/>
    <n v="0.3"/>
    <n v="0"/>
  </r>
  <r>
    <n v="6356"/>
    <s v="CA-2014-110611"/>
    <d v="2014-10-06T00:00:00"/>
    <x v="2"/>
    <s v="Q4"/>
    <x v="18"/>
    <d v="2014-10-13T00:00:00"/>
    <s v="Standard Class"/>
    <x v="557"/>
    <x v="557"/>
    <s v="Consumer"/>
    <s v="United States"/>
    <s v="Philadelphia"/>
    <x v="9"/>
    <n v="19120"/>
    <x v="3"/>
    <x v="193"/>
    <x v="1"/>
    <x v="4"/>
    <x v="194"/>
    <n v="83.92"/>
    <s v="Medium"/>
    <n v="5"/>
    <n v="0.2"/>
    <x v="2"/>
    <x v="2"/>
    <n v="-13.637"/>
    <n v="-0.16250000000000001"/>
    <n v="1"/>
  </r>
  <r>
    <n v="6357"/>
    <s v="CA-2017-139080"/>
    <d v="2017-01-23T00:00:00"/>
    <x v="3"/>
    <s v="Q1"/>
    <x v="44"/>
    <d v="2017-01-28T00:00:00"/>
    <s v="Standard Class"/>
    <x v="294"/>
    <x v="294"/>
    <s v="Corporate"/>
    <s v="United States"/>
    <s v="Seattle"/>
    <x v="4"/>
    <n v="98103"/>
    <x v="1"/>
    <x v="1181"/>
    <x v="1"/>
    <x v="8"/>
    <x v="1167"/>
    <n v="19.68"/>
    <s v="Low"/>
    <n v="5"/>
    <n v="0.2"/>
    <x v="2"/>
    <x v="2"/>
    <n v="6.8879999999999999"/>
    <n v="0.35"/>
    <n v="0"/>
  </r>
  <r>
    <n v="6358"/>
    <s v="CA-2017-139080"/>
    <d v="2017-01-23T00:00:00"/>
    <x v="3"/>
    <s v="Q1"/>
    <x v="44"/>
    <d v="2017-01-28T00:00:00"/>
    <s v="Standard Class"/>
    <x v="294"/>
    <x v="294"/>
    <s v="Corporate"/>
    <s v="United States"/>
    <s v="Seattle"/>
    <x v="4"/>
    <n v="98103"/>
    <x v="1"/>
    <x v="747"/>
    <x v="1"/>
    <x v="10"/>
    <x v="745"/>
    <n v="25.92"/>
    <s v="Medium"/>
    <n v="4"/>
    <n v="0"/>
    <x v="0"/>
    <x v="0"/>
    <n v="12.441599999999999"/>
    <n v="0.47999999999999993"/>
    <n v="0"/>
  </r>
  <r>
    <n v="6359"/>
    <s v="CA-2017-139080"/>
    <d v="2017-01-23T00:00:00"/>
    <x v="3"/>
    <s v="Q1"/>
    <x v="44"/>
    <d v="2017-01-28T00:00:00"/>
    <s v="Standard Class"/>
    <x v="294"/>
    <x v="294"/>
    <s v="Corporate"/>
    <s v="United States"/>
    <s v="Seattle"/>
    <x v="4"/>
    <n v="98103"/>
    <x v="1"/>
    <x v="1009"/>
    <x v="1"/>
    <x v="10"/>
    <x v="1001"/>
    <n v="6.48"/>
    <s v="Low"/>
    <n v="1"/>
    <n v="0"/>
    <x v="0"/>
    <x v="0"/>
    <n v="3.1103999999999998"/>
    <n v="0.47999999999999993"/>
    <n v="0"/>
  </r>
  <r>
    <n v="6360"/>
    <s v="CA-2017-139080"/>
    <d v="2017-01-23T00:00:00"/>
    <x v="3"/>
    <s v="Q1"/>
    <x v="44"/>
    <d v="2017-01-28T00:00:00"/>
    <s v="Standard Class"/>
    <x v="294"/>
    <x v="294"/>
    <s v="Corporate"/>
    <s v="United States"/>
    <s v="Seattle"/>
    <x v="4"/>
    <n v="98103"/>
    <x v="1"/>
    <x v="1763"/>
    <x v="2"/>
    <x v="7"/>
    <x v="1752"/>
    <n v="86.352000000000004"/>
    <s v="Medium"/>
    <n v="6"/>
    <n v="0.2"/>
    <x v="2"/>
    <x v="2"/>
    <n v="8.6351999999999993"/>
    <n v="9.9999999999999992E-2"/>
    <n v="0"/>
  </r>
  <r>
    <n v="6361"/>
    <s v="CA-2015-115693"/>
    <d v="2015-12-10T00:00:00"/>
    <x v="1"/>
    <s v="Q4"/>
    <x v="14"/>
    <d v="2015-12-15T00:00:00"/>
    <s v="Standard Class"/>
    <x v="763"/>
    <x v="763"/>
    <s v="Home Office"/>
    <s v="United States"/>
    <s v="Los Angeles"/>
    <x v="1"/>
    <n v="90032"/>
    <x v="1"/>
    <x v="1473"/>
    <x v="1"/>
    <x v="6"/>
    <x v="1460"/>
    <n v="56.3"/>
    <s v="Medium"/>
    <n v="2"/>
    <n v="0"/>
    <x v="0"/>
    <x v="0"/>
    <n v="15.763999999999999"/>
    <n v="0.28000000000000003"/>
    <n v="0"/>
  </r>
  <r>
    <n v="6362"/>
    <s v="US-2014-107993"/>
    <d v="2014-11-25T00:00:00"/>
    <x v="2"/>
    <s v="Q4"/>
    <x v="7"/>
    <d v="2014-11-30T00:00:00"/>
    <s v="Standard Class"/>
    <x v="339"/>
    <x v="339"/>
    <s v="Consumer"/>
    <s v="United States"/>
    <s v="Springfield"/>
    <x v="21"/>
    <n v="97477"/>
    <x v="1"/>
    <x v="1583"/>
    <x v="1"/>
    <x v="6"/>
    <x v="1574"/>
    <n v="51.015999999999998"/>
    <s v="Medium"/>
    <n v="7"/>
    <n v="0.2"/>
    <x v="2"/>
    <x v="2"/>
    <n v="8.2901000000000007"/>
    <n v="0.16250000000000001"/>
    <n v="0"/>
  </r>
  <r>
    <n v="6363"/>
    <s v="CA-2017-110443"/>
    <d v="2017-11-21T00:00:00"/>
    <x v="3"/>
    <s v="Q4"/>
    <x v="23"/>
    <d v="2017-11-25T00:00:00"/>
    <s v="Standard Class"/>
    <x v="237"/>
    <x v="237"/>
    <s v="Consumer"/>
    <s v="United States"/>
    <s v="Renton"/>
    <x v="4"/>
    <n v="98059"/>
    <x v="1"/>
    <x v="443"/>
    <x v="1"/>
    <x v="8"/>
    <x v="443"/>
    <n v="150.80000000000001"/>
    <s v="High"/>
    <n v="5"/>
    <n v="0.2"/>
    <x v="2"/>
    <x v="2"/>
    <n v="56.55"/>
    <n v="0.37499999999999994"/>
    <n v="0"/>
  </r>
  <r>
    <n v="6364"/>
    <s v="CA-2017-110443"/>
    <d v="2017-11-21T00:00:00"/>
    <x v="3"/>
    <s v="Q4"/>
    <x v="23"/>
    <d v="2017-11-25T00:00:00"/>
    <s v="Standard Class"/>
    <x v="237"/>
    <x v="237"/>
    <s v="Consumer"/>
    <s v="United States"/>
    <s v="Renton"/>
    <x v="4"/>
    <n v="98059"/>
    <x v="1"/>
    <x v="1782"/>
    <x v="2"/>
    <x v="15"/>
    <x v="1772"/>
    <n v="1039.992"/>
    <s v="High"/>
    <n v="1"/>
    <n v="0.2"/>
    <x v="2"/>
    <x v="2"/>
    <n v="103.9992"/>
    <n v="0.1"/>
    <n v="0"/>
  </r>
  <r>
    <n v="6365"/>
    <s v="CA-2017-110443"/>
    <d v="2017-11-21T00:00:00"/>
    <x v="3"/>
    <s v="Q4"/>
    <x v="23"/>
    <d v="2017-11-25T00:00:00"/>
    <s v="Standard Class"/>
    <x v="237"/>
    <x v="237"/>
    <s v="Consumer"/>
    <s v="United States"/>
    <s v="Renton"/>
    <x v="4"/>
    <n v="98059"/>
    <x v="1"/>
    <x v="1723"/>
    <x v="1"/>
    <x v="10"/>
    <x v="1710"/>
    <n v="51.84"/>
    <s v="Medium"/>
    <n v="8"/>
    <n v="0"/>
    <x v="0"/>
    <x v="0"/>
    <n v="24.883199999999999"/>
    <n v="0.47999999999999993"/>
    <n v="0"/>
  </r>
  <r>
    <n v="6366"/>
    <s v="CA-2017-144848"/>
    <d v="2017-04-04T00:00:00"/>
    <x v="3"/>
    <s v="Q2"/>
    <x v="4"/>
    <d v="2017-04-05T00:00:00"/>
    <s v="First Class"/>
    <x v="284"/>
    <x v="284"/>
    <s v="Home Office"/>
    <s v="United States"/>
    <s v="New York City"/>
    <x v="15"/>
    <n v="10009"/>
    <x v="3"/>
    <x v="1783"/>
    <x v="2"/>
    <x v="7"/>
    <x v="1773"/>
    <n v="41.22"/>
    <s v="Medium"/>
    <n v="1"/>
    <n v="0"/>
    <x v="0"/>
    <x v="0"/>
    <n v="11.1294"/>
    <n v="0.27"/>
    <n v="0"/>
  </r>
  <r>
    <n v="6367"/>
    <s v="CA-2017-144848"/>
    <d v="2017-04-04T00:00:00"/>
    <x v="3"/>
    <s v="Q2"/>
    <x v="4"/>
    <d v="2017-04-05T00:00:00"/>
    <s v="First Class"/>
    <x v="284"/>
    <x v="284"/>
    <s v="Home Office"/>
    <s v="United States"/>
    <s v="New York City"/>
    <x v="15"/>
    <n v="10009"/>
    <x v="3"/>
    <x v="262"/>
    <x v="1"/>
    <x v="14"/>
    <x v="262"/>
    <n v="240.37"/>
    <s v="High"/>
    <n v="1"/>
    <n v="0"/>
    <x v="0"/>
    <x v="0"/>
    <n v="7.2111000000000001"/>
    <n v="0.03"/>
    <n v="0"/>
  </r>
  <r>
    <n v="6368"/>
    <s v="CA-2017-144848"/>
    <d v="2017-04-04T00:00:00"/>
    <x v="3"/>
    <s v="Q2"/>
    <x v="4"/>
    <d v="2017-04-05T00:00:00"/>
    <s v="First Class"/>
    <x v="284"/>
    <x v="284"/>
    <s v="Home Office"/>
    <s v="United States"/>
    <s v="New York City"/>
    <x v="15"/>
    <n v="10009"/>
    <x v="3"/>
    <x v="476"/>
    <x v="2"/>
    <x v="7"/>
    <x v="477"/>
    <n v="119.02"/>
    <s v="Medium"/>
    <n v="2"/>
    <n v="0"/>
    <x v="0"/>
    <x v="0"/>
    <n v="33.325600000000001"/>
    <n v="0.28000000000000003"/>
    <n v="0"/>
  </r>
  <r>
    <n v="6369"/>
    <s v="US-2017-147998"/>
    <d v="2017-05-19T00:00:00"/>
    <x v="3"/>
    <s v="Q2"/>
    <x v="24"/>
    <d v="2017-05-24T00:00:00"/>
    <s v="Standard Class"/>
    <x v="193"/>
    <x v="193"/>
    <s v="Consumer"/>
    <s v="United States"/>
    <s v="San Jose"/>
    <x v="1"/>
    <n v="95123"/>
    <x v="1"/>
    <x v="1197"/>
    <x v="1"/>
    <x v="8"/>
    <x v="1182"/>
    <n v="133.12"/>
    <s v="High"/>
    <n v="5"/>
    <n v="0.2"/>
    <x v="2"/>
    <x v="2"/>
    <n v="49.92"/>
    <n v="0.375"/>
    <n v="0"/>
  </r>
  <r>
    <n v="6370"/>
    <s v="CA-2016-103919"/>
    <d v="2016-10-03T00:00:00"/>
    <x v="0"/>
    <s v="Q4"/>
    <x v="32"/>
    <d v="2016-10-07T00:00:00"/>
    <s v="Standard Class"/>
    <x v="734"/>
    <x v="734"/>
    <s v="Corporate"/>
    <s v="United States"/>
    <s v="Grand Prairie"/>
    <x v="5"/>
    <n v="75051"/>
    <x v="2"/>
    <x v="285"/>
    <x v="0"/>
    <x v="5"/>
    <x v="285"/>
    <n v="38.08"/>
    <s v="Medium"/>
    <n v="5"/>
    <n v="0.6"/>
    <x v="1"/>
    <x v="6"/>
    <n v="-29.512"/>
    <n v="-0.77500000000000002"/>
    <n v="1"/>
  </r>
  <r>
    <n v="6371"/>
    <s v="CA-2016-113425"/>
    <d v="2016-11-21T00:00:00"/>
    <x v="0"/>
    <s v="Q4"/>
    <x v="0"/>
    <d v="2016-11-21T00:00:00"/>
    <s v="Same Day"/>
    <x v="451"/>
    <x v="451"/>
    <s v="Home Office"/>
    <s v="United States"/>
    <s v="New York City"/>
    <x v="15"/>
    <n v="10009"/>
    <x v="3"/>
    <x v="1531"/>
    <x v="0"/>
    <x v="0"/>
    <x v="1518"/>
    <n v="113.568"/>
    <s v="Medium"/>
    <n v="2"/>
    <n v="0.2"/>
    <x v="2"/>
    <x v="2"/>
    <n v="12.776400000000001"/>
    <n v="0.1125"/>
    <n v="0"/>
  </r>
  <r>
    <n v="6372"/>
    <s v="CA-2017-143035"/>
    <d v="2017-10-03T00:00:00"/>
    <x v="3"/>
    <s v="Q4"/>
    <x v="13"/>
    <d v="2017-10-05T00:00:00"/>
    <s v="Second Class"/>
    <x v="254"/>
    <x v="254"/>
    <s v="Home Office"/>
    <s v="United States"/>
    <s v="New York City"/>
    <x v="15"/>
    <n v="10009"/>
    <x v="3"/>
    <x v="107"/>
    <x v="0"/>
    <x v="5"/>
    <x v="107"/>
    <n v="83.92"/>
    <s v="Medium"/>
    <n v="4"/>
    <n v="0"/>
    <x v="0"/>
    <x v="0"/>
    <n v="21.819199999999999"/>
    <n v="0.25999999999999995"/>
    <n v="0"/>
  </r>
  <r>
    <n v="6373"/>
    <s v="CA-2017-143035"/>
    <d v="2017-10-03T00:00:00"/>
    <x v="3"/>
    <s v="Q4"/>
    <x v="13"/>
    <d v="2017-10-05T00:00:00"/>
    <s v="Second Class"/>
    <x v="254"/>
    <x v="254"/>
    <s v="Home Office"/>
    <s v="United States"/>
    <s v="New York City"/>
    <x v="15"/>
    <n v="10009"/>
    <x v="3"/>
    <x v="790"/>
    <x v="1"/>
    <x v="6"/>
    <x v="788"/>
    <n v="6.63"/>
    <s v="Low"/>
    <n v="3"/>
    <n v="0"/>
    <x v="0"/>
    <x v="0"/>
    <n v="3.1160999999999999"/>
    <n v="0.47"/>
    <n v="0"/>
  </r>
  <r>
    <n v="6374"/>
    <s v="CA-2017-143035"/>
    <d v="2017-10-03T00:00:00"/>
    <x v="3"/>
    <s v="Q4"/>
    <x v="13"/>
    <d v="2017-10-05T00:00:00"/>
    <s v="Second Class"/>
    <x v="254"/>
    <x v="254"/>
    <s v="Home Office"/>
    <s v="United States"/>
    <s v="New York City"/>
    <x v="15"/>
    <n v="10009"/>
    <x v="3"/>
    <x v="695"/>
    <x v="2"/>
    <x v="11"/>
    <x v="695"/>
    <n v="371.97"/>
    <s v="High"/>
    <n v="3"/>
    <n v="0"/>
    <x v="0"/>
    <x v="0"/>
    <n v="66.954599999999999"/>
    <n v="0.18"/>
    <n v="0"/>
  </r>
  <r>
    <n v="6375"/>
    <s v="CA-2014-107811"/>
    <d v="2014-04-29T00:00:00"/>
    <x v="2"/>
    <s v="Q2"/>
    <x v="41"/>
    <d v="2014-05-03T00:00:00"/>
    <s v="Standard Class"/>
    <x v="156"/>
    <x v="156"/>
    <s v="Corporate"/>
    <s v="United States"/>
    <s v="Memphis"/>
    <x v="18"/>
    <n v="38109"/>
    <x v="0"/>
    <x v="654"/>
    <x v="0"/>
    <x v="1"/>
    <x v="654"/>
    <n v="561.58399999999995"/>
    <s v="High"/>
    <n v="2"/>
    <n v="0.2"/>
    <x v="2"/>
    <x v="2"/>
    <n v="70.197999999999993"/>
    <n v="0.125"/>
    <n v="0"/>
  </r>
  <r>
    <n v="6376"/>
    <s v="CA-2014-107811"/>
    <d v="2014-04-29T00:00:00"/>
    <x v="2"/>
    <s v="Q2"/>
    <x v="41"/>
    <d v="2014-05-03T00:00:00"/>
    <s v="Standard Class"/>
    <x v="156"/>
    <x v="156"/>
    <s v="Corporate"/>
    <s v="United States"/>
    <s v="Memphis"/>
    <x v="18"/>
    <n v="38109"/>
    <x v="0"/>
    <x v="352"/>
    <x v="1"/>
    <x v="4"/>
    <x v="352"/>
    <n v="99.92"/>
    <s v="Medium"/>
    <n v="5"/>
    <n v="0.2"/>
    <x v="2"/>
    <x v="2"/>
    <n v="-1.2490000000000001"/>
    <n v="-1.2500000000000001E-2"/>
    <n v="1"/>
  </r>
  <r>
    <n v="6377"/>
    <s v="CA-2016-163216"/>
    <d v="2016-10-07T00:00:00"/>
    <x v="0"/>
    <s v="Q4"/>
    <x v="32"/>
    <d v="2016-10-10T00:00:00"/>
    <s v="First Class"/>
    <x v="585"/>
    <x v="585"/>
    <s v="Home Office"/>
    <s v="United States"/>
    <s v="Philadelphia"/>
    <x v="9"/>
    <n v="19143"/>
    <x v="3"/>
    <x v="85"/>
    <x v="1"/>
    <x v="2"/>
    <x v="85"/>
    <n v="4.9279999999999999"/>
    <s v="Low"/>
    <n v="2"/>
    <n v="0.2"/>
    <x v="2"/>
    <x v="2"/>
    <n v="1.7248000000000001"/>
    <n v="0.35000000000000003"/>
    <n v="0"/>
  </r>
  <r>
    <n v="6378"/>
    <s v="US-2016-116442"/>
    <d v="2016-12-15T00:00:00"/>
    <x v="0"/>
    <s v="Q4"/>
    <x v="5"/>
    <d v="2016-12-22T00:00:00"/>
    <s v="Standard Class"/>
    <x v="546"/>
    <x v="546"/>
    <s v="Consumer"/>
    <s v="United States"/>
    <s v="Los Angeles"/>
    <x v="1"/>
    <n v="90004"/>
    <x v="1"/>
    <x v="1256"/>
    <x v="0"/>
    <x v="5"/>
    <x v="1240"/>
    <n v="14.76"/>
    <s v="Low"/>
    <n v="2"/>
    <n v="0"/>
    <x v="0"/>
    <x v="0"/>
    <n v="4.2804000000000002"/>
    <n v="0.29000000000000004"/>
    <n v="0"/>
  </r>
  <r>
    <n v="6379"/>
    <s v="CA-2017-150623"/>
    <d v="2017-04-10T00:00:00"/>
    <x v="3"/>
    <s v="Q2"/>
    <x v="4"/>
    <d v="2017-04-14T00:00:00"/>
    <s v="Standard Class"/>
    <x v="748"/>
    <x v="748"/>
    <s v="Home Office"/>
    <s v="United States"/>
    <s v="Waterbury"/>
    <x v="29"/>
    <n v="6708"/>
    <x v="3"/>
    <x v="409"/>
    <x v="2"/>
    <x v="11"/>
    <x v="409"/>
    <n v="99.99"/>
    <s v="Medium"/>
    <n v="1"/>
    <n v="0"/>
    <x v="0"/>
    <x v="0"/>
    <n v="41.995800000000003"/>
    <n v="0.42000000000000004"/>
    <n v="0"/>
  </r>
  <r>
    <n v="6380"/>
    <s v="CA-2017-150623"/>
    <d v="2017-04-10T00:00:00"/>
    <x v="3"/>
    <s v="Q2"/>
    <x v="4"/>
    <d v="2017-04-14T00:00:00"/>
    <s v="Standard Class"/>
    <x v="748"/>
    <x v="748"/>
    <s v="Home Office"/>
    <s v="United States"/>
    <s v="Waterbury"/>
    <x v="29"/>
    <n v="6708"/>
    <x v="3"/>
    <x v="1277"/>
    <x v="1"/>
    <x v="4"/>
    <x v="1262"/>
    <n v="286.14999999999998"/>
    <s v="High"/>
    <n v="5"/>
    <n v="0"/>
    <x v="0"/>
    <x v="0"/>
    <n v="71.537499999999994"/>
    <n v="0.25"/>
    <n v="0"/>
  </r>
  <r>
    <n v="6381"/>
    <s v="US-2014-163797"/>
    <d v="2014-04-08T00:00:00"/>
    <x v="2"/>
    <s v="Q2"/>
    <x v="41"/>
    <d v="2014-04-13T00:00:00"/>
    <s v="Standard Class"/>
    <x v="480"/>
    <x v="480"/>
    <s v="Home Office"/>
    <s v="United States"/>
    <s v="Chandler"/>
    <x v="16"/>
    <n v="85224"/>
    <x v="1"/>
    <x v="1506"/>
    <x v="1"/>
    <x v="13"/>
    <x v="1493"/>
    <n v="49.792000000000002"/>
    <s v="Medium"/>
    <n v="8"/>
    <n v="0.2"/>
    <x v="2"/>
    <x v="2"/>
    <n v="-11.8256"/>
    <n v="-0.23749999999999999"/>
    <n v="1"/>
  </r>
  <r>
    <n v="6382"/>
    <s v="CA-2016-127236"/>
    <d v="2016-03-29T00:00:00"/>
    <x v="0"/>
    <s v="Q1"/>
    <x v="17"/>
    <d v="2016-04-02T00:00:00"/>
    <s v="Standard Class"/>
    <x v="180"/>
    <x v="180"/>
    <s v="Consumer"/>
    <s v="United States"/>
    <s v="Springfield"/>
    <x v="24"/>
    <n v="45503"/>
    <x v="3"/>
    <x v="574"/>
    <x v="0"/>
    <x v="0"/>
    <x v="574"/>
    <n v="299.97500000000002"/>
    <s v="High"/>
    <n v="5"/>
    <n v="0.5"/>
    <x v="1"/>
    <x v="1"/>
    <n v="-167.98599999999999"/>
    <n v="-0.55999999999999994"/>
    <n v="1"/>
  </r>
  <r>
    <n v="6383"/>
    <s v="CA-2016-127236"/>
    <d v="2016-03-29T00:00:00"/>
    <x v="0"/>
    <s v="Q1"/>
    <x v="17"/>
    <d v="2016-04-02T00:00:00"/>
    <s v="Standard Class"/>
    <x v="180"/>
    <x v="180"/>
    <s v="Consumer"/>
    <s v="United States"/>
    <s v="Springfield"/>
    <x v="24"/>
    <n v="45503"/>
    <x v="3"/>
    <x v="1326"/>
    <x v="2"/>
    <x v="7"/>
    <x v="1312"/>
    <n v="158.376"/>
    <s v="High"/>
    <n v="4"/>
    <n v="0.4"/>
    <x v="1"/>
    <x v="7"/>
    <n v="-36.9544"/>
    <n v="-0.23333333333333334"/>
    <n v="1"/>
  </r>
  <r>
    <n v="6384"/>
    <s v="US-2017-104661"/>
    <d v="2017-01-15T00:00:00"/>
    <x v="3"/>
    <s v="Q1"/>
    <x v="44"/>
    <d v="2017-01-18T00:00:00"/>
    <s v="First Class"/>
    <x v="621"/>
    <x v="621"/>
    <s v="Consumer"/>
    <s v="United States"/>
    <s v="Austin"/>
    <x v="5"/>
    <n v="78745"/>
    <x v="2"/>
    <x v="800"/>
    <x v="1"/>
    <x v="8"/>
    <x v="798"/>
    <n v="32.783999999999999"/>
    <s v="Medium"/>
    <n v="4"/>
    <n v="0.8"/>
    <x v="1"/>
    <x v="3"/>
    <n v="-52.4544"/>
    <n v="-1.6"/>
    <n v="1"/>
  </r>
  <r>
    <n v="6385"/>
    <s v="US-2017-104661"/>
    <d v="2017-01-15T00:00:00"/>
    <x v="3"/>
    <s v="Q1"/>
    <x v="44"/>
    <d v="2017-01-18T00:00:00"/>
    <s v="First Class"/>
    <x v="621"/>
    <x v="621"/>
    <s v="Consumer"/>
    <s v="United States"/>
    <s v="Austin"/>
    <x v="5"/>
    <n v="78745"/>
    <x v="2"/>
    <x v="246"/>
    <x v="2"/>
    <x v="11"/>
    <x v="247"/>
    <n v="47.984000000000002"/>
    <s v="Medium"/>
    <n v="2"/>
    <n v="0.2"/>
    <x v="2"/>
    <x v="2"/>
    <n v="14.395200000000001"/>
    <n v="0.3"/>
    <n v="0"/>
  </r>
  <r>
    <n v="6386"/>
    <s v="US-2017-104661"/>
    <d v="2017-01-15T00:00:00"/>
    <x v="3"/>
    <s v="Q1"/>
    <x v="44"/>
    <d v="2017-01-18T00:00:00"/>
    <s v="First Class"/>
    <x v="621"/>
    <x v="621"/>
    <s v="Consumer"/>
    <s v="United States"/>
    <s v="Austin"/>
    <x v="5"/>
    <n v="78745"/>
    <x v="2"/>
    <x v="1599"/>
    <x v="2"/>
    <x v="11"/>
    <x v="1591"/>
    <n v="62.591999999999999"/>
    <s v="Medium"/>
    <n v="8"/>
    <n v="0.2"/>
    <x v="2"/>
    <x v="2"/>
    <n v="13.300800000000001"/>
    <n v="0.21250000000000002"/>
    <n v="0"/>
  </r>
  <r>
    <n v="6387"/>
    <s v="US-2017-104661"/>
    <d v="2017-01-15T00:00:00"/>
    <x v="3"/>
    <s v="Q1"/>
    <x v="44"/>
    <d v="2017-01-18T00:00:00"/>
    <s v="First Class"/>
    <x v="621"/>
    <x v="621"/>
    <s v="Consumer"/>
    <s v="United States"/>
    <s v="Austin"/>
    <x v="5"/>
    <n v="78745"/>
    <x v="2"/>
    <x v="410"/>
    <x v="1"/>
    <x v="8"/>
    <x v="410"/>
    <n v="4.2759999999999998"/>
    <s v="Low"/>
    <n v="1"/>
    <n v="0.8"/>
    <x v="1"/>
    <x v="3"/>
    <n v="-6.6277999999999997"/>
    <n v="-1.55"/>
    <n v="1"/>
  </r>
  <r>
    <n v="6388"/>
    <s v="CA-2014-134103"/>
    <d v="2014-01-30T00:00:00"/>
    <x v="2"/>
    <s v="Q1"/>
    <x v="46"/>
    <d v="2014-02-04T00:00:00"/>
    <s v="Standard Class"/>
    <x v="160"/>
    <x v="160"/>
    <s v="Consumer"/>
    <s v="United States"/>
    <s v="Detroit"/>
    <x v="12"/>
    <n v="48234"/>
    <x v="2"/>
    <x v="523"/>
    <x v="1"/>
    <x v="10"/>
    <x v="523"/>
    <n v="10.56"/>
    <s v="Low"/>
    <n v="2"/>
    <n v="0"/>
    <x v="0"/>
    <x v="0"/>
    <n v="4.7519999999999998"/>
    <n v="0.44999999999999996"/>
    <n v="0"/>
  </r>
  <r>
    <n v="6389"/>
    <s v="CA-2014-134103"/>
    <d v="2014-01-30T00:00:00"/>
    <x v="2"/>
    <s v="Q1"/>
    <x v="46"/>
    <d v="2014-02-04T00:00:00"/>
    <s v="Standard Class"/>
    <x v="160"/>
    <x v="160"/>
    <s v="Consumer"/>
    <s v="United States"/>
    <s v="Detroit"/>
    <x v="12"/>
    <n v="48234"/>
    <x v="2"/>
    <x v="156"/>
    <x v="1"/>
    <x v="4"/>
    <x v="157"/>
    <n v="229.94"/>
    <s v="High"/>
    <n v="2"/>
    <n v="0"/>
    <x v="0"/>
    <x v="0"/>
    <n v="6.8982000000000001"/>
    <n v="3.0000000000000002E-2"/>
    <n v="0"/>
  </r>
  <r>
    <n v="6390"/>
    <s v="CA-2015-147529"/>
    <d v="2015-02-07T00:00:00"/>
    <x v="1"/>
    <s v="Q1"/>
    <x v="36"/>
    <d v="2015-02-11T00:00:00"/>
    <s v="Standard Class"/>
    <x v="460"/>
    <x v="460"/>
    <s v="Corporate"/>
    <s v="United States"/>
    <s v="Springfield"/>
    <x v="17"/>
    <n v="22153"/>
    <x v="0"/>
    <x v="633"/>
    <x v="1"/>
    <x v="12"/>
    <x v="633"/>
    <n v="311.14999999999998"/>
    <s v="High"/>
    <n v="5"/>
    <n v="0"/>
    <x v="0"/>
    <x v="0"/>
    <n v="146.2405"/>
    <n v="0.47000000000000003"/>
    <n v="0"/>
  </r>
  <r>
    <n v="6391"/>
    <s v="CA-2015-147529"/>
    <d v="2015-02-07T00:00:00"/>
    <x v="1"/>
    <s v="Q1"/>
    <x v="36"/>
    <d v="2015-02-11T00:00:00"/>
    <s v="Standard Class"/>
    <x v="460"/>
    <x v="460"/>
    <s v="Corporate"/>
    <s v="United States"/>
    <s v="Springfield"/>
    <x v="17"/>
    <n v="22153"/>
    <x v="0"/>
    <x v="219"/>
    <x v="1"/>
    <x v="10"/>
    <x v="220"/>
    <n v="12.96"/>
    <s v="Low"/>
    <n v="2"/>
    <n v="0"/>
    <x v="0"/>
    <x v="0"/>
    <n v="6.3503999999999996"/>
    <n v="0.48999999999999994"/>
    <n v="0"/>
  </r>
  <r>
    <n v="6392"/>
    <s v="CA-2016-129126"/>
    <d v="2016-12-14T00:00:00"/>
    <x v="0"/>
    <s v="Q4"/>
    <x v="5"/>
    <d v="2016-12-19T00:00:00"/>
    <s v="Standard Class"/>
    <x v="7"/>
    <x v="7"/>
    <s v="Consumer"/>
    <s v="United States"/>
    <s v="New York City"/>
    <x v="15"/>
    <n v="10011"/>
    <x v="3"/>
    <x v="1490"/>
    <x v="1"/>
    <x v="10"/>
    <x v="1477"/>
    <n v="14.62"/>
    <s v="Low"/>
    <n v="2"/>
    <n v="0"/>
    <x v="0"/>
    <x v="0"/>
    <n v="6.7252000000000001"/>
    <n v="0.46"/>
    <n v="0"/>
  </r>
  <r>
    <n v="6393"/>
    <s v="CA-2016-129126"/>
    <d v="2016-12-14T00:00:00"/>
    <x v="0"/>
    <s v="Q4"/>
    <x v="5"/>
    <d v="2016-12-19T00:00:00"/>
    <s v="Standard Class"/>
    <x v="7"/>
    <x v="7"/>
    <s v="Consumer"/>
    <s v="United States"/>
    <s v="New York City"/>
    <x v="15"/>
    <n v="10011"/>
    <x v="3"/>
    <x v="1186"/>
    <x v="1"/>
    <x v="2"/>
    <x v="1172"/>
    <n v="5.76"/>
    <s v="Low"/>
    <n v="2"/>
    <n v="0"/>
    <x v="0"/>
    <x v="0"/>
    <n v="2.8224"/>
    <n v="0.49000000000000005"/>
    <n v="0"/>
  </r>
  <r>
    <n v="6394"/>
    <s v="CA-2016-129126"/>
    <d v="2016-12-14T00:00:00"/>
    <x v="0"/>
    <s v="Q4"/>
    <x v="5"/>
    <d v="2016-12-19T00:00:00"/>
    <s v="Standard Class"/>
    <x v="7"/>
    <x v="7"/>
    <s v="Consumer"/>
    <s v="United States"/>
    <s v="New York City"/>
    <x v="15"/>
    <n v="10011"/>
    <x v="3"/>
    <x v="110"/>
    <x v="1"/>
    <x v="13"/>
    <x v="110"/>
    <n v="21.48"/>
    <s v="Low"/>
    <n v="6"/>
    <n v="0"/>
    <x v="0"/>
    <x v="0"/>
    <n v="10.5252"/>
    <n v="0.49"/>
    <n v="0"/>
  </r>
  <r>
    <n v="6395"/>
    <s v="CA-2016-129126"/>
    <d v="2016-12-14T00:00:00"/>
    <x v="0"/>
    <s v="Q4"/>
    <x v="5"/>
    <d v="2016-12-19T00:00:00"/>
    <s v="Standard Class"/>
    <x v="7"/>
    <x v="7"/>
    <s v="Consumer"/>
    <s v="United States"/>
    <s v="New York City"/>
    <x v="15"/>
    <n v="10011"/>
    <x v="3"/>
    <x v="1071"/>
    <x v="0"/>
    <x v="5"/>
    <x v="1060"/>
    <n v="396.92"/>
    <s v="High"/>
    <n v="4"/>
    <n v="0"/>
    <x v="0"/>
    <x v="0"/>
    <n v="198.46"/>
    <n v="0.5"/>
    <n v="0"/>
  </r>
  <r>
    <n v="6396"/>
    <s v="CA-2016-129126"/>
    <d v="2016-12-14T00:00:00"/>
    <x v="0"/>
    <s v="Q4"/>
    <x v="5"/>
    <d v="2016-12-19T00:00:00"/>
    <s v="Standard Class"/>
    <x v="7"/>
    <x v="7"/>
    <s v="Consumer"/>
    <s v="United States"/>
    <s v="New York City"/>
    <x v="15"/>
    <n v="10011"/>
    <x v="3"/>
    <x v="456"/>
    <x v="1"/>
    <x v="4"/>
    <x v="457"/>
    <n v="17.149999999999999"/>
    <s v="Low"/>
    <n v="1"/>
    <n v="0"/>
    <x v="0"/>
    <x v="0"/>
    <n v="4.6304999999999996"/>
    <n v="0.27"/>
    <n v="0"/>
  </r>
  <r>
    <n v="6397"/>
    <s v="CA-2016-129126"/>
    <d v="2016-12-14T00:00:00"/>
    <x v="0"/>
    <s v="Q4"/>
    <x v="5"/>
    <d v="2016-12-19T00:00:00"/>
    <s v="Standard Class"/>
    <x v="7"/>
    <x v="7"/>
    <s v="Consumer"/>
    <s v="United States"/>
    <s v="New York City"/>
    <x v="15"/>
    <n v="10011"/>
    <x v="3"/>
    <x v="1784"/>
    <x v="1"/>
    <x v="8"/>
    <x v="1774"/>
    <n v="23.12"/>
    <s v="Low"/>
    <n v="2"/>
    <n v="0.2"/>
    <x v="2"/>
    <x v="2"/>
    <n v="7.8029999999999999"/>
    <n v="0.33749999999999997"/>
    <n v="0"/>
  </r>
  <r>
    <n v="6398"/>
    <s v="CA-2017-131632"/>
    <d v="2017-10-31T00:00:00"/>
    <x v="3"/>
    <s v="Q4"/>
    <x v="13"/>
    <d v="2017-11-04T00:00:00"/>
    <s v="Standard Class"/>
    <x v="571"/>
    <x v="571"/>
    <s v="Home Office"/>
    <s v="United States"/>
    <s v="Dallas"/>
    <x v="5"/>
    <n v="75217"/>
    <x v="2"/>
    <x v="279"/>
    <x v="1"/>
    <x v="6"/>
    <x v="279"/>
    <n v="5.2480000000000002"/>
    <s v="Low"/>
    <n v="2"/>
    <n v="0.2"/>
    <x v="2"/>
    <x v="2"/>
    <n v="0.59040000000000004"/>
    <n v="0.1125"/>
    <n v="0"/>
  </r>
  <r>
    <n v="6399"/>
    <s v="CA-2017-151981"/>
    <d v="2017-08-06T00:00:00"/>
    <x v="3"/>
    <s v="Q3"/>
    <x v="43"/>
    <d v="2017-08-12T00:00:00"/>
    <s v="Standard Class"/>
    <x v="39"/>
    <x v="39"/>
    <s v="Home Office"/>
    <s v="United States"/>
    <s v="Concord"/>
    <x v="38"/>
    <n v="3301"/>
    <x v="3"/>
    <x v="1405"/>
    <x v="2"/>
    <x v="7"/>
    <x v="1392"/>
    <n v="824.95"/>
    <s v="High"/>
    <n v="5"/>
    <n v="0"/>
    <x v="0"/>
    <x v="0"/>
    <n v="247.48500000000001"/>
    <n v="0.3"/>
    <n v="0"/>
  </r>
  <r>
    <n v="6400"/>
    <s v="CA-2017-151981"/>
    <d v="2017-08-06T00:00:00"/>
    <x v="3"/>
    <s v="Q3"/>
    <x v="43"/>
    <d v="2017-08-12T00:00:00"/>
    <s v="Standard Class"/>
    <x v="39"/>
    <x v="39"/>
    <s v="Home Office"/>
    <s v="United States"/>
    <s v="Concord"/>
    <x v="38"/>
    <n v="3301"/>
    <x v="3"/>
    <x v="1038"/>
    <x v="1"/>
    <x v="2"/>
    <x v="1028"/>
    <n v="24.64"/>
    <s v="Low"/>
    <n v="8"/>
    <n v="0"/>
    <x v="0"/>
    <x v="0"/>
    <n v="11.827199999999999"/>
    <n v="0.48"/>
    <n v="0"/>
  </r>
  <r>
    <n v="6401"/>
    <s v="CA-2017-151981"/>
    <d v="2017-08-06T00:00:00"/>
    <x v="3"/>
    <s v="Q3"/>
    <x v="43"/>
    <d v="2017-08-12T00:00:00"/>
    <s v="Standard Class"/>
    <x v="39"/>
    <x v="39"/>
    <s v="Home Office"/>
    <s v="United States"/>
    <s v="Concord"/>
    <x v="38"/>
    <n v="3301"/>
    <x v="3"/>
    <x v="108"/>
    <x v="1"/>
    <x v="6"/>
    <x v="108"/>
    <n v="227.88"/>
    <s v="High"/>
    <n v="6"/>
    <n v="0"/>
    <x v="0"/>
    <x v="0"/>
    <n v="68.364000000000004"/>
    <n v="0.30000000000000004"/>
    <n v="0"/>
  </r>
  <r>
    <n v="6402"/>
    <s v="CA-2017-125472"/>
    <d v="2017-05-30T00:00:00"/>
    <x v="3"/>
    <s v="Q2"/>
    <x v="24"/>
    <d v="2017-05-31T00:00:00"/>
    <s v="First Class"/>
    <x v="232"/>
    <x v="232"/>
    <s v="Consumer"/>
    <s v="United States"/>
    <s v="Lafayette"/>
    <x v="28"/>
    <n v="70506"/>
    <x v="0"/>
    <x v="1119"/>
    <x v="0"/>
    <x v="0"/>
    <x v="1107"/>
    <n v="241.96"/>
    <s v="High"/>
    <n v="2"/>
    <n v="0"/>
    <x v="0"/>
    <x v="0"/>
    <n v="33.874400000000001"/>
    <n v="0.14000000000000001"/>
    <n v="0"/>
  </r>
  <r>
    <n v="6403"/>
    <s v="CA-2017-125472"/>
    <d v="2017-05-30T00:00:00"/>
    <x v="3"/>
    <s v="Q2"/>
    <x v="24"/>
    <d v="2017-05-31T00:00:00"/>
    <s v="First Class"/>
    <x v="232"/>
    <x v="232"/>
    <s v="Consumer"/>
    <s v="United States"/>
    <s v="Lafayette"/>
    <x v="28"/>
    <n v="70506"/>
    <x v="0"/>
    <x v="1065"/>
    <x v="1"/>
    <x v="8"/>
    <x v="1054"/>
    <n v="3.89"/>
    <s v="Low"/>
    <n v="1"/>
    <n v="0"/>
    <x v="0"/>
    <x v="0"/>
    <n v="1.8672"/>
    <n v="0.48"/>
    <n v="0"/>
  </r>
  <r>
    <n v="6404"/>
    <s v="CA-2017-125472"/>
    <d v="2017-05-30T00:00:00"/>
    <x v="3"/>
    <s v="Q2"/>
    <x v="24"/>
    <d v="2017-05-31T00:00:00"/>
    <s v="First Class"/>
    <x v="232"/>
    <x v="232"/>
    <s v="Consumer"/>
    <s v="United States"/>
    <s v="Lafayette"/>
    <x v="28"/>
    <n v="70506"/>
    <x v="0"/>
    <x v="1565"/>
    <x v="0"/>
    <x v="5"/>
    <x v="1556"/>
    <n v="8.01"/>
    <s v="Low"/>
    <n v="3"/>
    <n v="0"/>
    <x v="0"/>
    <x v="0"/>
    <n v="3.0438000000000001"/>
    <n v="0.38"/>
    <n v="0"/>
  </r>
  <r>
    <n v="6405"/>
    <s v="CA-2015-156328"/>
    <d v="2015-11-30T00:00:00"/>
    <x v="1"/>
    <s v="Q4"/>
    <x v="6"/>
    <d v="2015-12-05T00:00:00"/>
    <s v="Standard Class"/>
    <x v="528"/>
    <x v="528"/>
    <s v="Consumer"/>
    <s v="United States"/>
    <s v="Raleigh"/>
    <x v="3"/>
    <n v="27604"/>
    <x v="0"/>
    <x v="1192"/>
    <x v="2"/>
    <x v="7"/>
    <x v="1177"/>
    <n v="177.48"/>
    <s v="High"/>
    <n v="3"/>
    <n v="0.2"/>
    <x v="2"/>
    <x v="2"/>
    <n v="19.9665"/>
    <n v="0.1125"/>
    <n v="0"/>
  </r>
  <r>
    <n v="6406"/>
    <s v="CA-2017-154074"/>
    <d v="2017-08-31T00:00:00"/>
    <x v="3"/>
    <s v="Q3"/>
    <x v="43"/>
    <d v="2017-09-02T00:00:00"/>
    <s v="Second Class"/>
    <x v="308"/>
    <x v="308"/>
    <s v="Corporate"/>
    <s v="United States"/>
    <s v="Spokane"/>
    <x v="4"/>
    <n v="99207"/>
    <x v="1"/>
    <x v="406"/>
    <x v="0"/>
    <x v="1"/>
    <x v="407"/>
    <n v="569.56799999999998"/>
    <s v="High"/>
    <n v="2"/>
    <n v="0.2"/>
    <x v="2"/>
    <x v="2"/>
    <n v="7.1196000000000002"/>
    <n v="1.2500000000000001E-2"/>
    <n v="0"/>
  </r>
  <r>
    <n v="6407"/>
    <s v="CA-2017-154074"/>
    <d v="2017-08-31T00:00:00"/>
    <x v="3"/>
    <s v="Q3"/>
    <x v="43"/>
    <d v="2017-09-02T00:00:00"/>
    <s v="Second Class"/>
    <x v="308"/>
    <x v="308"/>
    <s v="Corporate"/>
    <s v="United States"/>
    <s v="Spokane"/>
    <x v="4"/>
    <n v="99207"/>
    <x v="1"/>
    <x v="80"/>
    <x v="1"/>
    <x v="4"/>
    <x v="80"/>
    <n v="149.72999999999999"/>
    <s v="High"/>
    <n v="7"/>
    <n v="0"/>
    <x v="0"/>
    <x v="0"/>
    <n v="43.421700000000001"/>
    <n v="0.29000000000000004"/>
    <n v="0"/>
  </r>
  <r>
    <n v="6408"/>
    <s v="CA-2017-161774"/>
    <d v="2017-05-14T00:00:00"/>
    <x v="3"/>
    <s v="Q2"/>
    <x v="24"/>
    <d v="2017-05-15T00:00:00"/>
    <s v="First Class"/>
    <x v="218"/>
    <x v="218"/>
    <s v="Consumer"/>
    <s v="United States"/>
    <s v="Houston"/>
    <x v="5"/>
    <n v="77041"/>
    <x v="2"/>
    <x v="1189"/>
    <x v="0"/>
    <x v="1"/>
    <x v="1175"/>
    <n v="899.43"/>
    <s v="High"/>
    <n v="5"/>
    <n v="0.3"/>
    <x v="1"/>
    <x v="4"/>
    <n v="-12.849"/>
    <n v="-1.4285714285714287E-2"/>
    <n v="1"/>
  </r>
  <r>
    <n v="6409"/>
    <s v="CA-2017-161774"/>
    <d v="2017-05-14T00:00:00"/>
    <x v="3"/>
    <s v="Q2"/>
    <x v="24"/>
    <d v="2017-05-15T00:00:00"/>
    <s v="First Class"/>
    <x v="218"/>
    <x v="218"/>
    <s v="Consumer"/>
    <s v="United States"/>
    <s v="Houston"/>
    <x v="5"/>
    <n v="77041"/>
    <x v="2"/>
    <x v="1175"/>
    <x v="1"/>
    <x v="6"/>
    <x v="1161"/>
    <n v="46.2"/>
    <s v="Medium"/>
    <n v="5"/>
    <n v="0.2"/>
    <x v="2"/>
    <x v="2"/>
    <n v="5.7750000000000004"/>
    <n v="0.125"/>
    <n v="0"/>
  </r>
  <r>
    <n v="6410"/>
    <s v="CA-2017-161774"/>
    <d v="2017-05-14T00:00:00"/>
    <x v="3"/>
    <s v="Q2"/>
    <x v="24"/>
    <d v="2017-05-15T00:00:00"/>
    <s v="First Class"/>
    <x v="218"/>
    <x v="218"/>
    <s v="Consumer"/>
    <s v="United States"/>
    <s v="Houston"/>
    <x v="5"/>
    <n v="77041"/>
    <x v="2"/>
    <x v="1785"/>
    <x v="1"/>
    <x v="10"/>
    <x v="1775"/>
    <n v="47.951999999999998"/>
    <s v="Medium"/>
    <n v="3"/>
    <n v="0.2"/>
    <x v="2"/>
    <x v="2"/>
    <n v="16.183800000000002"/>
    <n v="0.33750000000000002"/>
    <n v="0"/>
  </r>
  <r>
    <n v="6411"/>
    <s v="CA-2017-161774"/>
    <d v="2017-05-14T00:00:00"/>
    <x v="3"/>
    <s v="Q2"/>
    <x v="24"/>
    <d v="2017-05-15T00:00:00"/>
    <s v="First Class"/>
    <x v="218"/>
    <x v="218"/>
    <s v="Consumer"/>
    <s v="United States"/>
    <s v="Houston"/>
    <x v="5"/>
    <n v="77041"/>
    <x v="2"/>
    <x v="1557"/>
    <x v="2"/>
    <x v="7"/>
    <x v="1546"/>
    <n v="7.992"/>
    <s v="Low"/>
    <n v="1"/>
    <n v="0.2"/>
    <x v="2"/>
    <x v="2"/>
    <n v="0.69930000000000003"/>
    <n v="8.7500000000000008E-2"/>
    <n v="0"/>
  </r>
  <r>
    <n v="6412"/>
    <s v="CA-2017-161774"/>
    <d v="2017-05-14T00:00:00"/>
    <x v="3"/>
    <s v="Q2"/>
    <x v="24"/>
    <d v="2017-05-15T00:00:00"/>
    <s v="First Class"/>
    <x v="218"/>
    <x v="218"/>
    <s v="Consumer"/>
    <s v="United States"/>
    <s v="Houston"/>
    <x v="5"/>
    <n v="77041"/>
    <x v="2"/>
    <x v="1684"/>
    <x v="1"/>
    <x v="10"/>
    <x v="1672"/>
    <n v="76.864000000000004"/>
    <s v="Medium"/>
    <n v="2"/>
    <n v="0.2"/>
    <x v="2"/>
    <x v="2"/>
    <n v="26.9024"/>
    <n v="0.35"/>
    <n v="0"/>
  </r>
  <r>
    <n v="6413"/>
    <s v="CA-2017-151211"/>
    <d v="2017-08-17T00:00:00"/>
    <x v="3"/>
    <s v="Q3"/>
    <x v="43"/>
    <d v="2017-08-23T00:00:00"/>
    <s v="Standard Class"/>
    <x v="571"/>
    <x v="571"/>
    <s v="Home Office"/>
    <s v="United States"/>
    <s v="Louisville"/>
    <x v="0"/>
    <n v="40214"/>
    <x v="0"/>
    <x v="141"/>
    <x v="1"/>
    <x v="8"/>
    <x v="142"/>
    <n v="102.93"/>
    <s v="Medium"/>
    <n v="3"/>
    <n v="0"/>
    <x v="0"/>
    <x v="0"/>
    <n v="48.377099999999999"/>
    <n v="0.47"/>
    <n v="0"/>
  </r>
  <r>
    <n v="6414"/>
    <s v="CA-2017-151211"/>
    <d v="2017-08-17T00:00:00"/>
    <x v="3"/>
    <s v="Q3"/>
    <x v="43"/>
    <d v="2017-08-23T00:00:00"/>
    <s v="Standard Class"/>
    <x v="571"/>
    <x v="571"/>
    <s v="Home Office"/>
    <s v="United States"/>
    <s v="Louisville"/>
    <x v="0"/>
    <n v="40214"/>
    <x v="0"/>
    <x v="960"/>
    <x v="2"/>
    <x v="11"/>
    <x v="953"/>
    <n v="98.16"/>
    <s v="Medium"/>
    <n v="6"/>
    <n v="0"/>
    <x v="0"/>
    <x v="0"/>
    <n v="9.8160000000000007"/>
    <n v="0.1"/>
    <n v="0"/>
  </r>
  <r>
    <n v="6415"/>
    <s v="CA-2017-142671"/>
    <d v="2017-11-10T00:00:00"/>
    <x v="3"/>
    <s v="Q4"/>
    <x v="23"/>
    <d v="2017-11-14T00:00:00"/>
    <s v="Second Class"/>
    <x v="660"/>
    <x v="660"/>
    <s v="Home Office"/>
    <s v="United States"/>
    <s v="Hollywood"/>
    <x v="2"/>
    <n v="33021"/>
    <x v="0"/>
    <x v="1736"/>
    <x v="1"/>
    <x v="8"/>
    <x v="1725"/>
    <n v="11.52"/>
    <s v="Low"/>
    <n v="5"/>
    <n v="0.7"/>
    <x v="1"/>
    <x v="5"/>
    <n v="-7.68"/>
    <n v="-0.66666666666666663"/>
    <n v="1"/>
  </r>
  <r>
    <n v="6416"/>
    <s v="CA-2017-144750"/>
    <d v="2017-08-21T00:00:00"/>
    <x v="3"/>
    <s v="Q3"/>
    <x v="43"/>
    <d v="2017-08-21T00:00:00"/>
    <s v="Same Day"/>
    <x v="393"/>
    <x v="393"/>
    <s v="Corporate"/>
    <s v="United States"/>
    <s v="Chandler"/>
    <x v="16"/>
    <n v="85224"/>
    <x v="1"/>
    <x v="656"/>
    <x v="1"/>
    <x v="10"/>
    <x v="656"/>
    <n v="83.88"/>
    <s v="Medium"/>
    <n v="1"/>
    <n v="0.2"/>
    <x v="2"/>
    <x v="2"/>
    <n v="29.358000000000001"/>
    <n v="0.35000000000000003"/>
    <n v="0"/>
  </r>
  <r>
    <n v="6417"/>
    <s v="CA-2016-111976"/>
    <d v="2016-03-08T00:00:00"/>
    <x v="0"/>
    <s v="Q1"/>
    <x v="17"/>
    <d v="2016-03-12T00:00:00"/>
    <s v="Standard Class"/>
    <x v="379"/>
    <x v="379"/>
    <s v="Consumer"/>
    <s v="United States"/>
    <s v="Philadelphia"/>
    <x v="9"/>
    <n v="19120"/>
    <x v="3"/>
    <x v="1409"/>
    <x v="2"/>
    <x v="7"/>
    <x v="1396"/>
    <n v="108.57599999999999"/>
    <s v="Medium"/>
    <n v="4"/>
    <n v="0.4"/>
    <x v="1"/>
    <x v="7"/>
    <n v="-25.334399999999999"/>
    <n v="-0.23333333333333334"/>
    <n v="1"/>
  </r>
  <r>
    <n v="6418"/>
    <s v="CA-2016-111976"/>
    <d v="2016-03-08T00:00:00"/>
    <x v="0"/>
    <s v="Q1"/>
    <x v="17"/>
    <d v="2016-03-12T00:00:00"/>
    <s v="Standard Class"/>
    <x v="379"/>
    <x v="379"/>
    <s v="Consumer"/>
    <s v="United States"/>
    <s v="Philadelphia"/>
    <x v="9"/>
    <n v="19120"/>
    <x v="3"/>
    <x v="1028"/>
    <x v="1"/>
    <x v="13"/>
    <x v="1019"/>
    <n v="5.984"/>
    <s v="Low"/>
    <n v="2"/>
    <n v="0.2"/>
    <x v="2"/>
    <x v="2"/>
    <n v="-1.3464"/>
    <n v="-0.22500000000000001"/>
    <n v="1"/>
  </r>
  <r>
    <n v="6419"/>
    <s v="CA-2016-140130"/>
    <d v="2016-10-31T00:00:00"/>
    <x v="0"/>
    <s v="Q4"/>
    <x v="32"/>
    <d v="2016-11-05T00:00:00"/>
    <s v="Standard Class"/>
    <x v="304"/>
    <x v="304"/>
    <s v="Corporate"/>
    <s v="United States"/>
    <s v="Tulsa"/>
    <x v="26"/>
    <n v="74133"/>
    <x v="2"/>
    <x v="133"/>
    <x v="1"/>
    <x v="14"/>
    <x v="134"/>
    <n v="21.96"/>
    <s v="Low"/>
    <n v="2"/>
    <n v="0"/>
    <x v="0"/>
    <x v="0"/>
    <n v="6.1487999999999996"/>
    <n v="0.27999999999999997"/>
    <n v="0"/>
  </r>
  <r>
    <n v="6420"/>
    <s v="CA-2016-140130"/>
    <d v="2016-10-31T00:00:00"/>
    <x v="0"/>
    <s v="Q4"/>
    <x v="32"/>
    <d v="2016-11-05T00:00:00"/>
    <s v="Standard Class"/>
    <x v="304"/>
    <x v="304"/>
    <s v="Corporate"/>
    <s v="United States"/>
    <s v="Tulsa"/>
    <x v="26"/>
    <n v="74133"/>
    <x v="2"/>
    <x v="1265"/>
    <x v="0"/>
    <x v="1"/>
    <x v="1249"/>
    <n v="368.97"/>
    <s v="High"/>
    <n v="3"/>
    <n v="0"/>
    <x v="0"/>
    <x v="0"/>
    <n v="81.173400000000001"/>
    <n v="0.21999999999999997"/>
    <n v="0"/>
  </r>
  <r>
    <n v="6421"/>
    <s v="CA-2016-140130"/>
    <d v="2016-10-31T00:00:00"/>
    <x v="0"/>
    <s v="Q4"/>
    <x v="32"/>
    <d v="2016-11-05T00:00:00"/>
    <s v="Standard Class"/>
    <x v="304"/>
    <x v="304"/>
    <s v="Corporate"/>
    <s v="United States"/>
    <s v="Tulsa"/>
    <x v="26"/>
    <n v="74133"/>
    <x v="2"/>
    <x v="1560"/>
    <x v="1"/>
    <x v="6"/>
    <x v="1550"/>
    <n v="12.39"/>
    <s v="Low"/>
    <n v="3"/>
    <n v="0"/>
    <x v="0"/>
    <x v="0"/>
    <n v="3.4691999999999998"/>
    <n v="0.27999999999999997"/>
    <n v="0"/>
  </r>
  <r>
    <n v="6422"/>
    <s v="CA-2016-140130"/>
    <d v="2016-10-31T00:00:00"/>
    <x v="0"/>
    <s v="Q4"/>
    <x v="32"/>
    <d v="2016-11-05T00:00:00"/>
    <s v="Standard Class"/>
    <x v="304"/>
    <x v="304"/>
    <s v="Corporate"/>
    <s v="United States"/>
    <s v="Tulsa"/>
    <x v="26"/>
    <n v="74133"/>
    <x v="2"/>
    <x v="1439"/>
    <x v="1"/>
    <x v="4"/>
    <x v="1427"/>
    <n v="332.94"/>
    <s v="High"/>
    <n v="3"/>
    <n v="0"/>
    <x v="0"/>
    <x v="0"/>
    <n v="9.9882000000000009"/>
    <n v="3.0000000000000002E-2"/>
    <n v="0"/>
  </r>
  <r>
    <n v="6423"/>
    <s v="CA-2014-159121"/>
    <d v="2014-07-26T00:00:00"/>
    <x v="2"/>
    <s v="Q3"/>
    <x v="39"/>
    <d v="2014-08-01T00:00:00"/>
    <s v="Standard Class"/>
    <x v="705"/>
    <x v="705"/>
    <s v="Corporate"/>
    <s v="United States"/>
    <s v="Draper"/>
    <x v="7"/>
    <n v="84020"/>
    <x v="1"/>
    <x v="1097"/>
    <x v="2"/>
    <x v="11"/>
    <x v="1087"/>
    <n v="111.93"/>
    <s v="Medium"/>
    <n v="7"/>
    <n v="0"/>
    <x v="0"/>
    <x v="0"/>
    <n v="34.698300000000003"/>
    <n v="0.31"/>
    <n v="0"/>
  </r>
  <r>
    <n v="6424"/>
    <s v="CA-2015-149650"/>
    <d v="2015-10-24T00:00:00"/>
    <x v="1"/>
    <s v="Q4"/>
    <x v="2"/>
    <d v="2015-10-27T00:00:00"/>
    <s v="First Class"/>
    <x v="372"/>
    <x v="372"/>
    <s v="Home Office"/>
    <s v="United States"/>
    <s v="Oakland"/>
    <x v="1"/>
    <n v="94601"/>
    <x v="1"/>
    <x v="367"/>
    <x v="0"/>
    <x v="1"/>
    <x v="368"/>
    <n v="454.27199999999999"/>
    <s v="High"/>
    <n v="8"/>
    <n v="0.2"/>
    <x v="2"/>
    <x v="2"/>
    <n v="-73.819199999999995"/>
    <n v="-0.16250000000000001"/>
    <n v="1"/>
  </r>
  <r>
    <n v="6425"/>
    <s v="CA-2017-115777"/>
    <d v="2017-08-19T00:00:00"/>
    <x v="3"/>
    <s v="Q3"/>
    <x v="43"/>
    <d v="2017-08-24T00:00:00"/>
    <s v="Standard Class"/>
    <x v="770"/>
    <x v="770"/>
    <s v="Consumer"/>
    <s v="United States"/>
    <s v="Lawrence"/>
    <x v="31"/>
    <n v="1841"/>
    <x v="3"/>
    <x v="1553"/>
    <x v="1"/>
    <x v="10"/>
    <x v="1541"/>
    <n v="19.440000000000001"/>
    <s v="Low"/>
    <n v="3"/>
    <n v="0"/>
    <x v="0"/>
    <x v="0"/>
    <n v="9.3312000000000008"/>
    <n v="0.48000000000000004"/>
    <n v="0"/>
  </r>
  <r>
    <n v="6426"/>
    <s v="CA-2016-143714"/>
    <d v="2016-05-23T00:00:00"/>
    <x v="0"/>
    <s v="Q2"/>
    <x v="35"/>
    <d v="2016-05-27T00:00:00"/>
    <s v="Standard Class"/>
    <x v="666"/>
    <x v="666"/>
    <s v="Consumer"/>
    <s v="United States"/>
    <s v="Philadelphia"/>
    <x v="9"/>
    <n v="19120"/>
    <x v="3"/>
    <x v="1388"/>
    <x v="2"/>
    <x v="16"/>
    <x v="1374"/>
    <n v="8399.9760000000006"/>
    <s v="High"/>
    <n v="4"/>
    <n v="0.4"/>
    <x v="1"/>
    <x v="7"/>
    <n v="1119.9967999999999"/>
    <n v="0.1333333333333333"/>
    <n v="0"/>
  </r>
  <r>
    <n v="6427"/>
    <s v="CA-2016-143714"/>
    <d v="2016-05-23T00:00:00"/>
    <x v="0"/>
    <s v="Q2"/>
    <x v="35"/>
    <d v="2016-05-27T00:00:00"/>
    <s v="Standard Class"/>
    <x v="666"/>
    <x v="666"/>
    <s v="Consumer"/>
    <s v="United States"/>
    <s v="Philadelphia"/>
    <x v="9"/>
    <n v="19120"/>
    <x v="3"/>
    <x v="1786"/>
    <x v="1"/>
    <x v="8"/>
    <x v="1776"/>
    <n v="6.2939999999999996"/>
    <s v="Low"/>
    <n v="1"/>
    <n v="0.7"/>
    <x v="1"/>
    <x v="5"/>
    <n v="-4.1959999999999997"/>
    <n v="-0.66666666666666663"/>
    <n v="1"/>
  </r>
  <r>
    <n v="6428"/>
    <s v="CA-2016-143714"/>
    <d v="2016-05-23T00:00:00"/>
    <x v="0"/>
    <s v="Q2"/>
    <x v="35"/>
    <d v="2016-05-27T00:00:00"/>
    <s v="Standard Class"/>
    <x v="666"/>
    <x v="666"/>
    <s v="Consumer"/>
    <s v="United States"/>
    <s v="Philadelphia"/>
    <x v="9"/>
    <n v="19120"/>
    <x v="3"/>
    <x v="815"/>
    <x v="1"/>
    <x v="10"/>
    <x v="811"/>
    <n v="10.368"/>
    <s v="Low"/>
    <n v="2"/>
    <n v="0.2"/>
    <x v="2"/>
    <x v="2"/>
    <n v="3.6288"/>
    <n v="0.35"/>
    <n v="0"/>
  </r>
  <r>
    <n v="6429"/>
    <s v="CA-2016-143714"/>
    <d v="2016-05-23T00:00:00"/>
    <x v="0"/>
    <s v="Q2"/>
    <x v="35"/>
    <d v="2016-05-27T00:00:00"/>
    <s v="Standard Class"/>
    <x v="666"/>
    <x v="666"/>
    <s v="Consumer"/>
    <s v="United States"/>
    <s v="Philadelphia"/>
    <x v="9"/>
    <n v="19120"/>
    <x v="3"/>
    <x v="1787"/>
    <x v="2"/>
    <x v="7"/>
    <x v="1777"/>
    <n v="122.38200000000001"/>
    <s v="Medium"/>
    <n v="3"/>
    <n v="0.4"/>
    <x v="1"/>
    <x v="7"/>
    <n v="-24.476400000000002"/>
    <n v="-0.2"/>
    <n v="1"/>
  </r>
  <r>
    <n v="6430"/>
    <s v="CA-2014-165764"/>
    <d v="2014-11-03T00:00:00"/>
    <x v="2"/>
    <s v="Q4"/>
    <x v="7"/>
    <d v="2014-11-07T00:00:00"/>
    <s v="Standard Class"/>
    <x v="129"/>
    <x v="129"/>
    <s v="Consumer"/>
    <s v="United States"/>
    <s v="Jacksonville"/>
    <x v="3"/>
    <n v="28540"/>
    <x v="0"/>
    <x v="720"/>
    <x v="1"/>
    <x v="4"/>
    <x v="719"/>
    <n v="25.984000000000002"/>
    <s v="Medium"/>
    <n v="2"/>
    <n v="0.2"/>
    <x v="2"/>
    <x v="2"/>
    <n v="-1.6240000000000001"/>
    <n v="-6.25E-2"/>
    <n v="1"/>
  </r>
  <r>
    <n v="6431"/>
    <s v="CA-2014-165764"/>
    <d v="2014-11-03T00:00:00"/>
    <x v="2"/>
    <s v="Q4"/>
    <x v="7"/>
    <d v="2014-11-07T00:00:00"/>
    <s v="Standard Class"/>
    <x v="129"/>
    <x v="129"/>
    <s v="Consumer"/>
    <s v="United States"/>
    <s v="Jacksonville"/>
    <x v="3"/>
    <n v="28540"/>
    <x v="0"/>
    <x v="114"/>
    <x v="0"/>
    <x v="3"/>
    <x v="114"/>
    <n v="945.03599999999994"/>
    <s v="High"/>
    <n v="6"/>
    <n v="0.4"/>
    <x v="1"/>
    <x v="7"/>
    <n v="-299.26139999999998"/>
    <n v="-0.31666666666666665"/>
    <n v="1"/>
  </r>
  <r>
    <n v="6432"/>
    <s v="CA-2014-165764"/>
    <d v="2014-11-03T00:00:00"/>
    <x v="2"/>
    <s v="Q4"/>
    <x v="7"/>
    <d v="2014-11-07T00:00:00"/>
    <s v="Standard Class"/>
    <x v="129"/>
    <x v="129"/>
    <s v="Consumer"/>
    <s v="United States"/>
    <s v="Jacksonville"/>
    <x v="3"/>
    <n v="28540"/>
    <x v="0"/>
    <x v="1282"/>
    <x v="1"/>
    <x v="8"/>
    <x v="1267"/>
    <n v="14.301"/>
    <s v="Low"/>
    <n v="7"/>
    <n v="0.7"/>
    <x v="1"/>
    <x v="5"/>
    <n v="-10.487399999999999"/>
    <n v="-0.73333333333333328"/>
    <n v="1"/>
  </r>
  <r>
    <n v="6433"/>
    <s v="CA-2014-165764"/>
    <d v="2014-11-03T00:00:00"/>
    <x v="2"/>
    <s v="Q4"/>
    <x v="7"/>
    <d v="2014-11-07T00:00:00"/>
    <s v="Standard Class"/>
    <x v="129"/>
    <x v="129"/>
    <s v="Consumer"/>
    <s v="United States"/>
    <s v="Jacksonville"/>
    <x v="3"/>
    <n v="28540"/>
    <x v="0"/>
    <x v="1304"/>
    <x v="0"/>
    <x v="5"/>
    <x v="1289"/>
    <n v="410.35199999999998"/>
    <s v="High"/>
    <n v="3"/>
    <n v="0.2"/>
    <x v="2"/>
    <x v="2"/>
    <n v="-51.293999999999997"/>
    <n v="-0.125"/>
    <n v="1"/>
  </r>
  <r>
    <n v="6434"/>
    <s v="CA-2015-121405"/>
    <d v="2015-03-30T00:00:00"/>
    <x v="1"/>
    <s v="Q1"/>
    <x v="29"/>
    <d v="2015-04-04T00:00:00"/>
    <s v="Standard Class"/>
    <x v="712"/>
    <x v="712"/>
    <s v="Corporate"/>
    <s v="United States"/>
    <s v="Chicago"/>
    <x v="10"/>
    <n v="60610"/>
    <x v="2"/>
    <x v="1017"/>
    <x v="1"/>
    <x v="10"/>
    <x v="1008"/>
    <n v="23.52"/>
    <s v="Low"/>
    <n v="5"/>
    <n v="0.2"/>
    <x v="2"/>
    <x v="2"/>
    <n v="8.5259999999999998"/>
    <n v="0.36249999999999999"/>
    <n v="0"/>
  </r>
  <r>
    <n v="6435"/>
    <s v="CA-2015-121405"/>
    <d v="2015-03-30T00:00:00"/>
    <x v="1"/>
    <s v="Q1"/>
    <x v="29"/>
    <d v="2015-04-04T00:00:00"/>
    <s v="Standard Class"/>
    <x v="712"/>
    <x v="712"/>
    <s v="Corporate"/>
    <s v="United States"/>
    <s v="Chicago"/>
    <x v="10"/>
    <n v="60610"/>
    <x v="2"/>
    <x v="1409"/>
    <x v="2"/>
    <x v="7"/>
    <x v="1396"/>
    <n v="180.96"/>
    <s v="High"/>
    <n v="5"/>
    <n v="0.2"/>
    <x v="2"/>
    <x v="2"/>
    <n v="13.571999999999999"/>
    <n v="7.4999999999999997E-2"/>
    <n v="0"/>
  </r>
  <r>
    <n v="6436"/>
    <s v="US-2017-116897"/>
    <d v="2017-05-27T00:00:00"/>
    <x v="3"/>
    <s v="Q2"/>
    <x v="24"/>
    <d v="2017-05-29T00:00:00"/>
    <s v="First Class"/>
    <x v="506"/>
    <x v="506"/>
    <s v="Consumer"/>
    <s v="United States"/>
    <s v="Pocatello"/>
    <x v="45"/>
    <n v="83201"/>
    <x v="1"/>
    <x v="1457"/>
    <x v="0"/>
    <x v="5"/>
    <x v="1443"/>
    <n v="35"/>
    <s v="Medium"/>
    <n v="4"/>
    <n v="0"/>
    <x v="0"/>
    <x v="0"/>
    <n v="14.7"/>
    <n v="0.42"/>
    <n v="0"/>
  </r>
  <r>
    <n v="6437"/>
    <s v="US-2017-116897"/>
    <d v="2017-05-27T00:00:00"/>
    <x v="3"/>
    <s v="Q2"/>
    <x v="24"/>
    <d v="2017-05-29T00:00:00"/>
    <s v="First Class"/>
    <x v="506"/>
    <x v="506"/>
    <s v="Consumer"/>
    <s v="United States"/>
    <s v="Pocatello"/>
    <x v="45"/>
    <n v="83201"/>
    <x v="1"/>
    <x v="621"/>
    <x v="1"/>
    <x v="4"/>
    <x v="621"/>
    <n v="477.15"/>
    <s v="High"/>
    <n v="5"/>
    <n v="0"/>
    <x v="0"/>
    <x v="0"/>
    <n v="28.629000000000001"/>
    <n v="6.0000000000000005E-2"/>
    <n v="0"/>
  </r>
  <r>
    <n v="6438"/>
    <s v="US-2017-116897"/>
    <d v="2017-05-27T00:00:00"/>
    <x v="3"/>
    <s v="Q2"/>
    <x v="24"/>
    <d v="2017-05-29T00:00:00"/>
    <s v="First Class"/>
    <x v="506"/>
    <x v="506"/>
    <s v="Consumer"/>
    <s v="United States"/>
    <s v="Pocatello"/>
    <x v="45"/>
    <n v="83201"/>
    <x v="1"/>
    <x v="1443"/>
    <x v="2"/>
    <x v="7"/>
    <x v="1431"/>
    <n v="302.37599999999998"/>
    <s v="High"/>
    <n v="3"/>
    <n v="0.2"/>
    <x v="2"/>
    <x v="2"/>
    <n v="22.6782"/>
    <n v="7.5000000000000011E-2"/>
    <n v="0"/>
  </r>
  <r>
    <n v="6439"/>
    <s v="US-2017-113992"/>
    <d v="2017-12-14T00:00:00"/>
    <x v="3"/>
    <s v="Q4"/>
    <x v="22"/>
    <d v="2017-12-19T00:00:00"/>
    <s v="Standard Class"/>
    <x v="62"/>
    <x v="62"/>
    <s v="Consumer"/>
    <s v="United States"/>
    <s v="Plano"/>
    <x v="5"/>
    <n v="75023"/>
    <x v="2"/>
    <x v="3"/>
    <x v="0"/>
    <x v="3"/>
    <x v="3"/>
    <n v="974.98800000000006"/>
    <s v="High"/>
    <n v="4"/>
    <n v="0.3"/>
    <x v="1"/>
    <x v="4"/>
    <n v="-97.498800000000003"/>
    <n v="-9.9999999999999992E-2"/>
    <n v="1"/>
  </r>
  <r>
    <n v="6440"/>
    <s v="CA-2014-166891"/>
    <d v="2014-10-04T00:00:00"/>
    <x v="2"/>
    <s v="Q4"/>
    <x v="18"/>
    <d v="2014-10-06T00:00:00"/>
    <s v="First Class"/>
    <x v="417"/>
    <x v="417"/>
    <s v="Consumer"/>
    <s v="United States"/>
    <s v="New York City"/>
    <x v="15"/>
    <n v="10024"/>
    <x v="3"/>
    <x v="1585"/>
    <x v="0"/>
    <x v="1"/>
    <x v="1576"/>
    <n v="589.41"/>
    <s v="High"/>
    <n v="5"/>
    <n v="0.1"/>
    <x v="3"/>
    <x v="8"/>
    <n v="-6.5490000000000004"/>
    <n v="-1.1111111111111112E-2"/>
    <n v="1"/>
  </r>
  <r>
    <n v="6441"/>
    <s v="CA-2016-101161"/>
    <d v="2016-10-13T00:00:00"/>
    <x v="0"/>
    <s v="Q4"/>
    <x v="32"/>
    <d v="2016-10-20T00:00:00"/>
    <s v="Standard Class"/>
    <x v="308"/>
    <x v="308"/>
    <s v="Corporate"/>
    <s v="United States"/>
    <s v="New York City"/>
    <x v="15"/>
    <n v="10024"/>
    <x v="3"/>
    <x v="924"/>
    <x v="1"/>
    <x v="6"/>
    <x v="916"/>
    <n v="34.700000000000003"/>
    <s v="Medium"/>
    <n v="5"/>
    <n v="0"/>
    <x v="0"/>
    <x v="0"/>
    <n v="12.492000000000001"/>
    <n v="0.36"/>
    <n v="0"/>
  </r>
  <r>
    <n v="6442"/>
    <s v="CA-2016-101161"/>
    <d v="2016-10-13T00:00:00"/>
    <x v="0"/>
    <s v="Q4"/>
    <x v="32"/>
    <d v="2016-10-20T00:00:00"/>
    <s v="Standard Class"/>
    <x v="308"/>
    <x v="308"/>
    <s v="Corporate"/>
    <s v="United States"/>
    <s v="New York City"/>
    <x v="15"/>
    <n v="10024"/>
    <x v="3"/>
    <x v="1291"/>
    <x v="1"/>
    <x v="4"/>
    <x v="1277"/>
    <n v="99.87"/>
    <s v="Medium"/>
    <n v="3"/>
    <n v="0"/>
    <x v="0"/>
    <x v="0"/>
    <n v="23.968800000000002"/>
    <n v="0.24000000000000002"/>
    <n v="0"/>
  </r>
  <r>
    <n v="6443"/>
    <s v="CA-2016-101161"/>
    <d v="2016-10-13T00:00:00"/>
    <x v="0"/>
    <s v="Q4"/>
    <x v="32"/>
    <d v="2016-10-20T00:00:00"/>
    <s v="Standard Class"/>
    <x v="308"/>
    <x v="308"/>
    <s v="Corporate"/>
    <s v="United States"/>
    <s v="New York City"/>
    <x v="15"/>
    <n v="10024"/>
    <x v="3"/>
    <x v="1237"/>
    <x v="1"/>
    <x v="10"/>
    <x v="1220"/>
    <n v="37.94"/>
    <s v="Medium"/>
    <n v="2"/>
    <n v="0"/>
    <x v="0"/>
    <x v="0"/>
    <n v="18.211200000000002"/>
    <n v="0.48000000000000009"/>
    <n v="0"/>
  </r>
  <r>
    <n v="6444"/>
    <s v="CA-2016-101161"/>
    <d v="2016-10-13T00:00:00"/>
    <x v="0"/>
    <s v="Q4"/>
    <x v="32"/>
    <d v="2016-10-20T00:00:00"/>
    <s v="Standard Class"/>
    <x v="308"/>
    <x v="308"/>
    <s v="Corporate"/>
    <s v="United States"/>
    <s v="New York City"/>
    <x v="15"/>
    <n v="10024"/>
    <x v="3"/>
    <x v="1508"/>
    <x v="1"/>
    <x v="2"/>
    <x v="1495"/>
    <n v="24.9"/>
    <s v="Medium"/>
    <n v="5"/>
    <n v="0"/>
    <x v="0"/>
    <x v="0"/>
    <n v="11.454000000000001"/>
    <n v="0.46000000000000008"/>
    <n v="0"/>
  </r>
  <r>
    <n v="6445"/>
    <s v="CA-2016-101161"/>
    <d v="2016-10-13T00:00:00"/>
    <x v="0"/>
    <s v="Q4"/>
    <x v="32"/>
    <d v="2016-10-20T00:00:00"/>
    <s v="Standard Class"/>
    <x v="308"/>
    <x v="308"/>
    <s v="Corporate"/>
    <s v="United States"/>
    <s v="New York City"/>
    <x v="15"/>
    <n v="10024"/>
    <x v="3"/>
    <x v="905"/>
    <x v="0"/>
    <x v="5"/>
    <x v="897"/>
    <n v="82.26"/>
    <s v="Medium"/>
    <n v="3"/>
    <n v="0"/>
    <x v="0"/>
    <x v="0"/>
    <n v="33.726599999999998"/>
    <n v="0.40999999999999992"/>
    <n v="0"/>
  </r>
  <r>
    <n v="6446"/>
    <s v="CA-2015-151785"/>
    <d v="2015-03-05T00:00:00"/>
    <x v="1"/>
    <s v="Q1"/>
    <x v="29"/>
    <d v="2015-03-10T00:00:00"/>
    <s v="Standard Class"/>
    <x v="370"/>
    <x v="370"/>
    <s v="Consumer"/>
    <s v="United States"/>
    <s v="Chicago"/>
    <x v="10"/>
    <n v="60623"/>
    <x v="2"/>
    <x v="1084"/>
    <x v="1"/>
    <x v="13"/>
    <x v="1074"/>
    <n v="7.1040000000000001"/>
    <s v="Low"/>
    <n v="6"/>
    <n v="0.2"/>
    <x v="2"/>
    <x v="2"/>
    <n v="2.4864000000000002"/>
    <n v="0.35000000000000003"/>
    <n v="0"/>
  </r>
  <r>
    <n v="6447"/>
    <s v="US-2017-119816"/>
    <d v="2017-03-04T00:00:00"/>
    <x v="3"/>
    <s v="Q1"/>
    <x v="42"/>
    <d v="2017-03-06T00:00:00"/>
    <s v="Second Class"/>
    <x v="499"/>
    <x v="499"/>
    <s v="Home Office"/>
    <s v="United States"/>
    <s v="Houston"/>
    <x v="5"/>
    <n v="77095"/>
    <x v="2"/>
    <x v="28"/>
    <x v="0"/>
    <x v="5"/>
    <x v="28"/>
    <n v="103.5"/>
    <s v="Medium"/>
    <n v="5"/>
    <n v="0.6"/>
    <x v="1"/>
    <x v="6"/>
    <n v="-77.625"/>
    <n v="-0.75"/>
    <n v="1"/>
  </r>
  <r>
    <n v="6448"/>
    <s v="US-2017-119816"/>
    <d v="2017-03-04T00:00:00"/>
    <x v="3"/>
    <s v="Q1"/>
    <x v="42"/>
    <d v="2017-03-06T00:00:00"/>
    <s v="Second Class"/>
    <x v="499"/>
    <x v="499"/>
    <s v="Home Office"/>
    <s v="United States"/>
    <s v="Houston"/>
    <x v="5"/>
    <n v="77095"/>
    <x v="2"/>
    <x v="1098"/>
    <x v="1"/>
    <x v="2"/>
    <x v="1088"/>
    <n v="2.464"/>
    <s v="Low"/>
    <n v="1"/>
    <n v="0.2"/>
    <x v="2"/>
    <x v="2"/>
    <n v="0.86240000000000006"/>
    <n v="0.35000000000000003"/>
    <n v="0"/>
  </r>
  <r>
    <n v="6449"/>
    <s v="US-2017-119816"/>
    <d v="2017-03-04T00:00:00"/>
    <x v="3"/>
    <s v="Q1"/>
    <x v="42"/>
    <d v="2017-03-06T00:00:00"/>
    <s v="Second Class"/>
    <x v="499"/>
    <x v="499"/>
    <s v="Home Office"/>
    <s v="United States"/>
    <s v="Houston"/>
    <x v="5"/>
    <n v="77095"/>
    <x v="2"/>
    <x v="376"/>
    <x v="1"/>
    <x v="4"/>
    <x v="377"/>
    <n v="8.7200000000000006"/>
    <s v="Low"/>
    <n v="1"/>
    <n v="0.2"/>
    <x v="2"/>
    <x v="2"/>
    <n v="0.65400000000000003"/>
    <n v="7.4999999999999997E-2"/>
    <n v="0"/>
  </r>
  <r>
    <n v="6450"/>
    <s v="CA-2015-156510"/>
    <d v="2015-09-25T00:00:00"/>
    <x v="1"/>
    <s v="Q3"/>
    <x v="11"/>
    <d v="2015-09-29T00:00:00"/>
    <s v="Standard Class"/>
    <x v="552"/>
    <x v="552"/>
    <s v="Consumer"/>
    <s v="United States"/>
    <s v="Meriden"/>
    <x v="29"/>
    <n v="6450"/>
    <x v="3"/>
    <x v="973"/>
    <x v="1"/>
    <x v="8"/>
    <x v="967"/>
    <n v="10.76"/>
    <s v="Low"/>
    <n v="2"/>
    <n v="0"/>
    <x v="0"/>
    <x v="0"/>
    <n v="5.1647999999999996"/>
    <n v="0.48"/>
    <n v="0"/>
  </r>
  <r>
    <n v="6451"/>
    <s v="CA-2015-156510"/>
    <d v="2015-09-25T00:00:00"/>
    <x v="1"/>
    <s v="Q3"/>
    <x v="11"/>
    <d v="2015-09-29T00:00:00"/>
    <s v="Standard Class"/>
    <x v="552"/>
    <x v="552"/>
    <s v="Consumer"/>
    <s v="United States"/>
    <s v="Meriden"/>
    <x v="29"/>
    <n v="6450"/>
    <x v="3"/>
    <x v="393"/>
    <x v="1"/>
    <x v="10"/>
    <x v="394"/>
    <n v="45.68"/>
    <s v="Medium"/>
    <n v="2"/>
    <n v="0"/>
    <x v="0"/>
    <x v="0"/>
    <n v="21.012799999999999"/>
    <n v="0.45999999999999996"/>
    <n v="0"/>
  </r>
  <r>
    <n v="6452"/>
    <s v="CA-2015-156510"/>
    <d v="2015-09-25T00:00:00"/>
    <x v="1"/>
    <s v="Q3"/>
    <x v="11"/>
    <d v="2015-09-29T00:00:00"/>
    <s v="Standard Class"/>
    <x v="552"/>
    <x v="552"/>
    <s v="Consumer"/>
    <s v="United States"/>
    <s v="Meriden"/>
    <x v="29"/>
    <n v="6450"/>
    <x v="3"/>
    <x v="87"/>
    <x v="1"/>
    <x v="6"/>
    <x v="87"/>
    <n v="6.7"/>
    <s v="Low"/>
    <n v="1"/>
    <n v="0"/>
    <x v="0"/>
    <x v="0"/>
    <n v="2.2109999999999999"/>
    <n v="0.32999999999999996"/>
    <n v="0"/>
  </r>
  <r>
    <n v="6453"/>
    <s v="US-2015-110261"/>
    <d v="2015-12-19T00:00:00"/>
    <x v="1"/>
    <s v="Q4"/>
    <x v="14"/>
    <d v="2015-12-23T00:00:00"/>
    <s v="Second Class"/>
    <x v="701"/>
    <x v="701"/>
    <s v="Consumer"/>
    <s v="United States"/>
    <s v="Glenview"/>
    <x v="10"/>
    <n v="60025"/>
    <x v="2"/>
    <x v="984"/>
    <x v="2"/>
    <x v="7"/>
    <x v="977"/>
    <n v="158.376"/>
    <s v="High"/>
    <n v="3"/>
    <n v="0.2"/>
    <x v="2"/>
    <x v="2"/>
    <n v="13.857900000000001"/>
    <n v="8.7500000000000008E-2"/>
    <n v="0"/>
  </r>
  <r>
    <n v="6454"/>
    <s v="CA-2015-125710"/>
    <d v="2015-10-08T00:00:00"/>
    <x v="1"/>
    <s v="Q4"/>
    <x v="2"/>
    <d v="2015-10-13T00:00:00"/>
    <s v="Standard Class"/>
    <x v="537"/>
    <x v="537"/>
    <s v="Consumer"/>
    <s v="United States"/>
    <s v="Houston"/>
    <x v="5"/>
    <n v="77036"/>
    <x v="2"/>
    <x v="1539"/>
    <x v="1"/>
    <x v="6"/>
    <x v="1527"/>
    <n v="3.44"/>
    <s v="Low"/>
    <n v="2"/>
    <n v="0.2"/>
    <x v="2"/>
    <x v="2"/>
    <n v="0.55900000000000005"/>
    <n v="0.16250000000000001"/>
    <n v="0"/>
  </r>
  <r>
    <n v="6455"/>
    <s v="CA-2017-161102"/>
    <d v="2017-07-31T00:00:00"/>
    <x v="3"/>
    <s v="Q3"/>
    <x v="10"/>
    <d v="2017-08-03T00:00:00"/>
    <s v="First Class"/>
    <x v="685"/>
    <x v="685"/>
    <s v="Consumer"/>
    <s v="United States"/>
    <s v="San Francisco"/>
    <x v="1"/>
    <n v="94110"/>
    <x v="1"/>
    <x v="86"/>
    <x v="1"/>
    <x v="4"/>
    <x v="86"/>
    <n v="56.56"/>
    <s v="Medium"/>
    <n v="2"/>
    <n v="0"/>
    <x v="0"/>
    <x v="0"/>
    <n v="15.2712"/>
    <n v="0.27"/>
    <n v="0"/>
  </r>
  <r>
    <n v="6456"/>
    <s v="CA-2017-161102"/>
    <d v="2017-07-31T00:00:00"/>
    <x v="3"/>
    <s v="Q3"/>
    <x v="10"/>
    <d v="2017-08-03T00:00:00"/>
    <s v="First Class"/>
    <x v="685"/>
    <x v="685"/>
    <s v="Consumer"/>
    <s v="United States"/>
    <s v="San Francisco"/>
    <x v="1"/>
    <n v="94110"/>
    <x v="1"/>
    <x v="1226"/>
    <x v="0"/>
    <x v="5"/>
    <x v="1210"/>
    <n v="36.96"/>
    <s v="Medium"/>
    <n v="7"/>
    <n v="0"/>
    <x v="0"/>
    <x v="0"/>
    <n v="11.457599999999999"/>
    <n v="0.31"/>
    <n v="0"/>
  </r>
  <r>
    <n v="6457"/>
    <s v="CA-2014-110065"/>
    <d v="2014-08-05T00:00:00"/>
    <x v="2"/>
    <s v="Q3"/>
    <x v="9"/>
    <d v="2014-08-11T00:00:00"/>
    <s v="Standard Class"/>
    <x v="70"/>
    <x v="70"/>
    <s v="Corporate"/>
    <s v="United States"/>
    <s v="New York City"/>
    <x v="15"/>
    <n v="10009"/>
    <x v="3"/>
    <x v="1236"/>
    <x v="2"/>
    <x v="7"/>
    <x v="1219"/>
    <n v="135.99"/>
    <s v="High"/>
    <n v="1"/>
    <n v="0"/>
    <x v="0"/>
    <x v="0"/>
    <n v="36.717300000000002"/>
    <n v="0.27"/>
    <n v="0"/>
  </r>
  <r>
    <n v="6458"/>
    <s v="CA-2014-110065"/>
    <d v="2014-08-05T00:00:00"/>
    <x v="2"/>
    <s v="Q3"/>
    <x v="9"/>
    <d v="2014-08-11T00:00:00"/>
    <s v="Standard Class"/>
    <x v="70"/>
    <x v="70"/>
    <s v="Corporate"/>
    <s v="United States"/>
    <s v="New York City"/>
    <x v="15"/>
    <n v="10009"/>
    <x v="3"/>
    <x v="1605"/>
    <x v="1"/>
    <x v="6"/>
    <x v="1597"/>
    <n v="15.96"/>
    <s v="Low"/>
    <n v="7"/>
    <n v="0"/>
    <x v="0"/>
    <x v="0"/>
    <n v="7.0224000000000002"/>
    <n v="0.44"/>
    <n v="0"/>
  </r>
  <r>
    <n v="6459"/>
    <s v="US-2017-133361"/>
    <d v="2017-05-14T00:00:00"/>
    <x v="3"/>
    <s v="Q2"/>
    <x v="24"/>
    <d v="2017-05-17T00:00:00"/>
    <s v="First Class"/>
    <x v="321"/>
    <x v="321"/>
    <s v="Corporate"/>
    <s v="United States"/>
    <s v="Baltimore"/>
    <x v="39"/>
    <n v="21215"/>
    <x v="3"/>
    <x v="868"/>
    <x v="1"/>
    <x v="6"/>
    <x v="862"/>
    <n v="3.76"/>
    <s v="Low"/>
    <n v="2"/>
    <n v="0"/>
    <x v="0"/>
    <x v="0"/>
    <n v="1.0904"/>
    <n v="0.29000000000000004"/>
    <n v="0"/>
  </r>
  <r>
    <n v="6460"/>
    <s v="US-2017-133361"/>
    <d v="2017-05-14T00:00:00"/>
    <x v="3"/>
    <s v="Q2"/>
    <x v="24"/>
    <d v="2017-05-17T00:00:00"/>
    <s v="First Class"/>
    <x v="321"/>
    <x v="321"/>
    <s v="Corporate"/>
    <s v="United States"/>
    <s v="Baltimore"/>
    <x v="39"/>
    <n v="21215"/>
    <x v="3"/>
    <x v="425"/>
    <x v="1"/>
    <x v="6"/>
    <x v="425"/>
    <n v="14.7"/>
    <s v="Low"/>
    <n v="5"/>
    <n v="0"/>
    <x v="0"/>
    <x v="0"/>
    <n v="6.6150000000000002"/>
    <n v="0.45"/>
    <n v="0"/>
  </r>
  <r>
    <n v="6461"/>
    <s v="US-2017-133361"/>
    <d v="2017-05-14T00:00:00"/>
    <x v="3"/>
    <s v="Q2"/>
    <x v="24"/>
    <d v="2017-05-17T00:00:00"/>
    <s v="First Class"/>
    <x v="321"/>
    <x v="321"/>
    <s v="Corporate"/>
    <s v="United States"/>
    <s v="Baltimore"/>
    <x v="39"/>
    <n v="21215"/>
    <x v="3"/>
    <x v="1453"/>
    <x v="1"/>
    <x v="6"/>
    <x v="1439"/>
    <n v="37.200000000000003"/>
    <s v="Medium"/>
    <n v="5"/>
    <n v="0"/>
    <x v="0"/>
    <x v="0"/>
    <n v="9.3000000000000007"/>
    <n v="0.25"/>
    <n v="0"/>
  </r>
  <r>
    <n v="6462"/>
    <s v="US-2017-133361"/>
    <d v="2017-05-14T00:00:00"/>
    <x v="3"/>
    <s v="Q2"/>
    <x v="24"/>
    <d v="2017-05-17T00:00:00"/>
    <s v="First Class"/>
    <x v="321"/>
    <x v="321"/>
    <s v="Corporate"/>
    <s v="United States"/>
    <s v="Baltimore"/>
    <x v="39"/>
    <n v="21215"/>
    <x v="3"/>
    <x v="1048"/>
    <x v="2"/>
    <x v="11"/>
    <x v="1037"/>
    <n v="89.97"/>
    <s v="Medium"/>
    <n v="3"/>
    <n v="0"/>
    <x v="0"/>
    <x v="0"/>
    <n v="18.893699999999999"/>
    <n v="0.21"/>
    <n v="0"/>
  </r>
  <r>
    <n v="6463"/>
    <s v="US-2017-133361"/>
    <d v="2017-05-14T00:00:00"/>
    <x v="3"/>
    <s v="Q2"/>
    <x v="24"/>
    <d v="2017-05-17T00:00:00"/>
    <s v="First Class"/>
    <x v="321"/>
    <x v="321"/>
    <s v="Corporate"/>
    <s v="United States"/>
    <s v="Baltimore"/>
    <x v="39"/>
    <n v="21215"/>
    <x v="3"/>
    <x v="1585"/>
    <x v="0"/>
    <x v="1"/>
    <x v="1576"/>
    <n v="261.95999999999998"/>
    <s v="High"/>
    <n v="2"/>
    <n v="0"/>
    <x v="0"/>
    <x v="0"/>
    <n v="23.5764"/>
    <n v="9.0000000000000011E-2"/>
    <n v="0"/>
  </r>
  <r>
    <n v="6464"/>
    <s v="US-2017-133361"/>
    <d v="2017-05-14T00:00:00"/>
    <x v="3"/>
    <s v="Q2"/>
    <x v="24"/>
    <d v="2017-05-17T00:00:00"/>
    <s v="First Class"/>
    <x v="321"/>
    <x v="321"/>
    <s v="Corporate"/>
    <s v="United States"/>
    <s v="Baltimore"/>
    <x v="39"/>
    <n v="21215"/>
    <x v="3"/>
    <x v="198"/>
    <x v="1"/>
    <x v="2"/>
    <x v="199"/>
    <n v="74"/>
    <s v="Medium"/>
    <n v="5"/>
    <n v="0"/>
    <x v="0"/>
    <x v="0"/>
    <n v="37"/>
    <n v="0.5"/>
    <n v="0"/>
  </r>
  <r>
    <n v="6465"/>
    <s v="US-2016-155404"/>
    <d v="2016-09-22T00:00:00"/>
    <x v="0"/>
    <s v="Q3"/>
    <x v="21"/>
    <d v="2016-09-28T00:00:00"/>
    <s v="Standard Class"/>
    <x v="357"/>
    <x v="357"/>
    <s v="Home Office"/>
    <s v="United States"/>
    <s v="Louisville"/>
    <x v="0"/>
    <n v="40214"/>
    <x v="0"/>
    <x v="1494"/>
    <x v="0"/>
    <x v="5"/>
    <x v="1482"/>
    <n v="13.28"/>
    <s v="Low"/>
    <n v="2"/>
    <n v="0"/>
    <x v="0"/>
    <x v="0"/>
    <n v="6.3743999999999996"/>
    <n v="0.48"/>
    <n v="0"/>
  </r>
  <r>
    <n v="6466"/>
    <s v="CA-2015-114503"/>
    <d v="2015-11-13T00:00:00"/>
    <x v="1"/>
    <s v="Q4"/>
    <x v="6"/>
    <d v="2015-11-17T00:00:00"/>
    <s v="Standard Class"/>
    <x v="211"/>
    <x v="211"/>
    <s v="Consumer"/>
    <s v="United States"/>
    <s v="Lebanon"/>
    <x v="18"/>
    <n v="37087"/>
    <x v="0"/>
    <x v="1754"/>
    <x v="1"/>
    <x v="4"/>
    <x v="1744"/>
    <n v="84.96"/>
    <s v="Medium"/>
    <n v="6"/>
    <n v="0.2"/>
    <x v="2"/>
    <x v="2"/>
    <n v="6.3719999999999999"/>
    <n v="7.5000000000000011E-2"/>
    <n v="0"/>
  </r>
  <r>
    <n v="6467"/>
    <s v="CA-2017-153080"/>
    <d v="2017-05-22T00:00:00"/>
    <x v="3"/>
    <s v="Q2"/>
    <x v="24"/>
    <d v="2017-05-25T00:00:00"/>
    <s v="Second Class"/>
    <x v="13"/>
    <x v="13"/>
    <s v="Consumer"/>
    <s v="United States"/>
    <s v="Los Angeles"/>
    <x v="1"/>
    <n v="90008"/>
    <x v="1"/>
    <x v="1599"/>
    <x v="2"/>
    <x v="11"/>
    <x v="1591"/>
    <n v="68.459999999999994"/>
    <s v="Medium"/>
    <n v="7"/>
    <n v="0"/>
    <x v="0"/>
    <x v="0"/>
    <n v="25.330200000000001"/>
    <n v="0.37000000000000005"/>
    <n v="0"/>
  </r>
  <r>
    <n v="6468"/>
    <s v="CA-2016-163804"/>
    <d v="2016-12-02T00:00:00"/>
    <x v="0"/>
    <s v="Q4"/>
    <x v="5"/>
    <d v="2016-12-08T00:00:00"/>
    <s v="Standard Class"/>
    <x v="489"/>
    <x v="489"/>
    <s v="Home Office"/>
    <s v="United States"/>
    <s v="Providence"/>
    <x v="34"/>
    <n v="2908"/>
    <x v="3"/>
    <x v="403"/>
    <x v="1"/>
    <x v="4"/>
    <x v="404"/>
    <n v="2079.4"/>
    <s v="High"/>
    <n v="5"/>
    <n v="0"/>
    <x v="0"/>
    <x v="0"/>
    <n v="582.23199999999997"/>
    <n v="0.27999999999999997"/>
    <n v="0"/>
  </r>
  <r>
    <n v="6469"/>
    <s v="CA-2016-163804"/>
    <d v="2016-12-02T00:00:00"/>
    <x v="0"/>
    <s v="Q4"/>
    <x v="5"/>
    <d v="2016-12-08T00:00:00"/>
    <s v="Standard Class"/>
    <x v="489"/>
    <x v="489"/>
    <s v="Home Office"/>
    <s v="United States"/>
    <s v="Providence"/>
    <x v="34"/>
    <n v="2908"/>
    <x v="3"/>
    <x v="1066"/>
    <x v="2"/>
    <x v="7"/>
    <x v="1055"/>
    <n v="629.95000000000005"/>
    <s v="High"/>
    <n v="5"/>
    <n v="0"/>
    <x v="0"/>
    <x v="0"/>
    <n v="176.386"/>
    <n v="0.27999999999999997"/>
    <n v="0"/>
  </r>
  <r>
    <n v="6470"/>
    <s v="CA-2016-163804"/>
    <d v="2016-12-02T00:00:00"/>
    <x v="0"/>
    <s v="Q4"/>
    <x v="5"/>
    <d v="2016-12-08T00:00:00"/>
    <s v="Standard Class"/>
    <x v="489"/>
    <x v="489"/>
    <s v="Home Office"/>
    <s v="United States"/>
    <s v="Providence"/>
    <x v="34"/>
    <n v="2908"/>
    <x v="3"/>
    <x v="441"/>
    <x v="0"/>
    <x v="5"/>
    <x v="1719"/>
    <n v="72.42"/>
    <s v="Medium"/>
    <n v="6"/>
    <n v="0"/>
    <x v="0"/>
    <x v="0"/>
    <n v="23.898599999999998"/>
    <n v="0.32999999999999996"/>
    <n v="0"/>
  </r>
  <r>
    <n v="6471"/>
    <s v="CA-2015-108532"/>
    <d v="2015-08-29T00:00:00"/>
    <x v="1"/>
    <s v="Q3"/>
    <x v="37"/>
    <d v="2015-09-02T00:00:00"/>
    <s v="Standard Class"/>
    <x v="385"/>
    <x v="385"/>
    <s v="Home Office"/>
    <s v="United States"/>
    <s v="Detroit"/>
    <x v="12"/>
    <n v="48234"/>
    <x v="2"/>
    <x v="984"/>
    <x v="2"/>
    <x v="7"/>
    <x v="977"/>
    <n v="131.97999999999999"/>
    <s v="High"/>
    <n v="2"/>
    <n v="0"/>
    <x v="0"/>
    <x v="0"/>
    <n v="35.634599999999999"/>
    <n v="0.27"/>
    <n v="0"/>
  </r>
  <r>
    <n v="6472"/>
    <s v="CA-2015-108532"/>
    <d v="2015-08-29T00:00:00"/>
    <x v="1"/>
    <s v="Q3"/>
    <x v="37"/>
    <d v="2015-09-02T00:00:00"/>
    <s v="Standard Class"/>
    <x v="385"/>
    <x v="385"/>
    <s v="Home Office"/>
    <s v="United States"/>
    <s v="Detroit"/>
    <x v="12"/>
    <n v="48234"/>
    <x v="2"/>
    <x v="960"/>
    <x v="2"/>
    <x v="11"/>
    <x v="953"/>
    <n v="114.52"/>
    <s v="Medium"/>
    <n v="7"/>
    <n v="0"/>
    <x v="0"/>
    <x v="0"/>
    <n v="11.452"/>
    <n v="0.1"/>
    <n v="0"/>
  </r>
  <r>
    <n v="6473"/>
    <s v="CA-2014-151897"/>
    <d v="2014-06-06T00:00:00"/>
    <x v="2"/>
    <s v="Q2"/>
    <x v="3"/>
    <d v="2014-06-10T00:00:00"/>
    <s v="Standard Class"/>
    <x v="725"/>
    <x v="725"/>
    <s v="Home Office"/>
    <s v="United States"/>
    <s v="Houston"/>
    <x v="5"/>
    <n v="77070"/>
    <x v="2"/>
    <x v="300"/>
    <x v="1"/>
    <x v="2"/>
    <x v="300"/>
    <n v="100.24"/>
    <s v="Medium"/>
    <n v="10"/>
    <n v="0.2"/>
    <x v="2"/>
    <x v="2"/>
    <n v="33.831000000000003"/>
    <n v="0.33750000000000002"/>
    <n v="0"/>
  </r>
  <r>
    <n v="6474"/>
    <s v="CA-2016-113292"/>
    <d v="2016-03-18T00:00:00"/>
    <x v="0"/>
    <s v="Q1"/>
    <x v="17"/>
    <d v="2016-03-20T00:00:00"/>
    <s v="Second Class"/>
    <x v="72"/>
    <x v="72"/>
    <s v="Consumer"/>
    <s v="United States"/>
    <s v="Columbia"/>
    <x v="18"/>
    <n v="38401"/>
    <x v="0"/>
    <x v="963"/>
    <x v="1"/>
    <x v="9"/>
    <x v="956"/>
    <n v="871.8"/>
    <s v="High"/>
    <n v="3"/>
    <n v="0.2"/>
    <x v="2"/>
    <x v="2"/>
    <n v="87.18"/>
    <n v="0.10000000000000002"/>
    <n v="0"/>
  </r>
  <r>
    <n v="6475"/>
    <s v="CA-2014-149524"/>
    <d v="2014-01-14T00:00:00"/>
    <x v="2"/>
    <s v="Q1"/>
    <x v="46"/>
    <d v="2014-01-15T00:00:00"/>
    <s v="First Class"/>
    <x v="29"/>
    <x v="29"/>
    <s v="Corporate"/>
    <s v="United States"/>
    <s v="Philadelphia"/>
    <x v="9"/>
    <n v="19140"/>
    <x v="3"/>
    <x v="927"/>
    <x v="0"/>
    <x v="0"/>
    <x v="920"/>
    <n v="61.96"/>
    <s v="Medium"/>
    <n v="4"/>
    <n v="0.5"/>
    <x v="1"/>
    <x v="1"/>
    <n v="-53.285600000000002"/>
    <n v="-0.86"/>
    <n v="1"/>
  </r>
  <r>
    <n v="6476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881"/>
    <x v="1"/>
    <x v="8"/>
    <x v="875"/>
    <n v="4.5540000000000003"/>
    <s v="Low"/>
    <n v="3"/>
    <n v="0.7"/>
    <x v="1"/>
    <x v="5"/>
    <n v="-3.4914000000000001"/>
    <n v="-0.76666666666666661"/>
    <n v="1"/>
  </r>
  <r>
    <n v="6477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189"/>
    <x v="1"/>
    <x v="9"/>
    <x v="190"/>
    <n v="5.2"/>
    <s v="Low"/>
    <n v="2"/>
    <n v="0.2"/>
    <x v="2"/>
    <x v="2"/>
    <n v="0.58499999999999996"/>
    <n v="0.11249999999999999"/>
    <n v="0"/>
  </r>
  <r>
    <n v="6478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217"/>
    <x v="2"/>
    <x v="11"/>
    <x v="218"/>
    <n v="205.99199999999999"/>
    <s v="High"/>
    <n v="1"/>
    <n v="0.2"/>
    <x v="2"/>
    <x v="2"/>
    <n v="-2.5749"/>
    <n v="-1.2500000000000001E-2"/>
    <n v="1"/>
  </r>
  <r>
    <n v="6479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1145"/>
    <x v="1"/>
    <x v="10"/>
    <x v="1133"/>
    <n v="15.552"/>
    <s v="Low"/>
    <n v="3"/>
    <n v="0.2"/>
    <x v="2"/>
    <x v="2"/>
    <n v="5.4432"/>
    <n v="0.35000000000000003"/>
    <n v="0"/>
  </r>
  <r>
    <n v="6480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1066"/>
    <x v="2"/>
    <x v="7"/>
    <x v="1055"/>
    <n v="503.96"/>
    <s v="High"/>
    <n v="5"/>
    <n v="0.2"/>
    <x v="2"/>
    <x v="2"/>
    <n v="50.396000000000001"/>
    <n v="0.1"/>
    <n v="0"/>
  </r>
  <r>
    <n v="6481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1298"/>
    <x v="1"/>
    <x v="9"/>
    <x v="1283"/>
    <n v="24.472000000000001"/>
    <s v="Low"/>
    <n v="7"/>
    <n v="0.2"/>
    <x v="2"/>
    <x v="2"/>
    <n v="1.8353999999999999"/>
    <n v="7.4999999999999997E-2"/>
    <n v="0"/>
  </r>
  <r>
    <n v="6482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415"/>
    <x v="0"/>
    <x v="0"/>
    <x v="415"/>
    <n v="241.56800000000001"/>
    <s v="High"/>
    <n v="2"/>
    <n v="0.2"/>
    <x v="2"/>
    <x v="2"/>
    <n v="0"/>
    <n v="0"/>
    <n v="0"/>
  </r>
  <r>
    <n v="6483"/>
    <s v="CA-2017-140872"/>
    <d v="2017-06-03T00:00:00"/>
    <x v="3"/>
    <s v="Q2"/>
    <x v="27"/>
    <d v="2017-06-10T00:00:00"/>
    <s v="Standard Class"/>
    <x v="749"/>
    <x v="749"/>
    <s v="Consumer"/>
    <s v="United States"/>
    <s v="Pembroke Pines"/>
    <x v="2"/>
    <n v="33024"/>
    <x v="0"/>
    <x v="1615"/>
    <x v="2"/>
    <x v="11"/>
    <x v="1606"/>
    <n v="110.4"/>
    <s v="Medium"/>
    <n v="2"/>
    <n v="0.2"/>
    <x v="2"/>
    <x v="2"/>
    <n v="-4.1399999999999997"/>
    <n v="-3.7499999999999999E-2"/>
    <n v="1"/>
  </r>
  <r>
    <n v="6484"/>
    <s v="CA-2017-113908"/>
    <d v="2017-06-03T00:00:00"/>
    <x v="3"/>
    <s v="Q2"/>
    <x v="27"/>
    <d v="2017-06-09T00:00:00"/>
    <s v="Standard Class"/>
    <x v="471"/>
    <x v="471"/>
    <s v="Corporate"/>
    <s v="United States"/>
    <s v="New York City"/>
    <x v="15"/>
    <n v="10011"/>
    <x v="3"/>
    <x v="855"/>
    <x v="0"/>
    <x v="3"/>
    <x v="848"/>
    <n v="384.76799999999997"/>
    <s v="High"/>
    <n v="2"/>
    <n v="0.4"/>
    <x v="1"/>
    <x v="7"/>
    <n v="-115.43040000000001"/>
    <n v="-0.30000000000000004"/>
    <n v="1"/>
  </r>
  <r>
    <n v="6485"/>
    <s v="CA-2017-113908"/>
    <d v="2017-06-03T00:00:00"/>
    <x v="3"/>
    <s v="Q2"/>
    <x v="27"/>
    <d v="2017-06-09T00:00:00"/>
    <s v="Standard Class"/>
    <x v="471"/>
    <x v="471"/>
    <s v="Corporate"/>
    <s v="United States"/>
    <s v="New York City"/>
    <x v="15"/>
    <n v="10011"/>
    <x v="3"/>
    <x v="1728"/>
    <x v="2"/>
    <x v="15"/>
    <x v="1715"/>
    <n v="78.66"/>
    <s v="Medium"/>
    <n v="6"/>
    <n v="0"/>
    <x v="0"/>
    <x v="0"/>
    <n v="36.183599999999998"/>
    <n v="0.46"/>
    <n v="0"/>
  </r>
  <r>
    <n v="6486"/>
    <s v="CA-2017-113908"/>
    <d v="2017-06-03T00:00:00"/>
    <x v="3"/>
    <s v="Q2"/>
    <x v="27"/>
    <d v="2017-06-09T00:00:00"/>
    <s v="Standard Class"/>
    <x v="471"/>
    <x v="471"/>
    <s v="Corporate"/>
    <s v="United States"/>
    <s v="New York City"/>
    <x v="15"/>
    <n v="10011"/>
    <x v="3"/>
    <x v="752"/>
    <x v="1"/>
    <x v="10"/>
    <x v="750"/>
    <n v="45.36"/>
    <s v="Medium"/>
    <n v="4"/>
    <n v="0"/>
    <x v="0"/>
    <x v="0"/>
    <n v="22.226400000000002"/>
    <n v="0.49000000000000005"/>
    <n v="0"/>
  </r>
  <r>
    <n v="6487"/>
    <s v="CA-2015-120621"/>
    <d v="2015-03-21T00:00:00"/>
    <x v="1"/>
    <s v="Q1"/>
    <x v="29"/>
    <d v="2015-03-26T00:00:00"/>
    <s v="Standard Class"/>
    <x v="493"/>
    <x v="493"/>
    <s v="Consumer"/>
    <s v="United States"/>
    <s v="Jacksonville"/>
    <x v="3"/>
    <n v="28540"/>
    <x v="0"/>
    <x v="227"/>
    <x v="1"/>
    <x v="9"/>
    <x v="228"/>
    <n v="962.08"/>
    <s v="High"/>
    <n v="4"/>
    <n v="0.2"/>
    <x v="2"/>
    <x v="2"/>
    <n v="156.33799999999999"/>
    <n v="0.16249999999999998"/>
    <n v="0"/>
  </r>
  <r>
    <n v="6488"/>
    <s v="CA-2015-120621"/>
    <d v="2015-03-21T00:00:00"/>
    <x v="1"/>
    <s v="Q1"/>
    <x v="29"/>
    <d v="2015-03-26T00:00:00"/>
    <s v="Standard Class"/>
    <x v="493"/>
    <x v="493"/>
    <s v="Consumer"/>
    <s v="United States"/>
    <s v="Jacksonville"/>
    <x v="3"/>
    <n v="28540"/>
    <x v="0"/>
    <x v="1395"/>
    <x v="1"/>
    <x v="8"/>
    <x v="1382"/>
    <n v="12.843"/>
    <s v="Low"/>
    <n v="3"/>
    <n v="0.7"/>
    <x v="1"/>
    <x v="5"/>
    <n v="-9.8462999999999994"/>
    <n v="-0.76666666666666661"/>
    <n v="1"/>
  </r>
  <r>
    <n v="6489"/>
    <s v="CA-2015-120621"/>
    <d v="2015-03-21T00:00:00"/>
    <x v="1"/>
    <s v="Q1"/>
    <x v="29"/>
    <d v="2015-03-26T00:00:00"/>
    <s v="Standard Class"/>
    <x v="493"/>
    <x v="493"/>
    <s v="Consumer"/>
    <s v="United States"/>
    <s v="Jacksonville"/>
    <x v="3"/>
    <n v="28540"/>
    <x v="0"/>
    <x v="145"/>
    <x v="1"/>
    <x v="10"/>
    <x v="146"/>
    <n v="295.45600000000002"/>
    <s v="High"/>
    <n v="14"/>
    <n v="0.2"/>
    <x v="2"/>
    <x v="2"/>
    <n v="96.023200000000003"/>
    <n v="0.32500000000000001"/>
    <n v="0"/>
  </r>
  <r>
    <n v="6490"/>
    <s v="US-2017-148866"/>
    <d v="2017-09-19T00:00:00"/>
    <x v="3"/>
    <s v="Q3"/>
    <x v="15"/>
    <d v="2017-09-24T00:00:00"/>
    <s v="Standard Class"/>
    <x v="341"/>
    <x v="341"/>
    <s v="Consumer"/>
    <s v="United States"/>
    <s v="New York City"/>
    <x v="15"/>
    <n v="10011"/>
    <x v="3"/>
    <x v="1434"/>
    <x v="1"/>
    <x v="10"/>
    <x v="1422"/>
    <n v="32.4"/>
    <s v="Medium"/>
    <n v="5"/>
    <n v="0"/>
    <x v="0"/>
    <x v="0"/>
    <n v="15.552"/>
    <n v="0.48"/>
    <n v="0"/>
  </r>
  <r>
    <n v="6491"/>
    <s v="CA-2014-149594"/>
    <d v="2014-09-15T00:00:00"/>
    <x v="2"/>
    <s v="Q3"/>
    <x v="30"/>
    <d v="2014-09-19T00:00:00"/>
    <s v="Standard Class"/>
    <x v="751"/>
    <x v="751"/>
    <s v="Corporate"/>
    <s v="United States"/>
    <s v="Philadelphia"/>
    <x v="9"/>
    <n v="19120"/>
    <x v="3"/>
    <x v="596"/>
    <x v="0"/>
    <x v="5"/>
    <x v="596"/>
    <n v="103.93600000000001"/>
    <s v="Medium"/>
    <n v="4"/>
    <n v="0.2"/>
    <x v="2"/>
    <x v="2"/>
    <n v="16.889600000000002"/>
    <n v="0.16250000000000001"/>
    <n v="0"/>
  </r>
  <r>
    <n v="6492"/>
    <s v="CA-2016-113845"/>
    <d v="2016-11-20T00:00:00"/>
    <x v="0"/>
    <s v="Q4"/>
    <x v="0"/>
    <d v="2016-11-25T00:00:00"/>
    <s v="Standard Class"/>
    <x v="135"/>
    <x v="135"/>
    <s v="Corporate"/>
    <s v="United States"/>
    <s v="Orlando"/>
    <x v="2"/>
    <n v="32839"/>
    <x v="0"/>
    <x v="199"/>
    <x v="0"/>
    <x v="0"/>
    <x v="200"/>
    <n v="289.56799999999998"/>
    <s v="High"/>
    <n v="2"/>
    <n v="0.2"/>
    <x v="2"/>
    <x v="2"/>
    <n v="10.8588"/>
    <n v="3.7500000000000006E-2"/>
    <n v="0"/>
  </r>
  <r>
    <n v="6493"/>
    <s v="CA-2016-113845"/>
    <d v="2016-11-20T00:00:00"/>
    <x v="0"/>
    <s v="Q4"/>
    <x v="0"/>
    <d v="2016-11-25T00:00:00"/>
    <s v="Standard Class"/>
    <x v="135"/>
    <x v="135"/>
    <s v="Corporate"/>
    <s v="United States"/>
    <s v="Orlando"/>
    <x v="2"/>
    <n v="32839"/>
    <x v="0"/>
    <x v="337"/>
    <x v="1"/>
    <x v="4"/>
    <x v="337"/>
    <n v="39.72"/>
    <s v="Medium"/>
    <n v="5"/>
    <n v="0.2"/>
    <x v="2"/>
    <x v="2"/>
    <n v="4.4684999999999997"/>
    <n v="0.11249999999999999"/>
    <n v="0"/>
  </r>
  <r>
    <n v="6494"/>
    <s v="CA-2016-113845"/>
    <d v="2016-11-20T00:00:00"/>
    <x v="0"/>
    <s v="Q4"/>
    <x v="0"/>
    <d v="2016-11-25T00:00:00"/>
    <s v="Standard Class"/>
    <x v="135"/>
    <x v="135"/>
    <s v="Corporate"/>
    <s v="United States"/>
    <s v="Orlando"/>
    <x v="2"/>
    <n v="32839"/>
    <x v="0"/>
    <x v="1081"/>
    <x v="2"/>
    <x v="7"/>
    <x v="1071"/>
    <n v="244.768"/>
    <s v="High"/>
    <n v="4"/>
    <n v="0.2"/>
    <x v="2"/>
    <x v="2"/>
    <n v="24.476800000000001"/>
    <n v="0.1"/>
    <n v="0"/>
  </r>
  <r>
    <n v="6495"/>
    <s v="CA-2017-111262"/>
    <d v="2017-10-28T00:00:00"/>
    <x v="3"/>
    <s v="Q4"/>
    <x v="13"/>
    <d v="2017-11-01T00:00:00"/>
    <s v="Second Class"/>
    <x v="168"/>
    <x v="168"/>
    <s v="Consumer"/>
    <s v="United States"/>
    <s v="Houston"/>
    <x v="5"/>
    <n v="77095"/>
    <x v="2"/>
    <x v="46"/>
    <x v="2"/>
    <x v="11"/>
    <x v="46"/>
    <n v="24"/>
    <s v="Low"/>
    <n v="2"/>
    <n v="0.2"/>
    <x v="2"/>
    <x v="2"/>
    <n v="-2.7"/>
    <n v="-0.1125"/>
    <n v="1"/>
  </r>
  <r>
    <n v="6496"/>
    <s v="CA-2017-111262"/>
    <d v="2017-10-28T00:00:00"/>
    <x v="3"/>
    <s v="Q4"/>
    <x v="13"/>
    <d v="2017-11-01T00:00:00"/>
    <s v="Second Class"/>
    <x v="168"/>
    <x v="168"/>
    <s v="Consumer"/>
    <s v="United States"/>
    <s v="Houston"/>
    <x v="5"/>
    <n v="77095"/>
    <x v="2"/>
    <x v="289"/>
    <x v="1"/>
    <x v="10"/>
    <x v="289"/>
    <n v="15.552"/>
    <s v="Low"/>
    <n v="3"/>
    <n v="0.2"/>
    <x v="2"/>
    <x v="2"/>
    <n v="5.4432"/>
    <n v="0.35000000000000003"/>
    <n v="0"/>
  </r>
  <r>
    <n v="6497"/>
    <s v="CA-2017-111262"/>
    <d v="2017-10-28T00:00:00"/>
    <x v="3"/>
    <s v="Q4"/>
    <x v="13"/>
    <d v="2017-11-01T00:00:00"/>
    <s v="Second Class"/>
    <x v="168"/>
    <x v="168"/>
    <s v="Consumer"/>
    <s v="United States"/>
    <s v="Houston"/>
    <x v="5"/>
    <n v="77095"/>
    <x v="2"/>
    <x v="960"/>
    <x v="2"/>
    <x v="11"/>
    <x v="953"/>
    <n v="26.175999999999998"/>
    <s v="Medium"/>
    <n v="2"/>
    <n v="0.2"/>
    <x v="2"/>
    <x v="2"/>
    <n v="-3.2719999999999998"/>
    <n v="-0.125"/>
    <n v="1"/>
  </r>
  <r>
    <n v="6498"/>
    <s v="CA-2015-103135"/>
    <d v="2015-07-24T00:00:00"/>
    <x v="1"/>
    <s v="Q3"/>
    <x v="38"/>
    <d v="2015-07-28T00:00:00"/>
    <s v="Standard Class"/>
    <x v="776"/>
    <x v="776"/>
    <s v="Home Office"/>
    <s v="United States"/>
    <s v="Louisville"/>
    <x v="0"/>
    <n v="40214"/>
    <x v="0"/>
    <x v="5"/>
    <x v="0"/>
    <x v="5"/>
    <x v="5"/>
    <n v="20.94"/>
    <s v="Low"/>
    <n v="3"/>
    <n v="0"/>
    <x v="0"/>
    <x v="0"/>
    <n v="6.0726000000000004"/>
    <n v="0.28999999999999998"/>
    <n v="0"/>
  </r>
  <r>
    <n v="6499"/>
    <s v="CA-2015-103135"/>
    <d v="2015-07-24T00:00:00"/>
    <x v="1"/>
    <s v="Q3"/>
    <x v="38"/>
    <d v="2015-07-28T00:00:00"/>
    <s v="Standard Class"/>
    <x v="776"/>
    <x v="776"/>
    <s v="Home Office"/>
    <s v="United States"/>
    <s v="Louisville"/>
    <x v="0"/>
    <n v="40214"/>
    <x v="0"/>
    <x v="491"/>
    <x v="1"/>
    <x v="8"/>
    <x v="491"/>
    <n v="135.09"/>
    <s v="High"/>
    <n v="9"/>
    <n v="0"/>
    <x v="0"/>
    <x v="0"/>
    <n v="62.141399999999997"/>
    <n v="0.45999999999999996"/>
    <n v="0"/>
  </r>
  <r>
    <n v="6500"/>
    <s v="CA-2015-103135"/>
    <d v="2015-07-24T00:00:00"/>
    <x v="1"/>
    <s v="Q3"/>
    <x v="38"/>
    <d v="2015-07-28T00:00:00"/>
    <s v="Standard Class"/>
    <x v="776"/>
    <x v="776"/>
    <s v="Home Office"/>
    <s v="United States"/>
    <s v="Louisville"/>
    <x v="0"/>
    <n v="40214"/>
    <x v="0"/>
    <x v="1235"/>
    <x v="2"/>
    <x v="11"/>
    <x v="1218"/>
    <n v="279.86"/>
    <s v="High"/>
    <n v="14"/>
    <n v="0"/>
    <x v="0"/>
    <x v="0"/>
    <n v="64.367800000000003"/>
    <n v="0.23"/>
    <n v="0"/>
  </r>
  <r>
    <n v="6501"/>
    <s v="CA-2015-103135"/>
    <d v="2015-07-24T00:00:00"/>
    <x v="1"/>
    <s v="Q3"/>
    <x v="38"/>
    <d v="2015-07-28T00:00:00"/>
    <s v="Standard Class"/>
    <x v="776"/>
    <x v="776"/>
    <s v="Home Office"/>
    <s v="United States"/>
    <s v="Louisville"/>
    <x v="0"/>
    <n v="40214"/>
    <x v="0"/>
    <x v="491"/>
    <x v="1"/>
    <x v="8"/>
    <x v="491"/>
    <n v="90.06"/>
    <s v="Medium"/>
    <n v="6"/>
    <n v="0"/>
    <x v="0"/>
    <x v="0"/>
    <n v="41.427599999999998"/>
    <n v="0.45999999999999996"/>
    <n v="0"/>
  </r>
  <r>
    <n v="6502"/>
    <s v="CA-2014-129147"/>
    <d v="2014-11-02T00:00:00"/>
    <x v="2"/>
    <s v="Q4"/>
    <x v="7"/>
    <d v="2014-11-06T00:00:00"/>
    <s v="Standard Class"/>
    <x v="702"/>
    <x v="702"/>
    <s v="Consumer"/>
    <s v="United States"/>
    <s v="Medina"/>
    <x v="24"/>
    <n v="44256"/>
    <x v="3"/>
    <x v="1501"/>
    <x v="2"/>
    <x v="7"/>
    <x v="1489"/>
    <n v="539.96400000000006"/>
    <s v="High"/>
    <n v="6"/>
    <n v="0.4"/>
    <x v="1"/>
    <x v="7"/>
    <n v="-107.9928"/>
    <n v="-0.19999999999999998"/>
    <n v="1"/>
  </r>
  <r>
    <n v="6503"/>
    <s v="CA-2014-129147"/>
    <d v="2014-11-02T00:00:00"/>
    <x v="2"/>
    <s v="Q4"/>
    <x v="7"/>
    <d v="2014-11-06T00:00:00"/>
    <s v="Standard Class"/>
    <x v="702"/>
    <x v="702"/>
    <s v="Consumer"/>
    <s v="United States"/>
    <s v="Medina"/>
    <x v="24"/>
    <n v="44256"/>
    <x v="3"/>
    <x v="179"/>
    <x v="2"/>
    <x v="7"/>
    <x v="180"/>
    <n v="50.231999999999999"/>
    <s v="Medium"/>
    <n v="7"/>
    <n v="0.4"/>
    <x v="1"/>
    <x v="7"/>
    <n v="-10.0464"/>
    <n v="-0.2"/>
    <n v="1"/>
  </r>
  <r>
    <n v="6504"/>
    <s v="CA-2014-129147"/>
    <d v="2014-11-02T00:00:00"/>
    <x v="2"/>
    <s v="Q4"/>
    <x v="7"/>
    <d v="2014-11-06T00:00:00"/>
    <s v="Standard Class"/>
    <x v="702"/>
    <x v="702"/>
    <s v="Consumer"/>
    <s v="United States"/>
    <s v="Medina"/>
    <x v="24"/>
    <n v="44256"/>
    <x v="3"/>
    <x v="410"/>
    <x v="1"/>
    <x v="8"/>
    <x v="410"/>
    <n v="19.242000000000001"/>
    <s v="Low"/>
    <n v="3"/>
    <n v="0.7"/>
    <x v="1"/>
    <x v="5"/>
    <n v="-13.4694"/>
    <n v="-0.7"/>
    <n v="1"/>
  </r>
  <r>
    <n v="6505"/>
    <s v="CA-2017-128265"/>
    <d v="2017-11-17T00:00:00"/>
    <x v="3"/>
    <s v="Q4"/>
    <x v="23"/>
    <d v="2017-11-22T00:00:00"/>
    <s v="Second Class"/>
    <x v="100"/>
    <x v="100"/>
    <s v="Corporate"/>
    <s v="United States"/>
    <s v="New York City"/>
    <x v="15"/>
    <n v="10011"/>
    <x v="3"/>
    <x v="403"/>
    <x v="1"/>
    <x v="4"/>
    <x v="404"/>
    <n v="1247.6400000000001"/>
    <s v="High"/>
    <n v="3"/>
    <n v="0"/>
    <x v="0"/>
    <x v="0"/>
    <n v="349.33920000000001"/>
    <n v="0.27999999999999997"/>
    <n v="0"/>
  </r>
  <r>
    <n v="6506"/>
    <s v="CA-2016-152331"/>
    <d v="2016-06-26T00:00:00"/>
    <x v="0"/>
    <s v="Q2"/>
    <x v="1"/>
    <d v="2016-06-30T00:00:00"/>
    <s v="Standard Class"/>
    <x v="777"/>
    <x v="777"/>
    <s v="Corporate"/>
    <s v="United States"/>
    <s v="Chicago"/>
    <x v="10"/>
    <n v="60653"/>
    <x v="2"/>
    <x v="147"/>
    <x v="1"/>
    <x v="6"/>
    <x v="148"/>
    <n v="5.3040000000000003"/>
    <s v="Low"/>
    <n v="3"/>
    <n v="0.2"/>
    <x v="2"/>
    <x v="2"/>
    <n v="0.46410000000000001"/>
    <n v="8.7499999999999994E-2"/>
    <n v="0"/>
  </r>
  <r>
    <n v="6507"/>
    <s v="US-2016-128909"/>
    <d v="2016-10-09T00:00:00"/>
    <x v="0"/>
    <s v="Q4"/>
    <x v="32"/>
    <d v="2016-10-11T00:00:00"/>
    <s v="Second Class"/>
    <x v="259"/>
    <x v="259"/>
    <s v="Corporate"/>
    <s v="United States"/>
    <s v="Philadelphia"/>
    <x v="9"/>
    <n v="19143"/>
    <x v="3"/>
    <x v="1774"/>
    <x v="1"/>
    <x v="10"/>
    <x v="1764"/>
    <n v="19.135999999999999"/>
    <s v="Low"/>
    <n v="4"/>
    <n v="0.2"/>
    <x v="2"/>
    <x v="2"/>
    <n v="5.98"/>
    <n v="0.31250000000000006"/>
    <n v="0"/>
  </r>
  <r>
    <n v="6508"/>
    <s v="US-2016-128909"/>
    <d v="2016-10-09T00:00:00"/>
    <x v="0"/>
    <s v="Q4"/>
    <x v="32"/>
    <d v="2016-10-11T00:00:00"/>
    <s v="Second Class"/>
    <x v="259"/>
    <x v="259"/>
    <s v="Corporate"/>
    <s v="United States"/>
    <s v="Philadelphia"/>
    <x v="9"/>
    <n v="19143"/>
    <x v="3"/>
    <x v="575"/>
    <x v="0"/>
    <x v="5"/>
    <x v="575"/>
    <n v="332.83199999999999"/>
    <s v="High"/>
    <n v="4"/>
    <n v="0.2"/>
    <x v="2"/>
    <x v="2"/>
    <n v="-24.962399999999999"/>
    <n v="-7.4999999999999997E-2"/>
    <n v="1"/>
  </r>
  <r>
    <n v="6509"/>
    <s v="CA-2017-102197"/>
    <d v="2017-12-20T00:00:00"/>
    <x v="3"/>
    <s v="Q4"/>
    <x v="22"/>
    <d v="2017-12-26T00:00:00"/>
    <s v="Standard Class"/>
    <x v="83"/>
    <x v="83"/>
    <s v="Corporate"/>
    <s v="United States"/>
    <s v="New York City"/>
    <x v="15"/>
    <n v="10009"/>
    <x v="3"/>
    <x v="314"/>
    <x v="1"/>
    <x v="10"/>
    <x v="366"/>
    <n v="279.89999999999998"/>
    <s v="High"/>
    <n v="5"/>
    <n v="0"/>
    <x v="0"/>
    <x v="0"/>
    <n v="137.15100000000001"/>
    <n v="0.4900000000000001"/>
    <n v="0"/>
  </r>
  <r>
    <n v="6510"/>
    <s v="CA-2017-102197"/>
    <d v="2017-12-20T00:00:00"/>
    <x v="3"/>
    <s v="Q4"/>
    <x v="22"/>
    <d v="2017-12-26T00:00:00"/>
    <s v="Standard Class"/>
    <x v="83"/>
    <x v="83"/>
    <s v="Corporate"/>
    <s v="United States"/>
    <s v="New York City"/>
    <x v="15"/>
    <n v="10009"/>
    <x v="3"/>
    <x v="301"/>
    <x v="1"/>
    <x v="8"/>
    <x v="301"/>
    <n v="50.351999999999997"/>
    <s v="Medium"/>
    <n v="3"/>
    <n v="0.2"/>
    <x v="2"/>
    <x v="2"/>
    <n v="17.623200000000001"/>
    <n v="0.35000000000000003"/>
    <n v="0"/>
  </r>
  <r>
    <n v="6511"/>
    <s v="CA-2017-102197"/>
    <d v="2017-12-20T00:00:00"/>
    <x v="3"/>
    <s v="Q4"/>
    <x v="22"/>
    <d v="2017-12-26T00:00:00"/>
    <s v="Standard Class"/>
    <x v="83"/>
    <x v="83"/>
    <s v="Corporate"/>
    <s v="United States"/>
    <s v="New York City"/>
    <x v="15"/>
    <n v="10009"/>
    <x v="3"/>
    <x v="752"/>
    <x v="1"/>
    <x v="10"/>
    <x v="750"/>
    <n v="34.020000000000003"/>
    <s v="Medium"/>
    <n v="3"/>
    <n v="0"/>
    <x v="0"/>
    <x v="0"/>
    <n v="16.669799999999999"/>
    <n v="0.48999999999999994"/>
    <n v="0"/>
  </r>
  <r>
    <n v="6512"/>
    <s v="CA-2017-167640"/>
    <d v="2017-03-06T00:00:00"/>
    <x v="3"/>
    <s v="Q1"/>
    <x v="42"/>
    <d v="2017-03-10T00:00:00"/>
    <s v="Standard Class"/>
    <x v="763"/>
    <x v="763"/>
    <s v="Home Office"/>
    <s v="United States"/>
    <s v="San Francisco"/>
    <x v="1"/>
    <n v="94109"/>
    <x v="1"/>
    <x v="703"/>
    <x v="1"/>
    <x v="6"/>
    <x v="703"/>
    <n v="23.88"/>
    <s v="Low"/>
    <n v="6"/>
    <n v="0"/>
    <x v="0"/>
    <x v="0"/>
    <n v="8.1191999999999993"/>
    <n v="0.33999999999999997"/>
    <n v="0"/>
  </r>
  <r>
    <n v="6513"/>
    <s v="CA-2017-167640"/>
    <d v="2017-03-06T00:00:00"/>
    <x v="3"/>
    <s v="Q1"/>
    <x v="42"/>
    <d v="2017-03-10T00:00:00"/>
    <s v="Standard Class"/>
    <x v="763"/>
    <x v="763"/>
    <s v="Home Office"/>
    <s v="United States"/>
    <s v="San Francisco"/>
    <x v="1"/>
    <n v="94109"/>
    <x v="1"/>
    <x v="1363"/>
    <x v="1"/>
    <x v="2"/>
    <x v="1349"/>
    <n v="11.52"/>
    <s v="Low"/>
    <n v="4"/>
    <n v="0"/>
    <x v="0"/>
    <x v="0"/>
    <n v="5.6448"/>
    <n v="0.49000000000000005"/>
    <n v="0"/>
  </r>
  <r>
    <n v="6514"/>
    <s v="CA-2017-167640"/>
    <d v="2017-03-06T00:00:00"/>
    <x v="3"/>
    <s v="Q1"/>
    <x v="42"/>
    <d v="2017-03-10T00:00:00"/>
    <s v="Standard Class"/>
    <x v="763"/>
    <x v="763"/>
    <s v="Home Office"/>
    <s v="United States"/>
    <s v="San Francisco"/>
    <x v="1"/>
    <n v="94109"/>
    <x v="1"/>
    <x v="1522"/>
    <x v="1"/>
    <x v="10"/>
    <x v="1509"/>
    <n v="286.93"/>
    <s v="High"/>
    <n v="7"/>
    <n v="0"/>
    <x v="0"/>
    <x v="0"/>
    <n v="140.59569999999999"/>
    <n v="0.49"/>
    <n v="0"/>
  </r>
  <r>
    <n v="6515"/>
    <s v="CA-2017-167640"/>
    <d v="2017-03-06T00:00:00"/>
    <x v="3"/>
    <s v="Q1"/>
    <x v="42"/>
    <d v="2017-03-10T00:00:00"/>
    <s v="Standard Class"/>
    <x v="763"/>
    <x v="763"/>
    <s v="Home Office"/>
    <s v="United States"/>
    <s v="San Francisco"/>
    <x v="1"/>
    <n v="94109"/>
    <x v="1"/>
    <x v="957"/>
    <x v="2"/>
    <x v="7"/>
    <x v="950"/>
    <n v="206.38399999999999"/>
    <s v="High"/>
    <n v="2"/>
    <n v="0.2"/>
    <x v="2"/>
    <x v="2"/>
    <n v="23.2182"/>
    <n v="0.1125"/>
    <n v="0"/>
  </r>
  <r>
    <n v="6516"/>
    <s v="US-2017-116652"/>
    <d v="2017-09-15T00:00:00"/>
    <x v="3"/>
    <s v="Q3"/>
    <x v="15"/>
    <d v="2017-09-19T00:00:00"/>
    <s v="Standard Class"/>
    <x v="502"/>
    <x v="502"/>
    <s v="Consumer"/>
    <s v="United States"/>
    <s v="San Francisco"/>
    <x v="1"/>
    <n v="94122"/>
    <x v="1"/>
    <x v="955"/>
    <x v="0"/>
    <x v="1"/>
    <x v="948"/>
    <n v="218.352"/>
    <s v="High"/>
    <n v="3"/>
    <n v="0.2"/>
    <x v="2"/>
    <x v="2"/>
    <n v="0"/>
    <n v="0"/>
    <n v="0"/>
  </r>
  <r>
    <n v="6517"/>
    <s v="US-2017-116652"/>
    <d v="2017-09-15T00:00:00"/>
    <x v="3"/>
    <s v="Q3"/>
    <x v="15"/>
    <d v="2017-09-19T00:00:00"/>
    <s v="Standard Class"/>
    <x v="502"/>
    <x v="502"/>
    <s v="Consumer"/>
    <s v="United States"/>
    <s v="San Francisco"/>
    <x v="1"/>
    <n v="94122"/>
    <x v="1"/>
    <x v="1060"/>
    <x v="0"/>
    <x v="5"/>
    <x v="1049"/>
    <n v="529.9"/>
    <s v="High"/>
    <n v="5"/>
    <n v="0"/>
    <x v="0"/>
    <x v="0"/>
    <n v="105.98"/>
    <n v="0.2"/>
    <n v="0"/>
  </r>
  <r>
    <n v="6518"/>
    <s v="US-2017-116652"/>
    <d v="2017-09-15T00:00:00"/>
    <x v="3"/>
    <s v="Q3"/>
    <x v="15"/>
    <d v="2017-09-19T00:00:00"/>
    <s v="Standard Class"/>
    <x v="502"/>
    <x v="502"/>
    <s v="Consumer"/>
    <s v="United States"/>
    <s v="San Francisco"/>
    <x v="1"/>
    <n v="94122"/>
    <x v="1"/>
    <x v="1068"/>
    <x v="1"/>
    <x v="6"/>
    <x v="1057"/>
    <n v="99.3"/>
    <s v="Medium"/>
    <n v="10"/>
    <n v="0"/>
    <x v="0"/>
    <x v="0"/>
    <n v="41.706000000000003"/>
    <n v="0.42000000000000004"/>
    <n v="0"/>
  </r>
  <r>
    <n v="6519"/>
    <s v="US-2017-116652"/>
    <d v="2017-09-15T00:00:00"/>
    <x v="3"/>
    <s v="Q3"/>
    <x v="15"/>
    <d v="2017-09-19T00:00:00"/>
    <s v="Standard Class"/>
    <x v="502"/>
    <x v="502"/>
    <s v="Consumer"/>
    <s v="United States"/>
    <s v="San Francisco"/>
    <x v="1"/>
    <n v="94122"/>
    <x v="1"/>
    <x v="1309"/>
    <x v="1"/>
    <x v="9"/>
    <x v="1294"/>
    <n v="108.96"/>
    <s v="Medium"/>
    <n v="2"/>
    <n v="0"/>
    <x v="0"/>
    <x v="0"/>
    <n v="30.508800000000001"/>
    <n v="0.28000000000000003"/>
    <n v="0"/>
  </r>
  <r>
    <n v="6520"/>
    <s v="US-2017-116652"/>
    <d v="2017-09-15T00:00:00"/>
    <x v="3"/>
    <s v="Q3"/>
    <x v="15"/>
    <d v="2017-09-19T00:00:00"/>
    <s v="Standard Class"/>
    <x v="502"/>
    <x v="502"/>
    <s v="Consumer"/>
    <s v="United States"/>
    <s v="San Francisco"/>
    <x v="1"/>
    <n v="94122"/>
    <x v="1"/>
    <x v="472"/>
    <x v="1"/>
    <x v="8"/>
    <x v="473"/>
    <n v="2.6880000000000002"/>
    <s v="Low"/>
    <n v="1"/>
    <n v="0.2"/>
    <x v="2"/>
    <x v="2"/>
    <n v="0.84"/>
    <n v="0.31249999999999994"/>
    <n v="0"/>
  </r>
  <r>
    <n v="6521"/>
    <s v="CA-2017-138289"/>
    <d v="2017-01-16T00:00:00"/>
    <x v="3"/>
    <s v="Q1"/>
    <x v="44"/>
    <d v="2017-01-18T00:00:00"/>
    <s v="Second Class"/>
    <x v="481"/>
    <x v="481"/>
    <s v="Consumer"/>
    <s v="United States"/>
    <s v="Jackson"/>
    <x v="12"/>
    <n v="49201"/>
    <x v="2"/>
    <x v="316"/>
    <x v="1"/>
    <x v="8"/>
    <x v="316"/>
    <n v="5443.96"/>
    <s v="High"/>
    <n v="4"/>
    <n v="0"/>
    <x v="0"/>
    <x v="0"/>
    <n v="2504.2215999999999"/>
    <n v="0.45999999999999996"/>
    <n v="0"/>
  </r>
  <r>
    <n v="6522"/>
    <s v="CA-2017-138289"/>
    <d v="2017-01-16T00:00:00"/>
    <x v="3"/>
    <s v="Q1"/>
    <x v="44"/>
    <d v="2017-01-18T00:00:00"/>
    <s v="Second Class"/>
    <x v="481"/>
    <x v="481"/>
    <s v="Consumer"/>
    <s v="United States"/>
    <s v="Jackson"/>
    <x v="12"/>
    <n v="49201"/>
    <x v="2"/>
    <x v="1719"/>
    <x v="0"/>
    <x v="1"/>
    <x v="1706"/>
    <n v="302.67"/>
    <s v="High"/>
    <n v="3"/>
    <n v="0"/>
    <x v="0"/>
    <x v="0"/>
    <n v="72.640799999999999"/>
    <n v="0.24"/>
    <n v="0"/>
  </r>
  <r>
    <n v="6523"/>
    <s v="CA-2017-138289"/>
    <d v="2017-01-16T00:00:00"/>
    <x v="3"/>
    <s v="Q1"/>
    <x v="44"/>
    <d v="2017-01-18T00:00:00"/>
    <s v="Second Class"/>
    <x v="481"/>
    <x v="481"/>
    <s v="Consumer"/>
    <s v="United States"/>
    <s v="Jackson"/>
    <x v="12"/>
    <n v="49201"/>
    <x v="2"/>
    <x v="1788"/>
    <x v="1"/>
    <x v="10"/>
    <x v="1778"/>
    <n v="56.07"/>
    <s v="Medium"/>
    <n v="7"/>
    <n v="0"/>
    <x v="0"/>
    <x v="0"/>
    <n v="25.2315"/>
    <n v="0.45"/>
    <n v="0"/>
  </r>
  <r>
    <n v="6524"/>
    <s v="CA-2016-129308"/>
    <d v="2016-07-07T00:00:00"/>
    <x v="0"/>
    <s v="Q3"/>
    <x v="16"/>
    <d v="2016-07-13T00:00:00"/>
    <s v="Standard Class"/>
    <x v="385"/>
    <x v="385"/>
    <s v="Home Office"/>
    <s v="United States"/>
    <s v="Philadelphia"/>
    <x v="9"/>
    <n v="19120"/>
    <x v="3"/>
    <x v="1621"/>
    <x v="1"/>
    <x v="2"/>
    <x v="1612"/>
    <n v="10.08"/>
    <s v="Low"/>
    <n v="2"/>
    <n v="0.2"/>
    <x v="2"/>
    <x v="2"/>
    <n v="3.2759999999999998"/>
    <n v="0.32499999999999996"/>
    <n v="0"/>
  </r>
  <r>
    <n v="6525"/>
    <s v="CA-2016-129308"/>
    <d v="2016-07-07T00:00:00"/>
    <x v="0"/>
    <s v="Q3"/>
    <x v="16"/>
    <d v="2016-07-13T00:00:00"/>
    <s v="Standard Class"/>
    <x v="385"/>
    <x v="385"/>
    <s v="Home Office"/>
    <s v="United States"/>
    <s v="Philadelphia"/>
    <x v="9"/>
    <n v="19120"/>
    <x v="3"/>
    <x v="966"/>
    <x v="2"/>
    <x v="7"/>
    <x v="959"/>
    <n v="59.994"/>
    <s v="Medium"/>
    <n v="1"/>
    <n v="0.4"/>
    <x v="1"/>
    <x v="7"/>
    <n v="-12.998699999999999"/>
    <n v="-0.21666666666666665"/>
    <n v="1"/>
  </r>
  <r>
    <n v="6526"/>
    <s v="CA-2016-129308"/>
    <d v="2016-07-07T00:00:00"/>
    <x v="0"/>
    <s v="Q3"/>
    <x v="16"/>
    <d v="2016-07-13T00:00:00"/>
    <s v="Standard Class"/>
    <x v="385"/>
    <x v="385"/>
    <s v="Home Office"/>
    <s v="United States"/>
    <s v="Philadelphia"/>
    <x v="9"/>
    <n v="19120"/>
    <x v="3"/>
    <x v="31"/>
    <x v="1"/>
    <x v="8"/>
    <x v="31"/>
    <n v="5.7149999999999999"/>
    <s v="Low"/>
    <n v="5"/>
    <n v="0.7"/>
    <x v="1"/>
    <x v="5"/>
    <n v="-4.7625000000000002"/>
    <n v="-0.83333333333333337"/>
    <n v="1"/>
  </r>
  <r>
    <n v="6527"/>
    <s v="CA-2016-129308"/>
    <d v="2016-07-07T00:00:00"/>
    <x v="0"/>
    <s v="Q3"/>
    <x v="16"/>
    <d v="2016-07-13T00:00:00"/>
    <s v="Standard Class"/>
    <x v="385"/>
    <x v="385"/>
    <s v="Home Office"/>
    <s v="United States"/>
    <s v="Philadelphia"/>
    <x v="9"/>
    <n v="19120"/>
    <x v="3"/>
    <x v="1375"/>
    <x v="1"/>
    <x v="8"/>
    <x v="1360"/>
    <n v="9.42"/>
    <s v="Low"/>
    <n v="5"/>
    <n v="0.7"/>
    <x v="1"/>
    <x v="5"/>
    <n v="-7.85"/>
    <n v="-0.83333333333333326"/>
    <n v="1"/>
  </r>
  <r>
    <n v="6528"/>
    <s v="CA-2016-157791"/>
    <d v="2016-12-23T00:00:00"/>
    <x v="0"/>
    <s v="Q4"/>
    <x v="5"/>
    <d v="2016-12-28T00:00:00"/>
    <s v="Second Class"/>
    <x v="662"/>
    <x v="662"/>
    <s v="Corporate"/>
    <s v="United States"/>
    <s v="Warwick"/>
    <x v="34"/>
    <n v="2886"/>
    <x v="3"/>
    <x v="615"/>
    <x v="2"/>
    <x v="16"/>
    <x v="615"/>
    <n v="1999.96"/>
    <s v="High"/>
    <n v="4"/>
    <n v="0"/>
    <x v="0"/>
    <x v="0"/>
    <n v="899.98199999999997"/>
    <n v="0.44999999999999996"/>
    <n v="0"/>
  </r>
  <r>
    <n v="6529"/>
    <s v="CA-2014-146864"/>
    <d v="2014-12-22T00:00:00"/>
    <x v="2"/>
    <s v="Q4"/>
    <x v="20"/>
    <d v="2014-12-26T00:00:00"/>
    <s v="Standard Class"/>
    <x v="404"/>
    <x v="404"/>
    <s v="Home Office"/>
    <s v="United States"/>
    <s v="New York City"/>
    <x v="15"/>
    <n v="10024"/>
    <x v="3"/>
    <x v="1789"/>
    <x v="1"/>
    <x v="4"/>
    <x v="1779"/>
    <n v="216.4"/>
    <s v="High"/>
    <n v="4"/>
    <n v="0"/>
    <x v="0"/>
    <x v="0"/>
    <n v="56.264000000000003"/>
    <n v="0.26"/>
    <n v="0"/>
  </r>
  <r>
    <n v="6530"/>
    <s v="CA-2014-103744"/>
    <d v="2014-02-23T00:00:00"/>
    <x v="2"/>
    <s v="Q1"/>
    <x v="45"/>
    <d v="2014-02-27T00:00:00"/>
    <s v="Standard Class"/>
    <x v="675"/>
    <x v="675"/>
    <s v="Home Office"/>
    <s v="United States"/>
    <s v="El Paso"/>
    <x v="5"/>
    <n v="79907"/>
    <x v="2"/>
    <x v="865"/>
    <x v="1"/>
    <x v="2"/>
    <x v="859"/>
    <n v="6.9359999999999999"/>
    <s v="Low"/>
    <n v="3"/>
    <n v="0.2"/>
    <x v="2"/>
    <x v="2"/>
    <n v="2.3409"/>
    <n v="0.33750000000000002"/>
    <n v="0"/>
  </r>
  <r>
    <n v="6531"/>
    <s v="CA-2014-103744"/>
    <d v="2014-02-23T00:00:00"/>
    <x v="2"/>
    <s v="Q1"/>
    <x v="45"/>
    <d v="2014-02-27T00:00:00"/>
    <s v="Standard Class"/>
    <x v="675"/>
    <x v="675"/>
    <s v="Home Office"/>
    <s v="United States"/>
    <s v="El Paso"/>
    <x v="5"/>
    <n v="79907"/>
    <x v="2"/>
    <x v="777"/>
    <x v="1"/>
    <x v="8"/>
    <x v="776"/>
    <n v="4.4279999999999999"/>
    <s v="Low"/>
    <n v="3"/>
    <n v="0.8"/>
    <x v="1"/>
    <x v="3"/>
    <n v="-6.8634000000000004"/>
    <n v="-1.55"/>
    <n v="1"/>
  </r>
  <r>
    <n v="6532"/>
    <s v="US-2017-107384"/>
    <d v="2017-12-04T00:00:00"/>
    <x v="3"/>
    <s v="Q4"/>
    <x v="22"/>
    <d v="2017-12-08T00:00:00"/>
    <s v="Standard Class"/>
    <x v="236"/>
    <x v="236"/>
    <s v="Consumer"/>
    <s v="United States"/>
    <s v="Rochester"/>
    <x v="11"/>
    <n v="55901"/>
    <x v="2"/>
    <x v="1039"/>
    <x v="1"/>
    <x v="6"/>
    <x v="1029"/>
    <n v="8.8000000000000007"/>
    <s v="Low"/>
    <n v="5"/>
    <n v="0"/>
    <x v="0"/>
    <x v="0"/>
    <n v="2.552"/>
    <n v="0.28999999999999998"/>
    <n v="0"/>
  </r>
  <r>
    <n v="6533"/>
    <s v="US-2017-107384"/>
    <d v="2017-12-04T00:00:00"/>
    <x v="3"/>
    <s v="Q4"/>
    <x v="22"/>
    <d v="2017-12-08T00:00:00"/>
    <s v="Standard Class"/>
    <x v="236"/>
    <x v="236"/>
    <s v="Consumer"/>
    <s v="United States"/>
    <s v="Rochester"/>
    <x v="11"/>
    <n v="55901"/>
    <x v="2"/>
    <x v="1779"/>
    <x v="2"/>
    <x v="11"/>
    <x v="1769"/>
    <n v="142.80000000000001"/>
    <s v="High"/>
    <n v="1"/>
    <n v="0"/>
    <x v="0"/>
    <x v="0"/>
    <n v="29.988"/>
    <n v="0.21"/>
    <n v="0"/>
  </r>
  <r>
    <n v="6534"/>
    <s v="US-2017-107384"/>
    <d v="2017-12-04T00:00:00"/>
    <x v="3"/>
    <s v="Q4"/>
    <x v="22"/>
    <d v="2017-12-08T00:00:00"/>
    <s v="Standard Class"/>
    <x v="236"/>
    <x v="236"/>
    <s v="Consumer"/>
    <s v="United States"/>
    <s v="Rochester"/>
    <x v="11"/>
    <n v="55901"/>
    <x v="2"/>
    <x v="1593"/>
    <x v="2"/>
    <x v="11"/>
    <x v="1585"/>
    <n v="399.95"/>
    <s v="High"/>
    <n v="5"/>
    <n v="0"/>
    <x v="0"/>
    <x v="0"/>
    <n v="143.982"/>
    <n v="0.36"/>
    <n v="0"/>
  </r>
  <r>
    <n v="6535"/>
    <s v="CA-2014-128209"/>
    <d v="2014-11-17T00:00:00"/>
    <x v="2"/>
    <s v="Q4"/>
    <x v="7"/>
    <d v="2014-11-22T00:00:00"/>
    <s v="Standard Class"/>
    <x v="218"/>
    <x v="218"/>
    <s v="Consumer"/>
    <s v="United States"/>
    <s v="Buffalo"/>
    <x v="15"/>
    <n v="14215"/>
    <x v="3"/>
    <x v="1176"/>
    <x v="1"/>
    <x v="8"/>
    <x v="1162"/>
    <n v="2152.7759999999998"/>
    <s v="High"/>
    <n v="3"/>
    <n v="0.2"/>
    <x v="2"/>
    <x v="2"/>
    <n v="726.56190000000004"/>
    <n v="0.33750000000000002"/>
    <n v="0"/>
  </r>
  <r>
    <n v="6536"/>
    <s v="CA-2014-128209"/>
    <d v="2014-11-17T00:00:00"/>
    <x v="2"/>
    <s v="Q4"/>
    <x v="7"/>
    <d v="2014-11-22T00:00:00"/>
    <s v="Standard Class"/>
    <x v="218"/>
    <x v="218"/>
    <s v="Consumer"/>
    <s v="United States"/>
    <s v="Buffalo"/>
    <x v="15"/>
    <n v="14215"/>
    <x v="3"/>
    <x v="1248"/>
    <x v="0"/>
    <x v="0"/>
    <x v="1232"/>
    <n v="4007.84"/>
    <s v="High"/>
    <n v="10"/>
    <n v="0.2"/>
    <x v="2"/>
    <x v="2"/>
    <n v="-50.097999999999999"/>
    <n v="-1.2499999999999999E-2"/>
    <n v="1"/>
  </r>
  <r>
    <n v="6537"/>
    <s v="CA-2014-169684"/>
    <d v="2014-10-20T00:00:00"/>
    <x v="2"/>
    <s v="Q4"/>
    <x v="18"/>
    <d v="2014-10-23T00:00:00"/>
    <s v="First Class"/>
    <x v="92"/>
    <x v="92"/>
    <s v="Corporate"/>
    <s v="United States"/>
    <s v="Knoxville"/>
    <x v="18"/>
    <n v="37918"/>
    <x v="0"/>
    <x v="962"/>
    <x v="0"/>
    <x v="3"/>
    <x v="955"/>
    <n v="328.59"/>
    <s v="High"/>
    <n v="3"/>
    <n v="0.4"/>
    <x v="1"/>
    <x v="7"/>
    <n v="-147.8655"/>
    <n v="-0.45"/>
    <n v="1"/>
  </r>
  <r>
    <n v="6538"/>
    <s v="CA-2014-169684"/>
    <d v="2014-10-20T00:00:00"/>
    <x v="2"/>
    <s v="Q4"/>
    <x v="18"/>
    <d v="2014-10-23T00:00:00"/>
    <s v="First Class"/>
    <x v="92"/>
    <x v="92"/>
    <s v="Corporate"/>
    <s v="United States"/>
    <s v="Knoxville"/>
    <x v="18"/>
    <n v="37918"/>
    <x v="0"/>
    <x v="356"/>
    <x v="1"/>
    <x v="4"/>
    <x v="356"/>
    <n v="98.352000000000004"/>
    <s v="Medium"/>
    <n v="3"/>
    <n v="0.2"/>
    <x v="2"/>
    <x v="2"/>
    <n v="-24.588000000000001"/>
    <n v="-0.25"/>
    <n v="1"/>
  </r>
  <r>
    <n v="6539"/>
    <s v="CA-2015-109862"/>
    <d v="2015-10-25T00:00:00"/>
    <x v="1"/>
    <s v="Q4"/>
    <x v="2"/>
    <d v="2015-10-30T00:00:00"/>
    <s v="Standard Class"/>
    <x v="96"/>
    <x v="96"/>
    <s v="Corporate"/>
    <s v="United States"/>
    <s v="Newark"/>
    <x v="13"/>
    <n v="19711"/>
    <x v="3"/>
    <x v="559"/>
    <x v="2"/>
    <x v="7"/>
    <x v="558"/>
    <n v="158.99"/>
    <s v="High"/>
    <n v="1"/>
    <n v="0"/>
    <x v="0"/>
    <x v="0"/>
    <n v="41.337400000000002"/>
    <n v="0.26"/>
    <n v="0"/>
  </r>
  <r>
    <n v="6540"/>
    <s v="CA-2015-109862"/>
    <d v="2015-10-25T00:00:00"/>
    <x v="1"/>
    <s v="Q4"/>
    <x v="2"/>
    <d v="2015-10-30T00:00:00"/>
    <s v="Standard Class"/>
    <x v="96"/>
    <x v="96"/>
    <s v="Corporate"/>
    <s v="United States"/>
    <s v="Newark"/>
    <x v="13"/>
    <n v="19711"/>
    <x v="3"/>
    <x v="1340"/>
    <x v="0"/>
    <x v="1"/>
    <x v="1325"/>
    <n v="291.10000000000002"/>
    <s v="High"/>
    <n v="5"/>
    <n v="0"/>
    <x v="0"/>
    <x v="0"/>
    <n v="75.686000000000007"/>
    <n v="0.26"/>
    <n v="0"/>
  </r>
  <r>
    <n v="6541"/>
    <s v="US-2017-107888"/>
    <d v="2017-11-16T00:00:00"/>
    <x v="3"/>
    <s v="Q4"/>
    <x v="23"/>
    <d v="2017-11-19T00:00:00"/>
    <s v="First Class"/>
    <x v="417"/>
    <x v="417"/>
    <s v="Consumer"/>
    <s v="United States"/>
    <s v="Seattle"/>
    <x v="4"/>
    <n v="98103"/>
    <x v="1"/>
    <x v="1635"/>
    <x v="1"/>
    <x v="10"/>
    <x v="1625"/>
    <n v="73.680000000000007"/>
    <s v="Medium"/>
    <n v="6"/>
    <n v="0"/>
    <x v="0"/>
    <x v="0"/>
    <n v="34.629600000000003"/>
    <n v="0.47000000000000003"/>
    <n v="0"/>
  </r>
  <r>
    <n v="6542"/>
    <s v="US-2017-107888"/>
    <d v="2017-11-16T00:00:00"/>
    <x v="3"/>
    <s v="Q4"/>
    <x v="23"/>
    <d v="2017-11-19T00:00:00"/>
    <s v="First Class"/>
    <x v="417"/>
    <x v="417"/>
    <s v="Consumer"/>
    <s v="United States"/>
    <s v="Seattle"/>
    <x v="4"/>
    <n v="98103"/>
    <x v="1"/>
    <x v="583"/>
    <x v="0"/>
    <x v="5"/>
    <x v="583"/>
    <n v="139.91999999999999"/>
    <s v="High"/>
    <n v="2"/>
    <n v="0"/>
    <x v="0"/>
    <x v="0"/>
    <n v="23.7864"/>
    <n v="0.17"/>
    <n v="0"/>
  </r>
  <r>
    <n v="6543"/>
    <s v="US-2017-107888"/>
    <d v="2017-11-16T00:00:00"/>
    <x v="3"/>
    <s v="Q4"/>
    <x v="23"/>
    <d v="2017-11-19T00:00:00"/>
    <s v="First Class"/>
    <x v="417"/>
    <x v="417"/>
    <s v="Consumer"/>
    <s v="United States"/>
    <s v="Seattle"/>
    <x v="4"/>
    <n v="98103"/>
    <x v="1"/>
    <x v="1517"/>
    <x v="2"/>
    <x v="7"/>
    <x v="1504"/>
    <n v="107.88"/>
    <s v="Medium"/>
    <n v="3"/>
    <n v="0.2"/>
    <x v="2"/>
    <x v="2"/>
    <n v="10.788"/>
    <n v="0.1"/>
    <n v="0"/>
  </r>
  <r>
    <n v="6544"/>
    <s v="US-2017-107888"/>
    <d v="2017-11-16T00:00:00"/>
    <x v="3"/>
    <s v="Q4"/>
    <x v="23"/>
    <d v="2017-11-19T00:00:00"/>
    <s v="First Class"/>
    <x v="417"/>
    <x v="417"/>
    <s v="Consumer"/>
    <s v="United States"/>
    <s v="Seattle"/>
    <x v="4"/>
    <n v="98103"/>
    <x v="1"/>
    <x v="1291"/>
    <x v="1"/>
    <x v="4"/>
    <x v="1277"/>
    <n v="33.29"/>
    <s v="Medium"/>
    <n v="1"/>
    <n v="0"/>
    <x v="0"/>
    <x v="0"/>
    <n v="7.9896000000000003"/>
    <n v="0.24000000000000002"/>
    <n v="0"/>
  </r>
  <r>
    <n v="6545"/>
    <s v="US-2017-154872"/>
    <d v="2017-05-14T00:00:00"/>
    <x v="3"/>
    <s v="Q2"/>
    <x v="24"/>
    <d v="2017-05-18T00:00:00"/>
    <s v="Standard Class"/>
    <x v="24"/>
    <x v="24"/>
    <s v="Consumer"/>
    <s v="United States"/>
    <s v="Cleveland"/>
    <x v="24"/>
    <n v="44105"/>
    <x v="3"/>
    <x v="1561"/>
    <x v="1"/>
    <x v="8"/>
    <x v="1551"/>
    <n v="58.17"/>
    <s v="Medium"/>
    <n v="5"/>
    <n v="0.7"/>
    <x v="1"/>
    <x v="5"/>
    <n v="-46.536000000000001"/>
    <n v="-0.8"/>
    <n v="1"/>
  </r>
  <r>
    <n v="6546"/>
    <s v="US-2017-154872"/>
    <d v="2017-05-14T00:00:00"/>
    <x v="3"/>
    <s v="Q2"/>
    <x v="24"/>
    <d v="2017-05-18T00:00:00"/>
    <s v="Standard Class"/>
    <x v="24"/>
    <x v="24"/>
    <s v="Consumer"/>
    <s v="United States"/>
    <s v="Cleveland"/>
    <x v="24"/>
    <n v="44105"/>
    <x v="3"/>
    <x v="840"/>
    <x v="1"/>
    <x v="2"/>
    <x v="834"/>
    <n v="5.04"/>
    <s v="Low"/>
    <n v="2"/>
    <n v="0.2"/>
    <x v="2"/>
    <x v="2"/>
    <n v="1.764"/>
    <n v="0.35"/>
    <n v="0"/>
  </r>
  <r>
    <n v="6547"/>
    <s v="US-2017-154872"/>
    <d v="2017-05-14T00:00:00"/>
    <x v="3"/>
    <s v="Q2"/>
    <x v="24"/>
    <d v="2017-05-18T00:00:00"/>
    <s v="Standard Class"/>
    <x v="24"/>
    <x v="24"/>
    <s v="Consumer"/>
    <s v="United States"/>
    <s v="Cleveland"/>
    <x v="24"/>
    <n v="44105"/>
    <x v="3"/>
    <x v="1693"/>
    <x v="1"/>
    <x v="10"/>
    <x v="1681"/>
    <n v="24.783999999999999"/>
    <s v="Low"/>
    <n v="1"/>
    <n v="0.2"/>
    <x v="2"/>
    <x v="2"/>
    <n v="7.7450000000000001"/>
    <n v="0.3125"/>
    <n v="0"/>
  </r>
  <r>
    <n v="6548"/>
    <s v="CA-2014-113880"/>
    <d v="2014-03-01T00:00:00"/>
    <x v="2"/>
    <s v="Q1"/>
    <x v="34"/>
    <d v="2014-03-05T00:00:00"/>
    <s v="Standard Class"/>
    <x v="665"/>
    <x v="665"/>
    <s v="Home Office"/>
    <s v="United States"/>
    <s v="Elmhurst"/>
    <x v="10"/>
    <n v="60126"/>
    <x v="2"/>
    <x v="83"/>
    <x v="0"/>
    <x v="1"/>
    <x v="83"/>
    <n v="634.11599999999999"/>
    <s v="High"/>
    <n v="6"/>
    <n v="0.3"/>
    <x v="1"/>
    <x v="4"/>
    <n v="-172.1172"/>
    <n v="-0.27142857142857141"/>
    <n v="1"/>
  </r>
  <r>
    <n v="6549"/>
    <s v="CA-2014-113880"/>
    <d v="2014-03-01T00:00:00"/>
    <x v="2"/>
    <s v="Q1"/>
    <x v="34"/>
    <d v="2014-03-05T00:00:00"/>
    <s v="Standard Class"/>
    <x v="665"/>
    <x v="665"/>
    <s v="Home Office"/>
    <s v="United States"/>
    <s v="Elmhurst"/>
    <x v="10"/>
    <n v="60126"/>
    <x v="2"/>
    <x v="1749"/>
    <x v="1"/>
    <x v="10"/>
    <x v="1739"/>
    <n v="17.472000000000001"/>
    <s v="Low"/>
    <n v="3"/>
    <n v="0.2"/>
    <x v="2"/>
    <x v="2"/>
    <n v="5.6783999999999999"/>
    <n v="0.32499999999999996"/>
    <n v="0"/>
  </r>
  <r>
    <n v="6550"/>
    <s v="US-2015-164966"/>
    <d v="2015-07-30T00:00:00"/>
    <x v="1"/>
    <s v="Q3"/>
    <x v="38"/>
    <d v="2015-08-01T00:00:00"/>
    <s v="First Class"/>
    <x v="689"/>
    <x v="689"/>
    <s v="Home Office"/>
    <s v="United States"/>
    <s v="Lakeville"/>
    <x v="11"/>
    <n v="55044"/>
    <x v="2"/>
    <x v="792"/>
    <x v="0"/>
    <x v="1"/>
    <x v="790"/>
    <n v="155.88"/>
    <s v="High"/>
    <n v="6"/>
    <n v="0"/>
    <x v="0"/>
    <x v="0"/>
    <n v="38.97"/>
    <n v="0.25"/>
    <n v="0"/>
  </r>
  <r>
    <n v="6551"/>
    <s v="CA-2015-126739"/>
    <d v="2015-11-01T00:00:00"/>
    <x v="1"/>
    <s v="Q4"/>
    <x v="6"/>
    <d v="2015-11-03T00:00:00"/>
    <s v="Second Class"/>
    <x v="423"/>
    <x v="423"/>
    <s v="Consumer"/>
    <s v="United States"/>
    <s v="New York City"/>
    <x v="15"/>
    <n v="10035"/>
    <x v="3"/>
    <x v="1455"/>
    <x v="0"/>
    <x v="1"/>
    <x v="1441"/>
    <n v="327.56400000000002"/>
    <s v="High"/>
    <n v="4"/>
    <n v="0.1"/>
    <x v="3"/>
    <x v="8"/>
    <n v="21.837599999999998"/>
    <n v="6.6666666666666652E-2"/>
    <n v="0"/>
  </r>
  <r>
    <n v="6552"/>
    <s v="CA-2017-161578"/>
    <d v="2017-12-16T00:00:00"/>
    <x v="3"/>
    <s v="Q4"/>
    <x v="22"/>
    <d v="2017-12-21T00:00:00"/>
    <s v="Second Class"/>
    <x v="46"/>
    <x v="46"/>
    <s v="Home Office"/>
    <s v="United States"/>
    <s v="Los Angeles"/>
    <x v="1"/>
    <n v="90036"/>
    <x v="1"/>
    <x v="481"/>
    <x v="1"/>
    <x v="10"/>
    <x v="482"/>
    <n v="13.36"/>
    <s v="Low"/>
    <n v="2"/>
    <n v="0"/>
    <x v="0"/>
    <x v="0"/>
    <n v="6.4127999999999998"/>
    <n v="0.48"/>
    <n v="0"/>
  </r>
  <r>
    <n v="6553"/>
    <s v="CA-2017-161578"/>
    <d v="2017-12-16T00:00:00"/>
    <x v="3"/>
    <s v="Q4"/>
    <x v="22"/>
    <d v="2017-12-21T00:00:00"/>
    <s v="Second Class"/>
    <x v="46"/>
    <x v="46"/>
    <s v="Home Office"/>
    <s v="United States"/>
    <s v="Los Angeles"/>
    <x v="1"/>
    <n v="90036"/>
    <x v="1"/>
    <x v="967"/>
    <x v="1"/>
    <x v="4"/>
    <x v="960"/>
    <n v="158.9"/>
    <s v="High"/>
    <n v="5"/>
    <n v="0"/>
    <x v="0"/>
    <x v="0"/>
    <n v="7.9450000000000003"/>
    <n v="0.05"/>
    <n v="0"/>
  </r>
  <r>
    <n v="6554"/>
    <s v="CA-2014-137092"/>
    <d v="2014-10-20T00:00:00"/>
    <x v="2"/>
    <s v="Q4"/>
    <x v="18"/>
    <d v="2014-10-22T00:00:00"/>
    <s v="Second Class"/>
    <x v="60"/>
    <x v="60"/>
    <s v="Home Office"/>
    <s v="United States"/>
    <s v="Chicago"/>
    <x v="10"/>
    <n v="60653"/>
    <x v="2"/>
    <x v="590"/>
    <x v="2"/>
    <x v="11"/>
    <x v="590"/>
    <n v="319.96800000000002"/>
    <s v="High"/>
    <n v="4"/>
    <n v="0.2"/>
    <x v="2"/>
    <x v="2"/>
    <n v="71.992800000000003"/>
    <n v="0.22500000000000001"/>
    <n v="0"/>
  </r>
  <r>
    <n v="6555"/>
    <s v="CA-2014-137092"/>
    <d v="2014-10-20T00:00:00"/>
    <x v="2"/>
    <s v="Q4"/>
    <x v="18"/>
    <d v="2014-10-22T00:00:00"/>
    <s v="Second Class"/>
    <x v="60"/>
    <x v="60"/>
    <s v="Home Office"/>
    <s v="United States"/>
    <s v="Chicago"/>
    <x v="10"/>
    <n v="60653"/>
    <x v="2"/>
    <x v="1672"/>
    <x v="1"/>
    <x v="4"/>
    <x v="1660"/>
    <n v="505.32"/>
    <s v="High"/>
    <n v="3"/>
    <n v="0.2"/>
    <x v="2"/>
    <x v="2"/>
    <n v="31.5825"/>
    <n v="6.25E-2"/>
    <n v="0"/>
  </r>
  <r>
    <n v="6556"/>
    <s v="CA-2014-137092"/>
    <d v="2014-10-20T00:00:00"/>
    <x v="2"/>
    <s v="Q4"/>
    <x v="18"/>
    <d v="2014-10-22T00:00:00"/>
    <s v="Second Class"/>
    <x v="60"/>
    <x v="60"/>
    <s v="Home Office"/>
    <s v="United States"/>
    <s v="Chicago"/>
    <x v="10"/>
    <n v="60653"/>
    <x v="2"/>
    <x v="1790"/>
    <x v="1"/>
    <x v="10"/>
    <x v="1780"/>
    <n v="3.8079999999999998"/>
    <s v="Low"/>
    <n v="1"/>
    <n v="0.2"/>
    <x v="2"/>
    <x v="2"/>
    <n v="1.2376"/>
    <n v="0.32500000000000001"/>
    <n v="0"/>
  </r>
  <r>
    <n v="6557"/>
    <s v="CA-2014-137092"/>
    <d v="2014-10-20T00:00:00"/>
    <x v="2"/>
    <s v="Q4"/>
    <x v="18"/>
    <d v="2014-10-22T00:00:00"/>
    <s v="Second Class"/>
    <x v="60"/>
    <x v="60"/>
    <s v="Home Office"/>
    <s v="United States"/>
    <s v="Chicago"/>
    <x v="10"/>
    <n v="60653"/>
    <x v="2"/>
    <x v="1311"/>
    <x v="1"/>
    <x v="8"/>
    <x v="1297"/>
    <n v="8.6820000000000004"/>
    <s v="Low"/>
    <n v="1"/>
    <n v="0.8"/>
    <x v="1"/>
    <x v="3"/>
    <n v="-14.759399999999999"/>
    <n v="-1.7"/>
    <n v="1"/>
  </r>
  <r>
    <n v="6558"/>
    <s v="CA-2014-137092"/>
    <d v="2014-10-20T00:00:00"/>
    <x v="2"/>
    <s v="Q4"/>
    <x v="18"/>
    <d v="2014-10-22T00:00:00"/>
    <s v="Second Class"/>
    <x v="60"/>
    <x v="60"/>
    <s v="Home Office"/>
    <s v="United States"/>
    <s v="Chicago"/>
    <x v="10"/>
    <n v="60653"/>
    <x v="2"/>
    <x v="580"/>
    <x v="1"/>
    <x v="2"/>
    <x v="580"/>
    <n v="24.423999999999999"/>
    <s v="Low"/>
    <n v="1"/>
    <n v="0.2"/>
    <x v="2"/>
    <x v="2"/>
    <n v="7.9378000000000002"/>
    <n v="0.32500000000000001"/>
    <n v="0"/>
  </r>
  <r>
    <n v="6559"/>
    <s v="CA-2015-166947"/>
    <d v="2015-06-05T00:00:00"/>
    <x v="1"/>
    <s v="Q2"/>
    <x v="40"/>
    <d v="2015-06-10T00:00:00"/>
    <s v="Standard Class"/>
    <x v="494"/>
    <x v="494"/>
    <s v="Corporate"/>
    <s v="United States"/>
    <s v="Buffalo"/>
    <x v="15"/>
    <n v="14215"/>
    <x v="3"/>
    <x v="499"/>
    <x v="0"/>
    <x v="1"/>
    <x v="499"/>
    <n v="1522.6379999999999"/>
    <s v="High"/>
    <n v="9"/>
    <n v="0.1"/>
    <x v="3"/>
    <x v="8"/>
    <n v="169.18199999999999"/>
    <n v="0.1111111111111111"/>
    <n v="0"/>
  </r>
  <r>
    <n v="6560"/>
    <s v="CA-2016-160941"/>
    <d v="2016-07-21T00:00:00"/>
    <x v="0"/>
    <s v="Q3"/>
    <x v="16"/>
    <d v="2016-07-26T00:00:00"/>
    <s v="Standard Class"/>
    <x v="460"/>
    <x v="460"/>
    <s v="Corporate"/>
    <s v="United States"/>
    <s v="Roseville"/>
    <x v="1"/>
    <n v="95661"/>
    <x v="1"/>
    <x v="970"/>
    <x v="1"/>
    <x v="12"/>
    <x v="964"/>
    <n v="419.9"/>
    <s v="High"/>
    <n v="5"/>
    <n v="0"/>
    <x v="0"/>
    <x v="0"/>
    <n v="197.35300000000001"/>
    <n v="0.47000000000000003"/>
    <n v="0"/>
  </r>
  <r>
    <n v="6561"/>
    <s v="CA-2016-160941"/>
    <d v="2016-07-21T00:00:00"/>
    <x v="0"/>
    <s v="Q3"/>
    <x v="16"/>
    <d v="2016-07-26T00:00:00"/>
    <s v="Standard Class"/>
    <x v="460"/>
    <x v="460"/>
    <s v="Corporate"/>
    <s v="United States"/>
    <s v="Roseville"/>
    <x v="1"/>
    <n v="95661"/>
    <x v="1"/>
    <x v="365"/>
    <x v="1"/>
    <x v="2"/>
    <x v="365"/>
    <n v="3.15"/>
    <s v="Low"/>
    <n v="1"/>
    <n v="0"/>
    <x v="0"/>
    <x v="0"/>
    <n v="1.512"/>
    <n v="0.48000000000000004"/>
    <n v="0"/>
  </r>
  <r>
    <n v="6562"/>
    <s v="CA-2017-144680"/>
    <d v="2017-03-31T00:00:00"/>
    <x v="3"/>
    <s v="Q1"/>
    <x v="42"/>
    <d v="2017-04-02T00:00:00"/>
    <s v="First Class"/>
    <x v="609"/>
    <x v="609"/>
    <s v="Corporate"/>
    <s v="United States"/>
    <s v="Arlington"/>
    <x v="5"/>
    <n v="76017"/>
    <x v="2"/>
    <x v="731"/>
    <x v="1"/>
    <x v="9"/>
    <x v="730"/>
    <n v="33.619999999999997"/>
    <s v="Medium"/>
    <n v="5"/>
    <n v="0.8"/>
    <x v="1"/>
    <x v="3"/>
    <n v="-90.774000000000001"/>
    <n v="-2.7"/>
    <n v="1"/>
  </r>
  <r>
    <n v="6563"/>
    <s v="CA-2014-166086"/>
    <d v="2014-05-07T00:00:00"/>
    <x v="2"/>
    <s v="Q2"/>
    <x v="8"/>
    <d v="2014-05-12T00:00:00"/>
    <s v="Standard Class"/>
    <x v="564"/>
    <x v="564"/>
    <s v="Consumer"/>
    <s v="United States"/>
    <s v="Lawrence"/>
    <x v="31"/>
    <n v="1841"/>
    <x v="3"/>
    <x v="61"/>
    <x v="1"/>
    <x v="8"/>
    <x v="61"/>
    <n v="16.14"/>
    <s v="Low"/>
    <n v="3"/>
    <n v="0"/>
    <x v="0"/>
    <x v="0"/>
    <n v="7.9085999999999999"/>
    <n v="0.49"/>
    <n v="0"/>
  </r>
  <r>
    <n v="6564"/>
    <s v="CA-2014-166086"/>
    <d v="2014-05-07T00:00:00"/>
    <x v="2"/>
    <s v="Q2"/>
    <x v="8"/>
    <d v="2014-05-12T00:00:00"/>
    <s v="Standard Class"/>
    <x v="564"/>
    <x v="564"/>
    <s v="Consumer"/>
    <s v="United States"/>
    <s v="Lawrence"/>
    <x v="31"/>
    <n v="1841"/>
    <x v="3"/>
    <x v="1582"/>
    <x v="0"/>
    <x v="3"/>
    <x v="1573"/>
    <n v="194.25"/>
    <s v="High"/>
    <n v="2"/>
    <n v="0.3"/>
    <x v="1"/>
    <x v="4"/>
    <n v="-38.85"/>
    <n v="-0.2"/>
    <n v="1"/>
  </r>
  <r>
    <n v="6565"/>
    <s v="CA-2014-166086"/>
    <d v="2014-05-07T00:00:00"/>
    <x v="2"/>
    <s v="Q2"/>
    <x v="8"/>
    <d v="2014-05-12T00:00:00"/>
    <s v="Standard Class"/>
    <x v="564"/>
    <x v="564"/>
    <s v="Consumer"/>
    <s v="United States"/>
    <s v="Lawrence"/>
    <x v="31"/>
    <n v="1841"/>
    <x v="3"/>
    <x v="671"/>
    <x v="1"/>
    <x v="6"/>
    <x v="671"/>
    <n v="8.64"/>
    <s v="Low"/>
    <n v="3"/>
    <n v="0"/>
    <x v="0"/>
    <x v="0"/>
    <n v="2.5055999999999998"/>
    <n v="0.28999999999999998"/>
    <n v="0"/>
  </r>
  <r>
    <n v="6566"/>
    <s v="CA-2014-166086"/>
    <d v="2014-05-07T00:00:00"/>
    <x v="2"/>
    <s v="Q2"/>
    <x v="8"/>
    <d v="2014-05-12T00:00:00"/>
    <s v="Standard Class"/>
    <x v="564"/>
    <x v="564"/>
    <s v="Consumer"/>
    <s v="United States"/>
    <s v="Lawrence"/>
    <x v="31"/>
    <n v="1841"/>
    <x v="3"/>
    <x v="635"/>
    <x v="0"/>
    <x v="1"/>
    <x v="635"/>
    <n v="872.32"/>
    <s v="High"/>
    <n v="4"/>
    <n v="0"/>
    <x v="0"/>
    <x v="0"/>
    <n v="244.24959999999999"/>
    <n v="0.27999999999999997"/>
    <n v="0"/>
  </r>
  <r>
    <n v="6567"/>
    <s v="CA-2017-131282"/>
    <d v="2017-02-05T00:00:00"/>
    <x v="3"/>
    <s v="Q1"/>
    <x v="31"/>
    <d v="2017-02-08T00:00:00"/>
    <s v="Second Class"/>
    <x v="90"/>
    <x v="90"/>
    <s v="Consumer"/>
    <s v="United States"/>
    <s v="Waco"/>
    <x v="5"/>
    <n v="76706"/>
    <x v="2"/>
    <x v="569"/>
    <x v="1"/>
    <x v="8"/>
    <x v="569"/>
    <n v="243.99199999999999"/>
    <s v="High"/>
    <n v="4"/>
    <n v="0.8"/>
    <x v="1"/>
    <x v="3"/>
    <n v="-426.98599999999999"/>
    <n v="-1.75"/>
    <n v="1"/>
  </r>
  <r>
    <n v="6568"/>
    <s v="CA-2017-131282"/>
    <d v="2017-02-05T00:00:00"/>
    <x v="3"/>
    <s v="Q1"/>
    <x v="31"/>
    <d v="2017-02-08T00:00:00"/>
    <s v="Second Class"/>
    <x v="90"/>
    <x v="90"/>
    <s v="Consumer"/>
    <s v="United States"/>
    <s v="Waco"/>
    <x v="5"/>
    <n v="76706"/>
    <x v="2"/>
    <x v="1325"/>
    <x v="1"/>
    <x v="6"/>
    <x v="772"/>
    <n v="7.12"/>
    <s v="Low"/>
    <n v="5"/>
    <n v="0.2"/>
    <x v="2"/>
    <x v="2"/>
    <n v="0.71199999999999997"/>
    <n v="9.9999999999999992E-2"/>
    <n v="0"/>
  </r>
  <r>
    <n v="6569"/>
    <s v="CA-2014-100678"/>
    <d v="2014-04-18T00:00:00"/>
    <x v="2"/>
    <s v="Q2"/>
    <x v="41"/>
    <d v="2014-04-22T00:00:00"/>
    <s v="Standard Class"/>
    <x v="27"/>
    <x v="27"/>
    <s v="Consumer"/>
    <s v="United States"/>
    <s v="Houston"/>
    <x v="5"/>
    <n v="77095"/>
    <x v="2"/>
    <x v="59"/>
    <x v="1"/>
    <x v="6"/>
    <x v="59"/>
    <n v="2.6880000000000002"/>
    <s v="Low"/>
    <n v="2"/>
    <n v="0.2"/>
    <x v="2"/>
    <x v="2"/>
    <n v="1.008"/>
    <n v="0.375"/>
    <n v="0"/>
  </r>
  <r>
    <n v="6570"/>
    <s v="CA-2014-100678"/>
    <d v="2014-04-18T00:00:00"/>
    <x v="2"/>
    <s v="Q2"/>
    <x v="41"/>
    <d v="2014-04-22T00:00:00"/>
    <s v="Standard Class"/>
    <x v="27"/>
    <x v="27"/>
    <s v="Consumer"/>
    <s v="United States"/>
    <s v="Houston"/>
    <x v="5"/>
    <n v="77095"/>
    <x v="2"/>
    <x v="291"/>
    <x v="0"/>
    <x v="1"/>
    <x v="291"/>
    <n v="317.05799999999999"/>
    <s v="High"/>
    <n v="3"/>
    <n v="0.3"/>
    <x v="1"/>
    <x v="4"/>
    <n v="-18.117599999999999"/>
    <n v="-5.7142857142857141E-2"/>
    <n v="1"/>
  </r>
  <r>
    <n v="6571"/>
    <s v="CA-2014-100678"/>
    <d v="2014-04-18T00:00:00"/>
    <x v="2"/>
    <s v="Q2"/>
    <x v="41"/>
    <d v="2014-04-22T00:00:00"/>
    <s v="Standard Class"/>
    <x v="27"/>
    <x v="27"/>
    <s v="Consumer"/>
    <s v="United States"/>
    <s v="Houston"/>
    <x v="5"/>
    <n v="77095"/>
    <x v="2"/>
    <x v="633"/>
    <x v="1"/>
    <x v="12"/>
    <x v="633"/>
    <n v="149.352"/>
    <s v="High"/>
    <n v="3"/>
    <n v="0.2"/>
    <x v="2"/>
    <x v="2"/>
    <n v="50.406300000000002"/>
    <n v="0.33750000000000002"/>
    <n v="0"/>
  </r>
  <r>
    <n v="6572"/>
    <s v="CA-2014-100678"/>
    <d v="2014-04-18T00:00:00"/>
    <x v="2"/>
    <s v="Q2"/>
    <x v="41"/>
    <d v="2014-04-22T00:00:00"/>
    <s v="Standard Class"/>
    <x v="27"/>
    <x v="27"/>
    <s v="Consumer"/>
    <s v="United States"/>
    <s v="Houston"/>
    <x v="5"/>
    <n v="77095"/>
    <x v="2"/>
    <x v="1523"/>
    <x v="2"/>
    <x v="11"/>
    <x v="1510"/>
    <n v="227.976"/>
    <s v="High"/>
    <n v="3"/>
    <n v="0.2"/>
    <x v="2"/>
    <x v="2"/>
    <n v="28.497"/>
    <n v="0.125"/>
    <n v="0"/>
  </r>
  <r>
    <n v="6573"/>
    <s v="CA-2016-161543"/>
    <d v="2016-05-10T00:00:00"/>
    <x v="0"/>
    <s v="Q2"/>
    <x v="35"/>
    <d v="2016-05-16T00:00:00"/>
    <s v="Standard Class"/>
    <x v="742"/>
    <x v="742"/>
    <s v="Consumer"/>
    <s v="United States"/>
    <s v="Seattle"/>
    <x v="4"/>
    <n v="98105"/>
    <x v="1"/>
    <x v="1296"/>
    <x v="1"/>
    <x v="10"/>
    <x v="1281"/>
    <n v="11.96"/>
    <s v="Low"/>
    <n v="2"/>
    <n v="0"/>
    <x v="0"/>
    <x v="0"/>
    <n v="5.8604000000000003"/>
    <n v="0.49"/>
    <n v="0"/>
  </r>
  <r>
    <n v="6574"/>
    <s v="CA-2016-160535"/>
    <d v="2016-11-25T00:00:00"/>
    <x v="0"/>
    <s v="Q4"/>
    <x v="0"/>
    <d v="2016-11-30T00:00:00"/>
    <s v="Standard Class"/>
    <x v="771"/>
    <x v="771"/>
    <s v="Corporate"/>
    <s v="United States"/>
    <s v="Plainfield"/>
    <x v="30"/>
    <n v="7060"/>
    <x v="3"/>
    <x v="426"/>
    <x v="1"/>
    <x v="4"/>
    <x v="426"/>
    <n v="563.4"/>
    <s v="High"/>
    <n v="4"/>
    <n v="0"/>
    <x v="0"/>
    <x v="0"/>
    <n v="67.608000000000004"/>
    <n v="0.12000000000000001"/>
    <n v="0"/>
  </r>
  <r>
    <n v="6575"/>
    <s v="CA-2016-160535"/>
    <d v="2016-11-25T00:00:00"/>
    <x v="0"/>
    <s v="Q4"/>
    <x v="0"/>
    <d v="2016-11-30T00:00:00"/>
    <s v="Standard Class"/>
    <x v="771"/>
    <x v="771"/>
    <s v="Corporate"/>
    <s v="United States"/>
    <s v="Plainfield"/>
    <x v="30"/>
    <n v="7060"/>
    <x v="3"/>
    <x v="1791"/>
    <x v="2"/>
    <x v="15"/>
    <x v="1781"/>
    <n v="319.92"/>
    <s v="High"/>
    <n v="8"/>
    <n v="0"/>
    <x v="0"/>
    <x v="0"/>
    <n v="118.3704"/>
    <n v="0.37"/>
    <n v="0"/>
  </r>
  <r>
    <n v="6576"/>
    <s v="CA-2017-123085"/>
    <d v="2017-03-03T00:00:00"/>
    <x v="3"/>
    <s v="Q1"/>
    <x v="42"/>
    <d v="2017-03-08T00:00:00"/>
    <s v="Standard Class"/>
    <x v="719"/>
    <x v="719"/>
    <s v="Consumer"/>
    <s v="United States"/>
    <s v="Los Angeles"/>
    <x v="1"/>
    <n v="90008"/>
    <x v="1"/>
    <x v="1543"/>
    <x v="2"/>
    <x v="11"/>
    <x v="1531"/>
    <n v="1049.44"/>
    <s v="High"/>
    <n v="8"/>
    <n v="0"/>
    <x v="0"/>
    <x v="0"/>
    <n v="440.76479999999998"/>
    <n v="0.42"/>
    <n v="0"/>
  </r>
  <r>
    <n v="6577"/>
    <s v="CA-2017-123085"/>
    <d v="2017-03-03T00:00:00"/>
    <x v="3"/>
    <s v="Q1"/>
    <x v="42"/>
    <d v="2017-03-08T00:00:00"/>
    <s v="Standard Class"/>
    <x v="719"/>
    <x v="719"/>
    <s v="Consumer"/>
    <s v="United States"/>
    <s v="Los Angeles"/>
    <x v="1"/>
    <n v="90008"/>
    <x v="1"/>
    <x v="56"/>
    <x v="0"/>
    <x v="1"/>
    <x v="56"/>
    <n v="170.352"/>
    <s v="High"/>
    <n v="3"/>
    <n v="0.2"/>
    <x v="2"/>
    <x v="2"/>
    <n v="-17.0352"/>
    <n v="-9.9999999999999992E-2"/>
    <n v="1"/>
  </r>
  <r>
    <n v="6578"/>
    <s v="CA-2015-153752"/>
    <d v="2015-12-06T00:00:00"/>
    <x v="1"/>
    <s v="Q4"/>
    <x v="14"/>
    <d v="2015-12-11T00:00:00"/>
    <s v="Second Class"/>
    <x v="197"/>
    <x v="197"/>
    <s v="Consumer"/>
    <s v="United States"/>
    <s v="Arlington"/>
    <x v="17"/>
    <n v="22204"/>
    <x v="0"/>
    <x v="1129"/>
    <x v="2"/>
    <x v="7"/>
    <x v="1117"/>
    <n v="173.94"/>
    <s v="High"/>
    <n v="6"/>
    <n v="0"/>
    <x v="0"/>
    <x v="0"/>
    <n v="50.442599999999999"/>
    <n v="0.28999999999999998"/>
    <n v="0"/>
  </r>
  <r>
    <n v="6579"/>
    <s v="CA-2014-103660"/>
    <d v="2014-08-25T00:00:00"/>
    <x v="2"/>
    <s v="Q3"/>
    <x v="9"/>
    <d v="2014-08-30T00:00:00"/>
    <s v="Standard Class"/>
    <x v="596"/>
    <x v="596"/>
    <s v="Consumer"/>
    <s v="United States"/>
    <s v="Seattle"/>
    <x v="4"/>
    <n v="98103"/>
    <x v="1"/>
    <x v="1149"/>
    <x v="2"/>
    <x v="7"/>
    <x v="1137"/>
    <n v="1007.944"/>
    <s v="High"/>
    <n v="7"/>
    <n v="0.2"/>
    <x v="2"/>
    <x v="2"/>
    <n v="75.595799999999997"/>
    <n v="7.4999999999999997E-2"/>
    <n v="0"/>
  </r>
  <r>
    <n v="6580"/>
    <s v="CA-2016-169887"/>
    <d v="2016-10-22T00:00:00"/>
    <x v="0"/>
    <s v="Q4"/>
    <x v="32"/>
    <d v="2016-10-22T00:00:00"/>
    <s v="Same Day"/>
    <x v="652"/>
    <x v="652"/>
    <s v="Consumer"/>
    <s v="United States"/>
    <s v="Seattle"/>
    <x v="4"/>
    <n v="98105"/>
    <x v="1"/>
    <x v="1083"/>
    <x v="1"/>
    <x v="10"/>
    <x v="1073"/>
    <n v="6.68"/>
    <s v="Low"/>
    <n v="1"/>
    <n v="0"/>
    <x v="0"/>
    <x v="0"/>
    <n v="3.2063999999999999"/>
    <n v="0.48"/>
    <n v="0"/>
  </r>
  <r>
    <n v="6581"/>
    <s v="CA-2016-169887"/>
    <d v="2016-10-22T00:00:00"/>
    <x v="0"/>
    <s v="Q4"/>
    <x v="32"/>
    <d v="2016-10-22T00:00:00"/>
    <s v="Same Day"/>
    <x v="652"/>
    <x v="652"/>
    <s v="Consumer"/>
    <s v="United States"/>
    <s v="Seattle"/>
    <x v="4"/>
    <n v="98105"/>
    <x v="1"/>
    <x v="1622"/>
    <x v="1"/>
    <x v="6"/>
    <x v="1050"/>
    <n v="8.34"/>
    <s v="Low"/>
    <n v="3"/>
    <n v="0"/>
    <x v="0"/>
    <x v="0"/>
    <n v="2.2517999999999998"/>
    <n v="0.26999999999999996"/>
    <n v="0"/>
  </r>
  <r>
    <n v="6582"/>
    <s v="CA-2016-169887"/>
    <d v="2016-10-22T00:00:00"/>
    <x v="0"/>
    <s v="Q4"/>
    <x v="32"/>
    <d v="2016-10-22T00:00:00"/>
    <s v="Same Day"/>
    <x v="652"/>
    <x v="652"/>
    <s v="Consumer"/>
    <s v="United States"/>
    <s v="Seattle"/>
    <x v="4"/>
    <n v="98105"/>
    <x v="1"/>
    <x v="1792"/>
    <x v="0"/>
    <x v="5"/>
    <x v="1782"/>
    <n v="101.94"/>
    <s v="Medium"/>
    <n v="3"/>
    <n v="0"/>
    <x v="0"/>
    <x v="0"/>
    <n v="30.582000000000001"/>
    <n v="0.3"/>
    <n v="0"/>
  </r>
  <r>
    <n v="6583"/>
    <s v="CA-2016-148516"/>
    <d v="2016-08-07T00:00:00"/>
    <x v="0"/>
    <s v="Q3"/>
    <x v="28"/>
    <d v="2016-08-11T00:00:00"/>
    <s v="Standard Class"/>
    <x v="61"/>
    <x v="61"/>
    <s v="Corporate"/>
    <s v="United States"/>
    <s v="Edmonds"/>
    <x v="4"/>
    <n v="98026"/>
    <x v="1"/>
    <x v="603"/>
    <x v="2"/>
    <x v="11"/>
    <x v="603"/>
    <n v="179.97"/>
    <s v="High"/>
    <n v="3"/>
    <n v="0"/>
    <x v="0"/>
    <x v="0"/>
    <n v="86.385599999999997"/>
    <n v="0.48"/>
    <n v="0"/>
  </r>
  <r>
    <n v="6584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1385"/>
    <x v="1"/>
    <x v="6"/>
    <x v="1371"/>
    <n v="101.94"/>
    <s v="Medium"/>
    <n v="6"/>
    <n v="0"/>
    <x v="0"/>
    <x v="0"/>
    <n v="29.5626"/>
    <n v="0.28999999999999998"/>
    <n v="0"/>
  </r>
  <r>
    <n v="6585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704"/>
    <x v="2"/>
    <x v="7"/>
    <x v="704"/>
    <n v="271.95999999999998"/>
    <s v="High"/>
    <n v="4"/>
    <n v="0"/>
    <x v="0"/>
    <x v="0"/>
    <n v="67.989999999999995"/>
    <n v="0.25"/>
    <n v="0"/>
  </r>
  <r>
    <n v="6586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247"/>
    <x v="0"/>
    <x v="5"/>
    <x v="248"/>
    <n v="8.8000000000000007"/>
    <s v="Low"/>
    <n v="5"/>
    <n v="0"/>
    <x v="0"/>
    <x v="0"/>
    <n v="3.8719999999999999"/>
    <n v="0.43999999999999995"/>
    <n v="0"/>
  </r>
  <r>
    <n v="6587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950"/>
    <x v="1"/>
    <x v="6"/>
    <x v="943"/>
    <n v="19.68"/>
    <s v="Low"/>
    <n v="6"/>
    <n v="0"/>
    <x v="0"/>
    <x v="0"/>
    <n v="5.7072000000000003"/>
    <n v="0.29000000000000004"/>
    <n v="0"/>
  </r>
  <r>
    <n v="6588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713"/>
    <x v="0"/>
    <x v="0"/>
    <x v="712"/>
    <n v="302.94"/>
    <s v="High"/>
    <n v="3"/>
    <n v="0"/>
    <x v="0"/>
    <x v="0"/>
    <n v="69.676199999999994"/>
    <n v="0.22999999999999998"/>
    <n v="0"/>
  </r>
  <r>
    <n v="6589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591"/>
    <x v="1"/>
    <x v="8"/>
    <x v="591"/>
    <n v="14.94"/>
    <s v="Low"/>
    <n v="3"/>
    <n v="0"/>
    <x v="0"/>
    <x v="0"/>
    <n v="7.1711999999999998"/>
    <n v="0.48"/>
    <n v="0"/>
  </r>
  <r>
    <n v="6590"/>
    <s v="CA-2017-104731"/>
    <d v="2017-07-21T00:00:00"/>
    <x v="3"/>
    <s v="Q3"/>
    <x v="10"/>
    <d v="2017-07-27T00:00:00"/>
    <s v="Standard Class"/>
    <x v="562"/>
    <x v="562"/>
    <s v="Consumer"/>
    <s v="United States"/>
    <s v="Salem"/>
    <x v="17"/>
    <n v="24153"/>
    <x v="0"/>
    <x v="413"/>
    <x v="1"/>
    <x v="14"/>
    <x v="413"/>
    <n v="231.72"/>
    <s v="High"/>
    <n v="2"/>
    <n v="0"/>
    <x v="0"/>
    <x v="0"/>
    <n v="11.586"/>
    <n v="0.05"/>
    <n v="0"/>
  </r>
  <r>
    <n v="6591"/>
    <s v="CA-2014-164749"/>
    <d v="2014-03-23T00:00:00"/>
    <x v="2"/>
    <s v="Q1"/>
    <x v="34"/>
    <d v="2014-03-26T00:00:00"/>
    <s v="First Class"/>
    <x v="696"/>
    <x v="696"/>
    <s v="Consumer"/>
    <s v="United States"/>
    <s v="Delray Beach"/>
    <x v="2"/>
    <n v="33445"/>
    <x v="0"/>
    <x v="617"/>
    <x v="1"/>
    <x v="2"/>
    <x v="617"/>
    <n v="9.9120000000000008"/>
    <s v="Low"/>
    <n v="3"/>
    <n v="0.2"/>
    <x v="2"/>
    <x v="2"/>
    <n v="3.2214"/>
    <n v="0.32499999999999996"/>
    <n v="0"/>
  </r>
  <r>
    <n v="6592"/>
    <s v="CA-2015-103716"/>
    <d v="2015-04-30T00:00:00"/>
    <x v="1"/>
    <s v="Q2"/>
    <x v="19"/>
    <d v="2015-05-06T00:00:00"/>
    <s v="Standard Class"/>
    <x v="10"/>
    <x v="10"/>
    <s v="Corporate"/>
    <s v="United States"/>
    <s v="San Francisco"/>
    <x v="1"/>
    <n v="94110"/>
    <x v="1"/>
    <x v="332"/>
    <x v="1"/>
    <x v="6"/>
    <x v="332"/>
    <n v="34.65"/>
    <s v="Medium"/>
    <n v="3"/>
    <n v="0"/>
    <x v="0"/>
    <x v="0"/>
    <n v="9.702"/>
    <n v="0.28000000000000003"/>
    <n v="0"/>
  </r>
  <r>
    <n v="6593"/>
    <s v="CA-2015-103716"/>
    <d v="2015-04-30T00:00:00"/>
    <x v="1"/>
    <s v="Q2"/>
    <x v="19"/>
    <d v="2015-05-06T00:00:00"/>
    <s v="Standard Class"/>
    <x v="10"/>
    <x v="10"/>
    <s v="Corporate"/>
    <s v="United States"/>
    <s v="San Francisco"/>
    <x v="1"/>
    <n v="94110"/>
    <x v="1"/>
    <x v="500"/>
    <x v="2"/>
    <x v="7"/>
    <x v="500"/>
    <n v="19.8"/>
    <s v="Low"/>
    <n v="5"/>
    <n v="0.2"/>
    <x v="2"/>
    <x v="2"/>
    <n v="1.7324999999999999"/>
    <n v="8.7499999999999994E-2"/>
    <n v="0"/>
  </r>
  <r>
    <n v="6594"/>
    <s v="CA-2016-126795"/>
    <d v="2016-06-13T00:00:00"/>
    <x v="0"/>
    <s v="Q2"/>
    <x v="1"/>
    <d v="2016-06-16T00:00:00"/>
    <s v="Second Class"/>
    <x v="218"/>
    <x v="218"/>
    <s v="Consumer"/>
    <s v="United States"/>
    <s v="New York City"/>
    <x v="15"/>
    <n v="10024"/>
    <x v="3"/>
    <x v="542"/>
    <x v="1"/>
    <x v="8"/>
    <x v="542"/>
    <n v="33.567999999999998"/>
    <s v="Medium"/>
    <n v="2"/>
    <n v="0.2"/>
    <x v="2"/>
    <x v="2"/>
    <n v="11.748799999999999"/>
    <n v="0.35"/>
    <n v="0"/>
  </r>
  <r>
    <n v="6595"/>
    <s v="CA-2015-146290"/>
    <d v="2015-05-04T00:00:00"/>
    <x v="1"/>
    <s v="Q2"/>
    <x v="33"/>
    <d v="2015-05-11T00:00:00"/>
    <s v="Standard Class"/>
    <x v="458"/>
    <x v="458"/>
    <s v="Corporate"/>
    <s v="United States"/>
    <s v="Indianapolis"/>
    <x v="14"/>
    <n v="46203"/>
    <x v="2"/>
    <x v="646"/>
    <x v="1"/>
    <x v="6"/>
    <x v="646"/>
    <n v="125.93"/>
    <s v="High"/>
    <n v="7"/>
    <n v="0"/>
    <x v="0"/>
    <x v="0"/>
    <n v="35.260399999999997"/>
    <n v="0.27999999999999997"/>
    <n v="0"/>
  </r>
  <r>
    <n v="6596"/>
    <s v="CA-2017-157112"/>
    <d v="2017-04-23T00:00:00"/>
    <x v="3"/>
    <s v="Q2"/>
    <x v="4"/>
    <d v="2017-04-26T00:00:00"/>
    <s v="First Class"/>
    <x v="55"/>
    <x v="55"/>
    <s v="Corporate"/>
    <s v="United States"/>
    <s v="Columbus"/>
    <x v="24"/>
    <n v="43229"/>
    <x v="3"/>
    <x v="460"/>
    <x v="1"/>
    <x v="8"/>
    <x v="461"/>
    <n v="11.76"/>
    <s v="Low"/>
    <n v="5"/>
    <n v="0.7"/>
    <x v="1"/>
    <x v="5"/>
    <n v="-7.84"/>
    <n v="-0.66666666666666663"/>
    <n v="1"/>
  </r>
  <r>
    <n v="6597"/>
    <s v="CA-2017-157112"/>
    <d v="2017-04-23T00:00:00"/>
    <x v="3"/>
    <s v="Q2"/>
    <x v="4"/>
    <d v="2017-04-26T00:00:00"/>
    <s v="First Class"/>
    <x v="55"/>
    <x v="55"/>
    <s v="Corporate"/>
    <s v="United States"/>
    <s v="Columbus"/>
    <x v="24"/>
    <n v="43229"/>
    <x v="3"/>
    <x v="128"/>
    <x v="1"/>
    <x v="10"/>
    <x v="129"/>
    <n v="5.3440000000000003"/>
    <s v="Low"/>
    <n v="1"/>
    <n v="0.2"/>
    <x v="2"/>
    <x v="2"/>
    <n v="1.8704000000000001"/>
    <n v="0.35"/>
    <n v="0"/>
  </r>
  <r>
    <n v="6598"/>
    <s v="CA-2014-169257"/>
    <d v="2014-06-06T00:00:00"/>
    <x v="2"/>
    <s v="Q2"/>
    <x v="3"/>
    <d v="2014-06-12T00:00:00"/>
    <s v="Standard Class"/>
    <x v="647"/>
    <x v="647"/>
    <s v="Consumer"/>
    <s v="United States"/>
    <s v="Jacksonville"/>
    <x v="2"/>
    <n v="32216"/>
    <x v="0"/>
    <x v="248"/>
    <x v="1"/>
    <x v="8"/>
    <x v="249"/>
    <n v="1.365"/>
    <s v="Low"/>
    <n v="1"/>
    <n v="0.7"/>
    <x v="1"/>
    <x v="5"/>
    <n v="-0.91"/>
    <n v="-0.66666666666666674"/>
    <n v="1"/>
  </r>
  <r>
    <n v="6599"/>
    <s v="CA-2014-169257"/>
    <d v="2014-06-06T00:00:00"/>
    <x v="2"/>
    <s v="Q2"/>
    <x v="3"/>
    <d v="2014-06-12T00:00:00"/>
    <s v="Standard Class"/>
    <x v="647"/>
    <x v="647"/>
    <s v="Consumer"/>
    <s v="United States"/>
    <s v="Jacksonville"/>
    <x v="2"/>
    <n v="32216"/>
    <x v="0"/>
    <x v="1413"/>
    <x v="1"/>
    <x v="10"/>
    <x v="1400"/>
    <n v="62.015999999999998"/>
    <s v="Medium"/>
    <n v="2"/>
    <n v="0.2"/>
    <x v="2"/>
    <x v="2"/>
    <n v="22.480799999999999"/>
    <n v="0.36249999999999999"/>
    <n v="0"/>
  </r>
  <r>
    <n v="6600"/>
    <s v="CA-2014-154095"/>
    <d v="2014-12-02T00:00:00"/>
    <x v="2"/>
    <s v="Q4"/>
    <x v="20"/>
    <d v="2014-12-07T00:00:00"/>
    <s v="Standard Class"/>
    <x v="21"/>
    <x v="21"/>
    <s v="Corporate"/>
    <s v="United States"/>
    <s v="Clinton"/>
    <x v="39"/>
    <n v="20735"/>
    <x v="3"/>
    <x v="526"/>
    <x v="0"/>
    <x v="5"/>
    <x v="526"/>
    <n v="60.72"/>
    <s v="Medium"/>
    <n v="3"/>
    <n v="0"/>
    <x v="0"/>
    <x v="0"/>
    <n v="23.680800000000001"/>
    <n v="0.39"/>
    <n v="0"/>
  </r>
  <r>
    <n v="6601"/>
    <s v="CA-2014-154095"/>
    <d v="2014-12-02T00:00:00"/>
    <x v="2"/>
    <s v="Q4"/>
    <x v="20"/>
    <d v="2014-12-07T00:00:00"/>
    <s v="Standard Class"/>
    <x v="21"/>
    <x v="21"/>
    <s v="Corporate"/>
    <s v="United States"/>
    <s v="Clinton"/>
    <x v="39"/>
    <n v="20735"/>
    <x v="3"/>
    <x v="1438"/>
    <x v="1"/>
    <x v="10"/>
    <x v="1426"/>
    <n v="146.82"/>
    <s v="High"/>
    <n v="3"/>
    <n v="0"/>
    <x v="0"/>
    <x v="0"/>
    <n v="73.41"/>
    <n v="0.5"/>
    <n v="0"/>
  </r>
  <r>
    <n v="6602"/>
    <s v="CA-2014-154095"/>
    <d v="2014-12-02T00:00:00"/>
    <x v="2"/>
    <s v="Q4"/>
    <x v="20"/>
    <d v="2014-12-07T00:00:00"/>
    <s v="Standard Class"/>
    <x v="21"/>
    <x v="21"/>
    <s v="Corporate"/>
    <s v="United States"/>
    <s v="Clinton"/>
    <x v="39"/>
    <n v="20735"/>
    <x v="3"/>
    <x v="1144"/>
    <x v="0"/>
    <x v="1"/>
    <x v="1132"/>
    <n v="239.84"/>
    <s v="High"/>
    <n v="8"/>
    <n v="0"/>
    <x v="0"/>
    <x v="0"/>
    <n v="64.756799999999998"/>
    <n v="0.26999999999999996"/>
    <n v="0"/>
  </r>
  <r>
    <n v="6603"/>
    <s v="CA-2014-154095"/>
    <d v="2014-12-02T00:00:00"/>
    <x v="2"/>
    <s v="Q4"/>
    <x v="20"/>
    <d v="2014-12-07T00:00:00"/>
    <s v="Standard Class"/>
    <x v="21"/>
    <x v="21"/>
    <s v="Corporate"/>
    <s v="United States"/>
    <s v="Clinton"/>
    <x v="39"/>
    <n v="20735"/>
    <x v="3"/>
    <x v="286"/>
    <x v="1"/>
    <x v="2"/>
    <x v="286"/>
    <n v="15.66"/>
    <s v="Low"/>
    <n v="6"/>
    <n v="0"/>
    <x v="0"/>
    <x v="0"/>
    <n v="7.2035999999999998"/>
    <n v="0.45999999999999996"/>
    <n v="0"/>
  </r>
  <r>
    <n v="6604"/>
    <s v="CA-2017-146346"/>
    <d v="2017-06-17T00:00:00"/>
    <x v="3"/>
    <s v="Q2"/>
    <x v="27"/>
    <d v="2017-06-20T00:00:00"/>
    <s v="First Class"/>
    <x v="362"/>
    <x v="362"/>
    <s v="Consumer"/>
    <s v="United States"/>
    <s v="Commerce City"/>
    <x v="22"/>
    <n v="80022"/>
    <x v="1"/>
    <x v="886"/>
    <x v="1"/>
    <x v="4"/>
    <x v="879"/>
    <n v="146.352"/>
    <s v="High"/>
    <n v="3"/>
    <n v="0.2"/>
    <x v="2"/>
    <x v="2"/>
    <n v="-32.929200000000002"/>
    <n v="-0.22500000000000001"/>
    <n v="1"/>
  </r>
  <r>
    <n v="6605"/>
    <s v="CA-2016-148852"/>
    <d v="2016-05-26T00:00:00"/>
    <x v="0"/>
    <s v="Q2"/>
    <x v="35"/>
    <d v="2016-05-31T00:00:00"/>
    <s v="Standard Class"/>
    <x v="647"/>
    <x v="647"/>
    <s v="Consumer"/>
    <s v="United States"/>
    <s v="Santa Ana"/>
    <x v="1"/>
    <n v="92704"/>
    <x v="1"/>
    <x v="494"/>
    <x v="1"/>
    <x v="13"/>
    <x v="494"/>
    <n v="5.94"/>
    <s v="Low"/>
    <n v="3"/>
    <n v="0"/>
    <x v="0"/>
    <x v="0"/>
    <n v="0"/>
    <n v="0"/>
    <n v="0"/>
  </r>
  <r>
    <n v="6606"/>
    <s v="CA-2016-148852"/>
    <d v="2016-05-26T00:00:00"/>
    <x v="0"/>
    <s v="Q2"/>
    <x v="35"/>
    <d v="2016-05-31T00:00:00"/>
    <s v="Standard Class"/>
    <x v="647"/>
    <x v="647"/>
    <s v="Consumer"/>
    <s v="United States"/>
    <s v="Santa Ana"/>
    <x v="1"/>
    <n v="92704"/>
    <x v="1"/>
    <x v="1004"/>
    <x v="1"/>
    <x v="10"/>
    <x v="996"/>
    <n v="45.36"/>
    <s v="Medium"/>
    <n v="7"/>
    <n v="0"/>
    <x v="0"/>
    <x v="0"/>
    <n v="21.7728"/>
    <n v="0.48"/>
    <n v="0"/>
  </r>
  <r>
    <n v="6607"/>
    <s v="CA-2016-148852"/>
    <d v="2016-05-26T00:00:00"/>
    <x v="0"/>
    <s v="Q2"/>
    <x v="35"/>
    <d v="2016-05-31T00:00:00"/>
    <s v="Standard Class"/>
    <x v="647"/>
    <x v="647"/>
    <s v="Consumer"/>
    <s v="United States"/>
    <s v="Santa Ana"/>
    <x v="1"/>
    <n v="92704"/>
    <x v="1"/>
    <x v="781"/>
    <x v="2"/>
    <x v="7"/>
    <x v="780"/>
    <n v="211.16800000000001"/>
    <s v="High"/>
    <n v="4"/>
    <n v="0.2"/>
    <x v="2"/>
    <x v="2"/>
    <n v="23.756399999999999"/>
    <n v="0.11249999999999999"/>
    <n v="0"/>
  </r>
  <r>
    <n v="6608"/>
    <s v="CA-2016-148852"/>
    <d v="2016-05-26T00:00:00"/>
    <x v="0"/>
    <s v="Q2"/>
    <x v="35"/>
    <d v="2016-05-31T00:00:00"/>
    <s v="Standard Class"/>
    <x v="647"/>
    <x v="647"/>
    <s v="Consumer"/>
    <s v="United States"/>
    <s v="Santa Ana"/>
    <x v="1"/>
    <n v="92704"/>
    <x v="1"/>
    <x v="211"/>
    <x v="0"/>
    <x v="1"/>
    <x v="212"/>
    <n v="484.70400000000001"/>
    <s v="High"/>
    <n v="6"/>
    <n v="0.2"/>
    <x v="2"/>
    <x v="2"/>
    <n v="-84.8232"/>
    <n v="-0.17499999999999999"/>
    <n v="1"/>
  </r>
  <r>
    <n v="6609"/>
    <s v="CA-2016-148852"/>
    <d v="2016-05-26T00:00:00"/>
    <x v="0"/>
    <s v="Q2"/>
    <x v="35"/>
    <d v="2016-05-31T00:00:00"/>
    <s v="Standard Class"/>
    <x v="647"/>
    <x v="647"/>
    <s v="Consumer"/>
    <s v="United States"/>
    <s v="Santa Ana"/>
    <x v="1"/>
    <n v="92704"/>
    <x v="1"/>
    <x v="1520"/>
    <x v="2"/>
    <x v="15"/>
    <x v="1507"/>
    <n v="371.976"/>
    <s v="High"/>
    <n v="3"/>
    <n v="0.2"/>
    <x v="2"/>
    <x v="2"/>
    <n v="116.24250000000001"/>
    <n v="0.3125"/>
    <n v="0"/>
  </r>
  <r>
    <n v="6610"/>
    <s v="US-2015-118906"/>
    <d v="2015-03-10T00:00:00"/>
    <x v="1"/>
    <s v="Q1"/>
    <x v="29"/>
    <d v="2015-03-10T00:00:00"/>
    <s v="Same Day"/>
    <x v="10"/>
    <x v="10"/>
    <s v="Corporate"/>
    <s v="United States"/>
    <s v="Clinton"/>
    <x v="39"/>
    <n v="20735"/>
    <x v="3"/>
    <x v="328"/>
    <x v="1"/>
    <x v="4"/>
    <x v="328"/>
    <n v="89.82"/>
    <s v="Medium"/>
    <n v="6"/>
    <n v="0"/>
    <x v="0"/>
    <x v="0"/>
    <n v="25.1496"/>
    <n v="0.28000000000000003"/>
    <n v="0"/>
  </r>
  <r>
    <n v="6611"/>
    <s v="CA-2016-168921"/>
    <d v="2016-10-20T00:00:00"/>
    <x v="0"/>
    <s v="Q4"/>
    <x v="32"/>
    <d v="2016-10-22T00:00:00"/>
    <s v="First Class"/>
    <x v="122"/>
    <x v="122"/>
    <s v="Corporate"/>
    <s v="United States"/>
    <s v="Los Angeles"/>
    <x v="1"/>
    <n v="90049"/>
    <x v="1"/>
    <x v="1232"/>
    <x v="1"/>
    <x v="8"/>
    <x v="1215"/>
    <n v="19.295999999999999"/>
    <s v="Low"/>
    <n v="3"/>
    <n v="0.2"/>
    <x v="2"/>
    <x v="2"/>
    <n v="6.03"/>
    <n v="0.3125"/>
    <n v="0"/>
  </r>
  <r>
    <n v="6612"/>
    <s v="CA-2015-107678"/>
    <d v="2015-04-21T00:00:00"/>
    <x v="1"/>
    <s v="Q2"/>
    <x v="19"/>
    <d v="2015-04-28T00:00:00"/>
    <s v="Standard Class"/>
    <x v="765"/>
    <x v="765"/>
    <s v="Consumer"/>
    <s v="United States"/>
    <s v="Louisville"/>
    <x v="0"/>
    <n v="40214"/>
    <x v="0"/>
    <x v="268"/>
    <x v="0"/>
    <x v="1"/>
    <x v="268"/>
    <n v="191.96"/>
    <s v="High"/>
    <n v="2"/>
    <n v="0"/>
    <x v="0"/>
    <x v="0"/>
    <n v="51.8292"/>
    <n v="0.26999999999999996"/>
    <n v="0"/>
  </r>
  <r>
    <n v="6613"/>
    <s v="CA-2015-107678"/>
    <d v="2015-04-21T00:00:00"/>
    <x v="1"/>
    <s v="Q2"/>
    <x v="19"/>
    <d v="2015-04-28T00:00:00"/>
    <s v="Standard Class"/>
    <x v="765"/>
    <x v="765"/>
    <s v="Consumer"/>
    <s v="United States"/>
    <s v="Louisville"/>
    <x v="0"/>
    <n v="40214"/>
    <x v="0"/>
    <x v="20"/>
    <x v="1"/>
    <x v="8"/>
    <x v="20"/>
    <n v="21.3"/>
    <s v="Low"/>
    <n v="3"/>
    <n v="0"/>
    <x v="0"/>
    <x v="0"/>
    <n v="9.798"/>
    <n v="0.45999999999999996"/>
    <n v="0"/>
  </r>
  <r>
    <n v="6614"/>
    <s v="CA-2015-107678"/>
    <d v="2015-04-21T00:00:00"/>
    <x v="1"/>
    <s v="Q2"/>
    <x v="19"/>
    <d v="2015-04-28T00:00:00"/>
    <s v="Standard Class"/>
    <x v="765"/>
    <x v="765"/>
    <s v="Consumer"/>
    <s v="United States"/>
    <s v="Louisville"/>
    <x v="0"/>
    <n v="40214"/>
    <x v="0"/>
    <x v="539"/>
    <x v="2"/>
    <x v="7"/>
    <x v="539"/>
    <n v="469.95"/>
    <s v="High"/>
    <n v="5"/>
    <n v="0"/>
    <x v="0"/>
    <x v="0"/>
    <n v="131.58600000000001"/>
    <n v="0.28000000000000003"/>
    <n v="0"/>
  </r>
  <r>
    <n v="6615"/>
    <s v="CA-2015-107678"/>
    <d v="2015-04-21T00:00:00"/>
    <x v="1"/>
    <s v="Q2"/>
    <x v="19"/>
    <d v="2015-04-28T00:00:00"/>
    <s v="Standard Class"/>
    <x v="765"/>
    <x v="765"/>
    <s v="Consumer"/>
    <s v="United States"/>
    <s v="Louisville"/>
    <x v="0"/>
    <n v="40214"/>
    <x v="0"/>
    <x v="583"/>
    <x v="0"/>
    <x v="5"/>
    <x v="583"/>
    <n v="209.88"/>
    <s v="High"/>
    <n v="3"/>
    <n v="0"/>
    <x v="0"/>
    <x v="0"/>
    <n v="35.679600000000001"/>
    <n v="0.17"/>
    <n v="0"/>
  </r>
  <r>
    <n v="6616"/>
    <s v="CA-2016-123512"/>
    <d v="2016-06-17T00:00:00"/>
    <x v="0"/>
    <s v="Q2"/>
    <x v="1"/>
    <d v="2016-06-19T00:00:00"/>
    <s v="First Class"/>
    <x v="160"/>
    <x v="160"/>
    <s v="Consumer"/>
    <s v="United States"/>
    <s v="Los Angeles"/>
    <x v="1"/>
    <n v="90045"/>
    <x v="1"/>
    <x v="1601"/>
    <x v="0"/>
    <x v="0"/>
    <x v="1593"/>
    <n v="239.666"/>
    <s v="High"/>
    <n v="2"/>
    <n v="0.15"/>
    <x v="2"/>
    <x v="2"/>
    <n v="14.098000000000001"/>
    <n v="5.8823529411764712E-2"/>
    <n v="0"/>
  </r>
  <r>
    <n v="6617"/>
    <s v="CA-2016-123512"/>
    <d v="2016-06-17T00:00:00"/>
    <x v="0"/>
    <s v="Q2"/>
    <x v="1"/>
    <d v="2016-06-19T00:00:00"/>
    <s v="First Class"/>
    <x v="160"/>
    <x v="160"/>
    <s v="Consumer"/>
    <s v="United States"/>
    <s v="Los Angeles"/>
    <x v="1"/>
    <n v="90045"/>
    <x v="1"/>
    <x v="1345"/>
    <x v="1"/>
    <x v="2"/>
    <x v="1330"/>
    <n v="22.5"/>
    <s v="Low"/>
    <n v="6"/>
    <n v="0"/>
    <x v="0"/>
    <x v="0"/>
    <n v="10.8"/>
    <n v="0.48000000000000004"/>
    <n v="0"/>
  </r>
  <r>
    <n v="6618"/>
    <s v="CA-2016-123512"/>
    <d v="2016-06-17T00:00:00"/>
    <x v="0"/>
    <s v="Q2"/>
    <x v="1"/>
    <d v="2016-06-19T00:00:00"/>
    <s v="First Class"/>
    <x v="160"/>
    <x v="160"/>
    <s v="Consumer"/>
    <s v="United States"/>
    <s v="Los Angeles"/>
    <x v="1"/>
    <n v="90045"/>
    <x v="1"/>
    <x v="1766"/>
    <x v="1"/>
    <x v="10"/>
    <x v="1755"/>
    <n v="219.84"/>
    <s v="High"/>
    <n v="4"/>
    <n v="0"/>
    <x v="0"/>
    <x v="0"/>
    <n v="107.7216"/>
    <n v="0.49"/>
    <n v="0"/>
  </r>
  <r>
    <n v="6619"/>
    <s v="US-2017-167402"/>
    <d v="2017-01-13T00:00:00"/>
    <x v="3"/>
    <s v="Q1"/>
    <x v="44"/>
    <d v="2017-01-18T00:00:00"/>
    <s v="Second Class"/>
    <x v="434"/>
    <x v="434"/>
    <s v="Corporate"/>
    <s v="United States"/>
    <s v="Springfield"/>
    <x v="25"/>
    <n v="65807"/>
    <x v="2"/>
    <x v="1347"/>
    <x v="1"/>
    <x v="10"/>
    <x v="1332"/>
    <n v="32.4"/>
    <s v="Medium"/>
    <n v="5"/>
    <n v="0"/>
    <x v="0"/>
    <x v="0"/>
    <n v="15.552"/>
    <n v="0.48"/>
    <n v="0"/>
  </r>
  <r>
    <n v="6620"/>
    <s v="US-2017-167402"/>
    <d v="2017-01-13T00:00:00"/>
    <x v="3"/>
    <s v="Q1"/>
    <x v="44"/>
    <d v="2017-01-18T00:00:00"/>
    <s v="Second Class"/>
    <x v="434"/>
    <x v="434"/>
    <s v="Corporate"/>
    <s v="United States"/>
    <s v="Springfield"/>
    <x v="25"/>
    <n v="65807"/>
    <x v="2"/>
    <x v="1753"/>
    <x v="1"/>
    <x v="6"/>
    <x v="1743"/>
    <n v="209.94"/>
    <s v="High"/>
    <n v="6"/>
    <n v="0"/>
    <x v="0"/>
    <x v="0"/>
    <n v="54.584400000000002"/>
    <n v="0.26"/>
    <n v="0"/>
  </r>
  <r>
    <n v="6621"/>
    <s v="US-2017-167402"/>
    <d v="2017-01-13T00:00:00"/>
    <x v="3"/>
    <s v="Q1"/>
    <x v="44"/>
    <d v="2017-01-18T00:00:00"/>
    <s v="Second Class"/>
    <x v="434"/>
    <x v="434"/>
    <s v="Corporate"/>
    <s v="United States"/>
    <s v="Springfield"/>
    <x v="25"/>
    <n v="65807"/>
    <x v="2"/>
    <x v="465"/>
    <x v="1"/>
    <x v="14"/>
    <x v="466"/>
    <n v="4164.05"/>
    <s v="High"/>
    <n v="5"/>
    <n v="0"/>
    <x v="0"/>
    <x v="0"/>
    <n v="83.281000000000006"/>
    <n v="0.02"/>
    <n v="0"/>
  </r>
  <r>
    <n v="6622"/>
    <s v="US-2017-167402"/>
    <d v="2017-01-13T00:00:00"/>
    <x v="3"/>
    <s v="Q1"/>
    <x v="44"/>
    <d v="2017-01-18T00:00:00"/>
    <s v="Second Class"/>
    <x v="434"/>
    <x v="434"/>
    <s v="Corporate"/>
    <s v="United States"/>
    <s v="Springfield"/>
    <x v="25"/>
    <n v="65807"/>
    <x v="2"/>
    <x v="1544"/>
    <x v="0"/>
    <x v="0"/>
    <x v="1532"/>
    <n v="212.94"/>
    <s v="High"/>
    <n v="3"/>
    <n v="0"/>
    <x v="0"/>
    <x v="0"/>
    <n v="53.234999999999999"/>
    <n v="0.25"/>
    <n v="0"/>
  </r>
  <r>
    <n v="6623"/>
    <s v="CA-2014-130449"/>
    <d v="2014-09-06T00:00:00"/>
    <x v="2"/>
    <s v="Q3"/>
    <x v="30"/>
    <d v="2014-09-09T00:00:00"/>
    <s v="First Class"/>
    <x v="778"/>
    <x v="778"/>
    <s v="Corporate"/>
    <s v="United States"/>
    <s v="San Francisco"/>
    <x v="1"/>
    <n v="94109"/>
    <x v="1"/>
    <x v="5"/>
    <x v="0"/>
    <x v="5"/>
    <x v="5"/>
    <n v="41.88"/>
    <s v="Medium"/>
    <n v="6"/>
    <n v="0"/>
    <x v="0"/>
    <x v="0"/>
    <n v="12.145200000000001"/>
    <n v="0.28999999999999998"/>
    <n v="0"/>
  </r>
  <r>
    <n v="6624"/>
    <s v="CA-2014-130449"/>
    <d v="2014-09-06T00:00:00"/>
    <x v="2"/>
    <s v="Q3"/>
    <x v="30"/>
    <d v="2014-09-09T00:00:00"/>
    <s v="First Class"/>
    <x v="778"/>
    <x v="778"/>
    <s v="Corporate"/>
    <s v="United States"/>
    <s v="San Francisco"/>
    <x v="1"/>
    <n v="94109"/>
    <x v="1"/>
    <x v="573"/>
    <x v="1"/>
    <x v="2"/>
    <x v="573"/>
    <n v="58.48"/>
    <s v="Medium"/>
    <n v="8"/>
    <n v="0"/>
    <x v="0"/>
    <x v="0"/>
    <n v="27.485600000000002"/>
    <n v="0.47000000000000003"/>
    <n v="0"/>
  </r>
  <r>
    <n v="6625"/>
    <s v="CA-2015-141250"/>
    <d v="2015-01-19T00:00:00"/>
    <x v="1"/>
    <s v="Q1"/>
    <x v="26"/>
    <d v="2015-01-23T00:00:00"/>
    <s v="Standard Class"/>
    <x v="400"/>
    <x v="400"/>
    <s v="Consumer"/>
    <s v="United States"/>
    <s v="Texas City"/>
    <x v="5"/>
    <n v="77590"/>
    <x v="2"/>
    <x v="1213"/>
    <x v="0"/>
    <x v="3"/>
    <x v="1198"/>
    <n v="102.438"/>
    <s v="Medium"/>
    <n v="1"/>
    <n v="0.3"/>
    <x v="1"/>
    <x v="4"/>
    <n v="-13.1706"/>
    <n v="-0.12857142857142856"/>
    <n v="1"/>
  </r>
  <r>
    <n v="6626"/>
    <s v="CA-2015-141250"/>
    <d v="2015-01-19T00:00:00"/>
    <x v="1"/>
    <s v="Q1"/>
    <x v="26"/>
    <d v="2015-01-23T00:00:00"/>
    <s v="Standard Class"/>
    <x v="400"/>
    <x v="400"/>
    <s v="Consumer"/>
    <s v="United States"/>
    <s v="Texas City"/>
    <x v="5"/>
    <n v="77590"/>
    <x v="2"/>
    <x v="1459"/>
    <x v="0"/>
    <x v="1"/>
    <x v="1445"/>
    <n v="199.304"/>
    <s v="High"/>
    <n v="4"/>
    <n v="0.3"/>
    <x v="1"/>
    <x v="4"/>
    <n v="-8.5416000000000007"/>
    <n v="-4.2857142857142858E-2"/>
    <n v="1"/>
  </r>
  <r>
    <n v="6627"/>
    <s v="CA-2014-145541"/>
    <d v="2014-12-14T00:00:00"/>
    <x v="2"/>
    <s v="Q4"/>
    <x v="20"/>
    <d v="2014-12-21T00:00:00"/>
    <s v="Standard Class"/>
    <x v="483"/>
    <x v="483"/>
    <s v="Consumer"/>
    <s v="United States"/>
    <s v="New York City"/>
    <x v="15"/>
    <n v="10024"/>
    <x v="3"/>
    <x v="1629"/>
    <x v="2"/>
    <x v="15"/>
    <x v="1619"/>
    <n v="6999.96"/>
    <s v="High"/>
    <n v="4"/>
    <n v="0"/>
    <x v="0"/>
    <x v="0"/>
    <n v="2239.9872"/>
    <n v="0.32"/>
    <n v="0"/>
  </r>
  <r>
    <n v="6628"/>
    <s v="CA-2014-138513"/>
    <d v="2014-05-23T00:00:00"/>
    <x v="2"/>
    <s v="Q2"/>
    <x v="8"/>
    <d v="2014-05-27T00:00:00"/>
    <s v="Standard Class"/>
    <x v="552"/>
    <x v="552"/>
    <s v="Consumer"/>
    <s v="United States"/>
    <s v="Bellevue"/>
    <x v="4"/>
    <n v="98006"/>
    <x v="1"/>
    <x v="89"/>
    <x v="1"/>
    <x v="10"/>
    <x v="89"/>
    <n v="12.96"/>
    <s v="Low"/>
    <n v="2"/>
    <n v="0"/>
    <x v="0"/>
    <x v="0"/>
    <n v="6.2207999999999997"/>
    <n v="0.47999999999999993"/>
    <n v="0"/>
  </r>
  <r>
    <n v="6629"/>
    <s v="CA-2015-135489"/>
    <d v="2015-09-19T00:00:00"/>
    <x v="1"/>
    <s v="Q3"/>
    <x v="11"/>
    <d v="2015-09-22T00:00:00"/>
    <s v="Second Class"/>
    <x v="543"/>
    <x v="543"/>
    <s v="Consumer"/>
    <s v="United States"/>
    <s v="New York City"/>
    <x v="15"/>
    <n v="10024"/>
    <x v="3"/>
    <x v="222"/>
    <x v="2"/>
    <x v="7"/>
    <x v="223"/>
    <n v="279.86"/>
    <s v="High"/>
    <n v="14"/>
    <n v="0"/>
    <x v="0"/>
    <x v="0"/>
    <n v="134.33279999999999"/>
    <n v="0.47999999999999993"/>
    <n v="0"/>
  </r>
  <r>
    <n v="6630"/>
    <s v="CA-2015-125696"/>
    <d v="2015-10-02T00:00:00"/>
    <x v="1"/>
    <s v="Q4"/>
    <x v="2"/>
    <d v="2015-10-06T00:00:00"/>
    <s v="Standard Class"/>
    <x v="472"/>
    <x v="472"/>
    <s v="Home Office"/>
    <s v="United States"/>
    <s v="Wilson"/>
    <x v="3"/>
    <n v="27893"/>
    <x v="0"/>
    <x v="1181"/>
    <x v="1"/>
    <x v="8"/>
    <x v="1167"/>
    <n v="7.38"/>
    <s v="Low"/>
    <n v="5"/>
    <n v="0.7"/>
    <x v="1"/>
    <x v="5"/>
    <n v="-5.4119999999999999"/>
    <n v="-0.73333333333333328"/>
    <n v="1"/>
  </r>
  <r>
    <n v="6631"/>
    <s v="CA-2016-105081"/>
    <d v="2016-12-25T00:00:00"/>
    <x v="0"/>
    <s v="Q4"/>
    <x v="5"/>
    <d v="2016-12-30T00:00:00"/>
    <s v="Standard Class"/>
    <x v="555"/>
    <x v="555"/>
    <s v="Consumer"/>
    <s v="United States"/>
    <s v="Seattle"/>
    <x v="4"/>
    <n v="98115"/>
    <x v="1"/>
    <x v="1003"/>
    <x v="0"/>
    <x v="1"/>
    <x v="995"/>
    <n v="698.35199999999998"/>
    <s v="High"/>
    <n v="3"/>
    <n v="0.2"/>
    <x v="2"/>
    <x v="2"/>
    <n v="52.376399999999997"/>
    <n v="7.4999999999999997E-2"/>
    <n v="0"/>
  </r>
  <r>
    <n v="6632"/>
    <s v="CA-2016-105081"/>
    <d v="2016-12-25T00:00:00"/>
    <x v="0"/>
    <s v="Q4"/>
    <x v="5"/>
    <d v="2016-12-30T00:00:00"/>
    <s v="Standard Class"/>
    <x v="555"/>
    <x v="555"/>
    <s v="Consumer"/>
    <s v="United States"/>
    <s v="Seattle"/>
    <x v="4"/>
    <n v="98115"/>
    <x v="1"/>
    <x v="1110"/>
    <x v="0"/>
    <x v="3"/>
    <x v="1099"/>
    <n v="1747.25"/>
    <s v="High"/>
    <n v="5"/>
    <n v="0"/>
    <x v="0"/>
    <x v="0"/>
    <n v="629.01"/>
    <n v="0.36"/>
    <n v="0"/>
  </r>
  <r>
    <n v="6633"/>
    <s v="US-2016-146857"/>
    <d v="2016-05-06T00:00:00"/>
    <x v="0"/>
    <s v="Q2"/>
    <x v="35"/>
    <d v="2016-05-08T00:00:00"/>
    <s v="Second Class"/>
    <x v="534"/>
    <x v="534"/>
    <s v="Home Office"/>
    <s v="United States"/>
    <s v="Springfield"/>
    <x v="25"/>
    <n v="65807"/>
    <x v="2"/>
    <x v="1309"/>
    <x v="1"/>
    <x v="9"/>
    <x v="1294"/>
    <n v="54.48"/>
    <s v="Medium"/>
    <n v="1"/>
    <n v="0"/>
    <x v="0"/>
    <x v="0"/>
    <n v="15.2544"/>
    <n v="0.28000000000000003"/>
    <n v="0"/>
  </r>
  <r>
    <n v="6634"/>
    <s v="CA-2016-166275"/>
    <d v="2016-10-24T00:00:00"/>
    <x v="0"/>
    <s v="Q4"/>
    <x v="32"/>
    <d v="2016-10-24T00:00:00"/>
    <s v="Same Day"/>
    <x v="196"/>
    <x v="196"/>
    <s v="Consumer"/>
    <s v="United States"/>
    <s v="San Francisco"/>
    <x v="1"/>
    <n v="94109"/>
    <x v="1"/>
    <x v="651"/>
    <x v="2"/>
    <x v="11"/>
    <x v="651"/>
    <n v="199.99"/>
    <s v="High"/>
    <n v="1"/>
    <n v="0"/>
    <x v="0"/>
    <x v="0"/>
    <n v="85.995699999999999"/>
    <n v="0.43"/>
    <n v="0"/>
  </r>
  <r>
    <n v="6635"/>
    <s v="CA-2017-144498"/>
    <d v="2017-05-06T00:00:00"/>
    <x v="3"/>
    <s v="Q2"/>
    <x v="24"/>
    <d v="2017-05-06T00:00:00"/>
    <s v="Same Day"/>
    <x v="469"/>
    <x v="469"/>
    <s v="Consumer"/>
    <s v="United States"/>
    <s v="Charlotte"/>
    <x v="3"/>
    <n v="28205"/>
    <x v="0"/>
    <x v="350"/>
    <x v="1"/>
    <x v="8"/>
    <x v="350"/>
    <n v="68.540999999999997"/>
    <s v="Medium"/>
    <n v="11"/>
    <n v="0.7"/>
    <x v="1"/>
    <x v="5"/>
    <n v="-52.548099999999998"/>
    <n v="-0.76666666666666672"/>
    <n v="1"/>
  </r>
  <r>
    <n v="6636"/>
    <s v="CA-2017-144498"/>
    <d v="2017-05-06T00:00:00"/>
    <x v="3"/>
    <s v="Q2"/>
    <x v="24"/>
    <d v="2017-05-06T00:00:00"/>
    <s v="Same Day"/>
    <x v="469"/>
    <x v="469"/>
    <s v="Consumer"/>
    <s v="United States"/>
    <s v="Charlotte"/>
    <x v="3"/>
    <n v="28205"/>
    <x v="0"/>
    <x v="34"/>
    <x v="2"/>
    <x v="7"/>
    <x v="34"/>
    <n v="627.16800000000001"/>
    <s v="High"/>
    <n v="4"/>
    <n v="0.2"/>
    <x v="2"/>
    <x v="2"/>
    <n v="70.556399999999996"/>
    <n v="0.11249999999999999"/>
    <n v="0"/>
  </r>
  <r>
    <n v="6637"/>
    <s v="CA-2017-144498"/>
    <d v="2017-05-06T00:00:00"/>
    <x v="3"/>
    <s v="Q2"/>
    <x v="24"/>
    <d v="2017-05-06T00:00:00"/>
    <s v="Same Day"/>
    <x v="469"/>
    <x v="469"/>
    <s v="Consumer"/>
    <s v="United States"/>
    <s v="Charlotte"/>
    <x v="3"/>
    <n v="28205"/>
    <x v="0"/>
    <x v="580"/>
    <x v="1"/>
    <x v="2"/>
    <x v="580"/>
    <n v="122.12"/>
    <s v="Medium"/>
    <n v="5"/>
    <n v="0.2"/>
    <x v="2"/>
    <x v="2"/>
    <n v="39.689"/>
    <n v="0.32500000000000001"/>
    <n v="0"/>
  </r>
  <r>
    <n v="6638"/>
    <s v="CA-2017-103352"/>
    <d v="2017-11-27T00:00:00"/>
    <x v="3"/>
    <s v="Q4"/>
    <x v="23"/>
    <d v="2017-11-30T00:00:00"/>
    <s v="Second Class"/>
    <x v="261"/>
    <x v="261"/>
    <s v="Consumer"/>
    <s v="United States"/>
    <s v="New York City"/>
    <x v="15"/>
    <n v="10011"/>
    <x v="3"/>
    <x v="372"/>
    <x v="1"/>
    <x v="6"/>
    <x v="373"/>
    <n v="6.99"/>
    <s v="Low"/>
    <n v="3"/>
    <n v="0"/>
    <x v="0"/>
    <x v="0"/>
    <n v="2.0270999999999999"/>
    <n v="0.28999999999999998"/>
    <n v="0"/>
  </r>
  <r>
    <n v="6639"/>
    <s v="CA-2017-103352"/>
    <d v="2017-11-27T00:00:00"/>
    <x v="3"/>
    <s v="Q4"/>
    <x v="23"/>
    <d v="2017-11-30T00:00:00"/>
    <s v="Second Class"/>
    <x v="261"/>
    <x v="261"/>
    <s v="Consumer"/>
    <s v="United States"/>
    <s v="New York City"/>
    <x v="15"/>
    <n v="10011"/>
    <x v="3"/>
    <x v="1403"/>
    <x v="1"/>
    <x v="8"/>
    <x v="1390"/>
    <n v="107.42400000000001"/>
    <s v="Medium"/>
    <n v="6"/>
    <n v="0.2"/>
    <x v="2"/>
    <x v="2"/>
    <n v="36.255600000000001"/>
    <n v="0.33749999999999997"/>
    <n v="0"/>
  </r>
  <r>
    <n v="6640"/>
    <s v="CA-2014-108609"/>
    <d v="2014-10-31T00:00:00"/>
    <x v="2"/>
    <s v="Q4"/>
    <x v="18"/>
    <d v="2014-11-02T00:00:00"/>
    <s v="Second Class"/>
    <x v="321"/>
    <x v="321"/>
    <s v="Corporate"/>
    <s v="United States"/>
    <s v="Lorain"/>
    <x v="24"/>
    <n v="44052"/>
    <x v="3"/>
    <x v="1234"/>
    <x v="0"/>
    <x v="3"/>
    <x v="1217"/>
    <n v="1421.664"/>
    <s v="High"/>
    <n v="8"/>
    <n v="0.4"/>
    <x v="1"/>
    <x v="7"/>
    <n v="-734.52639999999997"/>
    <n v="-0.51666666666666661"/>
    <n v="1"/>
  </r>
  <r>
    <n v="6641"/>
    <s v="CA-2017-128328"/>
    <d v="2017-08-05T00:00:00"/>
    <x v="3"/>
    <s v="Q3"/>
    <x v="43"/>
    <d v="2017-08-09T00:00:00"/>
    <s v="Standard Class"/>
    <x v="22"/>
    <x v="22"/>
    <s v="Consumer"/>
    <s v="United States"/>
    <s v="Indianapolis"/>
    <x v="14"/>
    <n v="46203"/>
    <x v="2"/>
    <x v="542"/>
    <x v="1"/>
    <x v="8"/>
    <x v="542"/>
    <n v="125.88"/>
    <s v="High"/>
    <n v="6"/>
    <n v="0"/>
    <x v="0"/>
    <x v="0"/>
    <n v="60.422400000000003"/>
    <n v="0.48000000000000004"/>
    <n v="0"/>
  </r>
  <r>
    <n v="6642"/>
    <s v="CA-2017-128328"/>
    <d v="2017-08-05T00:00:00"/>
    <x v="3"/>
    <s v="Q3"/>
    <x v="43"/>
    <d v="2017-08-09T00:00:00"/>
    <s v="Standard Class"/>
    <x v="22"/>
    <x v="22"/>
    <s v="Consumer"/>
    <s v="United States"/>
    <s v="Indianapolis"/>
    <x v="14"/>
    <n v="46203"/>
    <x v="2"/>
    <x v="685"/>
    <x v="2"/>
    <x v="11"/>
    <x v="685"/>
    <n v="79.78"/>
    <s v="Medium"/>
    <n v="2"/>
    <n v="0"/>
    <x v="0"/>
    <x v="0"/>
    <n v="29.518599999999999"/>
    <n v="0.37"/>
    <n v="0"/>
  </r>
  <r>
    <n v="6643"/>
    <s v="CA-2017-128328"/>
    <d v="2017-08-05T00:00:00"/>
    <x v="3"/>
    <s v="Q3"/>
    <x v="43"/>
    <d v="2017-08-09T00:00:00"/>
    <s v="Standard Class"/>
    <x v="22"/>
    <x v="22"/>
    <s v="Consumer"/>
    <s v="United States"/>
    <s v="Indianapolis"/>
    <x v="14"/>
    <n v="46203"/>
    <x v="2"/>
    <x v="1760"/>
    <x v="1"/>
    <x v="2"/>
    <x v="1749"/>
    <n v="133.19999999999999"/>
    <s v="High"/>
    <n v="9"/>
    <n v="0"/>
    <x v="0"/>
    <x v="0"/>
    <n v="66.599999999999994"/>
    <n v="0.5"/>
    <n v="0"/>
  </r>
  <r>
    <n v="6644"/>
    <s v="US-2015-156496"/>
    <d v="2015-08-10T00:00:00"/>
    <x v="1"/>
    <s v="Q3"/>
    <x v="37"/>
    <d v="2015-08-16T00:00:00"/>
    <s v="Standard Class"/>
    <x v="576"/>
    <x v="576"/>
    <s v="Consumer"/>
    <s v="United States"/>
    <s v="Redmond"/>
    <x v="21"/>
    <n v="97756"/>
    <x v="1"/>
    <x v="819"/>
    <x v="2"/>
    <x v="7"/>
    <x v="815"/>
    <n v="438.36799999999999"/>
    <s v="High"/>
    <n v="4"/>
    <n v="0.2"/>
    <x v="2"/>
    <x v="2"/>
    <n v="38.357199999999999"/>
    <n v="8.7499999999999994E-2"/>
    <n v="0"/>
  </r>
  <r>
    <n v="6645"/>
    <s v="US-2015-156496"/>
    <d v="2015-08-10T00:00:00"/>
    <x v="1"/>
    <s v="Q3"/>
    <x v="37"/>
    <d v="2015-08-16T00:00:00"/>
    <s v="Standard Class"/>
    <x v="576"/>
    <x v="576"/>
    <s v="Consumer"/>
    <s v="United States"/>
    <s v="Redmond"/>
    <x v="21"/>
    <n v="97756"/>
    <x v="1"/>
    <x v="771"/>
    <x v="2"/>
    <x v="7"/>
    <x v="770"/>
    <n v="139.94399999999999"/>
    <s v="High"/>
    <n v="7"/>
    <n v="0.2"/>
    <x v="2"/>
    <x v="2"/>
    <n v="-31.487400000000001"/>
    <n v="-0.22500000000000003"/>
    <n v="1"/>
  </r>
  <r>
    <n v="6646"/>
    <s v="US-2015-156496"/>
    <d v="2015-08-10T00:00:00"/>
    <x v="1"/>
    <s v="Q3"/>
    <x v="37"/>
    <d v="2015-08-16T00:00:00"/>
    <s v="Standard Class"/>
    <x v="576"/>
    <x v="576"/>
    <s v="Consumer"/>
    <s v="United States"/>
    <s v="Redmond"/>
    <x v="21"/>
    <n v="97756"/>
    <x v="1"/>
    <x v="586"/>
    <x v="1"/>
    <x v="9"/>
    <x v="586"/>
    <n v="133.47200000000001"/>
    <s v="High"/>
    <n v="4"/>
    <n v="0.2"/>
    <x v="2"/>
    <x v="2"/>
    <n v="15.015599999999999"/>
    <n v="0.11249999999999999"/>
    <n v="0"/>
  </r>
  <r>
    <n v="6647"/>
    <s v="US-2016-127334"/>
    <d v="2016-12-15T00:00:00"/>
    <x v="0"/>
    <s v="Q4"/>
    <x v="5"/>
    <d v="2016-12-21T00:00:00"/>
    <s v="Standard Class"/>
    <x v="486"/>
    <x v="486"/>
    <s v="Home Office"/>
    <s v="United States"/>
    <s v="Springfield"/>
    <x v="21"/>
    <n v="97477"/>
    <x v="1"/>
    <x v="215"/>
    <x v="0"/>
    <x v="3"/>
    <x v="216"/>
    <n v="564.19500000000005"/>
    <s v="High"/>
    <n v="3"/>
    <n v="0.5"/>
    <x v="1"/>
    <x v="1"/>
    <n v="-304.6653"/>
    <n v="-0.53999999999999992"/>
    <n v="1"/>
  </r>
  <r>
    <n v="6648"/>
    <s v="US-2016-127334"/>
    <d v="2016-12-15T00:00:00"/>
    <x v="0"/>
    <s v="Q4"/>
    <x v="5"/>
    <d v="2016-12-21T00:00:00"/>
    <s v="Standard Class"/>
    <x v="486"/>
    <x v="486"/>
    <s v="Home Office"/>
    <s v="United States"/>
    <s v="Springfield"/>
    <x v="21"/>
    <n v="97477"/>
    <x v="1"/>
    <x v="1309"/>
    <x v="1"/>
    <x v="9"/>
    <x v="1294"/>
    <n v="87.168000000000006"/>
    <s v="Medium"/>
    <n v="2"/>
    <n v="0.2"/>
    <x v="2"/>
    <x v="2"/>
    <n v="8.7167999999999992"/>
    <n v="9.9999999999999978E-2"/>
    <n v="0"/>
  </r>
  <r>
    <n v="6649"/>
    <s v="US-2017-124779"/>
    <d v="2017-09-08T00:00:00"/>
    <x v="3"/>
    <s v="Q3"/>
    <x v="15"/>
    <d v="2017-09-11T00:00:00"/>
    <s v="First Class"/>
    <x v="292"/>
    <x v="292"/>
    <s v="Corporate"/>
    <s v="United States"/>
    <s v="Arlington"/>
    <x v="5"/>
    <n v="76017"/>
    <x v="2"/>
    <x v="471"/>
    <x v="1"/>
    <x v="8"/>
    <x v="472"/>
    <n v="42.616"/>
    <s v="Medium"/>
    <n v="7"/>
    <n v="0.8"/>
    <x v="1"/>
    <x v="3"/>
    <n v="-68.185599999999994"/>
    <n v="-1.5999999999999999"/>
    <n v="1"/>
  </r>
  <r>
    <n v="6650"/>
    <s v="US-2017-124779"/>
    <d v="2017-09-08T00:00:00"/>
    <x v="3"/>
    <s v="Q3"/>
    <x v="15"/>
    <d v="2017-09-11T00:00:00"/>
    <s v="First Class"/>
    <x v="292"/>
    <x v="292"/>
    <s v="Corporate"/>
    <s v="United States"/>
    <s v="Arlington"/>
    <x v="5"/>
    <n v="76017"/>
    <x v="2"/>
    <x v="1687"/>
    <x v="2"/>
    <x v="16"/>
    <x v="1675"/>
    <n v="319.98399999999998"/>
    <s v="High"/>
    <n v="2"/>
    <n v="0.2"/>
    <x v="2"/>
    <x v="2"/>
    <n v="107.99460000000001"/>
    <n v="0.33750000000000002"/>
    <n v="0"/>
  </r>
  <r>
    <n v="6651"/>
    <s v="US-2017-124779"/>
    <d v="2017-09-08T00:00:00"/>
    <x v="3"/>
    <s v="Q3"/>
    <x v="15"/>
    <d v="2017-09-11T00:00:00"/>
    <s v="First Class"/>
    <x v="292"/>
    <x v="292"/>
    <s v="Corporate"/>
    <s v="United States"/>
    <s v="Arlington"/>
    <x v="5"/>
    <n v="76017"/>
    <x v="2"/>
    <x v="271"/>
    <x v="1"/>
    <x v="13"/>
    <x v="271"/>
    <n v="45.92"/>
    <s v="Medium"/>
    <n v="5"/>
    <n v="0.2"/>
    <x v="2"/>
    <x v="2"/>
    <n v="15.497999999999999"/>
    <n v="0.33749999999999997"/>
    <n v="0"/>
  </r>
  <r>
    <n v="6652"/>
    <s v="US-2017-124779"/>
    <d v="2017-09-08T00:00:00"/>
    <x v="3"/>
    <s v="Q3"/>
    <x v="15"/>
    <d v="2017-09-11T00:00:00"/>
    <s v="First Class"/>
    <x v="292"/>
    <x v="292"/>
    <s v="Corporate"/>
    <s v="United States"/>
    <s v="Arlington"/>
    <x v="5"/>
    <n v="76017"/>
    <x v="2"/>
    <x v="750"/>
    <x v="0"/>
    <x v="5"/>
    <x v="748"/>
    <n v="21.184000000000001"/>
    <s v="Low"/>
    <n v="2"/>
    <n v="0.6"/>
    <x v="1"/>
    <x v="6"/>
    <n v="-11.651199999999999"/>
    <n v="-0.54999999999999993"/>
    <n v="1"/>
  </r>
  <r>
    <n v="6653"/>
    <s v="US-2017-124779"/>
    <d v="2017-09-08T00:00:00"/>
    <x v="3"/>
    <s v="Q3"/>
    <x v="15"/>
    <d v="2017-09-11T00:00:00"/>
    <s v="First Class"/>
    <x v="292"/>
    <x v="292"/>
    <s v="Corporate"/>
    <s v="United States"/>
    <s v="Arlington"/>
    <x v="5"/>
    <n v="76017"/>
    <x v="2"/>
    <x v="180"/>
    <x v="1"/>
    <x v="10"/>
    <x v="181"/>
    <n v="20.736000000000001"/>
    <s v="Low"/>
    <n v="4"/>
    <n v="0.2"/>
    <x v="2"/>
    <x v="2"/>
    <n v="7.2576000000000001"/>
    <n v="0.35"/>
    <n v="0"/>
  </r>
  <r>
    <n v="6654"/>
    <s v="US-2017-124779"/>
    <d v="2017-09-08T00:00:00"/>
    <x v="3"/>
    <s v="Q3"/>
    <x v="15"/>
    <d v="2017-09-11T00:00:00"/>
    <s v="First Class"/>
    <x v="292"/>
    <x v="292"/>
    <s v="Corporate"/>
    <s v="United States"/>
    <s v="Arlington"/>
    <x v="5"/>
    <n v="76017"/>
    <x v="2"/>
    <x v="1534"/>
    <x v="0"/>
    <x v="1"/>
    <x v="1522"/>
    <n v="213.43"/>
    <s v="High"/>
    <n v="5"/>
    <n v="0.3"/>
    <x v="1"/>
    <x v="4"/>
    <n v="-39.637"/>
    <n v="-0.18571428571428572"/>
    <n v="1"/>
  </r>
  <r>
    <n v="6655"/>
    <s v="CA-2017-135937"/>
    <d v="2017-02-20T00:00:00"/>
    <x v="3"/>
    <s v="Q1"/>
    <x v="31"/>
    <d v="2017-02-27T00:00:00"/>
    <s v="Standard Class"/>
    <x v="454"/>
    <x v="454"/>
    <s v="Home Office"/>
    <s v="United States"/>
    <s v="Gilbert"/>
    <x v="16"/>
    <n v="85234"/>
    <x v="1"/>
    <x v="872"/>
    <x v="2"/>
    <x v="7"/>
    <x v="866"/>
    <n v="333.57600000000002"/>
    <s v="High"/>
    <n v="3"/>
    <n v="0.2"/>
    <x v="2"/>
    <x v="2"/>
    <n v="25.0182"/>
    <n v="7.4999999999999997E-2"/>
    <n v="0"/>
  </r>
  <r>
    <n v="6656"/>
    <s v="CA-2017-135937"/>
    <d v="2017-02-20T00:00:00"/>
    <x v="3"/>
    <s v="Q1"/>
    <x v="31"/>
    <d v="2017-02-27T00:00:00"/>
    <s v="Standard Class"/>
    <x v="454"/>
    <x v="454"/>
    <s v="Home Office"/>
    <s v="United States"/>
    <s v="Gilbert"/>
    <x v="16"/>
    <n v="85234"/>
    <x v="1"/>
    <x v="1227"/>
    <x v="2"/>
    <x v="11"/>
    <x v="1211"/>
    <n v="31.992000000000001"/>
    <s v="Medium"/>
    <n v="1"/>
    <n v="0.2"/>
    <x v="2"/>
    <x v="2"/>
    <n v="4.7988"/>
    <n v="0.15"/>
    <n v="0"/>
  </r>
  <r>
    <n v="6657"/>
    <s v="CA-2017-135937"/>
    <d v="2017-02-20T00:00:00"/>
    <x v="3"/>
    <s v="Q1"/>
    <x v="31"/>
    <d v="2017-02-27T00:00:00"/>
    <s v="Standard Class"/>
    <x v="454"/>
    <x v="454"/>
    <s v="Home Office"/>
    <s v="United States"/>
    <s v="Gilbert"/>
    <x v="16"/>
    <n v="85234"/>
    <x v="1"/>
    <x v="911"/>
    <x v="1"/>
    <x v="4"/>
    <x v="903"/>
    <n v="51.167999999999999"/>
    <s v="Medium"/>
    <n v="2"/>
    <n v="0.2"/>
    <x v="2"/>
    <x v="2"/>
    <n v="-6.3959999999999999"/>
    <n v="-0.125"/>
    <n v="1"/>
  </r>
  <r>
    <n v="6658"/>
    <s v="CA-2017-135937"/>
    <d v="2017-02-20T00:00:00"/>
    <x v="3"/>
    <s v="Q1"/>
    <x v="31"/>
    <d v="2017-02-27T00:00:00"/>
    <s v="Standard Class"/>
    <x v="454"/>
    <x v="454"/>
    <s v="Home Office"/>
    <s v="United States"/>
    <s v="Gilbert"/>
    <x v="16"/>
    <n v="85234"/>
    <x v="1"/>
    <x v="1510"/>
    <x v="1"/>
    <x v="12"/>
    <x v="1497"/>
    <n v="10.64"/>
    <s v="Low"/>
    <n v="5"/>
    <n v="0.2"/>
    <x v="2"/>
    <x v="2"/>
    <n v="3.8570000000000002"/>
    <n v="0.36249999999999999"/>
    <n v="0"/>
  </r>
  <r>
    <n v="6659"/>
    <s v="CA-2017-135937"/>
    <d v="2017-02-20T00:00:00"/>
    <x v="3"/>
    <s v="Q1"/>
    <x v="31"/>
    <d v="2017-02-27T00:00:00"/>
    <s v="Standard Class"/>
    <x v="454"/>
    <x v="454"/>
    <s v="Home Office"/>
    <s v="United States"/>
    <s v="Gilbert"/>
    <x v="16"/>
    <n v="85234"/>
    <x v="1"/>
    <x v="592"/>
    <x v="0"/>
    <x v="5"/>
    <x v="592"/>
    <n v="68.703999999999994"/>
    <s v="Medium"/>
    <n v="2"/>
    <n v="0.2"/>
    <x v="2"/>
    <x v="2"/>
    <n v="16.3172"/>
    <n v="0.23750000000000002"/>
    <n v="0"/>
  </r>
  <r>
    <n v="6660"/>
    <s v="CA-2017-135937"/>
    <d v="2017-02-20T00:00:00"/>
    <x v="3"/>
    <s v="Q1"/>
    <x v="31"/>
    <d v="2017-02-27T00:00:00"/>
    <s v="Standard Class"/>
    <x v="454"/>
    <x v="454"/>
    <s v="Home Office"/>
    <s v="United States"/>
    <s v="Gilbert"/>
    <x v="16"/>
    <n v="85234"/>
    <x v="1"/>
    <x v="977"/>
    <x v="0"/>
    <x v="3"/>
    <x v="832"/>
    <n v="386.91"/>
    <s v="High"/>
    <n v="9"/>
    <n v="0.5"/>
    <x v="1"/>
    <x v="1"/>
    <n v="-185.71680000000001"/>
    <n v="-0.48"/>
    <n v="1"/>
  </r>
  <r>
    <n v="6661"/>
    <s v="CA-2015-129322"/>
    <d v="2015-08-08T00:00:00"/>
    <x v="1"/>
    <s v="Q3"/>
    <x v="37"/>
    <d v="2015-08-10T00:00:00"/>
    <s v="Second Class"/>
    <x v="591"/>
    <x v="591"/>
    <s v="Consumer"/>
    <s v="United States"/>
    <s v="Lawrence"/>
    <x v="31"/>
    <n v="1841"/>
    <x v="3"/>
    <x v="1643"/>
    <x v="1"/>
    <x v="6"/>
    <x v="1633"/>
    <n v="39.659999999999997"/>
    <s v="Medium"/>
    <n v="2"/>
    <n v="0"/>
    <x v="0"/>
    <x v="0"/>
    <n v="11.898"/>
    <n v="0.30000000000000004"/>
    <n v="0"/>
  </r>
  <r>
    <n v="6662"/>
    <s v="CA-2015-129322"/>
    <d v="2015-08-08T00:00:00"/>
    <x v="1"/>
    <s v="Q3"/>
    <x v="37"/>
    <d v="2015-08-10T00:00:00"/>
    <s v="Second Class"/>
    <x v="591"/>
    <x v="591"/>
    <s v="Consumer"/>
    <s v="United States"/>
    <s v="Lawrence"/>
    <x v="31"/>
    <n v="1841"/>
    <x v="3"/>
    <x v="1051"/>
    <x v="1"/>
    <x v="9"/>
    <x v="1040"/>
    <n v="113.92"/>
    <s v="Medium"/>
    <n v="2"/>
    <n v="0"/>
    <x v="0"/>
    <x v="0"/>
    <n v="33.036799999999999"/>
    <n v="0.28999999999999998"/>
    <n v="0"/>
  </r>
  <r>
    <n v="6663"/>
    <s v="CA-2015-129322"/>
    <d v="2015-08-08T00:00:00"/>
    <x v="1"/>
    <s v="Q3"/>
    <x v="37"/>
    <d v="2015-08-10T00:00:00"/>
    <s v="Second Class"/>
    <x v="591"/>
    <x v="591"/>
    <s v="Consumer"/>
    <s v="United States"/>
    <s v="Lawrence"/>
    <x v="31"/>
    <n v="1841"/>
    <x v="3"/>
    <x v="1242"/>
    <x v="1"/>
    <x v="8"/>
    <x v="1225"/>
    <n v="447.86"/>
    <s v="High"/>
    <n v="7"/>
    <n v="0"/>
    <x v="0"/>
    <x v="0"/>
    <n v="210.49420000000001"/>
    <n v="0.47"/>
    <n v="0"/>
  </r>
  <r>
    <n v="6664"/>
    <s v="CA-2017-162173"/>
    <d v="2017-10-26T00:00:00"/>
    <x v="3"/>
    <s v="Q4"/>
    <x v="13"/>
    <d v="2017-11-01T00:00:00"/>
    <s v="Standard Class"/>
    <x v="220"/>
    <x v="220"/>
    <s v="Consumer"/>
    <s v="United States"/>
    <s v="Virginia Beach"/>
    <x v="17"/>
    <n v="23464"/>
    <x v="0"/>
    <x v="719"/>
    <x v="0"/>
    <x v="3"/>
    <x v="718"/>
    <n v="356.85"/>
    <s v="High"/>
    <n v="5"/>
    <n v="0"/>
    <x v="0"/>
    <x v="0"/>
    <n v="60.664499999999997"/>
    <n v="0.16999999999999998"/>
    <n v="0"/>
  </r>
  <r>
    <n v="6665"/>
    <s v="CA-2017-162173"/>
    <d v="2017-10-26T00:00:00"/>
    <x v="3"/>
    <s v="Q4"/>
    <x v="13"/>
    <d v="2017-11-01T00:00:00"/>
    <s v="Standard Class"/>
    <x v="220"/>
    <x v="220"/>
    <s v="Consumer"/>
    <s v="United States"/>
    <s v="Virginia Beach"/>
    <x v="17"/>
    <n v="23464"/>
    <x v="0"/>
    <x v="842"/>
    <x v="1"/>
    <x v="12"/>
    <x v="836"/>
    <n v="251.58"/>
    <s v="High"/>
    <n v="7"/>
    <n v="0"/>
    <x v="0"/>
    <x v="0"/>
    <n v="113.211"/>
    <n v="0.44999999999999996"/>
    <n v="0"/>
  </r>
  <r>
    <n v="6666"/>
    <s v="CA-2016-115483"/>
    <d v="2016-07-14T00:00:00"/>
    <x v="0"/>
    <s v="Q3"/>
    <x v="16"/>
    <d v="2016-07-18T00:00:00"/>
    <s v="Second Class"/>
    <x v="365"/>
    <x v="365"/>
    <s v="Consumer"/>
    <s v="United States"/>
    <s v="Irving"/>
    <x v="5"/>
    <n v="75061"/>
    <x v="2"/>
    <x v="1766"/>
    <x v="1"/>
    <x v="10"/>
    <x v="1755"/>
    <n v="219.84"/>
    <s v="High"/>
    <n v="5"/>
    <n v="0.2"/>
    <x v="2"/>
    <x v="2"/>
    <n v="79.691999999999993"/>
    <n v="0.36249999999999999"/>
    <n v="0"/>
  </r>
  <r>
    <n v="6667"/>
    <s v="CA-2017-122175"/>
    <d v="2017-05-12T00:00:00"/>
    <x v="3"/>
    <s v="Q2"/>
    <x v="24"/>
    <d v="2017-05-14T00:00:00"/>
    <s v="Second Class"/>
    <x v="222"/>
    <x v="222"/>
    <s v="Consumer"/>
    <s v="United States"/>
    <s v="Vineland"/>
    <x v="30"/>
    <n v="8360"/>
    <x v="3"/>
    <x v="1685"/>
    <x v="0"/>
    <x v="5"/>
    <x v="1673"/>
    <n v="42.85"/>
    <s v="Medium"/>
    <n v="5"/>
    <n v="0"/>
    <x v="0"/>
    <x v="0"/>
    <n v="15.426"/>
    <n v="0.36"/>
    <n v="0"/>
  </r>
  <r>
    <n v="6668"/>
    <s v="CA-2017-122175"/>
    <d v="2017-05-12T00:00:00"/>
    <x v="3"/>
    <s v="Q2"/>
    <x v="24"/>
    <d v="2017-05-14T00:00:00"/>
    <s v="Second Class"/>
    <x v="222"/>
    <x v="222"/>
    <s v="Consumer"/>
    <s v="United States"/>
    <s v="Vineland"/>
    <x v="30"/>
    <n v="8360"/>
    <x v="3"/>
    <x v="641"/>
    <x v="1"/>
    <x v="2"/>
    <x v="641"/>
    <n v="6.16"/>
    <s v="Low"/>
    <n v="2"/>
    <n v="0"/>
    <x v="0"/>
    <x v="0"/>
    <n v="2.9567999999999999"/>
    <n v="0.48"/>
    <n v="0"/>
  </r>
  <r>
    <n v="6669"/>
    <s v="CA-2017-122175"/>
    <d v="2017-05-12T00:00:00"/>
    <x v="3"/>
    <s v="Q2"/>
    <x v="24"/>
    <d v="2017-05-14T00:00:00"/>
    <s v="Second Class"/>
    <x v="222"/>
    <x v="222"/>
    <s v="Consumer"/>
    <s v="United States"/>
    <s v="Vineland"/>
    <x v="30"/>
    <n v="8360"/>
    <x v="3"/>
    <x v="1768"/>
    <x v="1"/>
    <x v="14"/>
    <x v="1757"/>
    <n v="17"/>
    <s v="Low"/>
    <n v="2"/>
    <n v="0"/>
    <x v="0"/>
    <x v="0"/>
    <n v="4.42"/>
    <n v="0.26"/>
    <n v="0"/>
  </r>
  <r>
    <n v="6670"/>
    <s v="CA-2017-122175"/>
    <d v="2017-05-12T00:00:00"/>
    <x v="3"/>
    <s v="Q2"/>
    <x v="24"/>
    <d v="2017-05-14T00:00:00"/>
    <s v="Second Class"/>
    <x v="222"/>
    <x v="222"/>
    <s v="Consumer"/>
    <s v="United States"/>
    <s v="Vineland"/>
    <x v="30"/>
    <n v="8360"/>
    <x v="3"/>
    <x v="1563"/>
    <x v="2"/>
    <x v="11"/>
    <x v="1554"/>
    <n v="87.4"/>
    <s v="Medium"/>
    <n v="5"/>
    <n v="0"/>
    <x v="0"/>
    <x v="0"/>
    <n v="34.96"/>
    <n v="0.39999999999999997"/>
    <n v="0"/>
  </r>
  <r>
    <n v="6671"/>
    <s v="CA-2017-161088"/>
    <d v="2017-05-25T00:00:00"/>
    <x v="3"/>
    <s v="Q2"/>
    <x v="24"/>
    <d v="2017-05-29T00:00:00"/>
    <s v="Standard Class"/>
    <x v="414"/>
    <x v="414"/>
    <s v="Home Office"/>
    <s v="United States"/>
    <s v="Columbus"/>
    <x v="32"/>
    <n v="31907"/>
    <x v="0"/>
    <x v="528"/>
    <x v="1"/>
    <x v="8"/>
    <x v="528"/>
    <n v="29.84"/>
    <s v="Medium"/>
    <n v="2"/>
    <n v="0"/>
    <x v="0"/>
    <x v="0"/>
    <n v="13.428000000000001"/>
    <n v="0.45"/>
    <n v="0"/>
  </r>
  <r>
    <n v="6672"/>
    <s v="CA-2014-154837"/>
    <d v="2014-08-23T00:00:00"/>
    <x v="2"/>
    <s v="Q3"/>
    <x v="9"/>
    <d v="2014-08-27T00:00:00"/>
    <s v="Second Class"/>
    <x v="516"/>
    <x v="516"/>
    <s v="Corporate"/>
    <s v="United States"/>
    <s v="Los Angeles"/>
    <x v="1"/>
    <n v="90032"/>
    <x v="1"/>
    <x v="582"/>
    <x v="1"/>
    <x v="8"/>
    <x v="582"/>
    <n v="49.567999999999998"/>
    <s v="Medium"/>
    <n v="2"/>
    <n v="0.2"/>
    <x v="2"/>
    <x v="2"/>
    <n v="17.348800000000001"/>
    <n v="0.35000000000000003"/>
    <n v="0"/>
  </r>
  <r>
    <n v="6673"/>
    <s v="CA-2015-153794"/>
    <d v="2015-09-11T00:00:00"/>
    <x v="1"/>
    <s v="Q3"/>
    <x v="11"/>
    <d v="2015-09-16T00:00:00"/>
    <s v="Standard Class"/>
    <x v="115"/>
    <x v="115"/>
    <s v="Corporate"/>
    <s v="United States"/>
    <s v="San Diego"/>
    <x v="1"/>
    <n v="92024"/>
    <x v="1"/>
    <x v="108"/>
    <x v="1"/>
    <x v="6"/>
    <x v="108"/>
    <n v="265.86"/>
    <s v="High"/>
    <n v="7"/>
    <n v="0"/>
    <x v="0"/>
    <x v="0"/>
    <n v="79.757999999999996"/>
    <n v="0.3"/>
    <n v="0"/>
  </r>
  <r>
    <n v="6674"/>
    <s v="CA-2015-135510"/>
    <d v="2015-09-05T00:00:00"/>
    <x v="1"/>
    <s v="Q3"/>
    <x v="11"/>
    <d v="2015-09-12T00:00:00"/>
    <s v="Standard Class"/>
    <x v="69"/>
    <x v="69"/>
    <s v="Home Office"/>
    <s v="United States"/>
    <s v="Charlottesville"/>
    <x v="17"/>
    <n v="22901"/>
    <x v="0"/>
    <x v="1793"/>
    <x v="0"/>
    <x v="5"/>
    <x v="1783"/>
    <n v="67.959999999999994"/>
    <s v="Medium"/>
    <n v="4"/>
    <n v="0"/>
    <x v="0"/>
    <x v="0"/>
    <n v="12.232799999999999"/>
    <n v="0.18"/>
    <n v="0"/>
  </r>
  <r>
    <n v="6675"/>
    <s v="CA-2015-109337"/>
    <d v="2015-11-21T00:00:00"/>
    <x v="1"/>
    <s v="Q4"/>
    <x v="6"/>
    <d v="2015-11-23T00:00:00"/>
    <s v="Second Class"/>
    <x v="658"/>
    <x v="658"/>
    <s v="Consumer"/>
    <s v="United States"/>
    <s v="Lawrence"/>
    <x v="14"/>
    <n v="46226"/>
    <x v="2"/>
    <x v="853"/>
    <x v="1"/>
    <x v="6"/>
    <x v="846"/>
    <n v="10.92"/>
    <s v="Low"/>
    <n v="6"/>
    <n v="0"/>
    <x v="0"/>
    <x v="0"/>
    <n v="4.9139999999999997"/>
    <n v="0.44999999999999996"/>
    <n v="0"/>
  </r>
  <r>
    <n v="6676"/>
    <s v="CA-2015-109337"/>
    <d v="2015-11-21T00:00:00"/>
    <x v="1"/>
    <s v="Q4"/>
    <x v="6"/>
    <d v="2015-11-23T00:00:00"/>
    <s v="Second Class"/>
    <x v="658"/>
    <x v="658"/>
    <s v="Consumer"/>
    <s v="United States"/>
    <s v="Lawrence"/>
    <x v="14"/>
    <n v="46226"/>
    <x v="2"/>
    <x v="1794"/>
    <x v="2"/>
    <x v="15"/>
    <x v="1784"/>
    <n v="83.9"/>
    <s v="Medium"/>
    <n v="2"/>
    <n v="0"/>
    <x v="0"/>
    <x v="0"/>
    <n v="22.652999999999999"/>
    <n v="0.26999999999999996"/>
    <n v="0"/>
  </r>
  <r>
    <n v="6677"/>
    <s v="CA-2015-109337"/>
    <d v="2015-11-21T00:00:00"/>
    <x v="1"/>
    <s v="Q4"/>
    <x v="6"/>
    <d v="2015-11-23T00:00:00"/>
    <s v="Second Class"/>
    <x v="658"/>
    <x v="658"/>
    <s v="Consumer"/>
    <s v="United States"/>
    <s v="Lawrence"/>
    <x v="14"/>
    <n v="46226"/>
    <x v="2"/>
    <x v="1683"/>
    <x v="1"/>
    <x v="9"/>
    <x v="1671"/>
    <n v="19.75"/>
    <s v="Low"/>
    <n v="5"/>
    <n v="0"/>
    <x v="0"/>
    <x v="0"/>
    <n v="5.1349999999999998"/>
    <n v="0.26"/>
    <n v="0"/>
  </r>
  <r>
    <n v="6678"/>
    <s v="CA-2015-109337"/>
    <d v="2015-11-21T00:00:00"/>
    <x v="1"/>
    <s v="Q4"/>
    <x v="6"/>
    <d v="2015-11-23T00:00:00"/>
    <s v="Second Class"/>
    <x v="658"/>
    <x v="658"/>
    <s v="Consumer"/>
    <s v="United States"/>
    <s v="Lawrence"/>
    <x v="14"/>
    <n v="46226"/>
    <x v="2"/>
    <x v="1543"/>
    <x v="2"/>
    <x v="11"/>
    <x v="1531"/>
    <n v="393.54"/>
    <s v="High"/>
    <n v="3"/>
    <n v="0"/>
    <x v="0"/>
    <x v="0"/>
    <n v="165.2868"/>
    <n v="0.42"/>
    <n v="0"/>
  </r>
  <r>
    <n v="6679"/>
    <s v="CA-2014-150329"/>
    <d v="2014-10-10T00:00:00"/>
    <x v="2"/>
    <s v="Q4"/>
    <x v="18"/>
    <d v="2014-10-14T00:00:00"/>
    <s v="Standard Class"/>
    <x v="174"/>
    <x v="174"/>
    <s v="Home Office"/>
    <s v="United States"/>
    <s v="Phoenix"/>
    <x v="16"/>
    <n v="85023"/>
    <x v="1"/>
    <x v="904"/>
    <x v="0"/>
    <x v="5"/>
    <x v="896"/>
    <n v="46.872"/>
    <s v="Medium"/>
    <n v="7"/>
    <n v="0.2"/>
    <x v="2"/>
    <x v="2"/>
    <n v="3.5154000000000001"/>
    <n v="7.4999999999999997E-2"/>
    <n v="0"/>
  </r>
  <r>
    <n v="6680"/>
    <s v="CA-2017-145037"/>
    <d v="2017-09-02T00:00:00"/>
    <x v="3"/>
    <s v="Q3"/>
    <x v="15"/>
    <d v="2017-09-07T00:00:00"/>
    <s v="Second Class"/>
    <x v="26"/>
    <x v="26"/>
    <s v="Consumer"/>
    <s v="United States"/>
    <s v="Meriden"/>
    <x v="29"/>
    <n v="6450"/>
    <x v="3"/>
    <x v="376"/>
    <x v="1"/>
    <x v="4"/>
    <x v="377"/>
    <n v="10.9"/>
    <s v="Low"/>
    <n v="1"/>
    <n v="0"/>
    <x v="0"/>
    <x v="0"/>
    <n v="2.8340000000000001"/>
    <n v="0.26"/>
    <n v="0"/>
  </r>
  <r>
    <n v="6681"/>
    <s v="CA-2017-145037"/>
    <d v="2017-09-02T00:00:00"/>
    <x v="3"/>
    <s v="Q3"/>
    <x v="15"/>
    <d v="2017-09-07T00:00:00"/>
    <s v="Second Class"/>
    <x v="26"/>
    <x v="26"/>
    <s v="Consumer"/>
    <s v="United States"/>
    <s v="Meriden"/>
    <x v="29"/>
    <n v="6450"/>
    <x v="3"/>
    <x v="368"/>
    <x v="1"/>
    <x v="10"/>
    <x v="369"/>
    <n v="79.92"/>
    <s v="Medium"/>
    <n v="4"/>
    <n v="0"/>
    <x v="0"/>
    <x v="0"/>
    <n v="37.562399999999997"/>
    <n v="0.47"/>
    <n v="0"/>
  </r>
  <r>
    <n v="6682"/>
    <s v="CA-2017-145037"/>
    <d v="2017-09-02T00:00:00"/>
    <x v="3"/>
    <s v="Q3"/>
    <x v="15"/>
    <d v="2017-09-07T00:00:00"/>
    <s v="Second Class"/>
    <x v="26"/>
    <x v="26"/>
    <s v="Consumer"/>
    <s v="United States"/>
    <s v="Meriden"/>
    <x v="29"/>
    <n v="6450"/>
    <x v="3"/>
    <x v="1619"/>
    <x v="1"/>
    <x v="10"/>
    <x v="1610"/>
    <n v="146.82"/>
    <s v="High"/>
    <n v="3"/>
    <n v="0"/>
    <x v="0"/>
    <x v="0"/>
    <n v="73.41"/>
    <n v="0.5"/>
    <n v="0"/>
  </r>
  <r>
    <n v="6683"/>
    <s v="CA-2017-154466"/>
    <d v="2017-01-01T00:00:00"/>
    <x v="3"/>
    <s v="Q1"/>
    <x v="44"/>
    <d v="2017-01-02T00:00:00"/>
    <s v="First Class"/>
    <x v="503"/>
    <x v="503"/>
    <s v="Home Office"/>
    <s v="United States"/>
    <s v="Franklin"/>
    <x v="6"/>
    <n v="53132"/>
    <x v="2"/>
    <x v="751"/>
    <x v="1"/>
    <x v="8"/>
    <x v="749"/>
    <n v="3.6"/>
    <s v="Low"/>
    <n v="2"/>
    <n v="0"/>
    <x v="0"/>
    <x v="0"/>
    <n v="1.728"/>
    <n v="0.48"/>
    <n v="0"/>
  </r>
  <r>
    <n v="6684"/>
    <s v="CA-2014-109134"/>
    <d v="2014-11-05T00:00:00"/>
    <x v="2"/>
    <s v="Q4"/>
    <x v="7"/>
    <d v="2014-11-10T00:00:00"/>
    <s v="Standard Class"/>
    <x v="368"/>
    <x v="368"/>
    <s v="Home Office"/>
    <s v="United States"/>
    <s v="Los Angeles"/>
    <x v="1"/>
    <n v="90008"/>
    <x v="1"/>
    <x v="1533"/>
    <x v="0"/>
    <x v="5"/>
    <x v="1521"/>
    <n v="20.04"/>
    <s v="Low"/>
    <n v="6"/>
    <n v="0"/>
    <x v="0"/>
    <x v="0"/>
    <n v="8.8176000000000005"/>
    <n v="0.44000000000000006"/>
    <n v="0"/>
  </r>
  <r>
    <n v="6685"/>
    <s v="US-2015-129637"/>
    <d v="2015-12-17T00:00:00"/>
    <x v="1"/>
    <s v="Q4"/>
    <x v="14"/>
    <d v="2015-12-22T00:00:00"/>
    <s v="Standard Class"/>
    <x v="498"/>
    <x v="498"/>
    <s v="Consumer"/>
    <s v="United States"/>
    <s v="Bloomington"/>
    <x v="10"/>
    <n v="61701"/>
    <x v="2"/>
    <x v="906"/>
    <x v="1"/>
    <x v="4"/>
    <x v="898"/>
    <n v="180.01599999999999"/>
    <s v="High"/>
    <n v="1"/>
    <n v="0.2"/>
    <x v="2"/>
    <x v="2"/>
    <n v="-15.7514"/>
    <n v="-8.7500000000000008E-2"/>
    <n v="1"/>
  </r>
  <r>
    <n v="6686"/>
    <s v="US-2015-129637"/>
    <d v="2015-12-17T00:00:00"/>
    <x v="1"/>
    <s v="Q4"/>
    <x v="14"/>
    <d v="2015-12-22T00:00:00"/>
    <s v="Standard Class"/>
    <x v="498"/>
    <x v="498"/>
    <s v="Consumer"/>
    <s v="United States"/>
    <s v="Bloomington"/>
    <x v="10"/>
    <n v="61701"/>
    <x v="2"/>
    <x v="689"/>
    <x v="0"/>
    <x v="5"/>
    <x v="689"/>
    <n v="41.552"/>
    <s v="Medium"/>
    <n v="2"/>
    <n v="0.6"/>
    <x v="1"/>
    <x v="6"/>
    <n v="-19.737200000000001"/>
    <n v="-0.47500000000000003"/>
    <n v="1"/>
  </r>
  <r>
    <n v="6687"/>
    <s v="US-2015-129637"/>
    <d v="2015-12-17T00:00:00"/>
    <x v="1"/>
    <s v="Q4"/>
    <x v="14"/>
    <d v="2015-12-22T00:00:00"/>
    <s v="Standard Class"/>
    <x v="498"/>
    <x v="498"/>
    <s v="Consumer"/>
    <s v="United States"/>
    <s v="Bloomington"/>
    <x v="10"/>
    <n v="61701"/>
    <x v="2"/>
    <x v="950"/>
    <x v="1"/>
    <x v="6"/>
    <x v="943"/>
    <n v="13.12"/>
    <s v="Low"/>
    <n v="5"/>
    <n v="0.2"/>
    <x v="2"/>
    <x v="2"/>
    <n v="1.476"/>
    <n v="0.1125"/>
    <n v="0"/>
  </r>
  <r>
    <n v="6688"/>
    <s v="CA-2015-165162"/>
    <d v="2015-05-14T00:00:00"/>
    <x v="1"/>
    <s v="Q2"/>
    <x v="33"/>
    <d v="2015-05-21T00:00:00"/>
    <s v="Standard Class"/>
    <x v="643"/>
    <x v="643"/>
    <s v="Consumer"/>
    <s v="United States"/>
    <s v="Los Angeles"/>
    <x v="1"/>
    <n v="90032"/>
    <x v="1"/>
    <x v="1362"/>
    <x v="1"/>
    <x v="4"/>
    <x v="1348"/>
    <n v="1117.92"/>
    <s v="High"/>
    <n v="4"/>
    <n v="0"/>
    <x v="0"/>
    <x v="0"/>
    <n v="55.896000000000001"/>
    <n v="4.9999999999999996E-2"/>
    <n v="0"/>
  </r>
  <r>
    <n v="6689"/>
    <s v="CA-2017-140494"/>
    <d v="2017-03-10T00:00:00"/>
    <x v="3"/>
    <s v="Q1"/>
    <x v="42"/>
    <d v="2017-03-15T00:00:00"/>
    <s v="Second Class"/>
    <x v="698"/>
    <x v="698"/>
    <s v="Corporate"/>
    <s v="United States"/>
    <s v="San Francisco"/>
    <x v="1"/>
    <n v="94109"/>
    <x v="1"/>
    <x v="1130"/>
    <x v="2"/>
    <x v="11"/>
    <x v="1118"/>
    <n v="111.96"/>
    <s v="Medium"/>
    <n v="4"/>
    <n v="0"/>
    <x v="0"/>
    <x v="0"/>
    <n v="21.272400000000001"/>
    <n v="0.19000000000000003"/>
    <n v="0"/>
  </r>
  <r>
    <n v="6690"/>
    <s v="CA-2017-104108"/>
    <d v="2017-12-02T00:00:00"/>
    <x v="3"/>
    <s v="Q4"/>
    <x v="22"/>
    <d v="2017-12-09T00:00:00"/>
    <s v="Standard Class"/>
    <x v="532"/>
    <x v="532"/>
    <s v="Corporate"/>
    <s v="United States"/>
    <s v="Houston"/>
    <x v="5"/>
    <n v="77095"/>
    <x v="2"/>
    <x v="1279"/>
    <x v="1"/>
    <x v="6"/>
    <x v="1264"/>
    <n v="12.16"/>
    <s v="Low"/>
    <n v="5"/>
    <n v="0.2"/>
    <x v="2"/>
    <x v="2"/>
    <n v="2.1280000000000001"/>
    <n v="0.17500000000000002"/>
    <n v="0"/>
  </r>
  <r>
    <n v="6691"/>
    <s v="US-2017-165869"/>
    <d v="2017-07-31T00:00:00"/>
    <x v="3"/>
    <s v="Q3"/>
    <x v="10"/>
    <d v="2017-08-05T00:00:00"/>
    <s v="Standard Class"/>
    <x v="624"/>
    <x v="624"/>
    <s v="Corporate"/>
    <s v="United States"/>
    <s v="Milwaukee"/>
    <x v="6"/>
    <n v="53209"/>
    <x v="2"/>
    <x v="236"/>
    <x v="1"/>
    <x v="8"/>
    <x v="237"/>
    <n v="17.52"/>
    <s v="Low"/>
    <n v="4"/>
    <n v="0"/>
    <x v="0"/>
    <x v="0"/>
    <n v="8.4095999999999993"/>
    <n v="0.48"/>
    <n v="0"/>
  </r>
  <r>
    <n v="6692"/>
    <s v="US-2017-165869"/>
    <d v="2017-07-31T00:00:00"/>
    <x v="3"/>
    <s v="Q3"/>
    <x v="10"/>
    <d v="2017-08-05T00:00:00"/>
    <s v="Standard Class"/>
    <x v="624"/>
    <x v="624"/>
    <s v="Corporate"/>
    <s v="United States"/>
    <s v="Milwaukee"/>
    <x v="6"/>
    <n v="53209"/>
    <x v="2"/>
    <x v="408"/>
    <x v="1"/>
    <x v="9"/>
    <x v="408"/>
    <n v="155.88"/>
    <s v="High"/>
    <n v="6"/>
    <n v="0"/>
    <x v="0"/>
    <x v="0"/>
    <n v="54.558"/>
    <n v="0.35000000000000003"/>
    <n v="0"/>
  </r>
  <r>
    <n v="6693"/>
    <s v="CA-2017-160899"/>
    <d v="2017-08-11T00:00:00"/>
    <x v="3"/>
    <s v="Q3"/>
    <x v="43"/>
    <d v="2017-08-13T00:00:00"/>
    <s v="Second Class"/>
    <x v="660"/>
    <x v="660"/>
    <s v="Home Office"/>
    <s v="United States"/>
    <s v="Lake Charles"/>
    <x v="28"/>
    <n v="70601"/>
    <x v="0"/>
    <x v="1311"/>
    <x v="1"/>
    <x v="8"/>
    <x v="1297"/>
    <n v="477.51"/>
    <s v="High"/>
    <n v="11"/>
    <n v="0"/>
    <x v="0"/>
    <x v="0"/>
    <n v="219.65459999999999"/>
    <n v="0.45999999999999996"/>
    <n v="0"/>
  </r>
  <r>
    <n v="6694"/>
    <s v="CA-2017-144225"/>
    <d v="2017-09-30T00:00:00"/>
    <x v="3"/>
    <s v="Q3"/>
    <x v="15"/>
    <d v="2017-10-02T00:00:00"/>
    <s v="Second Class"/>
    <x v="693"/>
    <x v="693"/>
    <s v="Consumer"/>
    <s v="United States"/>
    <s v="Baltimore"/>
    <x v="39"/>
    <n v="21215"/>
    <x v="3"/>
    <x v="1397"/>
    <x v="1"/>
    <x v="10"/>
    <x v="1384"/>
    <n v="164.88"/>
    <s v="High"/>
    <n v="3"/>
    <n v="0"/>
    <x v="0"/>
    <x v="0"/>
    <n v="80.791200000000003"/>
    <n v="0.49000000000000005"/>
    <n v="0"/>
  </r>
  <r>
    <n v="6695"/>
    <s v="US-2016-163538"/>
    <d v="2016-08-26T00:00:00"/>
    <x v="0"/>
    <s v="Q3"/>
    <x v="28"/>
    <d v="2016-08-30T00:00:00"/>
    <s v="Standard Class"/>
    <x v="776"/>
    <x v="776"/>
    <s v="Home Office"/>
    <s v="United States"/>
    <s v="Franklin"/>
    <x v="6"/>
    <n v="53132"/>
    <x v="2"/>
    <x v="1097"/>
    <x v="2"/>
    <x v="11"/>
    <x v="1087"/>
    <n v="47.97"/>
    <s v="Medium"/>
    <n v="3"/>
    <n v="0"/>
    <x v="0"/>
    <x v="0"/>
    <n v="14.870699999999999"/>
    <n v="0.31"/>
    <n v="0"/>
  </r>
  <r>
    <n v="6696"/>
    <s v="US-2016-155103"/>
    <d v="2016-12-02T00:00:00"/>
    <x v="0"/>
    <s v="Q4"/>
    <x v="5"/>
    <d v="2016-12-07T00:00:00"/>
    <s v="Standard Class"/>
    <x v="440"/>
    <x v="440"/>
    <s v="Consumer"/>
    <s v="United States"/>
    <s v="New York City"/>
    <x v="15"/>
    <n v="10024"/>
    <x v="3"/>
    <x v="1591"/>
    <x v="1"/>
    <x v="8"/>
    <x v="1583"/>
    <n v="415.17599999999999"/>
    <s v="High"/>
    <n v="3"/>
    <n v="0.2"/>
    <x v="2"/>
    <x v="2"/>
    <n v="134.93219999999999"/>
    <n v="0.32500000000000001"/>
    <n v="0"/>
  </r>
  <r>
    <n v="6697"/>
    <s v="US-2016-155103"/>
    <d v="2016-12-02T00:00:00"/>
    <x v="0"/>
    <s v="Q4"/>
    <x v="5"/>
    <d v="2016-12-07T00:00:00"/>
    <s v="Standard Class"/>
    <x v="440"/>
    <x v="440"/>
    <s v="Consumer"/>
    <s v="United States"/>
    <s v="New York City"/>
    <x v="15"/>
    <n v="10024"/>
    <x v="3"/>
    <x v="908"/>
    <x v="1"/>
    <x v="8"/>
    <x v="900"/>
    <n v="35.231999999999999"/>
    <s v="Medium"/>
    <n v="3"/>
    <n v="0.2"/>
    <x v="2"/>
    <x v="2"/>
    <n v="11.4504"/>
    <n v="0.32500000000000001"/>
    <n v="0"/>
  </r>
  <r>
    <n v="6698"/>
    <s v="US-2016-155103"/>
    <d v="2016-12-02T00:00:00"/>
    <x v="0"/>
    <s v="Q4"/>
    <x v="5"/>
    <d v="2016-12-07T00:00:00"/>
    <s v="Standard Class"/>
    <x v="440"/>
    <x v="440"/>
    <s v="Consumer"/>
    <s v="United States"/>
    <s v="New York City"/>
    <x v="15"/>
    <n v="10024"/>
    <x v="3"/>
    <x v="1397"/>
    <x v="1"/>
    <x v="10"/>
    <x v="1384"/>
    <n v="54.96"/>
    <s v="Medium"/>
    <n v="1"/>
    <n v="0"/>
    <x v="0"/>
    <x v="0"/>
    <n v="26.930399999999999"/>
    <n v="0.49"/>
    <n v="0"/>
  </r>
  <r>
    <n v="6699"/>
    <s v="CA-2017-145429"/>
    <d v="2017-07-21T00:00:00"/>
    <x v="3"/>
    <s v="Q3"/>
    <x v="10"/>
    <d v="2017-07-25T00:00:00"/>
    <s v="Standard Class"/>
    <x v="517"/>
    <x v="517"/>
    <s v="Consumer"/>
    <s v="United States"/>
    <s v="San Diego"/>
    <x v="1"/>
    <n v="92024"/>
    <x v="1"/>
    <x v="1795"/>
    <x v="1"/>
    <x v="10"/>
    <x v="1785"/>
    <n v="16.34"/>
    <s v="Low"/>
    <n v="2"/>
    <n v="0"/>
    <x v="0"/>
    <x v="0"/>
    <n v="7.6798000000000002"/>
    <n v="0.47000000000000003"/>
    <n v="0"/>
  </r>
  <r>
    <n v="6700"/>
    <s v="CA-2017-145429"/>
    <d v="2017-07-21T00:00:00"/>
    <x v="3"/>
    <s v="Q3"/>
    <x v="10"/>
    <d v="2017-07-25T00:00:00"/>
    <s v="Standard Class"/>
    <x v="517"/>
    <x v="517"/>
    <s v="Consumer"/>
    <s v="United States"/>
    <s v="San Diego"/>
    <x v="1"/>
    <n v="92024"/>
    <x v="1"/>
    <x v="1153"/>
    <x v="0"/>
    <x v="1"/>
    <x v="1141"/>
    <n v="225.29599999999999"/>
    <s v="High"/>
    <n v="2"/>
    <n v="0.2"/>
    <x v="2"/>
    <x v="2"/>
    <n v="22.529599999999999"/>
    <n v="9.9999999999999992E-2"/>
    <n v="0"/>
  </r>
  <r>
    <n v="6701"/>
    <s v="CA-2017-145429"/>
    <d v="2017-07-21T00:00:00"/>
    <x v="3"/>
    <s v="Q3"/>
    <x v="10"/>
    <d v="2017-07-25T00:00:00"/>
    <s v="Standard Class"/>
    <x v="517"/>
    <x v="517"/>
    <s v="Consumer"/>
    <s v="United States"/>
    <s v="San Diego"/>
    <x v="1"/>
    <n v="92024"/>
    <x v="1"/>
    <x v="301"/>
    <x v="1"/>
    <x v="8"/>
    <x v="301"/>
    <n v="50.351999999999997"/>
    <s v="Medium"/>
    <n v="3"/>
    <n v="0.2"/>
    <x v="2"/>
    <x v="2"/>
    <n v="17.623200000000001"/>
    <n v="0.35000000000000003"/>
    <n v="0"/>
  </r>
  <r>
    <n v="6702"/>
    <s v="CA-2015-153535"/>
    <d v="2015-05-20T00:00:00"/>
    <x v="1"/>
    <s v="Q2"/>
    <x v="33"/>
    <d v="2015-05-24T00:00:00"/>
    <s v="Standard Class"/>
    <x v="495"/>
    <x v="495"/>
    <s v="Consumer"/>
    <s v="United States"/>
    <s v="Wilson"/>
    <x v="3"/>
    <n v="27893"/>
    <x v="0"/>
    <x v="1154"/>
    <x v="0"/>
    <x v="5"/>
    <x v="1142"/>
    <n v="163.136"/>
    <s v="High"/>
    <n v="4"/>
    <n v="0.2"/>
    <x v="2"/>
    <x v="2"/>
    <n v="20.391999999999999"/>
    <n v="0.125"/>
    <n v="0"/>
  </r>
  <r>
    <n v="6703"/>
    <s v="CA-2015-153535"/>
    <d v="2015-05-20T00:00:00"/>
    <x v="1"/>
    <s v="Q2"/>
    <x v="33"/>
    <d v="2015-05-24T00:00:00"/>
    <s v="Standard Class"/>
    <x v="495"/>
    <x v="495"/>
    <s v="Consumer"/>
    <s v="United States"/>
    <s v="Wilson"/>
    <x v="3"/>
    <n v="27893"/>
    <x v="0"/>
    <x v="880"/>
    <x v="1"/>
    <x v="8"/>
    <x v="874"/>
    <n v="6.4080000000000004"/>
    <s v="Low"/>
    <n v="4"/>
    <n v="0.7"/>
    <x v="1"/>
    <x v="5"/>
    <n v="-4.9127999999999998"/>
    <n v="-0.76666666666666661"/>
    <n v="1"/>
  </r>
  <r>
    <n v="6704"/>
    <s v="CA-2015-139164"/>
    <d v="2015-06-23T00:00:00"/>
    <x v="1"/>
    <s v="Q2"/>
    <x v="40"/>
    <d v="2015-06-28T00:00:00"/>
    <s v="Standard Class"/>
    <x v="394"/>
    <x v="394"/>
    <s v="Consumer"/>
    <s v="United States"/>
    <s v="Long Beach"/>
    <x v="1"/>
    <n v="90805"/>
    <x v="1"/>
    <x v="1236"/>
    <x v="2"/>
    <x v="7"/>
    <x v="1219"/>
    <n v="217.584"/>
    <s v="High"/>
    <n v="2"/>
    <n v="0.2"/>
    <x v="2"/>
    <x v="2"/>
    <n v="19.038599999999999"/>
    <n v="8.7499999999999994E-2"/>
    <n v="0"/>
  </r>
  <r>
    <n v="6705"/>
    <s v="CA-2015-139164"/>
    <d v="2015-06-23T00:00:00"/>
    <x v="1"/>
    <s v="Q2"/>
    <x v="40"/>
    <d v="2015-06-28T00:00:00"/>
    <s v="Standard Class"/>
    <x v="394"/>
    <x v="394"/>
    <s v="Consumer"/>
    <s v="United States"/>
    <s v="Long Beach"/>
    <x v="1"/>
    <n v="90805"/>
    <x v="1"/>
    <x v="804"/>
    <x v="1"/>
    <x v="13"/>
    <x v="802"/>
    <n v="5.43"/>
    <s v="Low"/>
    <n v="3"/>
    <n v="0"/>
    <x v="0"/>
    <x v="0"/>
    <n v="1.7919"/>
    <n v="0.33"/>
    <n v="0"/>
  </r>
  <r>
    <n v="6706"/>
    <s v="CA-2015-139164"/>
    <d v="2015-06-23T00:00:00"/>
    <x v="1"/>
    <s v="Q2"/>
    <x v="40"/>
    <d v="2015-06-28T00:00:00"/>
    <s v="Standard Class"/>
    <x v="394"/>
    <x v="394"/>
    <s v="Consumer"/>
    <s v="United States"/>
    <s v="Long Beach"/>
    <x v="1"/>
    <n v="90805"/>
    <x v="1"/>
    <x v="160"/>
    <x v="2"/>
    <x v="7"/>
    <x v="161"/>
    <n v="143.976"/>
    <s v="High"/>
    <n v="3"/>
    <n v="0.2"/>
    <x v="2"/>
    <x v="2"/>
    <n v="8.9984999999999999"/>
    <n v="6.25E-2"/>
    <n v="0"/>
  </r>
  <r>
    <n v="6707"/>
    <s v="CA-2016-112277"/>
    <d v="2016-09-10T00:00:00"/>
    <x v="0"/>
    <s v="Q3"/>
    <x v="21"/>
    <d v="2016-09-15T00:00:00"/>
    <s v="Standard Class"/>
    <x v="281"/>
    <x v="281"/>
    <s v="Corporate"/>
    <s v="United States"/>
    <s v="Fort Lauderdale"/>
    <x v="2"/>
    <n v="33311"/>
    <x v="0"/>
    <x v="918"/>
    <x v="2"/>
    <x v="7"/>
    <x v="910"/>
    <n v="519.67999999999995"/>
    <s v="High"/>
    <n v="7"/>
    <n v="0.2"/>
    <x v="2"/>
    <x v="2"/>
    <n v="58.463999999999999"/>
    <n v="0.1125"/>
    <n v="0"/>
  </r>
  <r>
    <n v="6708"/>
    <s v="CA-2014-167724"/>
    <d v="2014-04-13T00:00:00"/>
    <x v="2"/>
    <s v="Q2"/>
    <x v="41"/>
    <d v="2014-04-18T00:00:00"/>
    <s v="Standard Class"/>
    <x v="408"/>
    <x v="408"/>
    <s v="Home Office"/>
    <s v="United States"/>
    <s v="Baltimore"/>
    <x v="39"/>
    <n v="21215"/>
    <x v="3"/>
    <x v="1796"/>
    <x v="1"/>
    <x v="2"/>
    <x v="1786"/>
    <n v="7.83"/>
    <s v="Low"/>
    <n v="3"/>
    <n v="0"/>
    <x v="0"/>
    <x v="0"/>
    <n v="3.6017999999999999"/>
    <n v="0.45999999999999996"/>
    <n v="0"/>
  </r>
  <r>
    <n v="6709"/>
    <s v="CA-2015-123141"/>
    <d v="2015-11-14T00:00:00"/>
    <x v="1"/>
    <s v="Q4"/>
    <x v="6"/>
    <d v="2015-11-19T00:00:00"/>
    <s v="Standard Class"/>
    <x v="47"/>
    <x v="47"/>
    <s v="Consumer"/>
    <s v="United States"/>
    <s v="Rio Rancho"/>
    <x v="27"/>
    <n v="87124"/>
    <x v="1"/>
    <x v="157"/>
    <x v="0"/>
    <x v="1"/>
    <x v="158"/>
    <n v="883.84"/>
    <s v="High"/>
    <n v="4"/>
    <n v="0.2"/>
    <x v="2"/>
    <x v="2"/>
    <n v="99.432000000000002"/>
    <n v="0.1125"/>
    <n v="0"/>
  </r>
  <r>
    <n v="6710"/>
    <s v="CA-2015-123141"/>
    <d v="2015-11-14T00:00:00"/>
    <x v="1"/>
    <s v="Q4"/>
    <x v="6"/>
    <d v="2015-11-19T00:00:00"/>
    <s v="Standard Class"/>
    <x v="47"/>
    <x v="47"/>
    <s v="Consumer"/>
    <s v="United States"/>
    <s v="Rio Rancho"/>
    <x v="27"/>
    <n v="87124"/>
    <x v="1"/>
    <x v="268"/>
    <x v="0"/>
    <x v="1"/>
    <x v="268"/>
    <n v="230.352"/>
    <s v="High"/>
    <n v="3"/>
    <n v="0.2"/>
    <x v="2"/>
    <x v="2"/>
    <n v="20.155799999999999"/>
    <n v="8.7499999999999994E-2"/>
    <n v="0"/>
  </r>
  <r>
    <n v="6711"/>
    <s v="CA-2016-149503"/>
    <d v="2016-12-09T00:00:00"/>
    <x v="0"/>
    <s v="Q4"/>
    <x v="5"/>
    <d v="2016-12-12T00:00:00"/>
    <s v="First Class"/>
    <x v="70"/>
    <x v="70"/>
    <s v="Corporate"/>
    <s v="United States"/>
    <s v="Stockton"/>
    <x v="1"/>
    <n v="95207"/>
    <x v="1"/>
    <x v="1160"/>
    <x v="1"/>
    <x v="8"/>
    <x v="1147"/>
    <n v="273.92"/>
    <s v="High"/>
    <n v="8"/>
    <n v="0.2"/>
    <x v="2"/>
    <x v="2"/>
    <n v="99.296000000000006"/>
    <n v="0.36249999999999999"/>
    <n v="0"/>
  </r>
  <r>
    <n v="6712"/>
    <s v="CA-2017-163069"/>
    <d v="2017-08-18T00:00:00"/>
    <x v="3"/>
    <s v="Q3"/>
    <x v="43"/>
    <d v="2017-08-21T00:00:00"/>
    <s v="Second Class"/>
    <x v="307"/>
    <x v="307"/>
    <s v="Consumer"/>
    <s v="United States"/>
    <s v="Columbus"/>
    <x v="24"/>
    <n v="43229"/>
    <x v="3"/>
    <x v="1024"/>
    <x v="1"/>
    <x v="6"/>
    <x v="1015"/>
    <n v="9.9120000000000008"/>
    <s v="Low"/>
    <n v="3"/>
    <n v="0.2"/>
    <x v="2"/>
    <x v="2"/>
    <n v="1.2390000000000001"/>
    <n v="0.125"/>
    <n v="0"/>
  </r>
  <r>
    <n v="6713"/>
    <s v="CA-2017-107629"/>
    <d v="2017-12-14T00:00:00"/>
    <x v="3"/>
    <s v="Q4"/>
    <x v="22"/>
    <d v="2017-12-14T00:00:00"/>
    <s v="Same Day"/>
    <x v="72"/>
    <x v="72"/>
    <s v="Consumer"/>
    <s v="United States"/>
    <s v="Skokie"/>
    <x v="10"/>
    <n v="60076"/>
    <x v="2"/>
    <x v="1319"/>
    <x v="0"/>
    <x v="5"/>
    <x v="1305"/>
    <n v="266.35199999999998"/>
    <s v="High"/>
    <n v="6"/>
    <n v="0.6"/>
    <x v="1"/>
    <x v="6"/>
    <n v="-292.98719999999997"/>
    <n v="-1.1000000000000001"/>
    <n v="1"/>
  </r>
  <r>
    <n v="6714"/>
    <s v="CA-2017-107629"/>
    <d v="2017-12-14T00:00:00"/>
    <x v="3"/>
    <s v="Q4"/>
    <x v="22"/>
    <d v="2017-12-14T00:00:00"/>
    <s v="Same Day"/>
    <x v="72"/>
    <x v="72"/>
    <s v="Consumer"/>
    <s v="United States"/>
    <s v="Skokie"/>
    <x v="10"/>
    <n v="60076"/>
    <x v="2"/>
    <x v="267"/>
    <x v="0"/>
    <x v="5"/>
    <x v="267"/>
    <n v="56.328000000000003"/>
    <s v="Medium"/>
    <n v="3"/>
    <n v="0.6"/>
    <x v="1"/>
    <x v="6"/>
    <n v="-26.755800000000001"/>
    <n v="-0.47499999999999998"/>
    <n v="1"/>
  </r>
  <r>
    <n v="6715"/>
    <s v="CA-2017-107629"/>
    <d v="2017-12-14T00:00:00"/>
    <x v="3"/>
    <s v="Q4"/>
    <x v="22"/>
    <d v="2017-12-14T00:00:00"/>
    <s v="Same Day"/>
    <x v="72"/>
    <x v="72"/>
    <s v="Consumer"/>
    <s v="United States"/>
    <s v="Skokie"/>
    <x v="10"/>
    <n v="60076"/>
    <x v="2"/>
    <x v="960"/>
    <x v="2"/>
    <x v="11"/>
    <x v="953"/>
    <n v="39.264000000000003"/>
    <s v="Medium"/>
    <n v="3"/>
    <n v="0.2"/>
    <x v="2"/>
    <x v="2"/>
    <n v="-4.9080000000000004"/>
    <n v="-0.125"/>
    <n v="1"/>
  </r>
  <r>
    <n v="6716"/>
    <s v="CA-2017-107629"/>
    <d v="2017-12-14T00:00:00"/>
    <x v="3"/>
    <s v="Q4"/>
    <x v="22"/>
    <d v="2017-12-14T00:00:00"/>
    <s v="Same Day"/>
    <x v="72"/>
    <x v="72"/>
    <s v="Consumer"/>
    <s v="United States"/>
    <s v="Skokie"/>
    <x v="10"/>
    <n v="60076"/>
    <x v="2"/>
    <x v="1571"/>
    <x v="1"/>
    <x v="6"/>
    <x v="1562"/>
    <n v="95.231999999999999"/>
    <s v="Medium"/>
    <n v="6"/>
    <n v="0.2"/>
    <x v="2"/>
    <x v="2"/>
    <n v="24.9984"/>
    <n v="0.26250000000000001"/>
    <n v="0"/>
  </r>
  <r>
    <n v="6717"/>
    <s v="CA-2016-134789"/>
    <d v="2016-04-08T00:00:00"/>
    <x v="0"/>
    <s v="Q2"/>
    <x v="25"/>
    <d v="2016-04-15T00:00:00"/>
    <s v="Standard Class"/>
    <x v="278"/>
    <x v="278"/>
    <s v="Home Office"/>
    <s v="United States"/>
    <s v="Hot Springs"/>
    <x v="36"/>
    <n v="71901"/>
    <x v="0"/>
    <x v="659"/>
    <x v="1"/>
    <x v="13"/>
    <x v="659"/>
    <n v="30"/>
    <s v="Medium"/>
    <n v="6"/>
    <n v="0"/>
    <x v="0"/>
    <x v="0"/>
    <n v="14.4"/>
    <n v="0.48000000000000004"/>
    <n v="0"/>
  </r>
  <r>
    <n v="6718"/>
    <s v="CA-2016-134789"/>
    <d v="2016-04-08T00:00:00"/>
    <x v="0"/>
    <s v="Q2"/>
    <x v="25"/>
    <d v="2016-04-15T00:00:00"/>
    <s v="Standard Class"/>
    <x v="278"/>
    <x v="278"/>
    <s v="Home Office"/>
    <s v="United States"/>
    <s v="Hot Springs"/>
    <x v="36"/>
    <n v="71901"/>
    <x v="0"/>
    <x v="548"/>
    <x v="1"/>
    <x v="10"/>
    <x v="548"/>
    <n v="25.92"/>
    <s v="Medium"/>
    <n v="4"/>
    <n v="0"/>
    <x v="0"/>
    <x v="0"/>
    <n v="12.700799999999999"/>
    <n v="0.48999999999999994"/>
    <n v="0"/>
  </r>
  <r>
    <n v="6719"/>
    <s v="CA-2016-134789"/>
    <d v="2016-04-08T00:00:00"/>
    <x v="0"/>
    <s v="Q2"/>
    <x v="25"/>
    <d v="2016-04-15T00:00:00"/>
    <s v="Standard Class"/>
    <x v="278"/>
    <x v="278"/>
    <s v="Home Office"/>
    <s v="United States"/>
    <s v="Hot Springs"/>
    <x v="36"/>
    <n v="71901"/>
    <x v="0"/>
    <x v="892"/>
    <x v="0"/>
    <x v="5"/>
    <x v="885"/>
    <n v="159.91999999999999"/>
    <s v="High"/>
    <n v="4"/>
    <n v="0"/>
    <x v="0"/>
    <x v="0"/>
    <n v="31.984000000000002"/>
    <n v="0.20000000000000004"/>
    <n v="0"/>
  </r>
  <r>
    <n v="6720"/>
    <s v="CA-2016-130442"/>
    <d v="2016-12-16T00:00:00"/>
    <x v="0"/>
    <s v="Q4"/>
    <x v="5"/>
    <d v="2016-12-19T00:00:00"/>
    <s v="First Class"/>
    <x v="11"/>
    <x v="11"/>
    <s v="Consumer"/>
    <s v="United States"/>
    <s v="Goldsboro"/>
    <x v="3"/>
    <n v="27534"/>
    <x v="0"/>
    <x v="937"/>
    <x v="1"/>
    <x v="9"/>
    <x v="930"/>
    <n v="34.944000000000003"/>
    <s v="Medium"/>
    <n v="3"/>
    <n v="0.2"/>
    <x v="2"/>
    <x v="2"/>
    <n v="3.0575999999999999"/>
    <n v="8.7499999999999994E-2"/>
    <n v="0"/>
  </r>
  <r>
    <n v="6721"/>
    <s v="CA-2017-102974"/>
    <d v="2017-09-19T00:00:00"/>
    <x v="3"/>
    <s v="Q3"/>
    <x v="15"/>
    <d v="2017-09-24T00:00:00"/>
    <s v="Standard Class"/>
    <x v="317"/>
    <x v="317"/>
    <s v="Corporate"/>
    <s v="United States"/>
    <s v="Los Angeles"/>
    <x v="1"/>
    <n v="90032"/>
    <x v="1"/>
    <x v="632"/>
    <x v="2"/>
    <x v="11"/>
    <x v="632"/>
    <n v="149.94999999999999"/>
    <s v="High"/>
    <n v="5"/>
    <n v="0"/>
    <x v="0"/>
    <x v="0"/>
    <n v="31.4895"/>
    <n v="0.21000000000000002"/>
    <n v="0"/>
  </r>
  <r>
    <n v="6722"/>
    <s v="CA-2017-102974"/>
    <d v="2017-09-19T00:00:00"/>
    <x v="3"/>
    <s v="Q3"/>
    <x v="15"/>
    <d v="2017-09-24T00:00:00"/>
    <s v="Standard Class"/>
    <x v="317"/>
    <x v="317"/>
    <s v="Corporate"/>
    <s v="United States"/>
    <s v="Los Angeles"/>
    <x v="1"/>
    <n v="90032"/>
    <x v="1"/>
    <x v="1759"/>
    <x v="1"/>
    <x v="6"/>
    <x v="1748"/>
    <n v="23.32"/>
    <s v="Low"/>
    <n v="2"/>
    <n v="0"/>
    <x v="0"/>
    <x v="0"/>
    <n v="6.0632000000000001"/>
    <n v="0.26"/>
    <n v="0"/>
  </r>
  <r>
    <n v="6723"/>
    <s v="CA-2017-102974"/>
    <d v="2017-09-19T00:00:00"/>
    <x v="3"/>
    <s v="Q3"/>
    <x v="15"/>
    <d v="2017-09-24T00:00:00"/>
    <s v="Standard Class"/>
    <x v="317"/>
    <x v="317"/>
    <s v="Corporate"/>
    <s v="United States"/>
    <s v="Los Angeles"/>
    <x v="1"/>
    <n v="90032"/>
    <x v="1"/>
    <x v="1260"/>
    <x v="1"/>
    <x v="6"/>
    <x v="1244"/>
    <n v="16.739999999999998"/>
    <s v="Low"/>
    <n v="3"/>
    <n v="0"/>
    <x v="0"/>
    <x v="0"/>
    <n v="4.8545999999999996"/>
    <n v="0.28999999999999998"/>
    <n v="0"/>
  </r>
  <r>
    <n v="6724"/>
    <s v="US-2017-166394"/>
    <d v="2017-09-04T00:00:00"/>
    <x v="3"/>
    <s v="Q3"/>
    <x v="15"/>
    <d v="2017-09-06T00:00:00"/>
    <s v="Second Class"/>
    <x v="718"/>
    <x v="718"/>
    <s v="Consumer"/>
    <s v="United States"/>
    <s v="Nashua"/>
    <x v="38"/>
    <n v="3060"/>
    <x v="3"/>
    <x v="1099"/>
    <x v="1"/>
    <x v="13"/>
    <x v="128"/>
    <n v="14.82"/>
    <s v="Low"/>
    <n v="6"/>
    <n v="0"/>
    <x v="0"/>
    <x v="0"/>
    <n v="6.9653999999999998"/>
    <n v="0.47"/>
    <n v="0"/>
  </r>
  <r>
    <n v="6725"/>
    <s v="CA-2016-128811"/>
    <d v="2016-09-12T00:00:00"/>
    <x v="0"/>
    <s v="Q3"/>
    <x v="21"/>
    <d v="2016-09-16T00:00:00"/>
    <s v="Standard Class"/>
    <x v="227"/>
    <x v="227"/>
    <s v="Consumer"/>
    <s v="United States"/>
    <s v="Seattle"/>
    <x v="4"/>
    <n v="98103"/>
    <x v="1"/>
    <x v="203"/>
    <x v="1"/>
    <x v="13"/>
    <x v="204"/>
    <n v="10.47"/>
    <s v="Low"/>
    <n v="3"/>
    <n v="0"/>
    <x v="0"/>
    <x v="0"/>
    <n v="4.8162000000000003"/>
    <n v="0.46"/>
    <n v="0"/>
  </r>
  <r>
    <n v="6726"/>
    <s v="CA-2016-128811"/>
    <d v="2016-09-12T00:00:00"/>
    <x v="0"/>
    <s v="Q3"/>
    <x v="21"/>
    <d v="2016-09-16T00:00:00"/>
    <s v="Standard Class"/>
    <x v="227"/>
    <x v="227"/>
    <s v="Consumer"/>
    <s v="United States"/>
    <s v="Seattle"/>
    <x v="4"/>
    <n v="98103"/>
    <x v="1"/>
    <x v="1647"/>
    <x v="1"/>
    <x v="2"/>
    <x v="1636"/>
    <n v="11.07"/>
    <s v="Low"/>
    <n v="3"/>
    <n v="0"/>
    <x v="0"/>
    <x v="0"/>
    <n v="5.2028999999999996"/>
    <n v="0.47"/>
    <n v="0"/>
  </r>
  <r>
    <n v="6727"/>
    <s v="CA-2016-128811"/>
    <d v="2016-09-12T00:00:00"/>
    <x v="0"/>
    <s v="Q3"/>
    <x v="21"/>
    <d v="2016-09-16T00:00:00"/>
    <s v="Standard Class"/>
    <x v="227"/>
    <x v="227"/>
    <s v="Consumer"/>
    <s v="United States"/>
    <s v="Seattle"/>
    <x v="4"/>
    <n v="98103"/>
    <x v="1"/>
    <x v="625"/>
    <x v="1"/>
    <x v="8"/>
    <x v="625"/>
    <n v="20.704000000000001"/>
    <s v="Low"/>
    <n v="4"/>
    <n v="0.2"/>
    <x v="2"/>
    <x v="2"/>
    <n v="7.7640000000000002"/>
    <n v="0.375"/>
    <n v="0"/>
  </r>
  <r>
    <n v="6728"/>
    <s v="CA-2017-145443"/>
    <d v="2017-08-10T00:00:00"/>
    <x v="3"/>
    <s v="Q3"/>
    <x v="43"/>
    <d v="2017-08-15T00:00:00"/>
    <s v="Second Class"/>
    <x v="281"/>
    <x v="281"/>
    <s v="Corporate"/>
    <s v="United States"/>
    <s v="Richmond"/>
    <x v="14"/>
    <n v="47374"/>
    <x v="2"/>
    <x v="1733"/>
    <x v="1"/>
    <x v="10"/>
    <x v="1721"/>
    <n v="177.2"/>
    <s v="High"/>
    <n v="5"/>
    <n v="0"/>
    <x v="0"/>
    <x v="0"/>
    <n v="83.284000000000006"/>
    <n v="0.47000000000000008"/>
    <n v="0"/>
  </r>
  <r>
    <n v="6729"/>
    <s v="CA-2016-165827"/>
    <d v="2016-11-04T00:00:00"/>
    <x v="0"/>
    <s v="Q4"/>
    <x v="0"/>
    <d v="2016-11-09T00:00:00"/>
    <s v="Standard Class"/>
    <x v="716"/>
    <x v="716"/>
    <s v="Corporate"/>
    <s v="United States"/>
    <s v="Miami"/>
    <x v="2"/>
    <n v="33180"/>
    <x v="0"/>
    <x v="1172"/>
    <x v="0"/>
    <x v="5"/>
    <x v="1158"/>
    <n v="50.496000000000002"/>
    <s v="Medium"/>
    <n v="6"/>
    <n v="0.2"/>
    <x v="2"/>
    <x v="2"/>
    <n v="8.2056000000000004"/>
    <n v="0.16250000000000001"/>
    <n v="0"/>
  </r>
  <r>
    <n v="6730"/>
    <s v="CA-2015-156734"/>
    <d v="2015-06-18T00:00:00"/>
    <x v="1"/>
    <s v="Q2"/>
    <x v="40"/>
    <d v="2015-06-20T00:00:00"/>
    <s v="First Class"/>
    <x v="296"/>
    <x v="296"/>
    <s v="Corporate"/>
    <s v="United States"/>
    <s v="Smyrna"/>
    <x v="18"/>
    <n v="37167"/>
    <x v="0"/>
    <x v="1282"/>
    <x v="1"/>
    <x v="8"/>
    <x v="1267"/>
    <n v="6.1289999999999996"/>
    <s v="Low"/>
    <n v="3"/>
    <n v="0.7"/>
    <x v="1"/>
    <x v="5"/>
    <n v="-4.4946000000000002"/>
    <n v="-0.73333333333333339"/>
    <n v="1"/>
  </r>
  <r>
    <n v="6731"/>
    <s v="CA-2015-156734"/>
    <d v="2015-06-18T00:00:00"/>
    <x v="1"/>
    <s v="Q2"/>
    <x v="40"/>
    <d v="2015-06-20T00:00:00"/>
    <s v="First Class"/>
    <x v="296"/>
    <x v="296"/>
    <s v="Corporate"/>
    <s v="United States"/>
    <s v="Smyrna"/>
    <x v="18"/>
    <n v="37167"/>
    <x v="0"/>
    <x v="228"/>
    <x v="0"/>
    <x v="1"/>
    <x v="229"/>
    <n v="643.13599999999997"/>
    <s v="High"/>
    <n v="4"/>
    <n v="0.2"/>
    <x v="2"/>
    <x v="2"/>
    <n v="56.2744"/>
    <n v="8.7500000000000008E-2"/>
    <n v="0"/>
  </r>
  <r>
    <n v="6732"/>
    <s v="CA-2015-156734"/>
    <d v="2015-06-18T00:00:00"/>
    <x v="1"/>
    <s v="Q2"/>
    <x v="40"/>
    <d v="2015-06-20T00:00:00"/>
    <s v="First Class"/>
    <x v="296"/>
    <x v="296"/>
    <s v="Corporate"/>
    <s v="United States"/>
    <s v="Smyrna"/>
    <x v="18"/>
    <n v="37167"/>
    <x v="0"/>
    <x v="289"/>
    <x v="1"/>
    <x v="10"/>
    <x v="289"/>
    <n v="20.736000000000001"/>
    <s v="Low"/>
    <n v="4"/>
    <n v="0.2"/>
    <x v="2"/>
    <x v="2"/>
    <n v="7.2576000000000001"/>
    <n v="0.35"/>
    <n v="0"/>
  </r>
  <r>
    <n v="6733"/>
    <s v="CA-2014-120096"/>
    <d v="2014-07-04T00:00:00"/>
    <x v="2"/>
    <s v="Q3"/>
    <x v="39"/>
    <d v="2014-07-07T00:00:00"/>
    <s v="First Class"/>
    <x v="722"/>
    <x v="722"/>
    <s v="Corporate"/>
    <s v="United States"/>
    <s v="Aurora"/>
    <x v="22"/>
    <n v="80013"/>
    <x v="1"/>
    <x v="1486"/>
    <x v="1"/>
    <x v="10"/>
    <x v="1473"/>
    <n v="177.536"/>
    <s v="High"/>
    <n v="4"/>
    <n v="0.2"/>
    <x v="2"/>
    <x v="2"/>
    <n v="62.137599999999999"/>
    <n v="0.35"/>
    <n v="0"/>
  </r>
  <r>
    <n v="6734"/>
    <s v="CA-2014-120096"/>
    <d v="2014-07-04T00:00:00"/>
    <x v="2"/>
    <s v="Q3"/>
    <x v="39"/>
    <d v="2014-07-07T00:00:00"/>
    <s v="First Class"/>
    <x v="722"/>
    <x v="722"/>
    <s v="Corporate"/>
    <s v="United States"/>
    <s v="Aurora"/>
    <x v="22"/>
    <n v="80013"/>
    <x v="1"/>
    <x v="1266"/>
    <x v="1"/>
    <x v="9"/>
    <x v="1250"/>
    <n v="32.432000000000002"/>
    <s v="Medium"/>
    <n v="2"/>
    <n v="0.2"/>
    <x v="2"/>
    <x v="2"/>
    <n v="3.2431999999999999"/>
    <n v="9.9999999999999992E-2"/>
    <n v="0"/>
  </r>
  <r>
    <n v="6735"/>
    <s v="CA-2015-141754"/>
    <d v="2015-12-20T00:00:00"/>
    <x v="1"/>
    <s v="Q4"/>
    <x v="14"/>
    <d v="2015-12-25T00:00:00"/>
    <s v="Standard Class"/>
    <x v="773"/>
    <x v="773"/>
    <s v="Home Office"/>
    <s v="United States"/>
    <s v="Miami"/>
    <x v="2"/>
    <n v="33142"/>
    <x v="0"/>
    <x v="676"/>
    <x v="1"/>
    <x v="2"/>
    <x v="676"/>
    <n v="11.696"/>
    <s v="Low"/>
    <n v="2"/>
    <n v="0.2"/>
    <x v="2"/>
    <x v="2"/>
    <n v="3.9474"/>
    <n v="0.33750000000000002"/>
    <n v="0"/>
  </r>
  <r>
    <n v="6736"/>
    <s v="CA-2016-123358"/>
    <d v="2016-04-10T00:00:00"/>
    <x v="0"/>
    <s v="Q2"/>
    <x v="25"/>
    <d v="2016-04-17T00:00:00"/>
    <s v="Standard Class"/>
    <x v="537"/>
    <x v="537"/>
    <s v="Consumer"/>
    <s v="United States"/>
    <s v="San Francisco"/>
    <x v="1"/>
    <n v="94122"/>
    <x v="1"/>
    <x v="983"/>
    <x v="1"/>
    <x v="9"/>
    <x v="976"/>
    <n v="113.76"/>
    <s v="Medium"/>
    <n v="3"/>
    <n v="0"/>
    <x v="0"/>
    <x v="0"/>
    <n v="44.366399999999999"/>
    <n v="0.38999999999999996"/>
    <n v="0"/>
  </r>
  <r>
    <n v="6737"/>
    <s v="CA-2016-123358"/>
    <d v="2016-04-10T00:00:00"/>
    <x v="0"/>
    <s v="Q2"/>
    <x v="25"/>
    <d v="2016-04-17T00:00:00"/>
    <s v="Standard Class"/>
    <x v="537"/>
    <x v="537"/>
    <s v="Consumer"/>
    <s v="United States"/>
    <s v="San Francisco"/>
    <x v="1"/>
    <n v="94122"/>
    <x v="1"/>
    <x v="1662"/>
    <x v="1"/>
    <x v="4"/>
    <x v="1650"/>
    <n v="579.51"/>
    <s v="High"/>
    <n v="3"/>
    <n v="0"/>
    <x v="0"/>
    <x v="0"/>
    <n v="81.131399999999999"/>
    <n v="0.14000000000000001"/>
    <n v="0"/>
  </r>
  <r>
    <n v="6738"/>
    <s v="CA-2016-123358"/>
    <d v="2016-04-10T00:00:00"/>
    <x v="0"/>
    <s v="Q2"/>
    <x v="25"/>
    <d v="2016-04-17T00:00:00"/>
    <s v="Standard Class"/>
    <x v="537"/>
    <x v="537"/>
    <s v="Consumer"/>
    <s v="United States"/>
    <s v="San Francisco"/>
    <x v="1"/>
    <n v="94122"/>
    <x v="1"/>
    <x v="1764"/>
    <x v="1"/>
    <x v="4"/>
    <x v="1753"/>
    <n v="150.66"/>
    <s v="High"/>
    <n v="9"/>
    <n v="0"/>
    <x v="0"/>
    <x v="0"/>
    <n v="6.0263999999999998"/>
    <n v="0.04"/>
    <n v="0"/>
  </r>
  <r>
    <n v="6739"/>
    <s v="CA-2016-123358"/>
    <d v="2016-04-10T00:00:00"/>
    <x v="0"/>
    <s v="Q2"/>
    <x v="25"/>
    <d v="2016-04-17T00:00:00"/>
    <s v="Standard Class"/>
    <x v="537"/>
    <x v="537"/>
    <s v="Consumer"/>
    <s v="United States"/>
    <s v="San Francisco"/>
    <x v="1"/>
    <n v="94122"/>
    <x v="1"/>
    <x v="491"/>
    <x v="1"/>
    <x v="8"/>
    <x v="491"/>
    <n v="48.031999999999996"/>
    <s v="Medium"/>
    <n v="4"/>
    <n v="0.2"/>
    <x v="2"/>
    <x v="2"/>
    <n v="15.6104"/>
    <n v="0.32500000000000001"/>
    <n v="0"/>
  </r>
  <r>
    <n v="6740"/>
    <s v="CA-2014-144029"/>
    <d v="2014-05-26T00:00:00"/>
    <x v="2"/>
    <s v="Q2"/>
    <x v="8"/>
    <d v="2014-05-31T00:00:00"/>
    <s v="Standard Class"/>
    <x v="514"/>
    <x v="514"/>
    <s v="Consumer"/>
    <s v="United States"/>
    <s v="Chicago"/>
    <x v="10"/>
    <n v="60623"/>
    <x v="2"/>
    <x v="1354"/>
    <x v="1"/>
    <x v="4"/>
    <x v="1340"/>
    <n v="102.624"/>
    <s v="Medium"/>
    <n v="3"/>
    <n v="0.2"/>
    <x v="2"/>
    <x v="2"/>
    <n v="7.6967999999999996"/>
    <n v="7.4999999999999997E-2"/>
    <n v="0"/>
  </r>
  <r>
    <n v="6741"/>
    <s v="CA-2014-144029"/>
    <d v="2014-05-26T00:00:00"/>
    <x v="2"/>
    <s v="Q2"/>
    <x v="8"/>
    <d v="2014-05-31T00:00:00"/>
    <s v="Standard Class"/>
    <x v="514"/>
    <x v="514"/>
    <s v="Consumer"/>
    <s v="United States"/>
    <s v="Chicago"/>
    <x v="10"/>
    <n v="60623"/>
    <x v="2"/>
    <x v="1189"/>
    <x v="0"/>
    <x v="1"/>
    <x v="1175"/>
    <n v="359.77199999999999"/>
    <s v="High"/>
    <n v="2"/>
    <n v="0.3"/>
    <x v="1"/>
    <x v="4"/>
    <n v="-5.1395999999999997"/>
    <n v="-1.4285714285714285E-2"/>
    <n v="1"/>
  </r>
  <r>
    <n v="6742"/>
    <s v="CA-2014-144029"/>
    <d v="2014-05-26T00:00:00"/>
    <x v="2"/>
    <s v="Q2"/>
    <x v="8"/>
    <d v="2014-05-31T00:00:00"/>
    <s v="Standard Class"/>
    <x v="514"/>
    <x v="514"/>
    <s v="Consumer"/>
    <s v="United States"/>
    <s v="Chicago"/>
    <x v="10"/>
    <n v="60623"/>
    <x v="2"/>
    <x v="796"/>
    <x v="1"/>
    <x v="6"/>
    <x v="794"/>
    <n v="13.391999999999999"/>
    <s v="Low"/>
    <n v="3"/>
    <n v="0.2"/>
    <x v="2"/>
    <x v="2"/>
    <n v="3.1806000000000001"/>
    <n v="0.23750000000000002"/>
    <n v="0"/>
  </r>
  <r>
    <n v="6743"/>
    <s v="US-2017-101784"/>
    <d v="2017-07-06T00:00:00"/>
    <x v="3"/>
    <s v="Q3"/>
    <x v="10"/>
    <d v="2017-07-11T00:00:00"/>
    <s v="Standard Class"/>
    <x v="138"/>
    <x v="138"/>
    <s v="Consumer"/>
    <s v="United States"/>
    <s v="Los Angeles"/>
    <x v="1"/>
    <n v="90008"/>
    <x v="1"/>
    <x v="64"/>
    <x v="0"/>
    <x v="1"/>
    <x v="124"/>
    <n v="122.136"/>
    <s v="Medium"/>
    <n v="3"/>
    <n v="0.2"/>
    <x v="2"/>
    <x v="2"/>
    <n v="-13.7403"/>
    <n v="-0.1125"/>
    <n v="1"/>
  </r>
  <r>
    <n v="6744"/>
    <s v="CA-2015-156923"/>
    <d v="2015-02-16T00:00:00"/>
    <x v="1"/>
    <s v="Q1"/>
    <x v="36"/>
    <d v="2015-02-20T00:00:00"/>
    <s v="Standard Class"/>
    <x v="133"/>
    <x v="133"/>
    <s v="Corporate"/>
    <s v="United States"/>
    <s v="Dover"/>
    <x v="38"/>
    <n v="3820"/>
    <x v="3"/>
    <x v="150"/>
    <x v="1"/>
    <x v="10"/>
    <x v="151"/>
    <n v="35.880000000000003"/>
    <s v="Medium"/>
    <n v="6"/>
    <n v="0"/>
    <x v="0"/>
    <x v="0"/>
    <n v="16.146000000000001"/>
    <n v="0.45"/>
    <n v="0"/>
  </r>
  <r>
    <n v="6745"/>
    <s v="CA-2017-111269"/>
    <d v="2017-06-16T00:00:00"/>
    <x v="3"/>
    <s v="Q2"/>
    <x v="27"/>
    <d v="2017-06-18T00:00:00"/>
    <s v="Second Class"/>
    <x v="394"/>
    <x v="394"/>
    <s v="Consumer"/>
    <s v="United States"/>
    <s v="Dublin"/>
    <x v="24"/>
    <n v="43017"/>
    <x v="3"/>
    <x v="590"/>
    <x v="2"/>
    <x v="11"/>
    <x v="590"/>
    <n v="479.952"/>
    <s v="High"/>
    <n v="6"/>
    <n v="0.2"/>
    <x v="2"/>
    <x v="2"/>
    <n v="107.9892"/>
    <n v="0.22500000000000001"/>
    <n v="0"/>
  </r>
  <r>
    <n v="6746"/>
    <s v="CA-2017-111269"/>
    <d v="2017-06-16T00:00:00"/>
    <x v="3"/>
    <s v="Q2"/>
    <x v="27"/>
    <d v="2017-06-18T00:00:00"/>
    <s v="Second Class"/>
    <x v="394"/>
    <x v="394"/>
    <s v="Consumer"/>
    <s v="United States"/>
    <s v="Dublin"/>
    <x v="24"/>
    <n v="43017"/>
    <x v="3"/>
    <x v="250"/>
    <x v="1"/>
    <x v="6"/>
    <x v="251"/>
    <n v="23.92"/>
    <s v="Low"/>
    <n v="5"/>
    <n v="0.2"/>
    <x v="2"/>
    <x v="2"/>
    <n v="1.794"/>
    <n v="7.4999999999999997E-2"/>
    <n v="0"/>
  </r>
  <r>
    <n v="6747"/>
    <s v="CA-2017-159156"/>
    <d v="2017-11-13T00:00:00"/>
    <x v="3"/>
    <s v="Q4"/>
    <x v="23"/>
    <d v="2017-11-16T00:00:00"/>
    <s v="First Class"/>
    <x v="33"/>
    <x v="33"/>
    <s v="Corporate"/>
    <s v="United States"/>
    <s v="New York City"/>
    <x v="15"/>
    <n v="10009"/>
    <x v="3"/>
    <x v="1443"/>
    <x v="2"/>
    <x v="7"/>
    <x v="1431"/>
    <n v="629.95000000000005"/>
    <s v="High"/>
    <n v="5"/>
    <n v="0"/>
    <x v="0"/>
    <x v="0"/>
    <n v="163.78700000000001"/>
    <n v="0.26"/>
    <n v="0"/>
  </r>
  <r>
    <n v="6748"/>
    <s v="CA-2017-100230"/>
    <d v="2017-12-11T00:00:00"/>
    <x v="3"/>
    <s v="Q4"/>
    <x v="22"/>
    <d v="2017-12-15T00:00:00"/>
    <s v="Standard Class"/>
    <x v="211"/>
    <x v="211"/>
    <s v="Consumer"/>
    <s v="United States"/>
    <s v="New York City"/>
    <x v="15"/>
    <n v="10035"/>
    <x v="3"/>
    <x v="440"/>
    <x v="1"/>
    <x v="8"/>
    <x v="440"/>
    <n v="14.952"/>
    <s v="Low"/>
    <n v="1"/>
    <n v="0.2"/>
    <x v="2"/>
    <x v="2"/>
    <n v="5.0462999999999996"/>
    <n v="0.33749999999999997"/>
    <n v="0"/>
  </r>
  <r>
    <n v="6749"/>
    <s v="CA-2017-100230"/>
    <d v="2017-12-11T00:00:00"/>
    <x v="3"/>
    <s v="Q4"/>
    <x v="22"/>
    <d v="2017-12-15T00:00:00"/>
    <s v="Standard Class"/>
    <x v="211"/>
    <x v="211"/>
    <s v="Consumer"/>
    <s v="United States"/>
    <s v="New York City"/>
    <x v="15"/>
    <n v="10035"/>
    <x v="3"/>
    <x v="1357"/>
    <x v="1"/>
    <x v="10"/>
    <x v="1343"/>
    <n v="17.940000000000001"/>
    <s v="Low"/>
    <n v="3"/>
    <n v="0"/>
    <x v="0"/>
    <x v="0"/>
    <n v="8.0730000000000004"/>
    <n v="0.45"/>
    <n v="0"/>
  </r>
  <r>
    <n v="6750"/>
    <s v="CA-2017-100230"/>
    <d v="2017-12-11T00:00:00"/>
    <x v="3"/>
    <s v="Q4"/>
    <x v="22"/>
    <d v="2017-12-15T00:00:00"/>
    <s v="Standard Class"/>
    <x v="211"/>
    <x v="211"/>
    <s v="Consumer"/>
    <s v="United States"/>
    <s v="New York City"/>
    <x v="15"/>
    <n v="10035"/>
    <x v="3"/>
    <x v="1717"/>
    <x v="2"/>
    <x v="7"/>
    <x v="1704"/>
    <n v="116.98"/>
    <s v="Medium"/>
    <n v="2"/>
    <n v="0"/>
    <x v="0"/>
    <x v="0"/>
    <n v="29.245000000000001"/>
    <n v="0.25"/>
    <n v="0"/>
  </r>
  <r>
    <n v="6751"/>
    <s v="CA-2016-154767"/>
    <d v="2016-06-28T00:00:00"/>
    <x v="0"/>
    <s v="Q2"/>
    <x v="1"/>
    <d v="2016-06-30T00:00:00"/>
    <s v="Second Class"/>
    <x v="669"/>
    <x v="669"/>
    <s v="Consumer"/>
    <s v="United States"/>
    <s v="Paterson"/>
    <x v="30"/>
    <n v="7501"/>
    <x v="3"/>
    <x v="1534"/>
    <x v="0"/>
    <x v="1"/>
    <x v="1522"/>
    <n v="121.96"/>
    <s v="Medium"/>
    <n v="2"/>
    <n v="0"/>
    <x v="0"/>
    <x v="0"/>
    <n v="20.7332"/>
    <n v="0.17"/>
    <n v="0"/>
  </r>
  <r>
    <n v="6752"/>
    <s v="CA-2016-154767"/>
    <d v="2016-06-28T00:00:00"/>
    <x v="0"/>
    <s v="Q2"/>
    <x v="1"/>
    <d v="2016-06-30T00:00:00"/>
    <s v="Second Class"/>
    <x v="669"/>
    <x v="669"/>
    <s v="Consumer"/>
    <s v="United States"/>
    <s v="Paterson"/>
    <x v="30"/>
    <n v="7501"/>
    <x v="3"/>
    <x v="1518"/>
    <x v="1"/>
    <x v="9"/>
    <x v="1505"/>
    <n v="8.74"/>
    <s v="Low"/>
    <n v="2"/>
    <n v="0"/>
    <x v="0"/>
    <x v="0"/>
    <n v="2.2724000000000002"/>
    <n v="0.26"/>
    <n v="0"/>
  </r>
  <r>
    <n v="6753"/>
    <s v="CA-2016-154767"/>
    <d v="2016-06-28T00:00:00"/>
    <x v="0"/>
    <s v="Q2"/>
    <x v="1"/>
    <d v="2016-06-30T00:00:00"/>
    <s v="Second Class"/>
    <x v="669"/>
    <x v="669"/>
    <s v="Consumer"/>
    <s v="United States"/>
    <s v="Paterson"/>
    <x v="30"/>
    <n v="7501"/>
    <x v="3"/>
    <x v="334"/>
    <x v="1"/>
    <x v="10"/>
    <x v="334"/>
    <n v="61.96"/>
    <s v="Medium"/>
    <n v="2"/>
    <n v="0"/>
    <x v="0"/>
    <x v="0"/>
    <n v="27.882000000000001"/>
    <n v="0.45"/>
    <n v="0"/>
  </r>
  <r>
    <n v="6754"/>
    <s v="CA-2016-154767"/>
    <d v="2016-06-28T00:00:00"/>
    <x v="0"/>
    <s v="Q2"/>
    <x v="1"/>
    <d v="2016-06-30T00:00:00"/>
    <s v="Second Class"/>
    <x v="669"/>
    <x v="669"/>
    <s v="Consumer"/>
    <s v="United States"/>
    <s v="Paterson"/>
    <x v="30"/>
    <n v="7501"/>
    <x v="3"/>
    <x v="1406"/>
    <x v="1"/>
    <x v="8"/>
    <x v="1393"/>
    <n v="7.96"/>
    <s v="Low"/>
    <n v="2"/>
    <n v="0"/>
    <x v="0"/>
    <x v="0"/>
    <n v="3.7412000000000001"/>
    <n v="0.47000000000000003"/>
    <n v="0"/>
  </r>
  <r>
    <n v="6755"/>
    <s v="CA-2016-154767"/>
    <d v="2016-06-28T00:00:00"/>
    <x v="0"/>
    <s v="Q2"/>
    <x v="1"/>
    <d v="2016-06-30T00:00:00"/>
    <s v="Second Class"/>
    <x v="669"/>
    <x v="669"/>
    <s v="Consumer"/>
    <s v="United States"/>
    <s v="Paterson"/>
    <x v="30"/>
    <n v="7501"/>
    <x v="3"/>
    <x v="14"/>
    <x v="1"/>
    <x v="9"/>
    <x v="14"/>
    <n v="275.24"/>
    <s v="High"/>
    <n v="4"/>
    <n v="0"/>
    <x v="0"/>
    <x v="0"/>
    <n v="121.1056"/>
    <n v="0.43999999999999995"/>
    <n v="0"/>
  </r>
  <r>
    <n v="6756"/>
    <s v="CA-2017-124205"/>
    <d v="2017-09-15T00:00:00"/>
    <x v="3"/>
    <s v="Q3"/>
    <x v="15"/>
    <d v="2017-09-19T00:00:00"/>
    <s v="Standard Class"/>
    <x v="779"/>
    <x v="779"/>
    <s v="Corporate"/>
    <s v="United States"/>
    <s v="Lakewood"/>
    <x v="30"/>
    <n v="8701"/>
    <x v="3"/>
    <x v="1462"/>
    <x v="0"/>
    <x v="5"/>
    <x v="1448"/>
    <n v="47.4"/>
    <s v="Medium"/>
    <n v="5"/>
    <n v="0"/>
    <x v="0"/>
    <x v="0"/>
    <n v="18.96"/>
    <n v="0.4"/>
    <n v="0"/>
  </r>
  <r>
    <n v="6757"/>
    <s v="CA-2017-124205"/>
    <d v="2017-09-15T00:00:00"/>
    <x v="3"/>
    <s v="Q3"/>
    <x v="15"/>
    <d v="2017-09-19T00:00:00"/>
    <s v="Standard Class"/>
    <x v="779"/>
    <x v="779"/>
    <s v="Corporate"/>
    <s v="United States"/>
    <s v="Lakewood"/>
    <x v="30"/>
    <n v="8701"/>
    <x v="3"/>
    <x v="1584"/>
    <x v="0"/>
    <x v="1"/>
    <x v="1575"/>
    <n v="512.96"/>
    <s v="High"/>
    <n v="4"/>
    <n v="0"/>
    <x v="0"/>
    <x v="0"/>
    <n v="143.62880000000001"/>
    <n v="0.28000000000000003"/>
    <n v="0"/>
  </r>
  <r>
    <n v="6758"/>
    <s v="CA-2017-124205"/>
    <d v="2017-09-15T00:00:00"/>
    <x v="3"/>
    <s v="Q3"/>
    <x v="15"/>
    <d v="2017-09-19T00:00:00"/>
    <s v="Standard Class"/>
    <x v="779"/>
    <x v="779"/>
    <s v="Corporate"/>
    <s v="United States"/>
    <s v="Lakewood"/>
    <x v="30"/>
    <n v="8701"/>
    <x v="3"/>
    <x v="803"/>
    <x v="2"/>
    <x v="7"/>
    <x v="801"/>
    <n v="395.94"/>
    <s v="High"/>
    <n v="6"/>
    <n v="0"/>
    <x v="0"/>
    <x v="0"/>
    <n v="102.9444"/>
    <n v="0.26"/>
    <n v="0"/>
  </r>
  <r>
    <n v="6759"/>
    <s v="CA-2017-124205"/>
    <d v="2017-09-15T00:00:00"/>
    <x v="3"/>
    <s v="Q3"/>
    <x v="15"/>
    <d v="2017-09-19T00:00:00"/>
    <s v="Standard Class"/>
    <x v="779"/>
    <x v="779"/>
    <s v="Corporate"/>
    <s v="United States"/>
    <s v="Lakewood"/>
    <x v="30"/>
    <n v="8701"/>
    <x v="3"/>
    <x v="356"/>
    <x v="1"/>
    <x v="4"/>
    <x v="356"/>
    <n v="81.96"/>
    <s v="Medium"/>
    <n v="2"/>
    <n v="0"/>
    <x v="0"/>
    <x v="0"/>
    <n v="0"/>
    <n v="0"/>
    <n v="0"/>
  </r>
  <r>
    <n v="6760"/>
    <s v="CA-2017-165715"/>
    <d v="2017-12-02T00:00:00"/>
    <x v="3"/>
    <s v="Q4"/>
    <x v="22"/>
    <d v="2017-12-08T00:00:00"/>
    <s v="Standard Class"/>
    <x v="767"/>
    <x v="767"/>
    <s v="Consumer"/>
    <s v="United States"/>
    <s v="Greensboro"/>
    <x v="3"/>
    <n v="27405"/>
    <x v="0"/>
    <x v="894"/>
    <x v="1"/>
    <x v="6"/>
    <x v="887"/>
    <n v="32.776000000000003"/>
    <s v="Medium"/>
    <n v="1"/>
    <n v="0.2"/>
    <x v="2"/>
    <x v="2"/>
    <n v="2.4582000000000002"/>
    <n v="7.4999999999999997E-2"/>
    <n v="0"/>
  </r>
  <r>
    <n v="6761"/>
    <s v="CA-2017-100636"/>
    <d v="2017-06-26T00:00:00"/>
    <x v="3"/>
    <s v="Q2"/>
    <x v="27"/>
    <d v="2017-06-30T00:00:00"/>
    <s v="Standard Class"/>
    <x v="157"/>
    <x v="157"/>
    <s v="Consumer"/>
    <s v="United States"/>
    <s v="New York City"/>
    <x v="15"/>
    <n v="10035"/>
    <x v="3"/>
    <x v="72"/>
    <x v="1"/>
    <x v="4"/>
    <x v="72"/>
    <n v="272.94"/>
    <s v="High"/>
    <n v="3"/>
    <n v="0"/>
    <x v="0"/>
    <x v="0"/>
    <n v="0"/>
    <n v="0"/>
    <n v="0"/>
  </r>
  <r>
    <n v="6762"/>
    <s v="CA-2016-162943"/>
    <d v="2016-07-24T00:00:00"/>
    <x v="0"/>
    <s v="Q3"/>
    <x v="16"/>
    <d v="2016-07-26T00:00:00"/>
    <s v="Second Class"/>
    <x v="715"/>
    <x v="715"/>
    <s v="Corporate"/>
    <s v="United States"/>
    <s v="New York City"/>
    <x v="15"/>
    <n v="10035"/>
    <x v="3"/>
    <x v="901"/>
    <x v="0"/>
    <x v="1"/>
    <x v="893"/>
    <n v="253.76400000000001"/>
    <s v="High"/>
    <n v="2"/>
    <n v="0.1"/>
    <x v="3"/>
    <x v="8"/>
    <n v="31.015599999999999"/>
    <n v="0.12222222222222222"/>
    <n v="0"/>
  </r>
  <r>
    <n v="6763"/>
    <s v="CA-2016-144764"/>
    <d v="2016-09-02T00:00:00"/>
    <x v="0"/>
    <s v="Q3"/>
    <x v="21"/>
    <d v="2016-09-08T00:00:00"/>
    <s v="Standard Class"/>
    <x v="210"/>
    <x v="210"/>
    <s v="Consumer"/>
    <s v="United States"/>
    <s v="Chicago"/>
    <x v="10"/>
    <n v="60623"/>
    <x v="2"/>
    <x v="2"/>
    <x v="1"/>
    <x v="2"/>
    <x v="2"/>
    <n v="29.24"/>
    <s v="Medium"/>
    <n v="5"/>
    <n v="0.2"/>
    <x v="2"/>
    <x v="2"/>
    <n v="9.8684999999999992"/>
    <n v="0.33749999999999997"/>
    <n v="0"/>
  </r>
  <r>
    <n v="6764"/>
    <s v="CA-2016-144764"/>
    <d v="2016-09-02T00:00:00"/>
    <x v="0"/>
    <s v="Q3"/>
    <x v="21"/>
    <d v="2016-09-08T00:00:00"/>
    <s v="Standard Class"/>
    <x v="210"/>
    <x v="210"/>
    <s v="Consumer"/>
    <s v="United States"/>
    <s v="Chicago"/>
    <x v="10"/>
    <n v="60623"/>
    <x v="2"/>
    <x v="210"/>
    <x v="1"/>
    <x v="4"/>
    <x v="211"/>
    <n v="35.167999999999999"/>
    <s v="Medium"/>
    <n v="2"/>
    <n v="0.2"/>
    <x v="2"/>
    <x v="2"/>
    <n v="-8.3523999999999994"/>
    <n v="-0.23749999999999999"/>
    <n v="1"/>
  </r>
  <r>
    <n v="6765"/>
    <s v="CA-2016-144764"/>
    <d v="2016-09-02T00:00:00"/>
    <x v="0"/>
    <s v="Q3"/>
    <x v="21"/>
    <d v="2016-09-08T00:00:00"/>
    <s v="Standard Class"/>
    <x v="210"/>
    <x v="210"/>
    <s v="Consumer"/>
    <s v="United States"/>
    <s v="Chicago"/>
    <x v="10"/>
    <n v="60623"/>
    <x v="2"/>
    <x v="1797"/>
    <x v="2"/>
    <x v="15"/>
    <x v="1787"/>
    <n v="1362.9"/>
    <s v="High"/>
    <n v="3"/>
    <n v="0.3"/>
    <x v="1"/>
    <x v="4"/>
    <n v="-19.47"/>
    <n v="-1.4285714285714284E-2"/>
    <n v="1"/>
  </r>
  <r>
    <n v="6766"/>
    <s v="CA-2017-100615"/>
    <d v="2017-04-20T00:00:00"/>
    <x v="3"/>
    <s v="Q2"/>
    <x v="4"/>
    <d v="2017-04-24T00:00:00"/>
    <s v="Standard Class"/>
    <x v="695"/>
    <x v="695"/>
    <s v="Consumer"/>
    <s v="United States"/>
    <s v="Chicago"/>
    <x v="10"/>
    <n v="60653"/>
    <x v="2"/>
    <x v="291"/>
    <x v="0"/>
    <x v="1"/>
    <x v="291"/>
    <n v="317.05799999999999"/>
    <s v="High"/>
    <n v="3"/>
    <n v="0.3"/>
    <x v="1"/>
    <x v="4"/>
    <n v="-18.117599999999999"/>
    <n v="-5.7142857142857141E-2"/>
    <n v="1"/>
  </r>
  <r>
    <n v="6767"/>
    <s v="CA-2017-100615"/>
    <d v="2017-04-20T00:00:00"/>
    <x v="3"/>
    <s v="Q2"/>
    <x v="4"/>
    <d v="2017-04-24T00:00:00"/>
    <s v="Standard Class"/>
    <x v="695"/>
    <x v="695"/>
    <s v="Consumer"/>
    <s v="United States"/>
    <s v="Chicago"/>
    <x v="10"/>
    <n v="60653"/>
    <x v="2"/>
    <x v="32"/>
    <x v="1"/>
    <x v="6"/>
    <x v="32"/>
    <n v="15.76"/>
    <s v="Low"/>
    <n v="2"/>
    <n v="0.2"/>
    <x v="2"/>
    <x v="2"/>
    <n v="3.5459999999999998"/>
    <n v="0.22499999999999998"/>
    <n v="0"/>
  </r>
  <r>
    <n v="6768"/>
    <s v="CA-2017-100615"/>
    <d v="2017-04-20T00:00:00"/>
    <x v="3"/>
    <s v="Q2"/>
    <x v="4"/>
    <d v="2017-04-24T00:00:00"/>
    <s v="Standard Class"/>
    <x v="695"/>
    <x v="695"/>
    <s v="Consumer"/>
    <s v="United States"/>
    <s v="Chicago"/>
    <x v="10"/>
    <n v="60653"/>
    <x v="2"/>
    <x v="1027"/>
    <x v="0"/>
    <x v="5"/>
    <x v="1018"/>
    <n v="14.56"/>
    <s v="Low"/>
    <n v="5"/>
    <n v="0.6"/>
    <x v="1"/>
    <x v="6"/>
    <n v="-6.1879999999999997"/>
    <n v="-0.42499999999999999"/>
    <n v="1"/>
  </r>
  <r>
    <n v="6769"/>
    <s v="CA-2014-109302"/>
    <d v="2014-08-12T00:00:00"/>
    <x v="2"/>
    <s v="Q3"/>
    <x v="9"/>
    <d v="2014-08-16T00:00:00"/>
    <s v="Standard Class"/>
    <x v="728"/>
    <x v="728"/>
    <s v="Corporate"/>
    <s v="United States"/>
    <s v="Lakewood"/>
    <x v="30"/>
    <n v="8701"/>
    <x v="3"/>
    <x v="912"/>
    <x v="1"/>
    <x v="8"/>
    <x v="904"/>
    <n v="196.21"/>
    <s v="High"/>
    <n v="7"/>
    <n v="0"/>
    <x v="0"/>
    <x v="0"/>
    <n v="98.105000000000004"/>
    <n v="0.5"/>
    <n v="0"/>
  </r>
  <r>
    <n v="6770"/>
    <s v="CA-2017-139787"/>
    <d v="2017-09-19T00:00:00"/>
    <x v="3"/>
    <s v="Q3"/>
    <x v="15"/>
    <d v="2017-09-23T00:00:00"/>
    <s v="Standard Class"/>
    <x v="655"/>
    <x v="655"/>
    <s v="Home Office"/>
    <s v="United States"/>
    <s v="Columbus"/>
    <x v="32"/>
    <n v="31907"/>
    <x v="0"/>
    <x v="1658"/>
    <x v="1"/>
    <x v="6"/>
    <x v="1646"/>
    <n v="35.4"/>
    <s v="Medium"/>
    <n v="5"/>
    <n v="0"/>
    <x v="0"/>
    <x v="0"/>
    <n v="13.452"/>
    <n v="0.38"/>
    <n v="0"/>
  </r>
  <r>
    <n v="6771"/>
    <s v="CA-2017-139402"/>
    <d v="2017-12-09T00:00:00"/>
    <x v="3"/>
    <s v="Q4"/>
    <x v="22"/>
    <d v="2017-12-13T00:00:00"/>
    <s v="Standard Class"/>
    <x v="714"/>
    <x v="714"/>
    <s v="Corporate"/>
    <s v="United States"/>
    <s v="Phoenix"/>
    <x v="16"/>
    <n v="85023"/>
    <x v="1"/>
    <x v="1078"/>
    <x v="1"/>
    <x v="10"/>
    <x v="1068"/>
    <n v="419.4"/>
    <s v="High"/>
    <n v="5"/>
    <n v="0.2"/>
    <x v="2"/>
    <x v="2"/>
    <n v="146.79"/>
    <n v="0.35"/>
    <n v="0"/>
  </r>
  <r>
    <n v="6772"/>
    <s v="CA-2017-139402"/>
    <d v="2017-12-09T00:00:00"/>
    <x v="3"/>
    <s v="Q4"/>
    <x v="22"/>
    <d v="2017-12-13T00:00:00"/>
    <s v="Standard Class"/>
    <x v="714"/>
    <x v="714"/>
    <s v="Corporate"/>
    <s v="United States"/>
    <s v="Phoenix"/>
    <x v="16"/>
    <n v="85023"/>
    <x v="1"/>
    <x v="1784"/>
    <x v="1"/>
    <x v="8"/>
    <x v="1774"/>
    <n v="13.005000000000001"/>
    <s v="Low"/>
    <n v="3"/>
    <n v="0.7"/>
    <x v="1"/>
    <x v="5"/>
    <n v="-9.9704999999999995"/>
    <n v="-0.76666666666666661"/>
    <n v="1"/>
  </r>
  <r>
    <n v="6773"/>
    <s v="CA-2016-119018"/>
    <d v="2016-11-04T00:00:00"/>
    <x v="0"/>
    <s v="Q4"/>
    <x v="0"/>
    <d v="2016-11-08T00:00:00"/>
    <s v="Standard Class"/>
    <x v="194"/>
    <x v="194"/>
    <s v="Home Office"/>
    <s v="United States"/>
    <s v="Los Angeles"/>
    <x v="1"/>
    <n v="90004"/>
    <x v="1"/>
    <x v="308"/>
    <x v="1"/>
    <x v="8"/>
    <x v="308"/>
    <n v="7.7119999999999997"/>
    <s v="Low"/>
    <n v="2"/>
    <n v="0.2"/>
    <x v="2"/>
    <x v="2"/>
    <n v="2.7955999999999999"/>
    <n v="0.36249999999999999"/>
    <n v="0"/>
  </r>
  <r>
    <n v="6774"/>
    <s v="CA-2016-119018"/>
    <d v="2016-11-04T00:00:00"/>
    <x v="0"/>
    <s v="Q4"/>
    <x v="0"/>
    <d v="2016-11-08T00:00:00"/>
    <s v="Standard Class"/>
    <x v="194"/>
    <x v="194"/>
    <s v="Home Office"/>
    <s v="United States"/>
    <s v="Los Angeles"/>
    <x v="1"/>
    <n v="90004"/>
    <x v="1"/>
    <x v="1581"/>
    <x v="1"/>
    <x v="8"/>
    <x v="1572"/>
    <n v="4.1760000000000002"/>
    <s v="Low"/>
    <n v="1"/>
    <n v="0.2"/>
    <x v="2"/>
    <x v="2"/>
    <n v="1.3049999999999999"/>
    <n v="0.3125"/>
    <n v="0"/>
  </r>
  <r>
    <n v="6775"/>
    <s v="CA-2016-119018"/>
    <d v="2016-11-04T00:00:00"/>
    <x v="0"/>
    <s v="Q4"/>
    <x v="0"/>
    <d v="2016-11-08T00:00:00"/>
    <s v="Standard Class"/>
    <x v="194"/>
    <x v="194"/>
    <s v="Home Office"/>
    <s v="United States"/>
    <s v="Los Angeles"/>
    <x v="1"/>
    <n v="90004"/>
    <x v="1"/>
    <x v="1798"/>
    <x v="1"/>
    <x v="10"/>
    <x v="1788"/>
    <n v="38.880000000000003"/>
    <s v="Medium"/>
    <n v="6"/>
    <n v="0"/>
    <x v="0"/>
    <x v="0"/>
    <n v="18.662400000000002"/>
    <n v="0.48000000000000004"/>
    <n v="0"/>
  </r>
  <r>
    <n v="6776"/>
    <s v="CA-2015-105361"/>
    <d v="2015-03-29T00:00:00"/>
    <x v="1"/>
    <s v="Q1"/>
    <x v="29"/>
    <d v="2015-04-04T00:00:00"/>
    <s v="Standard Class"/>
    <x v="441"/>
    <x v="441"/>
    <s v="Consumer"/>
    <s v="United States"/>
    <s v="New York City"/>
    <x v="15"/>
    <n v="10024"/>
    <x v="3"/>
    <x v="249"/>
    <x v="1"/>
    <x v="10"/>
    <x v="250"/>
    <n v="17.64"/>
    <s v="Low"/>
    <n v="4"/>
    <n v="0"/>
    <x v="0"/>
    <x v="0"/>
    <n v="8.1143999999999998"/>
    <n v="0.45999999999999996"/>
    <n v="0"/>
  </r>
  <r>
    <n v="6777"/>
    <s v="US-2016-152373"/>
    <d v="2016-09-05T00:00:00"/>
    <x v="0"/>
    <s v="Q3"/>
    <x v="21"/>
    <d v="2016-09-11T00:00:00"/>
    <s v="Standard Class"/>
    <x v="690"/>
    <x v="690"/>
    <s v="Consumer"/>
    <s v="United States"/>
    <s v="San Antonio"/>
    <x v="5"/>
    <n v="78207"/>
    <x v="2"/>
    <x v="41"/>
    <x v="1"/>
    <x v="4"/>
    <x v="41"/>
    <n v="93.456000000000003"/>
    <s v="Medium"/>
    <n v="3"/>
    <n v="0.2"/>
    <x v="2"/>
    <x v="2"/>
    <n v="-17.523"/>
    <n v="-0.1875"/>
    <n v="1"/>
  </r>
  <r>
    <n v="6778"/>
    <s v="US-2017-166037"/>
    <d v="2017-01-28T00:00:00"/>
    <x v="3"/>
    <s v="Q1"/>
    <x v="44"/>
    <d v="2017-02-01T00:00:00"/>
    <s v="Standard Class"/>
    <x v="642"/>
    <x v="642"/>
    <s v="Home Office"/>
    <s v="United States"/>
    <s v="New York City"/>
    <x v="15"/>
    <n v="10009"/>
    <x v="3"/>
    <x v="1233"/>
    <x v="2"/>
    <x v="11"/>
    <x v="1216"/>
    <n v="449.91"/>
    <s v="High"/>
    <n v="9"/>
    <n v="0"/>
    <x v="0"/>
    <x v="0"/>
    <n v="157.46850000000001"/>
    <n v="0.35"/>
    <n v="0"/>
  </r>
  <r>
    <n v="6779"/>
    <s v="US-2016-147711"/>
    <d v="2016-09-03T00:00:00"/>
    <x v="0"/>
    <s v="Q3"/>
    <x v="21"/>
    <d v="2016-09-08T00:00:00"/>
    <s v="Second Class"/>
    <x v="520"/>
    <x v="520"/>
    <s v="Consumer"/>
    <s v="United States"/>
    <s v="Baltimore"/>
    <x v="39"/>
    <n v="21215"/>
    <x v="3"/>
    <x v="1121"/>
    <x v="0"/>
    <x v="0"/>
    <x v="1109"/>
    <n v="344.94"/>
    <s v="High"/>
    <n v="3"/>
    <n v="0"/>
    <x v="0"/>
    <x v="0"/>
    <n v="31.044599999999999"/>
    <n v="0.09"/>
    <n v="0"/>
  </r>
  <r>
    <n v="6780"/>
    <s v="US-2016-147711"/>
    <d v="2016-09-03T00:00:00"/>
    <x v="0"/>
    <s v="Q3"/>
    <x v="21"/>
    <d v="2016-09-08T00:00:00"/>
    <s v="Second Class"/>
    <x v="520"/>
    <x v="520"/>
    <s v="Consumer"/>
    <s v="United States"/>
    <s v="Baltimore"/>
    <x v="39"/>
    <n v="21215"/>
    <x v="3"/>
    <x v="1256"/>
    <x v="0"/>
    <x v="5"/>
    <x v="1240"/>
    <n v="14.76"/>
    <s v="Low"/>
    <n v="2"/>
    <n v="0"/>
    <x v="0"/>
    <x v="0"/>
    <n v="4.2804000000000002"/>
    <n v="0.29000000000000004"/>
    <n v="0"/>
  </r>
  <r>
    <n v="6781"/>
    <s v="US-2016-147711"/>
    <d v="2016-09-03T00:00:00"/>
    <x v="0"/>
    <s v="Q3"/>
    <x v="21"/>
    <d v="2016-09-08T00:00:00"/>
    <s v="Second Class"/>
    <x v="520"/>
    <x v="520"/>
    <s v="Consumer"/>
    <s v="United States"/>
    <s v="Baltimore"/>
    <x v="39"/>
    <n v="21215"/>
    <x v="3"/>
    <x v="849"/>
    <x v="1"/>
    <x v="8"/>
    <x v="842"/>
    <n v="12.76"/>
    <s v="Low"/>
    <n v="2"/>
    <n v="0"/>
    <x v="0"/>
    <x v="0"/>
    <n v="5.8696000000000002"/>
    <n v="0.46"/>
    <n v="0"/>
  </r>
  <r>
    <n v="6782"/>
    <s v="US-2016-147711"/>
    <d v="2016-09-03T00:00:00"/>
    <x v="0"/>
    <s v="Q3"/>
    <x v="21"/>
    <d v="2016-09-08T00:00:00"/>
    <s v="Second Class"/>
    <x v="520"/>
    <x v="520"/>
    <s v="Consumer"/>
    <s v="United States"/>
    <s v="Baltimore"/>
    <x v="39"/>
    <n v="21215"/>
    <x v="3"/>
    <x v="676"/>
    <x v="1"/>
    <x v="2"/>
    <x v="676"/>
    <n v="58.48"/>
    <s v="Medium"/>
    <n v="8"/>
    <n v="0"/>
    <x v="0"/>
    <x v="0"/>
    <n v="27.485600000000002"/>
    <n v="0.47000000000000003"/>
    <n v="0"/>
  </r>
  <r>
    <n v="6783"/>
    <s v="CA-2017-121293"/>
    <d v="2017-07-25T00:00:00"/>
    <x v="3"/>
    <s v="Q3"/>
    <x v="10"/>
    <d v="2017-07-28T00:00:00"/>
    <s v="Second Class"/>
    <x v="547"/>
    <x v="547"/>
    <s v="Consumer"/>
    <s v="United States"/>
    <s v="Philadelphia"/>
    <x v="9"/>
    <n v="19143"/>
    <x v="3"/>
    <x v="545"/>
    <x v="0"/>
    <x v="5"/>
    <x v="545"/>
    <n v="20.096"/>
    <s v="Low"/>
    <n v="4"/>
    <n v="0.2"/>
    <x v="2"/>
    <x v="2"/>
    <n v="3.0144000000000002"/>
    <n v="0.15000000000000002"/>
    <n v="0"/>
  </r>
  <r>
    <n v="6784"/>
    <s v="CA-2017-121293"/>
    <d v="2017-07-25T00:00:00"/>
    <x v="3"/>
    <s v="Q3"/>
    <x v="10"/>
    <d v="2017-07-28T00:00:00"/>
    <s v="Second Class"/>
    <x v="547"/>
    <x v="547"/>
    <s v="Consumer"/>
    <s v="United States"/>
    <s v="Philadelphia"/>
    <x v="9"/>
    <n v="19143"/>
    <x v="3"/>
    <x v="1799"/>
    <x v="1"/>
    <x v="14"/>
    <x v="1789"/>
    <n v="37.752000000000002"/>
    <s v="Medium"/>
    <n v="3"/>
    <n v="0.2"/>
    <x v="2"/>
    <x v="2"/>
    <n v="4.2470999999999997"/>
    <n v="0.11249999999999999"/>
    <n v="0"/>
  </r>
  <r>
    <n v="6785"/>
    <s v="CA-2017-121293"/>
    <d v="2017-07-25T00:00:00"/>
    <x v="3"/>
    <s v="Q3"/>
    <x v="10"/>
    <d v="2017-07-28T00:00:00"/>
    <s v="Second Class"/>
    <x v="547"/>
    <x v="547"/>
    <s v="Consumer"/>
    <s v="United States"/>
    <s v="Philadelphia"/>
    <x v="9"/>
    <n v="19143"/>
    <x v="3"/>
    <x v="1744"/>
    <x v="0"/>
    <x v="3"/>
    <x v="1733"/>
    <n v="138.58799999999999"/>
    <s v="High"/>
    <n v="1"/>
    <n v="0.4"/>
    <x v="1"/>
    <x v="7"/>
    <n v="-34.646999999999998"/>
    <n v="-0.25"/>
    <n v="1"/>
  </r>
  <r>
    <n v="6786"/>
    <s v="CA-2017-121293"/>
    <d v="2017-07-25T00:00:00"/>
    <x v="3"/>
    <s v="Q3"/>
    <x v="10"/>
    <d v="2017-07-28T00:00:00"/>
    <s v="Second Class"/>
    <x v="547"/>
    <x v="547"/>
    <s v="Consumer"/>
    <s v="United States"/>
    <s v="Philadelphia"/>
    <x v="9"/>
    <n v="19143"/>
    <x v="3"/>
    <x v="391"/>
    <x v="1"/>
    <x v="4"/>
    <x v="392"/>
    <n v="259.92"/>
    <s v="High"/>
    <n v="5"/>
    <n v="0.2"/>
    <x v="2"/>
    <x v="2"/>
    <n v="-25.992000000000001"/>
    <n v="-9.9999999999999992E-2"/>
    <n v="1"/>
  </r>
  <r>
    <n v="6787"/>
    <s v="CA-2017-121293"/>
    <d v="2017-07-25T00:00:00"/>
    <x v="3"/>
    <s v="Q3"/>
    <x v="10"/>
    <d v="2017-07-28T00:00:00"/>
    <s v="Second Class"/>
    <x v="547"/>
    <x v="547"/>
    <s v="Consumer"/>
    <s v="United States"/>
    <s v="Philadelphia"/>
    <x v="9"/>
    <n v="19143"/>
    <x v="3"/>
    <x v="260"/>
    <x v="1"/>
    <x v="10"/>
    <x v="260"/>
    <n v="20.736000000000001"/>
    <s v="Low"/>
    <n v="4"/>
    <n v="0.2"/>
    <x v="2"/>
    <x v="2"/>
    <n v="7.2576000000000001"/>
    <n v="0.35"/>
    <n v="0"/>
  </r>
  <r>
    <n v="6788"/>
    <s v="CA-2015-118843"/>
    <d v="2015-09-13T00:00:00"/>
    <x v="1"/>
    <s v="Q3"/>
    <x v="11"/>
    <d v="2015-09-20T00:00:00"/>
    <s v="Standard Class"/>
    <x v="101"/>
    <x v="101"/>
    <s v="Consumer"/>
    <s v="United States"/>
    <s v="Atlanta"/>
    <x v="32"/>
    <n v="30318"/>
    <x v="0"/>
    <x v="784"/>
    <x v="0"/>
    <x v="5"/>
    <x v="783"/>
    <n v="129.93"/>
    <s v="High"/>
    <n v="3"/>
    <n v="0"/>
    <x v="0"/>
    <x v="0"/>
    <n v="12.993"/>
    <n v="9.9999999999999992E-2"/>
    <n v="0"/>
  </r>
  <r>
    <n v="6789"/>
    <s v="CA-2015-118843"/>
    <d v="2015-09-13T00:00:00"/>
    <x v="1"/>
    <s v="Q3"/>
    <x v="11"/>
    <d v="2015-09-20T00:00:00"/>
    <s v="Standard Class"/>
    <x v="101"/>
    <x v="101"/>
    <s v="Consumer"/>
    <s v="United States"/>
    <s v="Atlanta"/>
    <x v="32"/>
    <n v="30318"/>
    <x v="0"/>
    <x v="991"/>
    <x v="1"/>
    <x v="10"/>
    <x v="983"/>
    <n v="69.930000000000007"/>
    <s v="Medium"/>
    <n v="7"/>
    <n v="0"/>
    <x v="0"/>
    <x v="0"/>
    <n v="31.468499999999999"/>
    <n v="0.44999999999999996"/>
    <n v="0"/>
  </r>
  <r>
    <n v="6790"/>
    <s v="CA-2015-161445"/>
    <d v="2015-09-07T00:00:00"/>
    <x v="1"/>
    <s v="Q3"/>
    <x v="11"/>
    <d v="2015-09-09T00:00:00"/>
    <s v="Second Class"/>
    <x v="566"/>
    <x v="566"/>
    <s v="Corporate"/>
    <s v="United States"/>
    <s v="Durham"/>
    <x v="3"/>
    <n v="27707"/>
    <x v="0"/>
    <x v="399"/>
    <x v="1"/>
    <x v="6"/>
    <x v="400"/>
    <n v="140.73599999999999"/>
    <s v="High"/>
    <n v="4"/>
    <n v="0.2"/>
    <x v="2"/>
    <x v="2"/>
    <n v="12.314399999999999"/>
    <n v="8.7499999999999994E-2"/>
    <n v="0"/>
  </r>
  <r>
    <n v="6791"/>
    <s v="CA-2016-124527"/>
    <d v="2016-11-16T00:00:00"/>
    <x v="0"/>
    <s v="Q4"/>
    <x v="0"/>
    <d v="2016-11-17T00:00:00"/>
    <s v="First Class"/>
    <x v="780"/>
    <x v="780"/>
    <s v="Consumer"/>
    <s v="United States"/>
    <s v="Roseville"/>
    <x v="1"/>
    <n v="95661"/>
    <x v="1"/>
    <x v="255"/>
    <x v="1"/>
    <x v="8"/>
    <x v="256"/>
    <n v="8.32"/>
    <s v="Low"/>
    <n v="5"/>
    <n v="0.2"/>
    <x v="2"/>
    <x v="2"/>
    <n v="2.8079999999999998"/>
    <n v="0.33749999999999997"/>
    <n v="0"/>
  </r>
  <r>
    <n v="6792"/>
    <s v="CA-2016-162348"/>
    <d v="2016-11-10T00:00:00"/>
    <x v="0"/>
    <s v="Q4"/>
    <x v="0"/>
    <d v="2016-11-15T00:00:00"/>
    <s v="Standard Class"/>
    <x v="408"/>
    <x v="408"/>
    <s v="Home Office"/>
    <s v="United States"/>
    <s v="Sacramento"/>
    <x v="1"/>
    <n v="95823"/>
    <x v="1"/>
    <x v="1611"/>
    <x v="0"/>
    <x v="5"/>
    <x v="1602"/>
    <n v="9.98"/>
    <s v="Low"/>
    <n v="1"/>
    <n v="0"/>
    <x v="0"/>
    <x v="0"/>
    <n v="2.7944"/>
    <n v="0.27999999999999997"/>
    <n v="0"/>
  </r>
  <r>
    <n v="6793"/>
    <s v="CA-2014-141005"/>
    <d v="2014-08-15T00:00:00"/>
    <x v="2"/>
    <s v="Q3"/>
    <x v="9"/>
    <d v="2014-08-18T00:00:00"/>
    <s v="First Class"/>
    <x v="394"/>
    <x v="394"/>
    <s v="Consumer"/>
    <s v="United States"/>
    <s v="Fairfield"/>
    <x v="29"/>
    <n v="6824"/>
    <x v="3"/>
    <x v="542"/>
    <x v="1"/>
    <x v="8"/>
    <x v="542"/>
    <n v="62.94"/>
    <s v="Medium"/>
    <n v="3"/>
    <n v="0"/>
    <x v="0"/>
    <x v="0"/>
    <n v="30.211200000000002"/>
    <n v="0.48000000000000004"/>
    <n v="0"/>
  </r>
  <r>
    <n v="6794"/>
    <s v="CA-2015-145394"/>
    <d v="2015-11-16T00:00:00"/>
    <x v="1"/>
    <s v="Q4"/>
    <x v="6"/>
    <d v="2015-11-20T00:00:00"/>
    <s v="Standard Class"/>
    <x v="204"/>
    <x v="204"/>
    <s v="Corporate"/>
    <s v="United States"/>
    <s v="Chicago"/>
    <x v="10"/>
    <n v="60610"/>
    <x v="2"/>
    <x v="1031"/>
    <x v="1"/>
    <x v="4"/>
    <x v="1022"/>
    <n v="21.488"/>
    <s v="Low"/>
    <n v="2"/>
    <n v="0.2"/>
    <x v="2"/>
    <x v="2"/>
    <n v="1.6115999999999999"/>
    <n v="7.4999999999999997E-2"/>
    <n v="0"/>
  </r>
  <r>
    <n v="6795"/>
    <s v="CA-2015-145394"/>
    <d v="2015-11-16T00:00:00"/>
    <x v="1"/>
    <s v="Q4"/>
    <x v="6"/>
    <d v="2015-11-20T00:00:00"/>
    <s v="Standard Class"/>
    <x v="204"/>
    <x v="204"/>
    <s v="Corporate"/>
    <s v="United States"/>
    <s v="Chicago"/>
    <x v="10"/>
    <n v="60610"/>
    <x v="2"/>
    <x v="1278"/>
    <x v="2"/>
    <x v="7"/>
    <x v="1263"/>
    <n v="239.976"/>
    <s v="High"/>
    <n v="3"/>
    <n v="0.2"/>
    <x v="2"/>
    <x v="2"/>
    <n v="26.997299999999999"/>
    <n v="0.1125"/>
    <n v="0"/>
  </r>
  <r>
    <n v="6796"/>
    <s v="CA-2015-145394"/>
    <d v="2015-11-16T00:00:00"/>
    <x v="1"/>
    <s v="Q4"/>
    <x v="6"/>
    <d v="2015-11-20T00:00:00"/>
    <s v="Standard Class"/>
    <x v="204"/>
    <x v="204"/>
    <s v="Corporate"/>
    <s v="United States"/>
    <s v="Chicago"/>
    <x v="10"/>
    <n v="60610"/>
    <x v="2"/>
    <x v="1618"/>
    <x v="0"/>
    <x v="5"/>
    <x v="1609"/>
    <n v="34.503999999999998"/>
    <s v="Medium"/>
    <n v="2"/>
    <n v="0.6"/>
    <x v="1"/>
    <x v="6"/>
    <n v="-15.5268"/>
    <n v="-0.45"/>
    <n v="1"/>
  </r>
  <r>
    <n v="6797"/>
    <s v="CA-2015-168809"/>
    <d v="2015-08-25T00:00:00"/>
    <x v="1"/>
    <s v="Q3"/>
    <x v="37"/>
    <d v="2015-08-25T00:00:00"/>
    <s v="Same Day"/>
    <x v="498"/>
    <x v="498"/>
    <s v="Consumer"/>
    <s v="United States"/>
    <s v="Houston"/>
    <x v="5"/>
    <n v="77041"/>
    <x v="2"/>
    <x v="1001"/>
    <x v="0"/>
    <x v="5"/>
    <x v="1253"/>
    <n v="20.103999999999999"/>
    <s v="Low"/>
    <n v="2"/>
    <n v="0.6"/>
    <x v="1"/>
    <x v="6"/>
    <n v="-16.585799999999999"/>
    <n v="-0.82499999999999996"/>
    <n v="1"/>
  </r>
  <r>
    <n v="6798"/>
    <s v="CA-2015-168809"/>
    <d v="2015-08-25T00:00:00"/>
    <x v="1"/>
    <s v="Q3"/>
    <x v="37"/>
    <d v="2015-08-25T00:00:00"/>
    <s v="Same Day"/>
    <x v="498"/>
    <x v="498"/>
    <s v="Consumer"/>
    <s v="United States"/>
    <s v="Houston"/>
    <x v="5"/>
    <n v="77041"/>
    <x v="2"/>
    <x v="412"/>
    <x v="1"/>
    <x v="8"/>
    <x v="412"/>
    <n v="3.798"/>
    <s v="Low"/>
    <n v="1"/>
    <n v="0.8"/>
    <x v="1"/>
    <x v="3"/>
    <n v="-6.0768000000000004"/>
    <n v="-1.6"/>
    <n v="1"/>
  </r>
  <r>
    <n v="6799"/>
    <s v="CA-2015-168809"/>
    <d v="2015-08-25T00:00:00"/>
    <x v="1"/>
    <s v="Q3"/>
    <x v="37"/>
    <d v="2015-08-25T00:00:00"/>
    <s v="Same Day"/>
    <x v="498"/>
    <x v="498"/>
    <s v="Consumer"/>
    <s v="United States"/>
    <s v="Houston"/>
    <x v="5"/>
    <n v="77041"/>
    <x v="2"/>
    <x v="1800"/>
    <x v="0"/>
    <x v="5"/>
    <x v="1790"/>
    <n v="7.88"/>
    <s v="Low"/>
    <n v="5"/>
    <n v="0.6"/>
    <x v="1"/>
    <x v="6"/>
    <n v="-3.94"/>
    <n v="-0.5"/>
    <n v="1"/>
  </r>
  <r>
    <n v="6800"/>
    <s v="CA-2016-109827"/>
    <d v="2016-12-25T00:00:00"/>
    <x v="0"/>
    <s v="Q4"/>
    <x v="5"/>
    <d v="2017-01-01T00:00:00"/>
    <s v="Standard Class"/>
    <x v="429"/>
    <x v="429"/>
    <s v="Corporate"/>
    <s v="United States"/>
    <s v="Phoenix"/>
    <x v="16"/>
    <n v="85023"/>
    <x v="1"/>
    <x v="223"/>
    <x v="0"/>
    <x v="3"/>
    <x v="224"/>
    <n v="35.445"/>
    <s v="Medium"/>
    <n v="1"/>
    <n v="0.5"/>
    <x v="1"/>
    <x v="1"/>
    <n v="-24.102599999999999"/>
    <n v="-0.67999999999999994"/>
    <n v="1"/>
  </r>
  <r>
    <n v="6801"/>
    <s v="CA-2016-109827"/>
    <d v="2016-12-25T00:00:00"/>
    <x v="0"/>
    <s v="Q4"/>
    <x v="5"/>
    <d v="2017-01-01T00:00:00"/>
    <s v="Standard Class"/>
    <x v="429"/>
    <x v="429"/>
    <s v="Corporate"/>
    <s v="United States"/>
    <s v="Phoenix"/>
    <x v="16"/>
    <n v="85023"/>
    <x v="1"/>
    <x v="1384"/>
    <x v="2"/>
    <x v="15"/>
    <x v="1370"/>
    <n v="269.97000000000003"/>
    <s v="High"/>
    <n v="2"/>
    <n v="0.7"/>
    <x v="1"/>
    <x v="5"/>
    <n v="-386.95699999999999"/>
    <n v="-1.4333333333333331"/>
    <n v="1"/>
  </r>
  <r>
    <n v="6802"/>
    <s v="CA-2016-109827"/>
    <d v="2016-12-25T00:00:00"/>
    <x v="0"/>
    <s v="Q4"/>
    <x v="5"/>
    <d v="2017-01-01T00:00:00"/>
    <s v="Standard Class"/>
    <x v="429"/>
    <x v="429"/>
    <s v="Corporate"/>
    <s v="United States"/>
    <s v="Phoenix"/>
    <x v="16"/>
    <n v="85023"/>
    <x v="1"/>
    <x v="1202"/>
    <x v="2"/>
    <x v="11"/>
    <x v="1187"/>
    <n v="45.12"/>
    <s v="Medium"/>
    <n v="3"/>
    <n v="0.2"/>
    <x v="2"/>
    <x v="2"/>
    <n v="-7.8959999999999999"/>
    <n v="-0.17500000000000002"/>
    <n v="1"/>
  </r>
  <r>
    <n v="6803"/>
    <s v="CA-2016-109827"/>
    <d v="2016-12-25T00:00:00"/>
    <x v="0"/>
    <s v="Q4"/>
    <x v="5"/>
    <d v="2017-01-01T00:00:00"/>
    <s v="Standard Class"/>
    <x v="429"/>
    <x v="429"/>
    <s v="Corporate"/>
    <s v="United States"/>
    <s v="Phoenix"/>
    <x v="16"/>
    <n v="85023"/>
    <x v="1"/>
    <x v="725"/>
    <x v="2"/>
    <x v="11"/>
    <x v="724"/>
    <n v="100.8"/>
    <s v="Medium"/>
    <n v="2"/>
    <n v="0.2"/>
    <x v="2"/>
    <x v="2"/>
    <n v="21.42"/>
    <n v="0.21250000000000002"/>
    <n v="0"/>
  </r>
  <r>
    <n v="6804"/>
    <s v="CA-2016-109827"/>
    <d v="2016-12-25T00:00:00"/>
    <x v="0"/>
    <s v="Q4"/>
    <x v="5"/>
    <d v="2017-01-01T00:00:00"/>
    <s v="Standard Class"/>
    <x v="429"/>
    <x v="429"/>
    <s v="Corporate"/>
    <s v="United States"/>
    <s v="Phoenix"/>
    <x v="16"/>
    <n v="85023"/>
    <x v="1"/>
    <x v="1144"/>
    <x v="0"/>
    <x v="1"/>
    <x v="1132"/>
    <n v="47.968000000000004"/>
    <s v="Medium"/>
    <n v="2"/>
    <n v="0.2"/>
    <x v="2"/>
    <x v="2"/>
    <n v="4.1971999999999996"/>
    <n v="8.7499999999999981E-2"/>
    <n v="0"/>
  </r>
  <r>
    <n v="6805"/>
    <s v="CA-2014-152233"/>
    <d v="2014-10-05T00:00:00"/>
    <x v="2"/>
    <s v="Q4"/>
    <x v="18"/>
    <d v="2014-10-06T00:00:00"/>
    <s v="First Class"/>
    <x v="168"/>
    <x v="168"/>
    <s v="Consumer"/>
    <s v="United States"/>
    <s v="Pomona"/>
    <x v="1"/>
    <n v="91767"/>
    <x v="1"/>
    <x v="1233"/>
    <x v="2"/>
    <x v="11"/>
    <x v="1216"/>
    <n v="99.98"/>
    <s v="Medium"/>
    <n v="2"/>
    <n v="0"/>
    <x v="0"/>
    <x v="0"/>
    <n v="34.993000000000002"/>
    <n v="0.35000000000000003"/>
    <n v="0"/>
  </r>
  <r>
    <n v="6806"/>
    <s v="CA-2014-125682"/>
    <d v="2014-11-22T00:00:00"/>
    <x v="2"/>
    <s v="Q4"/>
    <x v="7"/>
    <d v="2014-11-25T00:00:00"/>
    <s v="First Class"/>
    <x v="516"/>
    <x v="516"/>
    <s v="Corporate"/>
    <s v="United States"/>
    <s v="Atlanta"/>
    <x v="32"/>
    <n v="30318"/>
    <x v="0"/>
    <x v="1383"/>
    <x v="1"/>
    <x v="10"/>
    <x v="1369"/>
    <n v="9.9600000000000009"/>
    <s v="Low"/>
    <n v="2"/>
    <n v="0"/>
    <x v="0"/>
    <x v="0"/>
    <n v="4.8803999999999998"/>
    <n v="0.48999999999999994"/>
    <n v="0"/>
  </r>
  <r>
    <n v="6807"/>
    <s v="CA-2017-162880"/>
    <d v="2017-12-25T00:00:00"/>
    <x v="3"/>
    <s v="Q4"/>
    <x v="22"/>
    <d v="2017-12-29T00:00:00"/>
    <s v="Standard Class"/>
    <x v="241"/>
    <x v="241"/>
    <s v="Corporate"/>
    <s v="United States"/>
    <s v="Everett"/>
    <x v="4"/>
    <n v="98208"/>
    <x v="1"/>
    <x v="308"/>
    <x v="1"/>
    <x v="8"/>
    <x v="308"/>
    <n v="3.8559999999999999"/>
    <s v="Low"/>
    <n v="1"/>
    <n v="0.2"/>
    <x v="2"/>
    <x v="2"/>
    <n v="1.3977999999999999"/>
    <n v="0.36249999999999999"/>
    <n v="0"/>
  </r>
  <r>
    <n v="6808"/>
    <s v="CA-2015-128125"/>
    <d v="2015-03-31T00:00:00"/>
    <x v="1"/>
    <s v="Q1"/>
    <x v="29"/>
    <d v="2015-04-05T00:00:00"/>
    <s v="Standard Class"/>
    <x v="182"/>
    <x v="182"/>
    <s v="Corporate"/>
    <s v="United States"/>
    <s v="Houston"/>
    <x v="5"/>
    <n v="77095"/>
    <x v="2"/>
    <x v="447"/>
    <x v="1"/>
    <x v="10"/>
    <x v="447"/>
    <n v="98.376000000000005"/>
    <s v="Medium"/>
    <n v="3"/>
    <n v="0.2"/>
    <x v="2"/>
    <x v="2"/>
    <n v="35.661299999999997"/>
    <n v="0.36249999999999993"/>
    <n v="0"/>
  </r>
  <r>
    <n v="6809"/>
    <s v="CA-2015-128125"/>
    <d v="2015-03-31T00:00:00"/>
    <x v="1"/>
    <s v="Q1"/>
    <x v="29"/>
    <d v="2015-04-05T00:00:00"/>
    <s v="Standard Class"/>
    <x v="182"/>
    <x v="182"/>
    <s v="Corporate"/>
    <s v="United States"/>
    <s v="Houston"/>
    <x v="5"/>
    <n v="77095"/>
    <x v="2"/>
    <x v="1608"/>
    <x v="0"/>
    <x v="5"/>
    <x v="1599"/>
    <n v="22.38"/>
    <s v="Low"/>
    <n v="3"/>
    <n v="0.6"/>
    <x v="1"/>
    <x v="6"/>
    <n v="-7.8330000000000002"/>
    <n v="-0.35000000000000003"/>
    <n v="1"/>
  </r>
  <r>
    <n v="6810"/>
    <s v="CA-2017-156237"/>
    <d v="2017-09-14T00:00:00"/>
    <x v="3"/>
    <s v="Q3"/>
    <x v="15"/>
    <d v="2017-09-15T00:00:00"/>
    <s v="First Class"/>
    <x v="519"/>
    <x v="519"/>
    <s v="Consumer"/>
    <s v="United States"/>
    <s v="Philadelphia"/>
    <x v="9"/>
    <n v="19140"/>
    <x v="3"/>
    <x v="625"/>
    <x v="1"/>
    <x v="8"/>
    <x v="625"/>
    <n v="3.8820000000000001"/>
    <s v="Low"/>
    <n v="2"/>
    <n v="0.7"/>
    <x v="1"/>
    <x v="5"/>
    <n v="-2.5880000000000001"/>
    <n v="-0.66666666666666663"/>
    <n v="1"/>
  </r>
  <r>
    <n v="6811"/>
    <s v="CA-2017-156237"/>
    <d v="2017-09-14T00:00:00"/>
    <x v="3"/>
    <s v="Q3"/>
    <x v="15"/>
    <d v="2017-09-15T00:00:00"/>
    <s v="First Class"/>
    <x v="519"/>
    <x v="519"/>
    <s v="Consumer"/>
    <s v="United States"/>
    <s v="Philadelphia"/>
    <x v="9"/>
    <n v="19140"/>
    <x v="3"/>
    <x v="1794"/>
    <x v="2"/>
    <x v="15"/>
    <x v="1784"/>
    <n v="12.585000000000001"/>
    <s v="Low"/>
    <n v="1"/>
    <n v="0.7"/>
    <x v="1"/>
    <x v="5"/>
    <n v="-18.038499999999999"/>
    <n v="-1.4333333333333331"/>
    <n v="1"/>
  </r>
  <r>
    <n v="6812"/>
    <s v="CA-2017-156237"/>
    <d v="2017-09-14T00:00:00"/>
    <x v="3"/>
    <s v="Q3"/>
    <x v="15"/>
    <d v="2017-09-15T00:00:00"/>
    <s v="First Class"/>
    <x v="519"/>
    <x v="519"/>
    <s v="Consumer"/>
    <s v="United States"/>
    <s v="Philadelphia"/>
    <x v="9"/>
    <n v="19140"/>
    <x v="3"/>
    <x v="394"/>
    <x v="0"/>
    <x v="1"/>
    <x v="395"/>
    <n v="113.372"/>
    <s v="Medium"/>
    <n v="2"/>
    <n v="0.3"/>
    <x v="1"/>
    <x v="4"/>
    <n v="-29.152799999999999"/>
    <n v="-0.25714285714285712"/>
    <n v="1"/>
  </r>
  <r>
    <n v="6813"/>
    <s v="CA-2017-156237"/>
    <d v="2017-09-14T00:00:00"/>
    <x v="3"/>
    <s v="Q3"/>
    <x v="15"/>
    <d v="2017-09-15T00:00:00"/>
    <s v="First Class"/>
    <x v="519"/>
    <x v="519"/>
    <s v="Consumer"/>
    <s v="United States"/>
    <s v="Philadelphia"/>
    <x v="9"/>
    <n v="19140"/>
    <x v="3"/>
    <x v="785"/>
    <x v="1"/>
    <x v="8"/>
    <x v="784"/>
    <n v="18.312000000000001"/>
    <s v="Low"/>
    <n v="4"/>
    <n v="0.7"/>
    <x v="1"/>
    <x v="5"/>
    <n v="-12.208"/>
    <n v="-0.66666666666666663"/>
    <n v="1"/>
  </r>
  <r>
    <n v="6814"/>
    <s v="CA-2017-156237"/>
    <d v="2017-09-14T00:00:00"/>
    <x v="3"/>
    <s v="Q3"/>
    <x v="15"/>
    <d v="2017-09-15T00:00:00"/>
    <s v="First Class"/>
    <x v="519"/>
    <x v="519"/>
    <s v="Consumer"/>
    <s v="United States"/>
    <s v="Philadelphia"/>
    <x v="9"/>
    <n v="19140"/>
    <x v="3"/>
    <x v="1801"/>
    <x v="0"/>
    <x v="5"/>
    <x v="1791"/>
    <n v="127.93600000000001"/>
    <s v="High"/>
    <n v="8"/>
    <n v="0.2"/>
    <x v="2"/>
    <x v="2"/>
    <n v="4.7976000000000001"/>
    <n v="3.7499999999999999E-2"/>
    <n v="0"/>
  </r>
  <r>
    <n v="6815"/>
    <s v="CA-2017-156237"/>
    <d v="2017-09-14T00:00:00"/>
    <x v="3"/>
    <s v="Q3"/>
    <x v="15"/>
    <d v="2017-09-15T00:00:00"/>
    <s v="First Class"/>
    <x v="519"/>
    <x v="519"/>
    <s v="Consumer"/>
    <s v="United States"/>
    <s v="Philadelphia"/>
    <x v="9"/>
    <n v="19140"/>
    <x v="3"/>
    <x v="344"/>
    <x v="2"/>
    <x v="15"/>
    <x v="344"/>
    <n v="241.17"/>
    <s v="High"/>
    <n v="2"/>
    <n v="0.7"/>
    <x v="1"/>
    <x v="5"/>
    <n v="-168.81899999999999"/>
    <n v="-0.7"/>
    <n v="1"/>
  </r>
  <r>
    <n v="6816"/>
    <s v="CA-2014-144414"/>
    <d v="2014-06-17T00:00:00"/>
    <x v="2"/>
    <s v="Q2"/>
    <x v="3"/>
    <d v="2014-06-21T00:00:00"/>
    <s v="Standard Class"/>
    <x v="485"/>
    <x v="485"/>
    <s v="Consumer"/>
    <s v="United States"/>
    <s v="Seattle"/>
    <x v="4"/>
    <n v="98105"/>
    <x v="1"/>
    <x v="1035"/>
    <x v="0"/>
    <x v="5"/>
    <x v="325"/>
    <n v="6.24"/>
    <s v="Low"/>
    <n v="3"/>
    <n v="0"/>
    <x v="0"/>
    <x v="0"/>
    <n v="2.6208"/>
    <n v="0.42"/>
    <n v="0"/>
  </r>
  <r>
    <n v="6817"/>
    <s v="CA-2014-144414"/>
    <d v="2014-06-17T00:00:00"/>
    <x v="2"/>
    <s v="Q2"/>
    <x v="3"/>
    <d v="2014-06-21T00:00:00"/>
    <s v="Standard Class"/>
    <x v="485"/>
    <x v="485"/>
    <s v="Consumer"/>
    <s v="United States"/>
    <s v="Seattle"/>
    <x v="4"/>
    <n v="98105"/>
    <x v="1"/>
    <x v="294"/>
    <x v="1"/>
    <x v="13"/>
    <x v="294"/>
    <n v="17.899999999999999"/>
    <s v="Low"/>
    <n v="5"/>
    <n v="0"/>
    <x v="0"/>
    <x v="0"/>
    <n v="8.9499999999999993"/>
    <n v="0.5"/>
    <n v="0"/>
  </r>
  <r>
    <n v="6818"/>
    <s v="CA-2014-144414"/>
    <d v="2014-06-17T00:00:00"/>
    <x v="2"/>
    <s v="Q2"/>
    <x v="3"/>
    <d v="2014-06-21T00:00:00"/>
    <s v="Standard Class"/>
    <x v="485"/>
    <x v="485"/>
    <s v="Consumer"/>
    <s v="United States"/>
    <s v="Seattle"/>
    <x v="4"/>
    <n v="98105"/>
    <x v="1"/>
    <x v="316"/>
    <x v="1"/>
    <x v="8"/>
    <x v="316"/>
    <n v="3266.3760000000002"/>
    <s v="High"/>
    <n v="3"/>
    <n v="0.2"/>
    <x v="2"/>
    <x v="2"/>
    <n v="1061.5722000000001"/>
    <n v="0.32500000000000001"/>
    <n v="0"/>
  </r>
  <r>
    <n v="6819"/>
    <s v="CA-2017-163860"/>
    <d v="2017-12-28T00:00:00"/>
    <x v="3"/>
    <s v="Q4"/>
    <x v="22"/>
    <d v="2018-01-01T00:00:00"/>
    <s v="Standard Class"/>
    <x v="628"/>
    <x v="628"/>
    <s v="Corporate"/>
    <s v="United States"/>
    <s v="Peoria"/>
    <x v="10"/>
    <n v="61604"/>
    <x v="2"/>
    <x v="1338"/>
    <x v="1"/>
    <x v="8"/>
    <x v="1323"/>
    <n v="1.68"/>
    <s v="Low"/>
    <n v="5"/>
    <n v="0.8"/>
    <x v="1"/>
    <x v="3"/>
    <n v="-2.6880000000000002"/>
    <n v="-1.6"/>
    <n v="1"/>
  </r>
  <r>
    <n v="6820"/>
    <s v="CA-2017-163860"/>
    <d v="2017-12-28T00:00:00"/>
    <x v="3"/>
    <s v="Q4"/>
    <x v="22"/>
    <d v="2018-01-01T00:00:00"/>
    <s v="Standard Class"/>
    <x v="628"/>
    <x v="628"/>
    <s v="Corporate"/>
    <s v="United States"/>
    <s v="Peoria"/>
    <x v="10"/>
    <n v="61604"/>
    <x v="2"/>
    <x v="1494"/>
    <x v="0"/>
    <x v="5"/>
    <x v="1482"/>
    <n v="7.968"/>
    <s v="Low"/>
    <n v="3"/>
    <n v="0.6"/>
    <x v="1"/>
    <x v="6"/>
    <n v="-2.3904000000000001"/>
    <n v="-0.3"/>
    <n v="1"/>
  </r>
  <r>
    <n v="6821"/>
    <s v="CA-2017-163860"/>
    <d v="2017-12-28T00:00:00"/>
    <x v="3"/>
    <s v="Q4"/>
    <x v="22"/>
    <d v="2018-01-01T00:00:00"/>
    <s v="Standard Class"/>
    <x v="628"/>
    <x v="628"/>
    <s v="Corporate"/>
    <s v="United States"/>
    <s v="Peoria"/>
    <x v="10"/>
    <n v="61604"/>
    <x v="2"/>
    <x v="167"/>
    <x v="0"/>
    <x v="1"/>
    <x v="168"/>
    <n v="113.372"/>
    <s v="Medium"/>
    <n v="2"/>
    <n v="0.3"/>
    <x v="1"/>
    <x v="4"/>
    <n v="-3.2391999999999999"/>
    <n v="-2.8571428571428571E-2"/>
    <n v="1"/>
  </r>
  <r>
    <n v="6822"/>
    <s v="CA-2017-163860"/>
    <d v="2017-12-28T00:00:00"/>
    <x v="3"/>
    <s v="Q4"/>
    <x v="22"/>
    <d v="2018-01-01T00:00:00"/>
    <s v="Standard Class"/>
    <x v="628"/>
    <x v="628"/>
    <s v="Corporate"/>
    <s v="United States"/>
    <s v="Peoria"/>
    <x v="10"/>
    <n v="61604"/>
    <x v="2"/>
    <x v="345"/>
    <x v="0"/>
    <x v="5"/>
    <x v="345"/>
    <n v="2.96"/>
    <s v="Low"/>
    <n v="2"/>
    <n v="0.6"/>
    <x v="1"/>
    <x v="6"/>
    <n v="-1.4059999999999999"/>
    <n v="-0.47499999999999998"/>
    <n v="1"/>
  </r>
  <r>
    <n v="6823"/>
    <s v="US-2017-115609"/>
    <d v="2017-11-02T00:00:00"/>
    <x v="3"/>
    <s v="Q4"/>
    <x v="23"/>
    <d v="2017-11-07T00:00:00"/>
    <s v="Standard Class"/>
    <x v="473"/>
    <x v="473"/>
    <s v="Consumer"/>
    <s v="United States"/>
    <s v="Los Angeles"/>
    <x v="1"/>
    <n v="90036"/>
    <x v="1"/>
    <x v="731"/>
    <x v="1"/>
    <x v="9"/>
    <x v="730"/>
    <n v="168.1"/>
    <s v="High"/>
    <n v="5"/>
    <n v="0"/>
    <x v="0"/>
    <x v="0"/>
    <n v="43.706000000000003"/>
    <n v="0.26"/>
    <n v="0"/>
  </r>
  <r>
    <n v="6824"/>
    <s v="CA-2015-154291"/>
    <d v="2015-07-25T00:00:00"/>
    <x v="1"/>
    <s v="Q3"/>
    <x v="38"/>
    <d v="2015-07-29T00:00:00"/>
    <s v="Standard Class"/>
    <x v="453"/>
    <x v="453"/>
    <s v="Corporate"/>
    <s v="United States"/>
    <s v="Montgomery"/>
    <x v="19"/>
    <n v="36116"/>
    <x v="0"/>
    <x v="466"/>
    <x v="1"/>
    <x v="12"/>
    <x v="467"/>
    <n v="98.46"/>
    <s v="Medium"/>
    <n v="9"/>
    <n v="0"/>
    <x v="0"/>
    <x v="0"/>
    <n v="49.23"/>
    <n v="0.5"/>
    <n v="0"/>
  </r>
  <r>
    <n v="6825"/>
    <s v="CA-2015-154291"/>
    <d v="2015-07-25T00:00:00"/>
    <x v="1"/>
    <s v="Q3"/>
    <x v="38"/>
    <d v="2015-07-29T00:00:00"/>
    <s v="Standard Class"/>
    <x v="453"/>
    <x v="453"/>
    <s v="Corporate"/>
    <s v="United States"/>
    <s v="Montgomery"/>
    <x v="19"/>
    <n v="36116"/>
    <x v="0"/>
    <x v="363"/>
    <x v="0"/>
    <x v="3"/>
    <x v="363"/>
    <n v="358.58"/>
    <s v="High"/>
    <n v="2"/>
    <n v="0"/>
    <x v="0"/>
    <x v="0"/>
    <n v="39.443800000000003"/>
    <n v="0.11000000000000001"/>
    <n v="0"/>
  </r>
  <r>
    <n v="6826"/>
    <s v="CA-2016-118689"/>
    <d v="2016-10-02T00:00:00"/>
    <x v="0"/>
    <s v="Q4"/>
    <x v="32"/>
    <d v="2016-10-09T00:00:00"/>
    <s v="Standard Class"/>
    <x v="568"/>
    <x v="568"/>
    <s v="Corporate"/>
    <s v="United States"/>
    <s v="Lafayette"/>
    <x v="14"/>
    <n v="47905"/>
    <x v="2"/>
    <x v="720"/>
    <x v="1"/>
    <x v="4"/>
    <x v="719"/>
    <n v="32.479999999999997"/>
    <s v="Medium"/>
    <n v="2"/>
    <n v="0"/>
    <x v="0"/>
    <x v="0"/>
    <n v="4.8719999999999999"/>
    <n v="0.15000000000000002"/>
    <n v="0"/>
  </r>
  <r>
    <n v="6827"/>
    <s v="CA-2016-118689"/>
    <d v="2016-10-02T00:00:00"/>
    <x v="0"/>
    <s v="Q4"/>
    <x v="32"/>
    <d v="2016-10-09T00:00:00"/>
    <s v="Standard Class"/>
    <x v="568"/>
    <x v="568"/>
    <s v="Corporate"/>
    <s v="United States"/>
    <s v="Lafayette"/>
    <x v="14"/>
    <n v="47905"/>
    <x v="2"/>
    <x v="1388"/>
    <x v="2"/>
    <x v="16"/>
    <x v="1374"/>
    <n v="17499.95"/>
    <s v="High"/>
    <n v="5"/>
    <n v="0"/>
    <x v="0"/>
    <x v="0"/>
    <n v="8399.9760000000006"/>
    <n v="0.48000000000000004"/>
    <n v="0"/>
  </r>
  <r>
    <n v="6828"/>
    <s v="CA-2016-118689"/>
    <d v="2016-10-02T00:00:00"/>
    <x v="0"/>
    <s v="Q4"/>
    <x v="32"/>
    <d v="2016-10-09T00:00:00"/>
    <s v="Standard Class"/>
    <x v="568"/>
    <x v="568"/>
    <s v="Corporate"/>
    <s v="United States"/>
    <s v="Lafayette"/>
    <x v="14"/>
    <n v="47905"/>
    <x v="2"/>
    <x v="1498"/>
    <x v="1"/>
    <x v="8"/>
    <x v="1486"/>
    <n v="735.98"/>
    <s v="High"/>
    <n v="2"/>
    <n v="0"/>
    <x v="0"/>
    <x v="0"/>
    <n v="331.19099999999997"/>
    <n v="0.44999999999999996"/>
    <n v="0"/>
  </r>
  <r>
    <n v="6829"/>
    <s v="CA-2016-118689"/>
    <d v="2016-10-02T00:00:00"/>
    <x v="0"/>
    <s v="Q4"/>
    <x v="32"/>
    <d v="2016-10-09T00:00:00"/>
    <s v="Standard Class"/>
    <x v="568"/>
    <x v="568"/>
    <s v="Corporate"/>
    <s v="United States"/>
    <s v="Lafayette"/>
    <x v="14"/>
    <n v="47905"/>
    <x v="2"/>
    <x v="696"/>
    <x v="1"/>
    <x v="8"/>
    <x v="696"/>
    <n v="34.369999999999997"/>
    <s v="Medium"/>
    <n v="7"/>
    <n v="0"/>
    <x v="0"/>
    <x v="0"/>
    <n v="16.8413"/>
    <n v="0.49000000000000005"/>
    <n v="0"/>
  </r>
  <r>
    <n v="6830"/>
    <s v="CA-2016-118689"/>
    <d v="2016-10-02T00:00:00"/>
    <x v="0"/>
    <s v="Q4"/>
    <x v="32"/>
    <d v="2016-10-09T00:00:00"/>
    <s v="Standard Class"/>
    <x v="568"/>
    <x v="568"/>
    <s v="Corporate"/>
    <s v="United States"/>
    <s v="Lafayette"/>
    <x v="14"/>
    <n v="47905"/>
    <x v="2"/>
    <x v="207"/>
    <x v="1"/>
    <x v="6"/>
    <x v="208"/>
    <n v="33.96"/>
    <s v="Medium"/>
    <n v="2"/>
    <n v="0"/>
    <x v="0"/>
    <x v="0"/>
    <n v="9.5088000000000008"/>
    <n v="0.28000000000000003"/>
    <n v="0"/>
  </r>
  <r>
    <n v="6831"/>
    <s v="CA-2016-140438"/>
    <d v="2016-12-24T00:00:00"/>
    <x v="0"/>
    <s v="Q4"/>
    <x v="5"/>
    <d v="2016-12-27T00:00:00"/>
    <s v="Second Class"/>
    <x v="463"/>
    <x v="463"/>
    <s v="Corporate"/>
    <s v="United States"/>
    <s v="New York City"/>
    <x v="15"/>
    <n v="10009"/>
    <x v="3"/>
    <x v="984"/>
    <x v="2"/>
    <x v="7"/>
    <x v="977"/>
    <n v="197.97"/>
    <s v="High"/>
    <n v="3"/>
    <n v="0"/>
    <x v="0"/>
    <x v="0"/>
    <n v="53.451900000000002"/>
    <n v="0.27"/>
    <n v="0"/>
  </r>
  <r>
    <n v="6832"/>
    <s v="US-2017-123204"/>
    <d v="2017-07-21T00:00:00"/>
    <x v="3"/>
    <s v="Q3"/>
    <x v="10"/>
    <d v="2017-07-27T00:00:00"/>
    <s v="Standard Class"/>
    <x v="750"/>
    <x v="750"/>
    <s v="Consumer"/>
    <s v="United States"/>
    <s v="New York City"/>
    <x v="15"/>
    <n v="10024"/>
    <x v="3"/>
    <x v="1298"/>
    <x v="1"/>
    <x v="9"/>
    <x v="1283"/>
    <n v="17.48"/>
    <s v="Low"/>
    <n v="4"/>
    <n v="0"/>
    <x v="0"/>
    <x v="0"/>
    <n v="4.5448000000000004"/>
    <n v="0.26"/>
    <n v="0"/>
  </r>
  <r>
    <n v="6833"/>
    <s v="CA-2015-112522"/>
    <d v="2015-10-10T00:00:00"/>
    <x v="1"/>
    <s v="Q4"/>
    <x v="2"/>
    <d v="2015-10-17T00:00:00"/>
    <s v="Standard Class"/>
    <x v="273"/>
    <x v="273"/>
    <s v="Consumer"/>
    <s v="United States"/>
    <s v="Chicago"/>
    <x v="10"/>
    <n v="60610"/>
    <x v="2"/>
    <x v="1412"/>
    <x v="1"/>
    <x v="6"/>
    <x v="1399"/>
    <n v="8.016"/>
    <s v="Low"/>
    <n v="3"/>
    <n v="0.2"/>
    <x v="2"/>
    <x v="2"/>
    <n v="1.002"/>
    <n v="0.125"/>
    <n v="0"/>
  </r>
  <r>
    <n v="6834"/>
    <s v="CA-2016-153101"/>
    <d v="2016-09-08T00:00:00"/>
    <x v="0"/>
    <s v="Q3"/>
    <x v="21"/>
    <d v="2016-09-08T00:00:00"/>
    <s v="Same Day"/>
    <x v="307"/>
    <x v="307"/>
    <s v="Consumer"/>
    <s v="United States"/>
    <s v="Santa Ana"/>
    <x v="1"/>
    <n v="92704"/>
    <x v="1"/>
    <x v="962"/>
    <x v="0"/>
    <x v="3"/>
    <x v="955"/>
    <n v="146.04"/>
    <s v="High"/>
    <n v="1"/>
    <n v="0.2"/>
    <x v="2"/>
    <x v="2"/>
    <n v="-12.778499999999999"/>
    <n v="-8.7499999999999994E-2"/>
    <n v="1"/>
  </r>
  <r>
    <n v="6835"/>
    <s v="CA-2016-142615"/>
    <d v="2016-11-20T00:00:00"/>
    <x v="0"/>
    <s v="Q4"/>
    <x v="0"/>
    <d v="2016-11-24T00:00:00"/>
    <s v="Standard Class"/>
    <x v="606"/>
    <x v="606"/>
    <s v="Corporate"/>
    <s v="United States"/>
    <s v="Montebello"/>
    <x v="1"/>
    <n v="90640"/>
    <x v="1"/>
    <x v="1775"/>
    <x v="2"/>
    <x v="11"/>
    <x v="1765"/>
    <n v="27.88"/>
    <s v="Medium"/>
    <n v="2"/>
    <n v="0"/>
    <x v="0"/>
    <x v="0"/>
    <n v="3.9032"/>
    <n v="0.14000000000000001"/>
    <n v="0"/>
  </r>
  <r>
    <n v="6836"/>
    <s v="CA-2017-142643"/>
    <d v="2017-10-15T00:00:00"/>
    <x v="3"/>
    <s v="Q4"/>
    <x v="13"/>
    <d v="2017-10-20T00:00:00"/>
    <s v="Standard Class"/>
    <x v="393"/>
    <x v="393"/>
    <s v="Corporate"/>
    <s v="United States"/>
    <s v="Thousand Oaks"/>
    <x v="1"/>
    <n v="91360"/>
    <x v="1"/>
    <x v="580"/>
    <x v="1"/>
    <x v="2"/>
    <x v="580"/>
    <n v="152.65"/>
    <s v="High"/>
    <n v="5"/>
    <n v="0"/>
    <x v="0"/>
    <x v="0"/>
    <n v="70.218999999999994"/>
    <n v="0.45999999999999996"/>
    <n v="0"/>
  </r>
  <r>
    <n v="6837"/>
    <s v="CA-2017-142643"/>
    <d v="2017-10-15T00:00:00"/>
    <x v="3"/>
    <s v="Q4"/>
    <x v="13"/>
    <d v="2017-10-20T00:00:00"/>
    <s v="Standard Class"/>
    <x v="393"/>
    <x v="393"/>
    <s v="Corporate"/>
    <s v="United States"/>
    <s v="Thousand Oaks"/>
    <x v="1"/>
    <n v="91360"/>
    <x v="1"/>
    <x v="205"/>
    <x v="0"/>
    <x v="5"/>
    <x v="206"/>
    <n v="22.72"/>
    <s v="Low"/>
    <n v="1"/>
    <n v="0"/>
    <x v="0"/>
    <x v="0"/>
    <n v="9.3152000000000008"/>
    <n v="0.41000000000000003"/>
    <n v="0"/>
  </r>
  <r>
    <n v="6838"/>
    <s v="CA-2015-116260"/>
    <d v="2015-07-06T00:00:00"/>
    <x v="1"/>
    <s v="Q3"/>
    <x v="38"/>
    <d v="2015-07-12T00:00:00"/>
    <s v="Standard Class"/>
    <x v="541"/>
    <x v="541"/>
    <s v="Corporate"/>
    <s v="United States"/>
    <s v="Vineland"/>
    <x v="30"/>
    <n v="8360"/>
    <x v="3"/>
    <x v="324"/>
    <x v="1"/>
    <x v="6"/>
    <x v="324"/>
    <n v="11.12"/>
    <s v="Low"/>
    <n v="4"/>
    <n v="0"/>
    <x v="0"/>
    <x v="0"/>
    <n v="2.8912"/>
    <n v="0.26"/>
    <n v="0"/>
  </r>
  <r>
    <n v="6839"/>
    <s v="CA-2017-107517"/>
    <d v="2017-02-05T00:00:00"/>
    <x v="3"/>
    <s v="Q1"/>
    <x v="31"/>
    <d v="2017-02-09T00:00:00"/>
    <s v="Standard Class"/>
    <x v="712"/>
    <x v="712"/>
    <s v="Corporate"/>
    <s v="United States"/>
    <s v="Torrance"/>
    <x v="1"/>
    <n v="90503"/>
    <x v="1"/>
    <x v="1739"/>
    <x v="1"/>
    <x v="9"/>
    <x v="1728"/>
    <n v="1640.7"/>
    <s v="High"/>
    <n v="5"/>
    <n v="0"/>
    <x v="0"/>
    <x v="0"/>
    <n v="459.39600000000002"/>
    <n v="0.28000000000000003"/>
    <n v="0"/>
  </r>
  <r>
    <n v="6840"/>
    <s v="CA-2017-107517"/>
    <d v="2017-02-05T00:00:00"/>
    <x v="3"/>
    <s v="Q1"/>
    <x v="31"/>
    <d v="2017-02-09T00:00:00"/>
    <s v="Standard Class"/>
    <x v="712"/>
    <x v="712"/>
    <s v="Corporate"/>
    <s v="United States"/>
    <s v="Torrance"/>
    <x v="1"/>
    <n v="90503"/>
    <x v="1"/>
    <x v="918"/>
    <x v="2"/>
    <x v="7"/>
    <x v="910"/>
    <n v="371.2"/>
    <s v="High"/>
    <n v="5"/>
    <n v="0.2"/>
    <x v="2"/>
    <x v="2"/>
    <n v="41.76"/>
    <n v="0.1125"/>
    <n v="0"/>
  </r>
  <r>
    <n v="6841"/>
    <s v="CA-2015-166338"/>
    <d v="2015-12-06T00:00:00"/>
    <x v="1"/>
    <s v="Q4"/>
    <x v="14"/>
    <d v="2015-12-07T00:00:00"/>
    <s v="First Class"/>
    <x v="486"/>
    <x v="486"/>
    <s v="Home Office"/>
    <s v="United States"/>
    <s v="Troy"/>
    <x v="24"/>
    <n v="45373"/>
    <x v="3"/>
    <x v="91"/>
    <x v="1"/>
    <x v="8"/>
    <x v="91"/>
    <n v="14.832000000000001"/>
    <s v="Low"/>
    <n v="3"/>
    <n v="0.7"/>
    <x v="1"/>
    <x v="5"/>
    <n v="-10.382400000000001"/>
    <n v="-0.7"/>
    <n v="1"/>
  </r>
  <r>
    <n v="6842"/>
    <s v="CA-2016-123946"/>
    <d v="2016-09-12T00:00:00"/>
    <x v="0"/>
    <s v="Q3"/>
    <x v="21"/>
    <d v="2016-09-17T00:00:00"/>
    <s v="Standard Class"/>
    <x v="295"/>
    <x v="295"/>
    <s v="Corporate"/>
    <s v="United States"/>
    <s v="Springfield"/>
    <x v="17"/>
    <n v="22153"/>
    <x v="0"/>
    <x v="1691"/>
    <x v="2"/>
    <x v="11"/>
    <x v="1679"/>
    <n v="20.7"/>
    <s v="Low"/>
    <n v="3"/>
    <n v="0"/>
    <x v="0"/>
    <x v="0"/>
    <n v="1.6559999999999999"/>
    <n v="0.08"/>
    <n v="0"/>
  </r>
  <r>
    <n v="6843"/>
    <s v="CA-2016-123946"/>
    <d v="2016-09-12T00:00:00"/>
    <x v="0"/>
    <s v="Q3"/>
    <x v="21"/>
    <d v="2016-09-17T00:00:00"/>
    <s v="Standard Class"/>
    <x v="295"/>
    <x v="295"/>
    <s v="Corporate"/>
    <s v="United States"/>
    <s v="Springfield"/>
    <x v="17"/>
    <n v="22153"/>
    <x v="0"/>
    <x v="1228"/>
    <x v="1"/>
    <x v="13"/>
    <x v="128"/>
    <n v="11.34"/>
    <s v="Low"/>
    <n v="3"/>
    <n v="0"/>
    <x v="0"/>
    <x v="0"/>
    <n v="5.2164000000000001"/>
    <n v="0.46"/>
    <n v="0"/>
  </r>
  <r>
    <n v="6844"/>
    <s v="CA-2016-123946"/>
    <d v="2016-09-12T00:00:00"/>
    <x v="0"/>
    <s v="Q3"/>
    <x v="21"/>
    <d v="2016-09-17T00:00:00"/>
    <s v="Standard Class"/>
    <x v="295"/>
    <x v="295"/>
    <s v="Corporate"/>
    <s v="United States"/>
    <s v="Springfield"/>
    <x v="17"/>
    <n v="22153"/>
    <x v="0"/>
    <x v="1033"/>
    <x v="1"/>
    <x v="4"/>
    <x v="1024"/>
    <n v="67.900000000000006"/>
    <s v="Medium"/>
    <n v="5"/>
    <n v="0"/>
    <x v="0"/>
    <x v="0"/>
    <n v="0.67900000000000005"/>
    <n v="0.01"/>
    <n v="0"/>
  </r>
  <r>
    <n v="6845"/>
    <s v="CA-2016-123946"/>
    <d v="2016-09-12T00:00:00"/>
    <x v="0"/>
    <s v="Q3"/>
    <x v="21"/>
    <d v="2016-09-17T00:00:00"/>
    <s v="Standard Class"/>
    <x v="295"/>
    <x v="295"/>
    <s v="Corporate"/>
    <s v="United States"/>
    <s v="Springfield"/>
    <x v="17"/>
    <n v="22153"/>
    <x v="0"/>
    <x v="1802"/>
    <x v="0"/>
    <x v="1"/>
    <x v="1792"/>
    <n v="1059.1199999999999"/>
    <s v="High"/>
    <n v="4"/>
    <n v="0"/>
    <x v="0"/>
    <x v="0"/>
    <n v="307.14479999999998"/>
    <n v="0.28999999999999998"/>
    <n v="0"/>
  </r>
  <r>
    <n v="6846"/>
    <s v="CA-2014-147543"/>
    <d v="2014-07-06T00:00:00"/>
    <x v="2"/>
    <s v="Q3"/>
    <x v="39"/>
    <d v="2014-07-12T00:00:00"/>
    <s v="Standard Class"/>
    <x v="604"/>
    <x v="604"/>
    <s v="Home Office"/>
    <s v="United States"/>
    <s v="El Cajon"/>
    <x v="1"/>
    <n v="92020"/>
    <x v="1"/>
    <x v="1180"/>
    <x v="0"/>
    <x v="1"/>
    <x v="1166"/>
    <n v="478.48"/>
    <s v="High"/>
    <n v="2"/>
    <n v="0.2"/>
    <x v="2"/>
    <x v="2"/>
    <n v="47.847999999999999"/>
    <n v="9.9999999999999992E-2"/>
    <n v="0"/>
  </r>
  <r>
    <n v="6847"/>
    <s v="US-2016-159093"/>
    <d v="2016-05-09T00:00:00"/>
    <x v="0"/>
    <s v="Q2"/>
    <x v="35"/>
    <d v="2016-05-14T00:00:00"/>
    <s v="Standard Class"/>
    <x v="602"/>
    <x v="602"/>
    <s v="Corporate"/>
    <s v="United States"/>
    <s v="Los Angeles"/>
    <x v="1"/>
    <n v="90036"/>
    <x v="1"/>
    <x v="1788"/>
    <x v="1"/>
    <x v="10"/>
    <x v="1778"/>
    <n v="32.04"/>
    <s v="Medium"/>
    <n v="4"/>
    <n v="0"/>
    <x v="0"/>
    <x v="0"/>
    <n v="14.417999999999999"/>
    <n v="0.45"/>
    <n v="0"/>
  </r>
  <r>
    <n v="6848"/>
    <s v="CA-2016-162110"/>
    <d v="2016-07-18T00:00:00"/>
    <x v="0"/>
    <s v="Q3"/>
    <x v="16"/>
    <d v="2016-07-22T00:00:00"/>
    <s v="Standard Class"/>
    <x v="73"/>
    <x v="73"/>
    <s v="Consumer"/>
    <s v="United States"/>
    <s v="Phoenix"/>
    <x v="16"/>
    <n v="85023"/>
    <x v="1"/>
    <x v="431"/>
    <x v="2"/>
    <x v="7"/>
    <x v="431"/>
    <n v="55.991999999999997"/>
    <s v="Medium"/>
    <n v="1"/>
    <n v="0.2"/>
    <x v="2"/>
    <x v="2"/>
    <n v="3.4994999999999998"/>
    <n v="6.25E-2"/>
    <n v="0"/>
  </r>
  <r>
    <n v="6849"/>
    <s v="US-2016-163461"/>
    <d v="2016-06-18T00:00:00"/>
    <x v="0"/>
    <s v="Q2"/>
    <x v="1"/>
    <d v="2016-06-21T00:00:00"/>
    <s v="First Class"/>
    <x v="590"/>
    <x v="590"/>
    <s v="Consumer"/>
    <s v="United States"/>
    <s v="Frankfort"/>
    <x v="10"/>
    <n v="60423"/>
    <x v="2"/>
    <x v="1684"/>
    <x v="1"/>
    <x v="10"/>
    <x v="1672"/>
    <n v="76.864000000000004"/>
    <s v="Medium"/>
    <n v="2"/>
    <n v="0.2"/>
    <x v="2"/>
    <x v="2"/>
    <n v="26.9024"/>
    <n v="0.35"/>
    <n v="0"/>
  </r>
  <r>
    <n v="6850"/>
    <s v="CA-2014-101462"/>
    <d v="2014-04-20T00:00:00"/>
    <x v="2"/>
    <s v="Q2"/>
    <x v="41"/>
    <d v="2014-04-25T00:00:00"/>
    <s v="Standard Class"/>
    <x v="546"/>
    <x v="546"/>
    <s v="Consumer"/>
    <s v="United States"/>
    <s v="Los Angeles"/>
    <x v="1"/>
    <n v="90045"/>
    <x v="1"/>
    <x v="1442"/>
    <x v="0"/>
    <x v="5"/>
    <x v="1430"/>
    <n v="59.92"/>
    <s v="Medium"/>
    <n v="4"/>
    <n v="0"/>
    <x v="0"/>
    <x v="0"/>
    <n v="27.563199999999998"/>
    <n v="0.45999999999999996"/>
    <n v="0"/>
  </r>
  <r>
    <n v="6851"/>
    <s v="US-2016-100461"/>
    <d v="2016-01-08T00:00:00"/>
    <x v="0"/>
    <s v="Q1"/>
    <x v="12"/>
    <d v="2016-01-12T00:00:00"/>
    <s v="Standard Class"/>
    <x v="705"/>
    <x v="705"/>
    <s v="Corporate"/>
    <s v="United States"/>
    <s v="Franklin"/>
    <x v="6"/>
    <n v="53132"/>
    <x v="2"/>
    <x v="37"/>
    <x v="0"/>
    <x v="0"/>
    <x v="37"/>
    <n v="1565.88"/>
    <s v="High"/>
    <n v="6"/>
    <n v="0"/>
    <x v="0"/>
    <x v="0"/>
    <n v="407.12880000000001"/>
    <n v="0.26"/>
    <n v="0"/>
  </r>
  <r>
    <n v="6852"/>
    <s v="US-2016-100461"/>
    <d v="2016-01-08T00:00:00"/>
    <x v="0"/>
    <s v="Q1"/>
    <x v="12"/>
    <d v="2016-01-12T00:00:00"/>
    <s v="Standard Class"/>
    <x v="705"/>
    <x v="705"/>
    <s v="Corporate"/>
    <s v="United States"/>
    <s v="Franklin"/>
    <x v="6"/>
    <n v="53132"/>
    <x v="2"/>
    <x v="58"/>
    <x v="1"/>
    <x v="8"/>
    <x v="58"/>
    <n v="106.05"/>
    <s v="Medium"/>
    <n v="7"/>
    <n v="0"/>
    <x v="0"/>
    <x v="0"/>
    <n v="49.843499999999999"/>
    <n v="0.47000000000000003"/>
    <n v="0"/>
  </r>
  <r>
    <n v="6853"/>
    <s v="US-2017-162670"/>
    <d v="2017-12-23T00:00:00"/>
    <x v="3"/>
    <s v="Q4"/>
    <x v="22"/>
    <d v="2017-12-28T00:00:00"/>
    <s v="Second Class"/>
    <x v="751"/>
    <x v="751"/>
    <s v="Corporate"/>
    <s v="United States"/>
    <s v="Little Rock"/>
    <x v="36"/>
    <n v="72209"/>
    <x v="0"/>
    <x v="177"/>
    <x v="1"/>
    <x v="4"/>
    <x v="178"/>
    <n v="62.04"/>
    <s v="Medium"/>
    <n v="4"/>
    <n v="0"/>
    <x v="0"/>
    <x v="0"/>
    <n v="17.371200000000002"/>
    <n v="0.28000000000000003"/>
    <n v="0"/>
  </r>
  <r>
    <n v="6854"/>
    <s v="US-2017-162670"/>
    <d v="2017-12-23T00:00:00"/>
    <x v="3"/>
    <s v="Q4"/>
    <x v="22"/>
    <d v="2017-12-28T00:00:00"/>
    <s v="Second Class"/>
    <x v="751"/>
    <x v="751"/>
    <s v="Corporate"/>
    <s v="United States"/>
    <s v="Little Rock"/>
    <x v="36"/>
    <n v="72209"/>
    <x v="0"/>
    <x v="1405"/>
    <x v="2"/>
    <x v="7"/>
    <x v="1392"/>
    <n v="494.97"/>
    <s v="High"/>
    <n v="3"/>
    <n v="0"/>
    <x v="0"/>
    <x v="0"/>
    <n v="148.49100000000001"/>
    <n v="0.3"/>
    <n v="0"/>
  </r>
  <r>
    <n v="6855"/>
    <s v="US-2017-162670"/>
    <d v="2017-12-23T00:00:00"/>
    <x v="3"/>
    <s v="Q4"/>
    <x v="22"/>
    <d v="2017-12-28T00:00:00"/>
    <s v="Second Class"/>
    <x v="751"/>
    <x v="751"/>
    <s v="Corporate"/>
    <s v="United States"/>
    <s v="Little Rock"/>
    <x v="36"/>
    <n v="72209"/>
    <x v="0"/>
    <x v="196"/>
    <x v="1"/>
    <x v="4"/>
    <x v="197"/>
    <n v="367.96"/>
    <s v="High"/>
    <n v="4"/>
    <n v="0"/>
    <x v="0"/>
    <x v="0"/>
    <n v="14.718400000000001"/>
    <n v="4.0000000000000008E-2"/>
    <n v="0"/>
  </r>
  <r>
    <n v="6856"/>
    <s v="US-2017-162670"/>
    <d v="2017-12-23T00:00:00"/>
    <x v="3"/>
    <s v="Q4"/>
    <x v="22"/>
    <d v="2017-12-28T00:00:00"/>
    <s v="Second Class"/>
    <x v="751"/>
    <x v="751"/>
    <s v="Corporate"/>
    <s v="United States"/>
    <s v="Little Rock"/>
    <x v="36"/>
    <n v="72209"/>
    <x v="0"/>
    <x v="1134"/>
    <x v="1"/>
    <x v="10"/>
    <x v="1122"/>
    <n v="44.96"/>
    <s v="Medium"/>
    <n v="2"/>
    <n v="0"/>
    <x v="0"/>
    <x v="0"/>
    <n v="20.6816"/>
    <n v="0.45999999999999996"/>
    <n v="0"/>
  </r>
  <r>
    <n v="6857"/>
    <s v="US-2017-162670"/>
    <d v="2017-12-23T00:00:00"/>
    <x v="3"/>
    <s v="Q4"/>
    <x v="22"/>
    <d v="2017-12-28T00:00:00"/>
    <s v="Second Class"/>
    <x v="751"/>
    <x v="751"/>
    <s v="Corporate"/>
    <s v="United States"/>
    <s v="Little Rock"/>
    <x v="36"/>
    <n v="72209"/>
    <x v="0"/>
    <x v="1697"/>
    <x v="1"/>
    <x v="12"/>
    <x v="1685"/>
    <n v="182.94"/>
    <s v="High"/>
    <n v="3"/>
    <n v="0"/>
    <x v="0"/>
    <x v="0"/>
    <n v="85.981800000000007"/>
    <n v="0.47000000000000003"/>
    <n v="0"/>
  </r>
  <r>
    <n v="6858"/>
    <s v="CA-2017-128965"/>
    <d v="2017-04-17T00:00:00"/>
    <x v="3"/>
    <s v="Q2"/>
    <x v="4"/>
    <d v="2017-04-22T00:00:00"/>
    <s v="Standard Class"/>
    <x v="519"/>
    <x v="519"/>
    <s v="Consumer"/>
    <s v="United States"/>
    <s v="Los Angeles"/>
    <x v="1"/>
    <n v="90008"/>
    <x v="1"/>
    <x v="945"/>
    <x v="1"/>
    <x v="10"/>
    <x v="938"/>
    <n v="28.14"/>
    <s v="Medium"/>
    <n v="3"/>
    <n v="0"/>
    <x v="0"/>
    <x v="0"/>
    <n v="13.507199999999999"/>
    <n v="0.48"/>
    <n v="0"/>
  </r>
  <r>
    <n v="6859"/>
    <s v="CA-2017-128965"/>
    <d v="2017-04-17T00:00:00"/>
    <x v="3"/>
    <s v="Q2"/>
    <x v="4"/>
    <d v="2017-04-22T00:00:00"/>
    <s v="Standard Class"/>
    <x v="519"/>
    <x v="519"/>
    <s v="Consumer"/>
    <s v="United States"/>
    <s v="Los Angeles"/>
    <x v="1"/>
    <n v="90008"/>
    <x v="1"/>
    <x v="932"/>
    <x v="1"/>
    <x v="2"/>
    <x v="925"/>
    <n v="7.38"/>
    <s v="Low"/>
    <n v="2"/>
    <n v="0"/>
    <x v="0"/>
    <x v="0"/>
    <n v="3.4685999999999999"/>
    <n v="0.47"/>
    <n v="0"/>
  </r>
  <r>
    <n v="6860"/>
    <s v="CA-2017-128965"/>
    <d v="2017-04-17T00:00:00"/>
    <x v="3"/>
    <s v="Q2"/>
    <x v="4"/>
    <d v="2017-04-22T00:00:00"/>
    <s v="Standard Class"/>
    <x v="519"/>
    <x v="519"/>
    <s v="Consumer"/>
    <s v="United States"/>
    <s v="Los Angeles"/>
    <x v="1"/>
    <n v="90008"/>
    <x v="1"/>
    <x v="845"/>
    <x v="1"/>
    <x v="13"/>
    <x v="839"/>
    <n v="10.9"/>
    <s v="Low"/>
    <n v="5"/>
    <n v="0"/>
    <x v="0"/>
    <x v="0"/>
    <n v="3.597"/>
    <n v="0.32999999999999996"/>
    <n v="0"/>
  </r>
  <r>
    <n v="6861"/>
    <s v="CA-2017-128965"/>
    <d v="2017-04-17T00:00:00"/>
    <x v="3"/>
    <s v="Q2"/>
    <x v="4"/>
    <d v="2017-04-22T00:00:00"/>
    <s v="Standard Class"/>
    <x v="519"/>
    <x v="519"/>
    <s v="Consumer"/>
    <s v="United States"/>
    <s v="Los Angeles"/>
    <x v="1"/>
    <n v="90008"/>
    <x v="1"/>
    <x v="606"/>
    <x v="2"/>
    <x v="11"/>
    <x v="606"/>
    <n v="274.89"/>
    <s v="High"/>
    <n v="11"/>
    <n v="0"/>
    <x v="0"/>
    <x v="0"/>
    <n v="46.731299999999997"/>
    <n v="0.17"/>
    <n v="0"/>
  </r>
  <r>
    <n v="6862"/>
    <s v="CA-2017-128965"/>
    <d v="2017-04-17T00:00:00"/>
    <x v="3"/>
    <s v="Q2"/>
    <x v="4"/>
    <d v="2017-04-22T00:00:00"/>
    <s v="Standard Class"/>
    <x v="519"/>
    <x v="519"/>
    <s v="Consumer"/>
    <s v="United States"/>
    <s v="Los Angeles"/>
    <x v="1"/>
    <n v="90008"/>
    <x v="1"/>
    <x v="1186"/>
    <x v="1"/>
    <x v="2"/>
    <x v="1172"/>
    <n v="23.04"/>
    <s v="Low"/>
    <n v="8"/>
    <n v="0"/>
    <x v="0"/>
    <x v="0"/>
    <n v="11.2896"/>
    <n v="0.49000000000000005"/>
    <n v="0"/>
  </r>
  <r>
    <n v="6863"/>
    <s v="CA-2017-128965"/>
    <d v="2017-04-17T00:00:00"/>
    <x v="3"/>
    <s v="Q2"/>
    <x v="4"/>
    <d v="2017-04-22T00:00:00"/>
    <s v="Standard Class"/>
    <x v="519"/>
    <x v="519"/>
    <s v="Consumer"/>
    <s v="United States"/>
    <s v="Los Angeles"/>
    <x v="1"/>
    <n v="90008"/>
    <x v="1"/>
    <x v="1209"/>
    <x v="0"/>
    <x v="1"/>
    <x v="1194"/>
    <n v="218.352"/>
    <s v="High"/>
    <n v="3"/>
    <n v="0.2"/>
    <x v="2"/>
    <x v="2"/>
    <n v="-19.105799999999999"/>
    <n v="-8.7499999999999994E-2"/>
    <n v="1"/>
  </r>
  <r>
    <n v="6864"/>
    <s v="CA-2017-138618"/>
    <d v="2017-12-01T00:00:00"/>
    <x v="3"/>
    <s v="Q4"/>
    <x v="22"/>
    <d v="2017-12-08T00:00:00"/>
    <s v="Standard Class"/>
    <x v="199"/>
    <x v="199"/>
    <s v="Corporate"/>
    <s v="United States"/>
    <s v="San Antonio"/>
    <x v="5"/>
    <n v="78207"/>
    <x v="2"/>
    <x v="1440"/>
    <x v="1"/>
    <x v="10"/>
    <x v="1428"/>
    <n v="10.368"/>
    <s v="Low"/>
    <n v="2"/>
    <n v="0.2"/>
    <x v="2"/>
    <x v="2"/>
    <n v="3.6288"/>
    <n v="0.35"/>
    <n v="0"/>
  </r>
  <r>
    <n v="6865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741"/>
    <x v="1"/>
    <x v="8"/>
    <x v="739"/>
    <n v="12.672000000000001"/>
    <s v="Low"/>
    <n v="2"/>
    <n v="0.2"/>
    <x v="2"/>
    <x v="2"/>
    <n v="4.7519999999999998"/>
    <n v="0.37499999999999994"/>
    <n v="0"/>
  </r>
  <r>
    <n v="6866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461"/>
    <x v="2"/>
    <x v="7"/>
    <x v="462"/>
    <n v="91.96"/>
    <s v="Medium"/>
    <n v="5"/>
    <n v="0.2"/>
    <x v="2"/>
    <x v="2"/>
    <n v="-20.690999999999999"/>
    <n v="-0.22500000000000001"/>
    <n v="1"/>
  </r>
  <r>
    <n v="6867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106"/>
    <x v="2"/>
    <x v="11"/>
    <x v="106"/>
    <n v="254.97"/>
    <s v="High"/>
    <n v="3"/>
    <n v="0"/>
    <x v="0"/>
    <x v="0"/>
    <n v="91.789199999999994"/>
    <n v="0.36"/>
    <n v="0"/>
  </r>
  <r>
    <n v="6868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1431"/>
    <x v="2"/>
    <x v="7"/>
    <x v="1419"/>
    <n v="31.984000000000002"/>
    <s v="Medium"/>
    <n v="2"/>
    <n v="0.2"/>
    <x v="2"/>
    <x v="2"/>
    <n v="-7.9960000000000004"/>
    <n v="-0.25"/>
    <n v="1"/>
  </r>
  <r>
    <n v="6869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1382"/>
    <x v="0"/>
    <x v="3"/>
    <x v="1367"/>
    <n v="2887.056"/>
    <s v="High"/>
    <n v="9"/>
    <n v="0.2"/>
    <x v="2"/>
    <x v="2"/>
    <n v="180.441"/>
    <n v="6.25E-2"/>
    <n v="0"/>
  </r>
  <r>
    <n v="6870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1465"/>
    <x v="1"/>
    <x v="10"/>
    <x v="1451"/>
    <n v="12.96"/>
    <s v="Low"/>
    <n v="2"/>
    <n v="0"/>
    <x v="0"/>
    <x v="0"/>
    <n v="6.2207999999999997"/>
    <n v="0.47999999999999993"/>
    <n v="0"/>
  </r>
  <r>
    <n v="6871"/>
    <s v="US-2016-126452"/>
    <d v="2016-08-21T00:00:00"/>
    <x v="0"/>
    <s v="Q3"/>
    <x v="28"/>
    <d v="2016-08-28T00:00:00"/>
    <s v="Standard Class"/>
    <x v="554"/>
    <x v="554"/>
    <s v="Corporate"/>
    <s v="United States"/>
    <s v="Los Angeles"/>
    <x v="1"/>
    <n v="90004"/>
    <x v="1"/>
    <x v="1610"/>
    <x v="1"/>
    <x v="10"/>
    <x v="1601"/>
    <n v="47.52"/>
    <s v="Medium"/>
    <n v="9"/>
    <n v="0"/>
    <x v="0"/>
    <x v="0"/>
    <n v="21.384"/>
    <n v="0.44999999999999996"/>
    <n v="0"/>
  </r>
  <r>
    <n v="6872"/>
    <s v="CA-2016-145009"/>
    <d v="2016-12-05T00:00:00"/>
    <x v="0"/>
    <s v="Q4"/>
    <x v="5"/>
    <d v="2016-12-08T00:00:00"/>
    <s v="Second Class"/>
    <x v="575"/>
    <x v="575"/>
    <s v="Corporate"/>
    <s v="United States"/>
    <s v="Chicago"/>
    <x v="10"/>
    <n v="60610"/>
    <x v="2"/>
    <x v="690"/>
    <x v="1"/>
    <x v="2"/>
    <x v="690"/>
    <n v="11.952"/>
    <s v="Low"/>
    <n v="3"/>
    <n v="0.2"/>
    <x v="2"/>
    <x v="2"/>
    <n v="3.8843999999999999"/>
    <n v="0.32500000000000001"/>
    <n v="0"/>
  </r>
  <r>
    <n v="6873"/>
    <s v="CA-2015-162544"/>
    <d v="2015-12-16T00:00:00"/>
    <x v="1"/>
    <s v="Q4"/>
    <x v="14"/>
    <d v="2015-12-19T00:00:00"/>
    <s v="First Class"/>
    <x v="65"/>
    <x v="65"/>
    <s v="Consumer"/>
    <s v="United States"/>
    <s v="Seattle"/>
    <x v="4"/>
    <n v="98105"/>
    <x v="1"/>
    <x v="1668"/>
    <x v="1"/>
    <x v="10"/>
    <x v="1656"/>
    <n v="4.9800000000000004"/>
    <s v="Low"/>
    <n v="1"/>
    <n v="0"/>
    <x v="0"/>
    <x v="0"/>
    <n v="2.3405999999999998"/>
    <n v="0.46999999999999992"/>
    <n v="0"/>
  </r>
  <r>
    <n v="6874"/>
    <s v="CA-2014-124394"/>
    <d v="2014-10-17T00:00:00"/>
    <x v="2"/>
    <s v="Q4"/>
    <x v="18"/>
    <d v="2014-10-22T00:00:00"/>
    <s v="Second Class"/>
    <x v="14"/>
    <x v="14"/>
    <s v="Consumer"/>
    <s v="United States"/>
    <s v="Beaumont"/>
    <x v="5"/>
    <n v="77705"/>
    <x v="2"/>
    <x v="828"/>
    <x v="1"/>
    <x v="8"/>
    <x v="824"/>
    <n v="10.78"/>
    <s v="Low"/>
    <n v="5"/>
    <n v="0.8"/>
    <x v="1"/>
    <x v="3"/>
    <n v="-17.248000000000001"/>
    <n v="-1.6"/>
    <n v="1"/>
  </r>
  <r>
    <n v="6875"/>
    <s v="CA-2014-124394"/>
    <d v="2014-10-17T00:00:00"/>
    <x v="2"/>
    <s v="Q4"/>
    <x v="18"/>
    <d v="2014-10-22T00:00:00"/>
    <s v="Second Class"/>
    <x v="14"/>
    <x v="14"/>
    <s v="Consumer"/>
    <s v="United States"/>
    <s v="Beaumont"/>
    <x v="5"/>
    <n v="77705"/>
    <x v="2"/>
    <x v="959"/>
    <x v="2"/>
    <x v="11"/>
    <x v="952"/>
    <n v="119.976"/>
    <s v="Medium"/>
    <n v="3"/>
    <n v="0.2"/>
    <x v="2"/>
    <x v="2"/>
    <n v="-17.996400000000001"/>
    <n v="-0.15000000000000002"/>
    <n v="1"/>
  </r>
  <r>
    <n v="6876"/>
    <s v="US-2016-121013"/>
    <d v="2016-09-05T00:00:00"/>
    <x v="0"/>
    <s v="Q3"/>
    <x v="21"/>
    <d v="2016-09-10T00:00:00"/>
    <s v="Standard Class"/>
    <x v="462"/>
    <x v="462"/>
    <s v="Consumer"/>
    <s v="United States"/>
    <s v="Chesapeake"/>
    <x v="17"/>
    <n v="23320"/>
    <x v="0"/>
    <x v="1351"/>
    <x v="1"/>
    <x v="2"/>
    <x v="1337"/>
    <n v="25.06"/>
    <s v="Medium"/>
    <n v="2"/>
    <n v="0"/>
    <x v="0"/>
    <x v="0"/>
    <n v="11.7782"/>
    <n v="0.47000000000000003"/>
    <n v="0"/>
  </r>
  <r>
    <n v="6877"/>
    <s v="US-2016-121013"/>
    <d v="2016-09-05T00:00:00"/>
    <x v="0"/>
    <s v="Q3"/>
    <x v="21"/>
    <d v="2016-09-10T00:00:00"/>
    <s v="Standard Class"/>
    <x v="462"/>
    <x v="462"/>
    <s v="Consumer"/>
    <s v="United States"/>
    <s v="Chesapeake"/>
    <x v="17"/>
    <n v="23320"/>
    <x v="0"/>
    <x v="1258"/>
    <x v="0"/>
    <x v="3"/>
    <x v="1242"/>
    <n v="1652.94"/>
    <s v="High"/>
    <n v="3"/>
    <n v="0"/>
    <x v="0"/>
    <x v="0"/>
    <n v="314.05860000000001"/>
    <n v="0.19"/>
    <n v="0"/>
  </r>
  <r>
    <n v="6878"/>
    <s v="US-2015-123918"/>
    <d v="2015-10-15T00:00:00"/>
    <x v="1"/>
    <s v="Q4"/>
    <x v="2"/>
    <d v="2015-10-15T00:00:00"/>
    <s v="Same Day"/>
    <x v="0"/>
    <x v="0"/>
    <s v="Consumer"/>
    <s v="United States"/>
    <s v="Dallas"/>
    <x v="5"/>
    <n v="75217"/>
    <x v="2"/>
    <x v="859"/>
    <x v="0"/>
    <x v="5"/>
    <x v="853"/>
    <n v="131.376"/>
    <s v="High"/>
    <n v="6"/>
    <n v="0.6"/>
    <x v="1"/>
    <x v="6"/>
    <n v="-95.247600000000006"/>
    <n v="-0.72499999999999998"/>
    <n v="1"/>
  </r>
  <r>
    <n v="6879"/>
    <s v="US-2015-123918"/>
    <d v="2015-10-15T00:00:00"/>
    <x v="1"/>
    <s v="Q4"/>
    <x v="2"/>
    <d v="2015-10-15T00:00:00"/>
    <s v="Same Day"/>
    <x v="0"/>
    <x v="0"/>
    <s v="Consumer"/>
    <s v="United States"/>
    <s v="Dallas"/>
    <x v="5"/>
    <n v="75217"/>
    <x v="2"/>
    <x v="1083"/>
    <x v="1"/>
    <x v="10"/>
    <x v="1073"/>
    <n v="5.3440000000000003"/>
    <s v="Low"/>
    <n v="1"/>
    <n v="0.2"/>
    <x v="2"/>
    <x v="2"/>
    <n v="1.8704000000000001"/>
    <n v="0.35"/>
    <n v="0"/>
  </r>
  <r>
    <n v="6880"/>
    <s v="CA-2015-137113"/>
    <d v="2015-12-01T00:00:00"/>
    <x v="1"/>
    <s v="Q4"/>
    <x v="14"/>
    <d v="2015-12-05T00:00:00"/>
    <s v="Second Class"/>
    <x v="69"/>
    <x v="69"/>
    <s v="Home Office"/>
    <s v="United States"/>
    <s v="Seattle"/>
    <x v="4"/>
    <n v="98105"/>
    <x v="1"/>
    <x v="445"/>
    <x v="0"/>
    <x v="1"/>
    <x v="445"/>
    <n v="2003.92"/>
    <s v="High"/>
    <n v="5"/>
    <n v="0.2"/>
    <x v="2"/>
    <x v="2"/>
    <n v="125.245"/>
    <n v="6.25E-2"/>
    <n v="0"/>
  </r>
  <r>
    <n v="6881"/>
    <s v="CA-2015-137113"/>
    <d v="2015-12-01T00:00:00"/>
    <x v="1"/>
    <s v="Q4"/>
    <x v="14"/>
    <d v="2015-12-05T00:00:00"/>
    <s v="Second Class"/>
    <x v="69"/>
    <x v="69"/>
    <s v="Home Office"/>
    <s v="United States"/>
    <s v="Seattle"/>
    <x v="4"/>
    <n v="98105"/>
    <x v="1"/>
    <x v="1330"/>
    <x v="1"/>
    <x v="10"/>
    <x v="1315"/>
    <n v="32.4"/>
    <s v="Medium"/>
    <n v="5"/>
    <n v="0"/>
    <x v="0"/>
    <x v="0"/>
    <n v="15.552"/>
    <n v="0.48"/>
    <n v="0"/>
  </r>
  <r>
    <n v="6882"/>
    <s v="CA-2015-137113"/>
    <d v="2015-12-01T00:00:00"/>
    <x v="1"/>
    <s v="Q4"/>
    <x v="14"/>
    <d v="2015-12-05T00:00:00"/>
    <s v="Second Class"/>
    <x v="69"/>
    <x v="69"/>
    <s v="Home Office"/>
    <s v="United States"/>
    <s v="Seattle"/>
    <x v="4"/>
    <n v="98105"/>
    <x v="1"/>
    <x v="214"/>
    <x v="0"/>
    <x v="3"/>
    <x v="215"/>
    <n v="1913.4"/>
    <s v="High"/>
    <n v="9"/>
    <n v="0"/>
    <x v="0"/>
    <x v="0"/>
    <n v="401.81400000000002"/>
    <n v="0.21"/>
    <n v="0"/>
  </r>
  <r>
    <n v="6883"/>
    <s v="CA-2015-137113"/>
    <d v="2015-12-01T00:00:00"/>
    <x v="1"/>
    <s v="Q4"/>
    <x v="14"/>
    <d v="2015-12-05T00:00:00"/>
    <s v="Second Class"/>
    <x v="69"/>
    <x v="69"/>
    <s v="Home Office"/>
    <s v="United States"/>
    <s v="Seattle"/>
    <x v="4"/>
    <n v="98105"/>
    <x v="1"/>
    <x v="1166"/>
    <x v="1"/>
    <x v="4"/>
    <x v="1153"/>
    <n v="146.72999999999999"/>
    <s v="High"/>
    <n v="3"/>
    <n v="0"/>
    <x v="0"/>
    <x v="0"/>
    <n v="2.9346000000000001"/>
    <n v="0.02"/>
    <n v="0"/>
  </r>
  <r>
    <n v="6884"/>
    <s v="CA-2015-137113"/>
    <d v="2015-12-01T00:00:00"/>
    <x v="1"/>
    <s v="Q4"/>
    <x v="14"/>
    <d v="2015-12-05T00:00:00"/>
    <s v="Second Class"/>
    <x v="69"/>
    <x v="69"/>
    <s v="Home Office"/>
    <s v="United States"/>
    <s v="Seattle"/>
    <x v="4"/>
    <n v="98105"/>
    <x v="1"/>
    <x v="393"/>
    <x v="1"/>
    <x v="10"/>
    <x v="394"/>
    <n v="114.2"/>
    <s v="Medium"/>
    <n v="5"/>
    <n v="0"/>
    <x v="0"/>
    <x v="0"/>
    <n v="52.531999999999996"/>
    <n v="0.45999999999999996"/>
    <n v="0"/>
  </r>
  <r>
    <n v="6885"/>
    <s v="CA-2015-120677"/>
    <d v="2015-05-31T00:00:00"/>
    <x v="1"/>
    <s v="Q2"/>
    <x v="33"/>
    <d v="2015-06-04T00:00:00"/>
    <s v="Standard Class"/>
    <x v="217"/>
    <x v="217"/>
    <s v="Consumer"/>
    <s v="United States"/>
    <s v="Minneapolis"/>
    <x v="11"/>
    <n v="55407"/>
    <x v="2"/>
    <x v="1476"/>
    <x v="0"/>
    <x v="1"/>
    <x v="1463"/>
    <n v="2567.84"/>
    <s v="High"/>
    <n v="8"/>
    <n v="0"/>
    <x v="0"/>
    <x v="0"/>
    <n v="770.35199999999998"/>
    <n v="0.3"/>
    <n v="0"/>
  </r>
  <r>
    <n v="6886"/>
    <s v="CA-2017-123036"/>
    <d v="2017-09-10T00:00:00"/>
    <x v="3"/>
    <s v="Q3"/>
    <x v="15"/>
    <d v="2017-09-17T00:00:00"/>
    <s v="Standard Class"/>
    <x v="456"/>
    <x v="456"/>
    <s v="Consumer"/>
    <s v="United States"/>
    <s v="Springfield"/>
    <x v="24"/>
    <n v="45503"/>
    <x v="3"/>
    <x v="103"/>
    <x v="2"/>
    <x v="11"/>
    <x v="103"/>
    <n v="37.055999999999997"/>
    <s v="Medium"/>
    <n v="4"/>
    <n v="0.2"/>
    <x v="2"/>
    <x v="2"/>
    <n v="8.8008000000000006"/>
    <n v="0.23750000000000004"/>
    <n v="0"/>
  </r>
  <r>
    <n v="6887"/>
    <s v="CA-2017-123036"/>
    <d v="2017-09-10T00:00:00"/>
    <x v="3"/>
    <s v="Q3"/>
    <x v="15"/>
    <d v="2017-09-17T00:00:00"/>
    <s v="Standard Class"/>
    <x v="456"/>
    <x v="456"/>
    <s v="Consumer"/>
    <s v="United States"/>
    <s v="Springfield"/>
    <x v="24"/>
    <n v="45503"/>
    <x v="3"/>
    <x v="1015"/>
    <x v="2"/>
    <x v="7"/>
    <x v="1006"/>
    <n v="259.89600000000002"/>
    <s v="High"/>
    <n v="2"/>
    <n v="0.4"/>
    <x v="1"/>
    <x v="7"/>
    <n v="-56.3108"/>
    <n v="-0.21666666666666665"/>
    <n v="1"/>
  </r>
  <r>
    <n v="6888"/>
    <s v="CA-2017-120222"/>
    <d v="2017-04-25T00:00:00"/>
    <x v="3"/>
    <s v="Q2"/>
    <x v="4"/>
    <d v="2017-05-02T00:00:00"/>
    <s v="Standard Class"/>
    <x v="328"/>
    <x v="328"/>
    <s v="Consumer"/>
    <s v="United States"/>
    <s v="Los Angeles"/>
    <x v="1"/>
    <n v="90032"/>
    <x v="1"/>
    <x v="69"/>
    <x v="1"/>
    <x v="10"/>
    <x v="69"/>
    <n v="19.05"/>
    <s v="Low"/>
    <n v="3"/>
    <n v="0"/>
    <x v="0"/>
    <x v="0"/>
    <n v="8.7629999999999999"/>
    <n v="0.45999999999999996"/>
    <n v="0"/>
  </r>
  <r>
    <n v="6889"/>
    <s v="CA-2017-120222"/>
    <d v="2017-04-25T00:00:00"/>
    <x v="3"/>
    <s v="Q2"/>
    <x v="4"/>
    <d v="2017-05-02T00:00:00"/>
    <s v="Standard Class"/>
    <x v="328"/>
    <x v="328"/>
    <s v="Consumer"/>
    <s v="United States"/>
    <s v="Los Angeles"/>
    <x v="1"/>
    <n v="90032"/>
    <x v="1"/>
    <x v="997"/>
    <x v="1"/>
    <x v="8"/>
    <x v="989"/>
    <n v="73.343999999999994"/>
    <s v="Medium"/>
    <n v="3"/>
    <n v="0.2"/>
    <x v="2"/>
    <x v="2"/>
    <n v="27.504000000000001"/>
    <n v="0.37500000000000006"/>
    <n v="0"/>
  </r>
  <r>
    <n v="6890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179"/>
    <x v="2"/>
    <x v="7"/>
    <x v="180"/>
    <n v="95.68"/>
    <s v="Medium"/>
    <n v="8"/>
    <n v="0"/>
    <x v="0"/>
    <x v="0"/>
    <n v="26.790400000000002"/>
    <n v="0.27999999999999997"/>
    <n v="0"/>
  </r>
  <r>
    <n v="6891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251"/>
    <x v="1"/>
    <x v="10"/>
    <x v="252"/>
    <n v="50.96"/>
    <s v="Medium"/>
    <n v="7"/>
    <n v="0"/>
    <x v="0"/>
    <x v="0"/>
    <n v="24.460799999999999"/>
    <n v="0.48"/>
    <n v="0"/>
  </r>
  <r>
    <n v="6892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108"/>
    <x v="1"/>
    <x v="6"/>
    <x v="108"/>
    <n v="113.94"/>
    <s v="Medium"/>
    <n v="3"/>
    <n v="0"/>
    <x v="0"/>
    <x v="0"/>
    <n v="34.182000000000002"/>
    <n v="0.30000000000000004"/>
    <n v="0"/>
  </r>
  <r>
    <n v="6893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1465"/>
    <x v="1"/>
    <x v="10"/>
    <x v="1451"/>
    <n v="25.92"/>
    <s v="Medium"/>
    <n v="4"/>
    <n v="0"/>
    <x v="0"/>
    <x v="0"/>
    <n v="12.441599999999999"/>
    <n v="0.47999999999999993"/>
    <n v="0"/>
  </r>
  <r>
    <n v="6894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1524"/>
    <x v="0"/>
    <x v="5"/>
    <x v="1511"/>
    <n v="20.32"/>
    <s v="Low"/>
    <n v="4"/>
    <n v="0"/>
    <x v="0"/>
    <x v="0"/>
    <n v="6.9088000000000003"/>
    <n v="0.34"/>
    <n v="0"/>
  </r>
  <r>
    <n v="6895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53"/>
    <x v="2"/>
    <x v="7"/>
    <x v="53"/>
    <n v="411.98"/>
    <s v="High"/>
    <n v="2"/>
    <n v="0"/>
    <x v="0"/>
    <x v="0"/>
    <n v="119.4742"/>
    <n v="0.28999999999999998"/>
    <n v="0"/>
  </r>
  <r>
    <n v="6896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610"/>
    <x v="1"/>
    <x v="14"/>
    <x v="610"/>
    <n v="34.479999999999997"/>
    <s v="Medium"/>
    <n v="2"/>
    <n v="0"/>
    <x v="0"/>
    <x v="0"/>
    <n v="9.9992000000000001"/>
    <n v="0.29000000000000004"/>
    <n v="0"/>
  </r>
  <r>
    <n v="6897"/>
    <s v="CA-2017-164756"/>
    <d v="2017-09-18T00:00:00"/>
    <x v="3"/>
    <s v="Q3"/>
    <x v="15"/>
    <d v="2017-09-22T00:00:00"/>
    <s v="Standard Class"/>
    <x v="164"/>
    <x v="164"/>
    <s v="Corporate"/>
    <s v="United States"/>
    <s v="Columbus"/>
    <x v="32"/>
    <n v="31907"/>
    <x v="0"/>
    <x v="1689"/>
    <x v="1"/>
    <x v="10"/>
    <x v="1677"/>
    <n v="244.55"/>
    <s v="High"/>
    <n v="5"/>
    <n v="0"/>
    <x v="0"/>
    <x v="0"/>
    <n v="114.9385"/>
    <n v="0.47"/>
    <n v="0"/>
  </r>
  <r>
    <n v="6898"/>
    <s v="CA-2017-122028"/>
    <d v="2017-08-18T00:00:00"/>
    <x v="3"/>
    <s v="Q3"/>
    <x v="43"/>
    <d v="2017-08-25T00:00:00"/>
    <s v="Standard Class"/>
    <x v="237"/>
    <x v="237"/>
    <s v="Consumer"/>
    <s v="United States"/>
    <s v="Lakewood"/>
    <x v="24"/>
    <n v="44107"/>
    <x v="3"/>
    <x v="1224"/>
    <x v="1"/>
    <x v="8"/>
    <x v="1208"/>
    <n v="10.782"/>
    <s v="Low"/>
    <n v="3"/>
    <n v="0.7"/>
    <x v="1"/>
    <x v="5"/>
    <n v="-7.9067999999999996"/>
    <n v="-0.73333333333333328"/>
    <n v="1"/>
  </r>
  <r>
    <n v="6899"/>
    <s v="US-2015-165512"/>
    <d v="2015-05-24T00:00:00"/>
    <x v="1"/>
    <s v="Q2"/>
    <x v="33"/>
    <d v="2015-05-26T00:00:00"/>
    <s v="Second Class"/>
    <x v="745"/>
    <x v="745"/>
    <s v="Consumer"/>
    <s v="United States"/>
    <s v="Naperville"/>
    <x v="10"/>
    <n v="60540"/>
    <x v="2"/>
    <x v="812"/>
    <x v="0"/>
    <x v="1"/>
    <x v="809"/>
    <n v="602.65099999999995"/>
    <s v="High"/>
    <n v="7"/>
    <n v="0.3"/>
    <x v="1"/>
    <x v="4"/>
    <n v="-163.57669999999999"/>
    <n v="-0.27142857142857141"/>
    <n v="1"/>
  </r>
  <r>
    <n v="6900"/>
    <s v="US-2015-165512"/>
    <d v="2015-05-24T00:00:00"/>
    <x v="1"/>
    <s v="Q2"/>
    <x v="33"/>
    <d v="2015-05-26T00:00:00"/>
    <s v="Second Class"/>
    <x v="745"/>
    <x v="745"/>
    <s v="Consumer"/>
    <s v="United States"/>
    <s v="Naperville"/>
    <x v="10"/>
    <n v="60540"/>
    <x v="2"/>
    <x v="1206"/>
    <x v="1"/>
    <x v="8"/>
    <x v="1191"/>
    <n v="7.6559999999999997"/>
    <s v="Low"/>
    <n v="6"/>
    <n v="0.8"/>
    <x v="1"/>
    <x v="3"/>
    <n v="-13.0152"/>
    <n v="-1.7000000000000002"/>
    <n v="1"/>
  </r>
  <r>
    <n v="6901"/>
    <s v="CA-2015-140557"/>
    <d v="2015-09-07T00:00:00"/>
    <x v="1"/>
    <s v="Q3"/>
    <x v="11"/>
    <d v="2015-09-11T00:00:00"/>
    <s v="Standard Class"/>
    <x v="184"/>
    <x v="184"/>
    <s v="Home Office"/>
    <s v="United States"/>
    <s v="New York City"/>
    <x v="15"/>
    <n v="10009"/>
    <x v="3"/>
    <x v="657"/>
    <x v="2"/>
    <x v="11"/>
    <x v="657"/>
    <n v="559.92999999999995"/>
    <s v="High"/>
    <n v="7"/>
    <n v="0"/>
    <x v="0"/>
    <x v="0"/>
    <n v="167.97900000000001"/>
    <n v="0.30000000000000004"/>
    <n v="0"/>
  </r>
  <r>
    <n v="6902"/>
    <s v="US-2017-135013"/>
    <d v="2017-07-24T00:00:00"/>
    <x v="3"/>
    <s v="Q3"/>
    <x v="10"/>
    <d v="2017-07-24T00:00:00"/>
    <s v="Same Day"/>
    <x v="403"/>
    <x v="403"/>
    <s v="Corporate"/>
    <s v="United States"/>
    <s v="Huntington Beach"/>
    <x v="1"/>
    <n v="92646"/>
    <x v="1"/>
    <x v="306"/>
    <x v="2"/>
    <x v="16"/>
    <x v="306"/>
    <n v="2399.96"/>
    <s v="High"/>
    <n v="5"/>
    <n v="0.2"/>
    <x v="2"/>
    <x v="2"/>
    <n v="839.98599999999999"/>
    <n v="0.35"/>
    <n v="0"/>
  </r>
  <r>
    <n v="6903"/>
    <s v="CA-2017-111220"/>
    <d v="2017-09-02T00:00:00"/>
    <x v="3"/>
    <s v="Q3"/>
    <x v="15"/>
    <d v="2017-09-08T00:00:00"/>
    <s v="Standard Class"/>
    <x v="329"/>
    <x v="329"/>
    <s v="Corporate"/>
    <s v="United States"/>
    <s v="Chicago"/>
    <x v="10"/>
    <n v="60653"/>
    <x v="2"/>
    <x v="659"/>
    <x v="1"/>
    <x v="13"/>
    <x v="659"/>
    <n v="16"/>
    <s v="Low"/>
    <n v="4"/>
    <n v="0.2"/>
    <x v="2"/>
    <x v="2"/>
    <n v="5.6"/>
    <n v="0.35"/>
    <n v="0"/>
  </r>
  <r>
    <n v="6904"/>
    <s v="CA-2017-111220"/>
    <d v="2017-09-02T00:00:00"/>
    <x v="3"/>
    <s v="Q3"/>
    <x v="15"/>
    <d v="2017-09-08T00:00:00"/>
    <s v="Standard Class"/>
    <x v="329"/>
    <x v="329"/>
    <s v="Corporate"/>
    <s v="United States"/>
    <s v="Chicago"/>
    <x v="10"/>
    <n v="60653"/>
    <x v="2"/>
    <x v="1803"/>
    <x v="1"/>
    <x v="9"/>
    <x v="1793"/>
    <n v="5.5880000000000001"/>
    <s v="Low"/>
    <n v="2"/>
    <n v="0.8"/>
    <x v="1"/>
    <x v="3"/>
    <n v="-15.0876"/>
    <n v="-2.7"/>
    <n v="1"/>
  </r>
  <r>
    <n v="6905"/>
    <s v="CA-2017-111220"/>
    <d v="2017-09-02T00:00:00"/>
    <x v="3"/>
    <s v="Q3"/>
    <x v="15"/>
    <d v="2017-09-08T00:00:00"/>
    <s v="Standard Class"/>
    <x v="329"/>
    <x v="329"/>
    <s v="Corporate"/>
    <s v="United States"/>
    <s v="Chicago"/>
    <x v="10"/>
    <n v="60653"/>
    <x v="2"/>
    <x v="1755"/>
    <x v="1"/>
    <x v="4"/>
    <x v="1745"/>
    <n v="235.92"/>
    <s v="High"/>
    <n v="5"/>
    <n v="0.2"/>
    <x v="2"/>
    <x v="2"/>
    <n v="-44.234999999999999"/>
    <n v="-0.1875"/>
    <n v="1"/>
  </r>
  <r>
    <n v="6906"/>
    <s v="US-2017-149006"/>
    <d v="2017-12-06T00:00:00"/>
    <x v="3"/>
    <s v="Q4"/>
    <x v="22"/>
    <d v="2017-12-08T00:00:00"/>
    <s v="Second Class"/>
    <x v="272"/>
    <x v="272"/>
    <s v="Corporate"/>
    <s v="United States"/>
    <s v="Brentwood"/>
    <x v="1"/>
    <n v="94513"/>
    <x v="1"/>
    <x v="683"/>
    <x v="1"/>
    <x v="4"/>
    <x v="683"/>
    <n v="10.68"/>
    <s v="Low"/>
    <n v="1"/>
    <n v="0"/>
    <x v="0"/>
    <x v="0"/>
    <n v="2.8835999999999999"/>
    <n v="0.27"/>
    <n v="0"/>
  </r>
  <r>
    <n v="6907"/>
    <s v="CA-2017-149468"/>
    <d v="2017-05-20T00:00:00"/>
    <x v="3"/>
    <s v="Q2"/>
    <x v="24"/>
    <d v="2017-05-20T00:00:00"/>
    <s v="Same Day"/>
    <x v="153"/>
    <x v="153"/>
    <s v="Corporate"/>
    <s v="United States"/>
    <s v="Trenton"/>
    <x v="12"/>
    <n v="48183"/>
    <x v="2"/>
    <x v="340"/>
    <x v="1"/>
    <x v="8"/>
    <x v="340"/>
    <n v="41.28"/>
    <s v="Medium"/>
    <n v="2"/>
    <n v="0"/>
    <x v="0"/>
    <x v="0"/>
    <n v="19.814399999999999"/>
    <n v="0.48"/>
    <n v="0"/>
  </r>
  <r>
    <n v="6908"/>
    <s v="CA-2016-140249"/>
    <d v="2016-09-27T00:00:00"/>
    <x v="0"/>
    <s v="Q3"/>
    <x v="21"/>
    <d v="2016-10-03T00:00:00"/>
    <s v="Standard Class"/>
    <x v="517"/>
    <x v="517"/>
    <s v="Consumer"/>
    <s v="United States"/>
    <s v="Seattle"/>
    <x v="4"/>
    <n v="98103"/>
    <x v="1"/>
    <x v="1718"/>
    <x v="2"/>
    <x v="7"/>
    <x v="1705"/>
    <n v="1001.5839999999999"/>
    <s v="High"/>
    <n v="2"/>
    <n v="0.2"/>
    <x v="2"/>
    <x v="2"/>
    <n v="125.19799999999999"/>
    <n v="0.125"/>
    <n v="0"/>
  </r>
  <r>
    <n v="6909"/>
    <s v="US-2017-135503"/>
    <d v="2017-12-10T00:00:00"/>
    <x v="3"/>
    <s v="Q4"/>
    <x v="22"/>
    <d v="2017-12-15T00:00:00"/>
    <s v="Standard Class"/>
    <x v="68"/>
    <x v="68"/>
    <s v="Corporate"/>
    <s v="United States"/>
    <s v="North Charleston"/>
    <x v="20"/>
    <n v="29406"/>
    <x v="0"/>
    <x v="1256"/>
    <x v="0"/>
    <x v="5"/>
    <x v="1240"/>
    <n v="14.76"/>
    <s v="Low"/>
    <n v="2"/>
    <n v="0"/>
    <x v="0"/>
    <x v="0"/>
    <n v="4.2804000000000002"/>
    <n v="0.29000000000000004"/>
    <n v="0"/>
  </r>
  <r>
    <n v="6910"/>
    <s v="CA-2014-126277"/>
    <d v="2014-09-13T00:00:00"/>
    <x v="2"/>
    <s v="Q3"/>
    <x v="30"/>
    <d v="2014-09-18T00:00:00"/>
    <s v="Second Class"/>
    <x v="23"/>
    <x v="23"/>
    <s v="Consumer"/>
    <s v="United States"/>
    <s v="Columbus"/>
    <x v="24"/>
    <n v="43229"/>
    <x v="3"/>
    <x v="757"/>
    <x v="1"/>
    <x v="8"/>
    <x v="755"/>
    <n v="2.5019999999999998"/>
    <s v="Low"/>
    <n v="3"/>
    <n v="0.7"/>
    <x v="1"/>
    <x v="5"/>
    <n v="-2.0015999999999998"/>
    <n v="-0.8"/>
    <n v="1"/>
  </r>
  <r>
    <n v="6911"/>
    <s v="US-2017-115301"/>
    <d v="2017-07-29T00:00:00"/>
    <x v="3"/>
    <s v="Q3"/>
    <x v="10"/>
    <d v="2017-08-02T00:00:00"/>
    <s v="Standard Class"/>
    <x v="364"/>
    <x v="364"/>
    <s v="Consumer"/>
    <s v="United States"/>
    <s v="Seattle"/>
    <x v="4"/>
    <n v="98103"/>
    <x v="1"/>
    <x v="266"/>
    <x v="0"/>
    <x v="0"/>
    <x v="266"/>
    <n v="115.96"/>
    <s v="Medium"/>
    <n v="2"/>
    <n v="0"/>
    <x v="0"/>
    <x v="0"/>
    <n v="25.511199999999999"/>
    <n v="0.22"/>
    <n v="0"/>
  </r>
  <r>
    <n v="6912"/>
    <s v="CA-2017-168942"/>
    <d v="2017-08-01T00:00:00"/>
    <x v="3"/>
    <s v="Q3"/>
    <x v="43"/>
    <d v="2017-08-05T00:00:00"/>
    <s v="Second Class"/>
    <x v="75"/>
    <x v="75"/>
    <s v="Consumer"/>
    <s v="United States"/>
    <s v="San Francisco"/>
    <x v="1"/>
    <n v="94109"/>
    <x v="1"/>
    <x v="821"/>
    <x v="1"/>
    <x v="4"/>
    <x v="817"/>
    <n v="186.54"/>
    <s v="High"/>
    <n v="3"/>
    <n v="0"/>
    <x v="0"/>
    <x v="0"/>
    <n v="50.3658"/>
    <n v="0.27"/>
    <n v="0"/>
  </r>
  <r>
    <n v="6913"/>
    <s v="US-2017-128398"/>
    <d v="2017-05-02T00:00:00"/>
    <x v="3"/>
    <s v="Q2"/>
    <x v="24"/>
    <d v="2017-05-05T00:00:00"/>
    <s v="Second Class"/>
    <x v="605"/>
    <x v="605"/>
    <s v="Corporate"/>
    <s v="United States"/>
    <s v="Los Angeles"/>
    <x v="1"/>
    <n v="90049"/>
    <x v="1"/>
    <x v="685"/>
    <x v="2"/>
    <x v="11"/>
    <x v="685"/>
    <n v="159.56"/>
    <s v="High"/>
    <n v="4"/>
    <n v="0"/>
    <x v="0"/>
    <x v="0"/>
    <n v="59.037199999999999"/>
    <n v="0.37"/>
    <n v="0"/>
  </r>
  <r>
    <n v="6914"/>
    <s v="CA-2015-104115"/>
    <d v="2015-06-12T00:00:00"/>
    <x v="1"/>
    <s v="Q2"/>
    <x v="40"/>
    <d v="2015-06-16T00:00:00"/>
    <s v="Standard Class"/>
    <x v="101"/>
    <x v="101"/>
    <s v="Consumer"/>
    <s v="United States"/>
    <s v="West Palm Beach"/>
    <x v="2"/>
    <n v="33407"/>
    <x v="0"/>
    <x v="104"/>
    <x v="2"/>
    <x v="7"/>
    <x v="104"/>
    <n v="55.984000000000002"/>
    <s v="Medium"/>
    <n v="2"/>
    <n v="0.2"/>
    <x v="2"/>
    <x v="2"/>
    <n v="4.1988000000000003"/>
    <n v="7.4999999999999997E-2"/>
    <n v="0"/>
  </r>
  <r>
    <n v="6915"/>
    <s v="CA-2014-142510"/>
    <d v="2014-12-22T00:00:00"/>
    <x v="2"/>
    <s v="Q4"/>
    <x v="20"/>
    <d v="2014-12-29T00:00:00"/>
    <s v="Standard Class"/>
    <x v="413"/>
    <x v="413"/>
    <s v="Consumer"/>
    <s v="United States"/>
    <s v="Chicago"/>
    <x v="10"/>
    <n v="60623"/>
    <x v="2"/>
    <x v="546"/>
    <x v="1"/>
    <x v="4"/>
    <x v="546"/>
    <n v="132.16"/>
    <s v="High"/>
    <n v="1"/>
    <n v="0.2"/>
    <x v="2"/>
    <x v="2"/>
    <n v="9.9120000000000008"/>
    <n v="7.5000000000000011E-2"/>
    <n v="0"/>
  </r>
  <r>
    <n v="6916"/>
    <s v="CA-2014-142510"/>
    <d v="2014-12-22T00:00:00"/>
    <x v="2"/>
    <s v="Q4"/>
    <x v="20"/>
    <d v="2014-12-29T00:00:00"/>
    <s v="Standard Class"/>
    <x v="413"/>
    <x v="413"/>
    <s v="Consumer"/>
    <s v="United States"/>
    <s v="Chicago"/>
    <x v="10"/>
    <n v="60623"/>
    <x v="2"/>
    <x v="528"/>
    <x v="1"/>
    <x v="8"/>
    <x v="528"/>
    <n v="17.904"/>
    <s v="Low"/>
    <n v="6"/>
    <n v="0.8"/>
    <x v="1"/>
    <x v="3"/>
    <n v="-31.332000000000001"/>
    <n v="-1.75"/>
    <n v="1"/>
  </r>
  <r>
    <n v="6917"/>
    <s v="CA-2014-142510"/>
    <d v="2014-12-22T00:00:00"/>
    <x v="2"/>
    <s v="Q4"/>
    <x v="20"/>
    <d v="2014-12-29T00:00:00"/>
    <s v="Standard Class"/>
    <x v="413"/>
    <x v="413"/>
    <s v="Consumer"/>
    <s v="United States"/>
    <s v="Chicago"/>
    <x v="10"/>
    <n v="60623"/>
    <x v="2"/>
    <x v="968"/>
    <x v="1"/>
    <x v="10"/>
    <x v="961"/>
    <n v="124.032"/>
    <s v="High"/>
    <n v="4"/>
    <n v="0.2"/>
    <x v="2"/>
    <x v="2"/>
    <n v="44.961599999999997"/>
    <n v="0.36249999999999999"/>
    <n v="0"/>
  </r>
  <r>
    <n v="6918"/>
    <s v="CA-2014-124247"/>
    <d v="2014-12-16T00:00:00"/>
    <x v="2"/>
    <s v="Q4"/>
    <x v="20"/>
    <d v="2014-12-21T00:00:00"/>
    <s v="Standard Class"/>
    <x v="741"/>
    <x v="741"/>
    <s v="Corporate"/>
    <s v="United States"/>
    <s v="Sacramento"/>
    <x v="1"/>
    <n v="95823"/>
    <x v="1"/>
    <x v="1131"/>
    <x v="0"/>
    <x v="1"/>
    <x v="1119"/>
    <n v="1403.92"/>
    <s v="High"/>
    <n v="5"/>
    <n v="0.2"/>
    <x v="2"/>
    <x v="2"/>
    <n v="70.195999999999998"/>
    <n v="4.9999999999999996E-2"/>
    <n v="0"/>
  </r>
  <r>
    <n v="6919"/>
    <s v="CA-2016-105473"/>
    <d v="2016-04-16T00:00:00"/>
    <x v="0"/>
    <s v="Q2"/>
    <x v="25"/>
    <d v="2016-04-18T00:00:00"/>
    <s v="Second Class"/>
    <x v="298"/>
    <x v="298"/>
    <s v="Consumer"/>
    <s v="United States"/>
    <s v="Seattle"/>
    <x v="4"/>
    <n v="98115"/>
    <x v="1"/>
    <x v="1511"/>
    <x v="1"/>
    <x v="14"/>
    <x v="1498"/>
    <n v="28.8"/>
    <s v="Medium"/>
    <n v="3"/>
    <n v="0"/>
    <x v="0"/>
    <x v="0"/>
    <n v="0.86399999999999999"/>
    <n v="0.03"/>
    <n v="0"/>
  </r>
  <r>
    <n v="6920"/>
    <s v="CA-2015-102806"/>
    <d v="2015-05-21T00:00:00"/>
    <x v="1"/>
    <s v="Q2"/>
    <x v="33"/>
    <d v="2015-05-28T00:00:00"/>
    <s v="Standard Class"/>
    <x v="428"/>
    <x v="428"/>
    <s v="Corporate"/>
    <s v="United States"/>
    <s v="Philadelphia"/>
    <x v="9"/>
    <n v="19143"/>
    <x v="3"/>
    <x v="800"/>
    <x v="1"/>
    <x v="8"/>
    <x v="798"/>
    <n v="24.588000000000001"/>
    <s v="Low"/>
    <n v="2"/>
    <n v="0.7"/>
    <x v="1"/>
    <x v="5"/>
    <n v="-18.031199999999998"/>
    <n v="-0.73333333333333328"/>
    <n v="1"/>
  </r>
  <r>
    <n v="6921"/>
    <s v="CA-2017-121706"/>
    <d v="2017-02-26T00:00:00"/>
    <x v="3"/>
    <s v="Q1"/>
    <x v="31"/>
    <d v="2017-03-02T00:00:00"/>
    <s v="Standard Class"/>
    <x v="78"/>
    <x v="78"/>
    <s v="Consumer"/>
    <s v="United States"/>
    <s v="Santa Barbara"/>
    <x v="1"/>
    <n v="93101"/>
    <x v="1"/>
    <x v="543"/>
    <x v="1"/>
    <x v="9"/>
    <x v="543"/>
    <n v="356.79"/>
    <s v="High"/>
    <n v="7"/>
    <n v="0"/>
    <x v="0"/>
    <x v="0"/>
    <n v="99.901200000000003"/>
    <n v="0.27999999999999997"/>
    <n v="0"/>
  </r>
  <r>
    <n v="6922"/>
    <s v="CA-2017-109211"/>
    <d v="2017-04-04T00:00:00"/>
    <x v="3"/>
    <s v="Q2"/>
    <x v="4"/>
    <d v="2017-04-10T00:00:00"/>
    <s v="Standard Class"/>
    <x v="390"/>
    <x v="390"/>
    <s v="Home Office"/>
    <s v="United States"/>
    <s v="New York City"/>
    <x v="15"/>
    <n v="10011"/>
    <x v="3"/>
    <x v="618"/>
    <x v="1"/>
    <x v="12"/>
    <x v="618"/>
    <n v="16.98"/>
    <s v="Low"/>
    <n v="1"/>
    <n v="0"/>
    <x v="0"/>
    <x v="0"/>
    <n v="8.49"/>
    <n v="0.5"/>
    <n v="0"/>
  </r>
  <r>
    <n v="6923"/>
    <s v="CA-2015-134257"/>
    <d v="2015-03-16T00:00:00"/>
    <x v="1"/>
    <s v="Q1"/>
    <x v="29"/>
    <d v="2015-03-19T00:00:00"/>
    <s v="Second Class"/>
    <x v="384"/>
    <x v="384"/>
    <s v="Consumer"/>
    <s v="United States"/>
    <s v="Auburn"/>
    <x v="19"/>
    <n v="36830"/>
    <x v="0"/>
    <x v="508"/>
    <x v="1"/>
    <x v="2"/>
    <x v="508"/>
    <n v="491.55"/>
    <s v="High"/>
    <n v="5"/>
    <n v="0"/>
    <x v="0"/>
    <x v="0"/>
    <n v="240.8595"/>
    <n v="0.49"/>
    <n v="0"/>
  </r>
  <r>
    <n v="6924"/>
    <s v="CA-2015-134257"/>
    <d v="2015-03-16T00:00:00"/>
    <x v="1"/>
    <s v="Q1"/>
    <x v="29"/>
    <d v="2015-03-19T00:00:00"/>
    <s v="Second Class"/>
    <x v="384"/>
    <x v="384"/>
    <s v="Consumer"/>
    <s v="United States"/>
    <s v="Auburn"/>
    <x v="19"/>
    <n v="36830"/>
    <x v="0"/>
    <x v="436"/>
    <x v="1"/>
    <x v="12"/>
    <x v="436"/>
    <n v="7.38"/>
    <s v="Low"/>
    <n v="2"/>
    <n v="0"/>
    <x v="0"/>
    <x v="0"/>
    <n v="3.3948"/>
    <n v="0.46"/>
    <n v="0"/>
  </r>
  <r>
    <n v="6925"/>
    <s v="CA-2015-137925"/>
    <d v="2015-11-30T00:00:00"/>
    <x v="1"/>
    <s v="Q4"/>
    <x v="6"/>
    <d v="2015-12-04T00:00:00"/>
    <s v="Standard Class"/>
    <x v="538"/>
    <x v="538"/>
    <s v="Consumer"/>
    <s v="United States"/>
    <s v="New York City"/>
    <x v="15"/>
    <n v="10035"/>
    <x v="3"/>
    <x v="938"/>
    <x v="1"/>
    <x v="10"/>
    <x v="931"/>
    <n v="23.66"/>
    <s v="Low"/>
    <n v="7"/>
    <n v="0"/>
    <x v="0"/>
    <x v="0"/>
    <n v="10.883599999999999"/>
    <n v="0.45999999999999996"/>
    <n v="0"/>
  </r>
  <r>
    <n v="6926"/>
    <s v="CA-2015-137925"/>
    <d v="2015-11-30T00:00:00"/>
    <x v="1"/>
    <s v="Q4"/>
    <x v="6"/>
    <d v="2015-12-04T00:00:00"/>
    <s v="Standard Class"/>
    <x v="538"/>
    <x v="538"/>
    <s v="Consumer"/>
    <s v="United States"/>
    <s v="New York City"/>
    <x v="15"/>
    <n v="10035"/>
    <x v="3"/>
    <x v="1544"/>
    <x v="0"/>
    <x v="0"/>
    <x v="1532"/>
    <n v="681.40800000000002"/>
    <s v="High"/>
    <n v="12"/>
    <n v="0.2"/>
    <x v="2"/>
    <x v="2"/>
    <n v="42.588000000000001"/>
    <n v="6.25E-2"/>
    <n v="0"/>
  </r>
  <r>
    <n v="6927"/>
    <s v="CA-2016-140046"/>
    <d v="2016-07-28T00:00:00"/>
    <x v="0"/>
    <s v="Q3"/>
    <x v="16"/>
    <d v="2016-08-03T00:00:00"/>
    <s v="Standard Class"/>
    <x v="730"/>
    <x v="730"/>
    <s v="Consumer"/>
    <s v="United States"/>
    <s v="Los Angeles"/>
    <x v="1"/>
    <n v="90032"/>
    <x v="1"/>
    <x v="1729"/>
    <x v="1"/>
    <x v="2"/>
    <x v="1716"/>
    <n v="18.899999999999999"/>
    <s v="Low"/>
    <n v="3"/>
    <n v="0"/>
    <x v="0"/>
    <x v="0"/>
    <n v="8.6940000000000008"/>
    <n v="0.46000000000000008"/>
    <n v="0"/>
  </r>
  <r>
    <n v="6928"/>
    <s v="CA-2016-140382"/>
    <d v="2016-06-23T00:00:00"/>
    <x v="0"/>
    <s v="Q2"/>
    <x v="1"/>
    <d v="2016-06-25T00:00:00"/>
    <s v="Second Class"/>
    <x v="76"/>
    <x v="76"/>
    <s v="Consumer"/>
    <s v="United States"/>
    <s v="San Francisco"/>
    <x v="1"/>
    <n v="94109"/>
    <x v="1"/>
    <x v="1247"/>
    <x v="1"/>
    <x v="4"/>
    <x v="1231"/>
    <n v="93.68"/>
    <s v="Medium"/>
    <n v="4"/>
    <n v="0"/>
    <x v="0"/>
    <x v="0"/>
    <n v="25.293600000000001"/>
    <n v="0.27"/>
    <n v="0"/>
  </r>
  <r>
    <n v="6929"/>
    <s v="CA-2016-140382"/>
    <d v="2016-06-23T00:00:00"/>
    <x v="0"/>
    <s v="Q2"/>
    <x v="1"/>
    <d v="2016-06-25T00:00:00"/>
    <s v="Second Class"/>
    <x v="76"/>
    <x v="76"/>
    <s v="Consumer"/>
    <s v="United States"/>
    <s v="San Francisco"/>
    <x v="1"/>
    <n v="94109"/>
    <x v="1"/>
    <x v="573"/>
    <x v="1"/>
    <x v="2"/>
    <x v="573"/>
    <n v="21.93"/>
    <s v="Low"/>
    <n v="3"/>
    <n v="0"/>
    <x v="0"/>
    <x v="0"/>
    <n v="10.3071"/>
    <n v="0.47000000000000003"/>
    <n v="0"/>
  </r>
  <r>
    <n v="6930"/>
    <s v="CA-2016-140382"/>
    <d v="2016-06-23T00:00:00"/>
    <x v="0"/>
    <s v="Q2"/>
    <x v="1"/>
    <d v="2016-06-25T00:00:00"/>
    <s v="Second Class"/>
    <x v="76"/>
    <x v="76"/>
    <s v="Consumer"/>
    <s v="United States"/>
    <s v="San Francisco"/>
    <x v="1"/>
    <n v="94109"/>
    <x v="1"/>
    <x v="348"/>
    <x v="2"/>
    <x v="7"/>
    <x v="348"/>
    <n v="862.34400000000005"/>
    <s v="High"/>
    <n v="7"/>
    <n v="0.2"/>
    <x v="2"/>
    <x v="2"/>
    <n v="97.0137"/>
    <n v="0.11249999999999999"/>
    <n v="0"/>
  </r>
  <r>
    <n v="6931"/>
    <s v="CA-2016-140382"/>
    <d v="2016-06-23T00:00:00"/>
    <x v="0"/>
    <s v="Q2"/>
    <x v="1"/>
    <d v="2016-06-25T00:00:00"/>
    <s v="Second Class"/>
    <x v="76"/>
    <x v="76"/>
    <s v="Consumer"/>
    <s v="United States"/>
    <s v="San Francisco"/>
    <x v="1"/>
    <n v="94109"/>
    <x v="1"/>
    <x v="681"/>
    <x v="1"/>
    <x v="10"/>
    <x v="681"/>
    <n v="19.98"/>
    <s v="Low"/>
    <n v="1"/>
    <n v="0"/>
    <x v="0"/>
    <x v="0"/>
    <n v="9.3905999999999992"/>
    <n v="0.47"/>
    <n v="0"/>
  </r>
  <r>
    <n v="6932"/>
    <s v="CA-2014-164182"/>
    <d v="2014-07-14T00:00:00"/>
    <x v="2"/>
    <s v="Q3"/>
    <x v="39"/>
    <d v="2014-07-18T00:00:00"/>
    <s v="Standard Class"/>
    <x v="461"/>
    <x v="461"/>
    <s v="Consumer"/>
    <s v="United States"/>
    <s v="Philadelphia"/>
    <x v="9"/>
    <n v="19140"/>
    <x v="3"/>
    <x v="1804"/>
    <x v="2"/>
    <x v="7"/>
    <x v="1794"/>
    <n v="13.494"/>
    <s v="Low"/>
    <n v="1"/>
    <n v="0.4"/>
    <x v="1"/>
    <x v="7"/>
    <n v="-2.2490000000000001"/>
    <n v="-0.16666666666666669"/>
    <n v="1"/>
  </r>
  <r>
    <n v="6933"/>
    <s v="CA-2014-164182"/>
    <d v="2014-07-14T00:00:00"/>
    <x v="2"/>
    <s v="Q3"/>
    <x v="39"/>
    <d v="2014-07-18T00:00:00"/>
    <s v="Standard Class"/>
    <x v="461"/>
    <x v="461"/>
    <s v="Consumer"/>
    <s v="United States"/>
    <s v="Philadelphia"/>
    <x v="9"/>
    <n v="19140"/>
    <x v="3"/>
    <x v="1730"/>
    <x v="2"/>
    <x v="7"/>
    <x v="1717"/>
    <n v="23.988"/>
    <s v="Low"/>
    <n v="2"/>
    <n v="0.4"/>
    <x v="1"/>
    <x v="7"/>
    <n v="-13.993"/>
    <n v="-0.58333333333333337"/>
    <n v="1"/>
  </r>
  <r>
    <n v="6934"/>
    <s v="CA-2014-164182"/>
    <d v="2014-07-14T00:00:00"/>
    <x v="2"/>
    <s v="Q3"/>
    <x v="39"/>
    <d v="2014-07-18T00:00:00"/>
    <s v="Standard Class"/>
    <x v="461"/>
    <x v="461"/>
    <s v="Consumer"/>
    <s v="United States"/>
    <s v="Philadelphia"/>
    <x v="9"/>
    <n v="19140"/>
    <x v="3"/>
    <x v="1801"/>
    <x v="0"/>
    <x v="5"/>
    <x v="1791"/>
    <n v="31.984000000000002"/>
    <s v="Medium"/>
    <n v="2"/>
    <n v="0.2"/>
    <x v="2"/>
    <x v="2"/>
    <n v="1.1994"/>
    <n v="3.7499999999999999E-2"/>
    <n v="0"/>
  </r>
  <r>
    <n v="6935"/>
    <s v="CA-2014-164182"/>
    <d v="2014-07-14T00:00:00"/>
    <x v="2"/>
    <s v="Q3"/>
    <x v="39"/>
    <d v="2014-07-18T00:00:00"/>
    <s v="Standard Class"/>
    <x v="461"/>
    <x v="461"/>
    <s v="Consumer"/>
    <s v="United States"/>
    <s v="Philadelphia"/>
    <x v="9"/>
    <n v="19140"/>
    <x v="3"/>
    <x v="1062"/>
    <x v="1"/>
    <x v="6"/>
    <x v="1051"/>
    <n v="41.584000000000003"/>
    <s v="Medium"/>
    <n v="2"/>
    <n v="0.2"/>
    <x v="2"/>
    <x v="2"/>
    <n v="4.6782000000000004"/>
    <n v="0.1125"/>
    <n v="0"/>
  </r>
  <r>
    <n v="6936"/>
    <s v="CA-2017-137365"/>
    <d v="2017-11-30T00:00:00"/>
    <x v="3"/>
    <s v="Q4"/>
    <x v="23"/>
    <d v="2017-12-03T00:00:00"/>
    <s v="Second Class"/>
    <x v="162"/>
    <x v="162"/>
    <s v="Corporate"/>
    <s v="United States"/>
    <s v="El Paso"/>
    <x v="5"/>
    <n v="79907"/>
    <x v="2"/>
    <x v="97"/>
    <x v="2"/>
    <x v="11"/>
    <x v="97"/>
    <n v="95.975999999999999"/>
    <s v="Medium"/>
    <n v="3"/>
    <n v="0.2"/>
    <x v="2"/>
    <x v="2"/>
    <n v="-10.7973"/>
    <n v="-0.1125"/>
    <n v="1"/>
  </r>
  <r>
    <n v="6937"/>
    <s v="CA-2016-129847"/>
    <d v="2016-09-02T00:00:00"/>
    <x v="0"/>
    <s v="Q3"/>
    <x v="21"/>
    <d v="2016-09-04T00:00:00"/>
    <s v="First Class"/>
    <x v="638"/>
    <x v="638"/>
    <s v="Home Office"/>
    <s v="United States"/>
    <s v="Chicago"/>
    <x v="10"/>
    <n v="60653"/>
    <x v="2"/>
    <x v="1805"/>
    <x v="0"/>
    <x v="5"/>
    <x v="1795"/>
    <n v="84.272000000000006"/>
    <s v="Medium"/>
    <n v="2"/>
    <n v="0.6"/>
    <x v="1"/>
    <x v="6"/>
    <n v="-75.844800000000006"/>
    <n v="-0.9"/>
    <n v="1"/>
  </r>
  <r>
    <n v="6938"/>
    <s v="CA-2014-126963"/>
    <d v="2014-06-15T00:00:00"/>
    <x v="2"/>
    <s v="Q2"/>
    <x v="3"/>
    <d v="2014-06-15T00:00:00"/>
    <s v="Same Day"/>
    <x v="519"/>
    <x v="519"/>
    <s v="Consumer"/>
    <s v="United States"/>
    <s v="El Paso"/>
    <x v="5"/>
    <n v="79907"/>
    <x v="2"/>
    <x v="1767"/>
    <x v="1"/>
    <x v="10"/>
    <x v="1756"/>
    <n v="36.543999999999997"/>
    <s v="Medium"/>
    <n v="2"/>
    <n v="0.2"/>
    <x v="2"/>
    <x v="2"/>
    <n v="11.876799999999999"/>
    <n v="0.32500000000000001"/>
    <n v="0"/>
  </r>
  <r>
    <n v="6939"/>
    <s v="CA-2016-125094"/>
    <d v="2016-11-05T00:00:00"/>
    <x v="0"/>
    <s v="Q4"/>
    <x v="0"/>
    <d v="2016-11-09T00:00:00"/>
    <s v="Standard Class"/>
    <x v="413"/>
    <x v="413"/>
    <s v="Consumer"/>
    <s v="United States"/>
    <s v="Seattle"/>
    <x v="4"/>
    <n v="98105"/>
    <x v="1"/>
    <x v="1806"/>
    <x v="2"/>
    <x v="11"/>
    <x v="1796"/>
    <n v="479.72"/>
    <s v="High"/>
    <n v="4"/>
    <n v="0"/>
    <x v="0"/>
    <x v="0"/>
    <n v="52.769199999999998"/>
    <n v="0.10999999999999999"/>
    <n v="0"/>
  </r>
  <r>
    <n v="6940"/>
    <s v="CA-2017-107132"/>
    <d v="2017-06-26T00:00:00"/>
    <x v="3"/>
    <s v="Q2"/>
    <x v="27"/>
    <d v="2017-06-30T00:00:00"/>
    <s v="Standard Class"/>
    <x v="609"/>
    <x v="609"/>
    <s v="Corporate"/>
    <s v="United States"/>
    <s v="New York City"/>
    <x v="15"/>
    <n v="10009"/>
    <x v="3"/>
    <x v="669"/>
    <x v="1"/>
    <x v="8"/>
    <x v="669"/>
    <n v="102.36799999999999"/>
    <s v="Medium"/>
    <n v="2"/>
    <n v="0.2"/>
    <x v="2"/>
    <x v="2"/>
    <n v="37.108400000000003"/>
    <n v="0.36250000000000004"/>
    <n v="0"/>
  </r>
  <r>
    <n v="6941"/>
    <s v="CA-2017-107132"/>
    <d v="2017-06-26T00:00:00"/>
    <x v="3"/>
    <s v="Q2"/>
    <x v="27"/>
    <d v="2017-06-30T00:00:00"/>
    <s v="Standard Class"/>
    <x v="609"/>
    <x v="609"/>
    <s v="Corporate"/>
    <s v="United States"/>
    <s v="New York City"/>
    <x v="15"/>
    <n v="10009"/>
    <x v="3"/>
    <x v="675"/>
    <x v="1"/>
    <x v="14"/>
    <x v="675"/>
    <n v="28.4"/>
    <s v="Medium"/>
    <n v="5"/>
    <n v="0"/>
    <x v="0"/>
    <x v="0"/>
    <n v="8.2360000000000007"/>
    <n v="0.29000000000000004"/>
    <n v="0"/>
  </r>
  <r>
    <n v="6942"/>
    <s v="CA-2017-107132"/>
    <d v="2017-06-26T00:00:00"/>
    <x v="3"/>
    <s v="Q2"/>
    <x v="27"/>
    <d v="2017-06-30T00:00:00"/>
    <s v="Standard Class"/>
    <x v="609"/>
    <x v="609"/>
    <s v="Corporate"/>
    <s v="United States"/>
    <s v="New York City"/>
    <x v="15"/>
    <n v="10009"/>
    <x v="3"/>
    <x v="518"/>
    <x v="1"/>
    <x v="4"/>
    <x v="518"/>
    <n v="713.88"/>
    <s v="High"/>
    <n v="4"/>
    <n v="0"/>
    <x v="0"/>
    <x v="0"/>
    <n v="214.16399999999999"/>
    <n v="0.3"/>
    <n v="0"/>
  </r>
  <r>
    <n v="6943"/>
    <s v="CA-2017-107132"/>
    <d v="2017-06-26T00:00:00"/>
    <x v="3"/>
    <s v="Q2"/>
    <x v="27"/>
    <d v="2017-06-30T00:00:00"/>
    <s v="Standard Class"/>
    <x v="609"/>
    <x v="609"/>
    <s v="Corporate"/>
    <s v="United States"/>
    <s v="New York City"/>
    <x v="15"/>
    <n v="10009"/>
    <x v="3"/>
    <x v="1274"/>
    <x v="1"/>
    <x v="10"/>
    <x v="1259"/>
    <n v="68.52"/>
    <s v="Medium"/>
    <n v="3"/>
    <n v="0"/>
    <x v="0"/>
    <x v="0"/>
    <n v="31.519200000000001"/>
    <n v="0.46"/>
    <n v="0"/>
  </r>
  <r>
    <n v="6944"/>
    <s v="CA-2015-139248"/>
    <d v="2015-07-25T00:00:00"/>
    <x v="1"/>
    <s v="Q3"/>
    <x v="38"/>
    <d v="2015-07-30T00:00:00"/>
    <s v="Standard Class"/>
    <x v="709"/>
    <x v="709"/>
    <s v="Consumer"/>
    <s v="United States"/>
    <s v="Los Angeles"/>
    <x v="1"/>
    <n v="90032"/>
    <x v="1"/>
    <x v="1807"/>
    <x v="2"/>
    <x v="7"/>
    <x v="1797"/>
    <n v="623.96"/>
    <s v="High"/>
    <n v="5"/>
    <n v="0.2"/>
    <x v="2"/>
    <x v="2"/>
    <n v="38.997500000000002"/>
    <n v="6.25E-2"/>
    <n v="0"/>
  </r>
  <r>
    <n v="6945"/>
    <s v="CA-2014-148369"/>
    <d v="2014-09-23T00:00:00"/>
    <x v="2"/>
    <s v="Q3"/>
    <x v="30"/>
    <d v="2014-09-27T00:00:00"/>
    <s v="Standard Class"/>
    <x v="764"/>
    <x v="764"/>
    <s v="Corporate"/>
    <s v="United States"/>
    <s v="Newark"/>
    <x v="13"/>
    <n v="19711"/>
    <x v="3"/>
    <x v="994"/>
    <x v="1"/>
    <x v="8"/>
    <x v="986"/>
    <n v="11.12"/>
    <s v="Low"/>
    <n v="4"/>
    <n v="0"/>
    <x v="0"/>
    <x v="0"/>
    <n v="5.4488000000000003"/>
    <n v="0.49000000000000005"/>
    <n v="0"/>
  </r>
  <r>
    <n v="6946"/>
    <s v="CA-2016-106243"/>
    <d v="2016-09-30T00:00:00"/>
    <x v="0"/>
    <s v="Q3"/>
    <x v="21"/>
    <d v="2016-10-04T00:00:00"/>
    <s v="Standard Class"/>
    <x v="411"/>
    <x v="411"/>
    <s v="Consumer"/>
    <s v="United States"/>
    <s v="New York City"/>
    <x v="15"/>
    <n v="10011"/>
    <x v="3"/>
    <x v="1219"/>
    <x v="0"/>
    <x v="0"/>
    <x v="1203"/>
    <n v="523.91999999999996"/>
    <s v="High"/>
    <n v="5"/>
    <n v="0.2"/>
    <x v="2"/>
    <x v="2"/>
    <n v="-26.196000000000002"/>
    <n v="-5.000000000000001E-2"/>
    <n v="1"/>
  </r>
  <r>
    <n v="6947"/>
    <s v="CA-2015-126466"/>
    <d v="2015-11-09T00:00:00"/>
    <x v="1"/>
    <s v="Q4"/>
    <x v="6"/>
    <d v="2015-11-13T00:00:00"/>
    <s v="Standard Class"/>
    <x v="270"/>
    <x v="270"/>
    <s v="Home Office"/>
    <s v="United States"/>
    <s v="Roseville"/>
    <x v="1"/>
    <n v="95661"/>
    <x v="1"/>
    <x v="310"/>
    <x v="1"/>
    <x v="13"/>
    <x v="310"/>
    <n v="2.48"/>
    <s v="Low"/>
    <n v="2"/>
    <n v="0"/>
    <x v="0"/>
    <x v="0"/>
    <n v="1.1656"/>
    <n v="0.47"/>
    <n v="0"/>
  </r>
  <r>
    <n v="6948"/>
    <s v="CA-2015-130365"/>
    <d v="2015-04-25T00:00:00"/>
    <x v="1"/>
    <s v="Q2"/>
    <x v="19"/>
    <d v="2015-04-29T00:00:00"/>
    <s v="Standard Class"/>
    <x v="233"/>
    <x v="233"/>
    <s v="Consumer"/>
    <s v="United States"/>
    <s v="Aurora"/>
    <x v="10"/>
    <n v="60505"/>
    <x v="2"/>
    <x v="942"/>
    <x v="1"/>
    <x v="4"/>
    <x v="935"/>
    <n v="221.024"/>
    <s v="High"/>
    <n v="2"/>
    <n v="0.2"/>
    <x v="2"/>
    <x v="2"/>
    <n v="-55.256"/>
    <n v="-0.25"/>
    <n v="1"/>
  </r>
  <r>
    <n v="6949"/>
    <s v="CA-2015-130365"/>
    <d v="2015-04-25T00:00:00"/>
    <x v="1"/>
    <s v="Q2"/>
    <x v="19"/>
    <d v="2015-04-29T00:00:00"/>
    <s v="Standard Class"/>
    <x v="233"/>
    <x v="233"/>
    <s v="Consumer"/>
    <s v="United States"/>
    <s v="Aurora"/>
    <x v="10"/>
    <n v="60505"/>
    <x v="2"/>
    <x v="1534"/>
    <x v="0"/>
    <x v="1"/>
    <x v="1522"/>
    <n v="128.05799999999999"/>
    <s v="High"/>
    <n v="3"/>
    <n v="0.3"/>
    <x v="1"/>
    <x v="4"/>
    <n v="-23.7822"/>
    <n v="-0.18571428571428572"/>
    <n v="1"/>
  </r>
  <r>
    <n v="6950"/>
    <s v="CA-2017-143021"/>
    <d v="2017-11-19T00:00:00"/>
    <x v="3"/>
    <s v="Q4"/>
    <x v="23"/>
    <d v="2017-11-19T00:00:00"/>
    <s v="Same Day"/>
    <x v="399"/>
    <x v="399"/>
    <s v="Home Office"/>
    <s v="United States"/>
    <s v="New York City"/>
    <x v="15"/>
    <n v="10011"/>
    <x v="3"/>
    <x v="1124"/>
    <x v="1"/>
    <x v="8"/>
    <x v="1112"/>
    <n v="58.408000000000001"/>
    <s v="Medium"/>
    <n v="7"/>
    <n v="0.2"/>
    <x v="2"/>
    <x v="2"/>
    <n v="18.252500000000001"/>
    <n v="0.3125"/>
    <n v="0"/>
  </r>
  <r>
    <n v="6951"/>
    <s v="CA-2017-143021"/>
    <d v="2017-11-19T00:00:00"/>
    <x v="3"/>
    <s v="Q4"/>
    <x v="23"/>
    <d v="2017-11-19T00:00:00"/>
    <s v="Same Day"/>
    <x v="399"/>
    <x v="399"/>
    <s v="Home Office"/>
    <s v="United States"/>
    <s v="New York City"/>
    <x v="15"/>
    <n v="10011"/>
    <x v="3"/>
    <x v="972"/>
    <x v="0"/>
    <x v="3"/>
    <x v="966"/>
    <n v="79.974000000000004"/>
    <s v="Medium"/>
    <n v="3"/>
    <n v="0.4"/>
    <x v="1"/>
    <x v="7"/>
    <n v="-29.323799999999999"/>
    <n v="-0.36666666666666664"/>
    <n v="1"/>
  </r>
  <r>
    <n v="6952"/>
    <s v="CA-2015-161767"/>
    <d v="2015-11-20T00:00:00"/>
    <x v="1"/>
    <s v="Q4"/>
    <x v="6"/>
    <d v="2015-11-24T00:00:00"/>
    <s v="Standard Class"/>
    <x v="136"/>
    <x v="136"/>
    <s v="Corporate"/>
    <s v="United States"/>
    <s v="Dallas"/>
    <x v="5"/>
    <n v="75217"/>
    <x v="2"/>
    <x v="1808"/>
    <x v="2"/>
    <x v="15"/>
    <x v="1798"/>
    <n v="479.988"/>
    <s v="High"/>
    <n v="2"/>
    <n v="0.4"/>
    <x v="1"/>
    <x v="7"/>
    <n v="55.998600000000003"/>
    <n v="0.11666666666666667"/>
    <n v="0"/>
  </r>
  <r>
    <n v="6953"/>
    <s v="CA-2015-129917"/>
    <d v="2015-10-02T00:00:00"/>
    <x v="1"/>
    <s v="Q4"/>
    <x v="2"/>
    <d v="2015-10-03T00:00:00"/>
    <s v="First Class"/>
    <x v="31"/>
    <x v="31"/>
    <s v="Consumer"/>
    <s v="United States"/>
    <s v="Los Angeles"/>
    <x v="1"/>
    <n v="90008"/>
    <x v="1"/>
    <x v="1181"/>
    <x v="1"/>
    <x v="8"/>
    <x v="1167"/>
    <n v="11.808"/>
    <s v="Low"/>
    <n v="3"/>
    <n v="0.2"/>
    <x v="2"/>
    <x v="2"/>
    <n v="4.1327999999999996"/>
    <n v="0.35"/>
    <n v="0"/>
  </r>
  <r>
    <n v="6954"/>
    <s v="CA-2015-129917"/>
    <d v="2015-10-02T00:00:00"/>
    <x v="1"/>
    <s v="Q4"/>
    <x v="2"/>
    <d v="2015-10-03T00:00:00"/>
    <s v="First Class"/>
    <x v="31"/>
    <x v="31"/>
    <s v="Consumer"/>
    <s v="United States"/>
    <s v="Los Angeles"/>
    <x v="1"/>
    <n v="90008"/>
    <x v="1"/>
    <x v="1595"/>
    <x v="1"/>
    <x v="8"/>
    <x v="1587"/>
    <n v="53.567999999999998"/>
    <s v="Medium"/>
    <n v="4"/>
    <n v="0.2"/>
    <x v="2"/>
    <x v="2"/>
    <n v="19.418399999999998"/>
    <n v="0.36249999999999999"/>
    <n v="0"/>
  </r>
  <r>
    <n v="6955"/>
    <s v="CA-2015-129917"/>
    <d v="2015-10-02T00:00:00"/>
    <x v="1"/>
    <s v="Q4"/>
    <x v="2"/>
    <d v="2015-10-03T00:00:00"/>
    <s v="First Class"/>
    <x v="31"/>
    <x v="31"/>
    <s v="Consumer"/>
    <s v="United States"/>
    <s v="Los Angeles"/>
    <x v="1"/>
    <n v="90008"/>
    <x v="1"/>
    <x v="1370"/>
    <x v="2"/>
    <x v="7"/>
    <x v="1355"/>
    <n v="503.96"/>
    <s v="High"/>
    <n v="5"/>
    <n v="0.2"/>
    <x v="2"/>
    <x v="2"/>
    <n v="50.396000000000001"/>
    <n v="0.1"/>
    <n v="0"/>
  </r>
  <r>
    <n v="6956"/>
    <s v="CA-2015-115420"/>
    <d v="2015-04-25T00:00:00"/>
    <x v="1"/>
    <s v="Q2"/>
    <x v="19"/>
    <d v="2015-05-02T00:00:00"/>
    <s v="Standard Class"/>
    <x v="322"/>
    <x v="322"/>
    <s v="Corporate"/>
    <s v="United States"/>
    <s v="Los Angeles"/>
    <x v="1"/>
    <n v="90004"/>
    <x v="1"/>
    <x v="761"/>
    <x v="1"/>
    <x v="12"/>
    <x v="760"/>
    <n v="21.34"/>
    <s v="Low"/>
    <n v="2"/>
    <n v="0"/>
    <x v="0"/>
    <x v="0"/>
    <n v="9.8163999999999998"/>
    <n v="0.46"/>
    <n v="0"/>
  </r>
  <r>
    <n v="6957"/>
    <s v="CA-2016-157588"/>
    <d v="2016-07-14T00:00:00"/>
    <x v="0"/>
    <s v="Q3"/>
    <x v="16"/>
    <d v="2016-07-19T00:00:00"/>
    <s v="Standard Class"/>
    <x v="781"/>
    <x v="781"/>
    <s v="Consumer"/>
    <s v="United States"/>
    <s v="Columbus"/>
    <x v="32"/>
    <n v="31907"/>
    <x v="0"/>
    <x v="1344"/>
    <x v="1"/>
    <x v="8"/>
    <x v="1329"/>
    <n v="36.4"/>
    <s v="Medium"/>
    <n v="5"/>
    <n v="0"/>
    <x v="0"/>
    <x v="0"/>
    <n v="17.108000000000001"/>
    <n v="0.47000000000000003"/>
    <n v="0"/>
  </r>
  <r>
    <n v="6958"/>
    <s v="CA-2016-157588"/>
    <d v="2016-07-14T00:00:00"/>
    <x v="0"/>
    <s v="Q3"/>
    <x v="16"/>
    <d v="2016-07-19T00:00:00"/>
    <s v="Standard Class"/>
    <x v="781"/>
    <x v="781"/>
    <s v="Consumer"/>
    <s v="United States"/>
    <s v="Columbus"/>
    <x v="32"/>
    <n v="31907"/>
    <x v="0"/>
    <x v="28"/>
    <x v="0"/>
    <x v="5"/>
    <x v="28"/>
    <n v="51.75"/>
    <s v="Medium"/>
    <n v="1"/>
    <n v="0"/>
    <x v="0"/>
    <x v="0"/>
    <n v="15.525"/>
    <n v="0.3"/>
    <n v="0"/>
  </r>
  <r>
    <n v="6959"/>
    <s v="CA-2015-167255"/>
    <d v="2015-09-27T00:00:00"/>
    <x v="1"/>
    <s v="Q3"/>
    <x v="11"/>
    <d v="2015-09-29T00:00:00"/>
    <s v="Second Class"/>
    <x v="563"/>
    <x v="563"/>
    <s v="Home Office"/>
    <s v="United States"/>
    <s v="San Francisco"/>
    <x v="1"/>
    <n v="94110"/>
    <x v="1"/>
    <x v="177"/>
    <x v="1"/>
    <x v="4"/>
    <x v="178"/>
    <n v="15.51"/>
    <s v="Low"/>
    <n v="1"/>
    <n v="0"/>
    <x v="0"/>
    <x v="0"/>
    <n v="4.3428000000000004"/>
    <n v="0.28000000000000003"/>
    <n v="0"/>
  </r>
  <r>
    <n v="6960"/>
    <s v="CA-2015-167255"/>
    <d v="2015-09-27T00:00:00"/>
    <x v="1"/>
    <s v="Q3"/>
    <x v="11"/>
    <d v="2015-09-29T00:00:00"/>
    <s v="Second Class"/>
    <x v="563"/>
    <x v="563"/>
    <s v="Home Office"/>
    <s v="United States"/>
    <s v="San Francisco"/>
    <x v="1"/>
    <n v="94110"/>
    <x v="1"/>
    <x v="126"/>
    <x v="1"/>
    <x v="10"/>
    <x v="127"/>
    <n v="146.82"/>
    <s v="High"/>
    <n v="3"/>
    <n v="0"/>
    <x v="0"/>
    <x v="0"/>
    <n v="73.41"/>
    <n v="0.5"/>
    <n v="0"/>
  </r>
  <r>
    <n v="6961"/>
    <s v="CA-2015-167255"/>
    <d v="2015-09-27T00:00:00"/>
    <x v="1"/>
    <s v="Q3"/>
    <x v="11"/>
    <d v="2015-09-29T00:00:00"/>
    <s v="Second Class"/>
    <x v="563"/>
    <x v="563"/>
    <s v="Home Office"/>
    <s v="United States"/>
    <s v="San Francisco"/>
    <x v="1"/>
    <n v="94110"/>
    <x v="1"/>
    <x v="490"/>
    <x v="1"/>
    <x v="10"/>
    <x v="490"/>
    <n v="12.96"/>
    <s v="Low"/>
    <n v="2"/>
    <n v="0"/>
    <x v="0"/>
    <x v="0"/>
    <n v="6.2207999999999997"/>
    <n v="0.47999999999999993"/>
    <n v="0"/>
  </r>
  <r>
    <n v="6962"/>
    <s v="CA-2017-162096"/>
    <d v="2017-11-10T00:00:00"/>
    <x v="3"/>
    <s v="Q4"/>
    <x v="23"/>
    <d v="2017-11-10T00:00:00"/>
    <s v="Same Day"/>
    <x v="353"/>
    <x v="353"/>
    <s v="Home Office"/>
    <s v="United States"/>
    <s v="Riverside"/>
    <x v="1"/>
    <n v="92503"/>
    <x v="1"/>
    <x v="1026"/>
    <x v="1"/>
    <x v="6"/>
    <x v="1017"/>
    <n v="7.8"/>
    <s v="Low"/>
    <n v="3"/>
    <n v="0"/>
    <x v="0"/>
    <x v="0"/>
    <n v="2.1059999999999999"/>
    <n v="0.26999999999999996"/>
    <n v="0"/>
  </r>
  <r>
    <n v="6963"/>
    <s v="CA-2016-157161"/>
    <d v="2016-07-16T00:00:00"/>
    <x v="0"/>
    <s v="Q3"/>
    <x v="16"/>
    <d v="2016-07-20T00:00:00"/>
    <s v="Second Class"/>
    <x v="63"/>
    <x v="63"/>
    <s v="Corporate"/>
    <s v="United States"/>
    <s v="Columbia"/>
    <x v="20"/>
    <n v="29203"/>
    <x v="0"/>
    <x v="29"/>
    <x v="1"/>
    <x v="12"/>
    <x v="29"/>
    <n v="10.199999999999999"/>
    <s v="Low"/>
    <n v="5"/>
    <n v="0"/>
    <x v="0"/>
    <x v="0"/>
    <n v="4.7939999999999996"/>
    <n v="0.47"/>
    <n v="0"/>
  </r>
  <r>
    <n v="6964"/>
    <s v="CA-2016-157161"/>
    <d v="2016-07-16T00:00:00"/>
    <x v="0"/>
    <s v="Q3"/>
    <x v="16"/>
    <d v="2016-07-20T00:00:00"/>
    <s v="Second Class"/>
    <x v="63"/>
    <x v="63"/>
    <s v="Corporate"/>
    <s v="United States"/>
    <s v="Columbia"/>
    <x v="20"/>
    <n v="29203"/>
    <x v="0"/>
    <x v="1453"/>
    <x v="1"/>
    <x v="6"/>
    <x v="1439"/>
    <n v="22.32"/>
    <s v="Low"/>
    <n v="3"/>
    <n v="0"/>
    <x v="0"/>
    <x v="0"/>
    <n v="5.58"/>
    <n v="0.25"/>
    <n v="0"/>
  </r>
  <r>
    <n v="6965"/>
    <s v="CA-2016-157161"/>
    <d v="2016-07-16T00:00:00"/>
    <x v="0"/>
    <s v="Q3"/>
    <x v="16"/>
    <d v="2016-07-20T00:00:00"/>
    <s v="Second Class"/>
    <x v="63"/>
    <x v="63"/>
    <s v="Corporate"/>
    <s v="United States"/>
    <s v="Columbia"/>
    <x v="20"/>
    <n v="29203"/>
    <x v="0"/>
    <x v="544"/>
    <x v="1"/>
    <x v="8"/>
    <x v="544"/>
    <n v="24.1"/>
    <s v="Low"/>
    <n v="5"/>
    <n v="0"/>
    <x v="0"/>
    <x v="0"/>
    <n v="11.086"/>
    <n v="0.45999999999999996"/>
    <n v="0"/>
  </r>
  <r>
    <n v="6966"/>
    <s v="CA-2016-157161"/>
    <d v="2016-07-16T00:00:00"/>
    <x v="0"/>
    <s v="Q3"/>
    <x v="16"/>
    <d v="2016-07-20T00:00:00"/>
    <s v="Second Class"/>
    <x v="63"/>
    <x v="63"/>
    <s v="Corporate"/>
    <s v="United States"/>
    <s v="Columbia"/>
    <x v="20"/>
    <n v="29203"/>
    <x v="0"/>
    <x v="1302"/>
    <x v="2"/>
    <x v="11"/>
    <x v="1287"/>
    <n v="75.98"/>
    <s v="Medium"/>
    <n v="2"/>
    <n v="0"/>
    <x v="0"/>
    <x v="0"/>
    <n v="18.235199999999999"/>
    <n v="0.23999999999999996"/>
    <n v="0"/>
  </r>
  <r>
    <n v="6967"/>
    <s v="CA-2016-157161"/>
    <d v="2016-07-16T00:00:00"/>
    <x v="0"/>
    <s v="Q3"/>
    <x v="16"/>
    <d v="2016-07-20T00:00:00"/>
    <s v="Second Class"/>
    <x v="63"/>
    <x v="63"/>
    <s v="Corporate"/>
    <s v="United States"/>
    <s v="Columbia"/>
    <x v="20"/>
    <n v="29203"/>
    <x v="0"/>
    <x v="507"/>
    <x v="1"/>
    <x v="8"/>
    <x v="507"/>
    <n v="6.46"/>
    <s v="Low"/>
    <n v="2"/>
    <n v="0"/>
    <x v="0"/>
    <x v="0"/>
    <n v="3.1654"/>
    <n v="0.49"/>
    <n v="0"/>
  </r>
  <r>
    <n v="6968"/>
    <s v="CA-2016-157161"/>
    <d v="2016-07-16T00:00:00"/>
    <x v="0"/>
    <s v="Q3"/>
    <x v="16"/>
    <d v="2016-07-20T00:00:00"/>
    <s v="Second Class"/>
    <x v="63"/>
    <x v="63"/>
    <s v="Corporate"/>
    <s v="United States"/>
    <s v="Columbia"/>
    <x v="20"/>
    <n v="29203"/>
    <x v="0"/>
    <x v="1604"/>
    <x v="1"/>
    <x v="10"/>
    <x v="1596"/>
    <n v="60.12"/>
    <s v="Medium"/>
    <n v="9"/>
    <n v="0"/>
    <x v="0"/>
    <x v="0"/>
    <n v="28.857600000000001"/>
    <n v="0.48000000000000004"/>
    <n v="0"/>
  </r>
  <r>
    <n v="6969"/>
    <s v="CA-2015-110765"/>
    <d v="2015-10-16T00:00:00"/>
    <x v="1"/>
    <s v="Q4"/>
    <x v="2"/>
    <d v="2015-10-20T00:00:00"/>
    <s v="Second Class"/>
    <x v="172"/>
    <x v="172"/>
    <s v="Corporate"/>
    <s v="United States"/>
    <s v="New York City"/>
    <x v="15"/>
    <n v="10011"/>
    <x v="3"/>
    <x v="903"/>
    <x v="2"/>
    <x v="7"/>
    <x v="895"/>
    <n v="824.97"/>
    <s v="High"/>
    <n v="3"/>
    <n v="0"/>
    <x v="0"/>
    <x v="0"/>
    <n v="214.4922"/>
    <n v="0.26"/>
    <n v="0"/>
  </r>
  <r>
    <n v="6970"/>
    <s v="CA-2016-163937"/>
    <d v="2016-01-10T00:00:00"/>
    <x v="0"/>
    <s v="Q1"/>
    <x v="12"/>
    <d v="2016-01-13T00:00:00"/>
    <s v="Second Class"/>
    <x v="677"/>
    <x v="677"/>
    <s v="Consumer"/>
    <s v="United States"/>
    <s v="Longview"/>
    <x v="4"/>
    <n v="98632"/>
    <x v="1"/>
    <x v="527"/>
    <x v="0"/>
    <x v="5"/>
    <x v="527"/>
    <n v="24.85"/>
    <s v="Low"/>
    <n v="5"/>
    <n v="0"/>
    <x v="0"/>
    <x v="0"/>
    <n v="7.7035"/>
    <n v="0.31"/>
    <n v="0"/>
  </r>
  <r>
    <n v="6971"/>
    <s v="CA-2017-153822"/>
    <d v="2017-09-19T00:00:00"/>
    <x v="3"/>
    <s v="Q3"/>
    <x v="15"/>
    <d v="2017-09-25T00:00:00"/>
    <s v="Standard Class"/>
    <x v="455"/>
    <x v="455"/>
    <s v="Consumer"/>
    <s v="United States"/>
    <s v="Phoenix"/>
    <x v="16"/>
    <n v="85023"/>
    <x v="1"/>
    <x v="1555"/>
    <x v="1"/>
    <x v="4"/>
    <x v="1543"/>
    <n v="12.624000000000001"/>
    <s v="Low"/>
    <n v="2"/>
    <n v="0.2"/>
    <x v="2"/>
    <x v="2"/>
    <n v="-2.5247999999999999"/>
    <n v="-0.19999999999999998"/>
    <n v="1"/>
  </r>
  <r>
    <n v="6972"/>
    <s v="CA-2017-153822"/>
    <d v="2017-09-19T00:00:00"/>
    <x v="3"/>
    <s v="Q3"/>
    <x v="15"/>
    <d v="2017-09-25T00:00:00"/>
    <s v="Standard Class"/>
    <x v="455"/>
    <x v="455"/>
    <s v="Consumer"/>
    <s v="United States"/>
    <s v="Phoenix"/>
    <x v="16"/>
    <n v="85023"/>
    <x v="1"/>
    <x v="201"/>
    <x v="2"/>
    <x v="11"/>
    <x v="202"/>
    <n v="89.584000000000003"/>
    <s v="Medium"/>
    <n v="2"/>
    <n v="0.2"/>
    <x v="2"/>
    <x v="2"/>
    <n v="4.4791999999999996"/>
    <n v="4.9999999999999996E-2"/>
    <n v="0"/>
  </r>
  <r>
    <n v="6973"/>
    <s v="CA-2017-153822"/>
    <d v="2017-09-19T00:00:00"/>
    <x v="3"/>
    <s v="Q3"/>
    <x v="15"/>
    <d v="2017-09-25T00:00:00"/>
    <s v="Standard Class"/>
    <x v="455"/>
    <x v="455"/>
    <s v="Consumer"/>
    <s v="United States"/>
    <s v="Phoenix"/>
    <x v="16"/>
    <n v="85023"/>
    <x v="1"/>
    <x v="1538"/>
    <x v="2"/>
    <x v="7"/>
    <x v="1526"/>
    <n v="471.92"/>
    <s v="High"/>
    <n v="2"/>
    <n v="0.2"/>
    <x v="2"/>
    <x v="2"/>
    <n v="29.495000000000001"/>
    <n v="6.25E-2"/>
    <n v="0"/>
  </r>
  <r>
    <n v="6974"/>
    <s v="CA-2017-153822"/>
    <d v="2017-09-19T00:00:00"/>
    <x v="3"/>
    <s v="Q3"/>
    <x v="15"/>
    <d v="2017-09-25T00:00:00"/>
    <s v="Standard Class"/>
    <x v="455"/>
    <x v="455"/>
    <s v="Consumer"/>
    <s v="United States"/>
    <s v="Phoenix"/>
    <x v="16"/>
    <n v="85023"/>
    <x v="1"/>
    <x v="58"/>
    <x v="1"/>
    <x v="8"/>
    <x v="58"/>
    <n v="18.18"/>
    <s v="Low"/>
    <n v="4"/>
    <n v="0.7"/>
    <x v="1"/>
    <x v="5"/>
    <n v="-13.938000000000001"/>
    <n v="-0.76666666666666672"/>
    <n v="1"/>
  </r>
  <r>
    <n v="6975"/>
    <s v="CA-2017-146185"/>
    <d v="2017-09-15T00:00:00"/>
    <x v="3"/>
    <s v="Q3"/>
    <x v="15"/>
    <d v="2017-09-19T00:00:00"/>
    <s v="Standard Class"/>
    <x v="230"/>
    <x v="230"/>
    <s v="Consumer"/>
    <s v="United States"/>
    <s v="Houston"/>
    <x v="5"/>
    <n v="77095"/>
    <x v="2"/>
    <x v="1571"/>
    <x v="1"/>
    <x v="6"/>
    <x v="1562"/>
    <n v="31.744"/>
    <s v="Medium"/>
    <n v="2"/>
    <n v="0.2"/>
    <x v="2"/>
    <x v="2"/>
    <n v="8.3328000000000007"/>
    <n v="0.26250000000000001"/>
    <n v="0"/>
  </r>
  <r>
    <n v="6976"/>
    <s v="CA-2015-112144"/>
    <d v="2015-06-28T00:00:00"/>
    <x v="1"/>
    <s v="Q2"/>
    <x v="40"/>
    <d v="2015-07-02T00:00:00"/>
    <s v="Standard Class"/>
    <x v="388"/>
    <x v="388"/>
    <s v="Corporate"/>
    <s v="United States"/>
    <s v="Gilbert"/>
    <x v="16"/>
    <n v="85234"/>
    <x v="1"/>
    <x v="1139"/>
    <x v="1"/>
    <x v="2"/>
    <x v="1127"/>
    <n v="5.9039999999999999"/>
    <s v="Low"/>
    <n v="2"/>
    <n v="0.2"/>
    <x v="2"/>
    <x v="2"/>
    <n v="1.9925999999999999"/>
    <n v="0.33749999999999997"/>
    <n v="0"/>
  </r>
  <r>
    <n v="6977"/>
    <s v="CA-2015-112144"/>
    <d v="2015-06-28T00:00:00"/>
    <x v="1"/>
    <s v="Q2"/>
    <x v="40"/>
    <d v="2015-07-02T00:00:00"/>
    <s v="Standard Class"/>
    <x v="388"/>
    <x v="388"/>
    <s v="Corporate"/>
    <s v="United States"/>
    <s v="Gilbert"/>
    <x v="16"/>
    <n v="85234"/>
    <x v="1"/>
    <x v="622"/>
    <x v="0"/>
    <x v="5"/>
    <x v="622"/>
    <n v="621.76"/>
    <s v="High"/>
    <n v="4"/>
    <n v="0.2"/>
    <x v="2"/>
    <x v="2"/>
    <n v="46.631999999999998"/>
    <n v="7.4999999999999997E-2"/>
    <n v="0"/>
  </r>
  <r>
    <n v="6978"/>
    <s v="US-2016-119298"/>
    <d v="2016-11-25T00:00:00"/>
    <x v="0"/>
    <s v="Q4"/>
    <x v="0"/>
    <d v="2016-11-28T00:00:00"/>
    <s v="First Class"/>
    <x v="212"/>
    <x v="212"/>
    <s v="Consumer"/>
    <s v="United States"/>
    <s v="Jonesboro"/>
    <x v="36"/>
    <n v="72401"/>
    <x v="0"/>
    <x v="993"/>
    <x v="2"/>
    <x v="7"/>
    <x v="985"/>
    <n v="59.98"/>
    <s v="Medium"/>
    <n v="2"/>
    <n v="0"/>
    <x v="0"/>
    <x v="0"/>
    <n v="17.994"/>
    <n v="0.3"/>
    <n v="0"/>
  </r>
  <r>
    <n v="6979"/>
    <s v="CA-2017-155159"/>
    <d v="2017-11-25T00:00:00"/>
    <x v="3"/>
    <s v="Q4"/>
    <x v="23"/>
    <d v="2017-11-29T00:00:00"/>
    <s v="Second Class"/>
    <x v="111"/>
    <x v="111"/>
    <s v="Consumer"/>
    <s v="United States"/>
    <s v="Atlanta"/>
    <x v="32"/>
    <n v="30318"/>
    <x v="0"/>
    <x v="362"/>
    <x v="1"/>
    <x v="10"/>
    <x v="362"/>
    <n v="48.87"/>
    <s v="Medium"/>
    <n v="9"/>
    <n v="0"/>
    <x v="0"/>
    <x v="0"/>
    <n v="23.946300000000001"/>
    <n v="0.49000000000000005"/>
    <n v="0"/>
  </r>
  <r>
    <n v="6980"/>
    <s v="CA-2017-149076"/>
    <d v="2017-01-14T00:00:00"/>
    <x v="3"/>
    <s v="Q1"/>
    <x v="44"/>
    <d v="2017-01-19T00:00:00"/>
    <s v="Standard Class"/>
    <x v="2"/>
    <x v="2"/>
    <s v="Consumer"/>
    <s v="United States"/>
    <s v="Los Angeles"/>
    <x v="1"/>
    <n v="90036"/>
    <x v="1"/>
    <x v="1693"/>
    <x v="1"/>
    <x v="10"/>
    <x v="1681"/>
    <n v="154.9"/>
    <s v="High"/>
    <n v="5"/>
    <n v="0"/>
    <x v="0"/>
    <x v="0"/>
    <n v="69.704999999999998"/>
    <n v="0.44999999999999996"/>
    <n v="0"/>
  </r>
  <r>
    <n v="6981"/>
    <s v="CA-2014-146990"/>
    <d v="2014-11-07T00:00:00"/>
    <x v="2"/>
    <s v="Q4"/>
    <x v="7"/>
    <d v="2014-11-08T00:00:00"/>
    <s v="First Class"/>
    <x v="162"/>
    <x v="162"/>
    <s v="Corporate"/>
    <s v="United States"/>
    <s v="New York City"/>
    <x v="15"/>
    <n v="10024"/>
    <x v="3"/>
    <x v="1084"/>
    <x v="1"/>
    <x v="13"/>
    <x v="1074"/>
    <n v="5.92"/>
    <s v="Low"/>
    <n v="4"/>
    <n v="0"/>
    <x v="0"/>
    <x v="0"/>
    <n v="2.8416000000000001"/>
    <n v="0.48000000000000004"/>
    <n v="0"/>
  </r>
  <r>
    <n v="6982"/>
    <s v="CA-2014-146990"/>
    <d v="2014-11-07T00:00:00"/>
    <x v="2"/>
    <s v="Q4"/>
    <x v="7"/>
    <d v="2014-11-08T00:00:00"/>
    <s v="First Class"/>
    <x v="162"/>
    <x v="162"/>
    <s v="Corporate"/>
    <s v="United States"/>
    <s v="New York City"/>
    <x v="15"/>
    <n v="10024"/>
    <x v="3"/>
    <x v="1603"/>
    <x v="1"/>
    <x v="10"/>
    <x v="1595"/>
    <n v="30.18"/>
    <s v="Medium"/>
    <n v="3"/>
    <n v="0"/>
    <x v="0"/>
    <x v="0"/>
    <n v="13.8828"/>
    <n v="0.45999999999999996"/>
    <n v="0"/>
  </r>
  <r>
    <n v="6983"/>
    <s v="CA-2016-116526"/>
    <d v="2016-09-01T00:00:00"/>
    <x v="0"/>
    <s v="Q3"/>
    <x v="21"/>
    <d v="2016-09-05T00:00:00"/>
    <s v="Standard Class"/>
    <x v="350"/>
    <x v="350"/>
    <s v="Consumer"/>
    <s v="United States"/>
    <s v="Detroit"/>
    <x v="12"/>
    <n v="48227"/>
    <x v="2"/>
    <x v="544"/>
    <x v="1"/>
    <x v="8"/>
    <x v="544"/>
    <n v="24.1"/>
    <s v="Low"/>
    <n v="5"/>
    <n v="0"/>
    <x v="0"/>
    <x v="0"/>
    <n v="11.086"/>
    <n v="0.45999999999999996"/>
    <n v="0"/>
  </r>
  <r>
    <n v="6984"/>
    <s v="CA-2016-116526"/>
    <d v="2016-09-01T00:00:00"/>
    <x v="0"/>
    <s v="Q3"/>
    <x v="21"/>
    <d v="2016-09-05T00:00:00"/>
    <s v="Standard Class"/>
    <x v="350"/>
    <x v="350"/>
    <s v="Consumer"/>
    <s v="United States"/>
    <s v="Detroit"/>
    <x v="12"/>
    <n v="48227"/>
    <x v="2"/>
    <x v="402"/>
    <x v="2"/>
    <x v="7"/>
    <x v="403"/>
    <n v="8.7799999999999994"/>
    <s v="Low"/>
    <n v="1"/>
    <n v="0"/>
    <x v="0"/>
    <x v="0"/>
    <n v="2.2827999999999999"/>
    <n v="0.26"/>
    <n v="0"/>
  </r>
  <r>
    <n v="6985"/>
    <s v="CA-2016-116526"/>
    <d v="2016-09-01T00:00:00"/>
    <x v="0"/>
    <s v="Q3"/>
    <x v="21"/>
    <d v="2016-09-05T00:00:00"/>
    <s v="Standard Class"/>
    <x v="350"/>
    <x v="350"/>
    <s v="Consumer"/>
    <s v="United States"/>
    <s v="Detroit"/>
    <x v="12"/>
    <n v="48227"/>
    <x v="2"/>
    <x v="549"/>
    <x v="1"/>
    <x v="9"/>
    <x v="549"/>
    <n v="376.74"/>
    <s v="High"/>
    <n v="4"/>
    <n v="0.1"/>
    <x v="3"/>
    <x v="8"/>
    <n v="71.162000000000006"/>
    <n v="0.18888888888888891"/>
    <n v="0"/>
  </r>
  <r>
    <n v="6986"/>
    <s v="CA-2016-116526"/>
    <d v="2016-09-01T00:00:00"/>
    <x v="0"/>
    <s v="Q3"/>
    <x v="21"/>
    <d v="2016-09-05T00:00:00"/>
    <s v="Standard Class"/>
    <x v="350"/>
    <x v="350"/>
    <s v="Consumer"/>
    <s v="United States"/>
    <s v="Detroit"/>
    <x v="12"/>
    <n v="48227"/>
    <x v="2"/>
    <x v="777"/>
    <x v="1"/>
    <x v="8"/>
    <x v="776"/>
    <n v="29.52"/>
    <s v="Medium"/>
    <n v="4"/>
    <n v="0"/>
    <x v="0"/>
    <x v="0"/>
    <n v="14.4648"/>
    <n v="0.49"/>
    <n v="0"/>
  </r>
  <r>
    <n v="6987"/>
    <s v="CA-2016-116526"/>
    <d v="2016-09-01T00:00:00"/>
    <x v="0"/>
    <s v="Q3"/>
    <x v="21"/>
    <d v="2016-09-05T00:00:00"/>
    <s v="Standard Class"/>
    <x v="350"/>
    <x v="350"/>
    <s v="Consumer"/>
    <s v="United States"/>
    <s v="Detroit"/>
    <x v="12"/>
    <n v="48227"/>
    <x v="2"/>
    <x v="879"/>
    <x v="1"/>
    <x v="6"/>
    <x v="873"/>
    <n v="11.96"/>
    <s v="Low"/>
    <n v="2"/>
    <n v="0"/>
    <x v="0"/>
    <x v="0"/>
    <n v="2.99"/>
    <n v="0.25"/>
    <n v="0"/>
  </r>
  <r>
    <n v="6988"/>
    <s v="CA-2016-116526"/>
    <d v="2016-09-01T00:00:00"/>
    <x v="0"/>
    <s v="Q3"/>
    <x v="21"/>
    <d v="2016-09-05T00:00:00"/>
    <s v="Standard Class"/>
    <x v="350"/>
    <x v="350"/>
    <s v="Consumer"/>
    <s v="United States"/>
    <s v="Detroit"/>
    <x v="12"/>
    <n v="48227"/>
    <x v="2"/>
    <x v="1085"/>
    <x v="1"/>
    <x v="8"/>
    <x v="1075"/>
    <n v="26.4"/>
    <s v="Medium"/>
    <n v="5"/>
    <n v="0"/>
    <x v="0"/>
    <x v="0"/>
    <n v="12.672000000000001"/>
    <n v="0.48000000000000004"/>
    <n v="0"/>
  </r>
  <r>
    <n v="6989"/>
    <s v="CA-2017-158561"/>
    <d v="2017-11-11T00:00:00"/>
    <x v="3"/>
    <s v="Q4"/>
    <x v="23"/>
    <d v="2017-11-16T00:00:00"/>
    <s v="Second Class"/>
    <x v="179"/>
    <x v="179"/>
    <s v="Corporate"/>
    <s v="United States"/>
    <s v="Fort Lauderdale"/>
    <x v="2"/>
    <n v="33311"/>
    <x v="0"/>
    <x v="1364"/>
    <x v="1"/>
    <x v="9"/>
    <x v="1350"/>
    <n v="1158.1199999999999"/>
    <s v="High"/>
    <n v="5"/>
    <n v="0.2"/>
    <x v="2"/>
    <x v="2"/>
    <n v="130.2885"/>
    <n v="0.11250000000000002"/>
    <n v="0"/>
  </r>
  <r>
    <n v="6990"/>
    <s v="CA-2017-165099"/>
    <d v="2017-12-11T00:00:00"/>
    <x v="3"/>
    <s v="Q4"/>
    <x v="22"/>
    <d v="2017-12-13T00:00:00"/>
    <s v="First Class"/>
    <x v="589"/>
    <x v="589"/>
    <s v="Consumer"/>
    <s v="United States"/>
    <s v="Abilene"/>
    <x v="5"/>
    <n v="79605"/>
    <x v="2"/>
    <x v="1809"/>
    <x v="1"/>
    <x v="9"/>
    <x v="1799"/>
    <n v="1.3919999999999999"/>
    <s v="Low"/>
    <n v="2"/>
    <n v="0.8"/>
    <x v="1"/>
    <x v="3"/>
    <n v="-3.7584"/>
    <n v="-2.7"/>
    <n v="1"/>
  </r>
  <r>
    <n v="6991"/>
    <s v="CA-2015-109386"/>
    <d v="2015-11-08T00:00:00"/>
    <x v="1"/>
    <s v="Q4"/>
    <x v="6"/>
    <d v="2015-11-13T00:00:00"/>
    <s v="Second Class"/>
    <x v="584"/>
    <x v="584"/>
    <s v="Consumer"/>
    <s v="United States"/>
    <s v="Hampton"/>
    <x v="17"/>
    <n v="23666"/>
    <x v="0"/>
    <x v="667"/>
    <x v="1"/>
    <x v="9"/>
    <x v="667"/>
    <n v="44.43"/>
    <s v="Medium"/>
    <n v="3"/>
    <n v="0"/>
    <x v="0"/>
    <x v="0"/>
    <n v="18.660599999999999"/>
    <n v="0.42"/>
    <n v="0"/>
  </r>
  <r>
    <n v="6992"/>
    <s v="CA-2015-109386"/>
    <d v="2015-11-08T00:00:00"/>
    <x v="1"/>
    <s v="Q4"/>
    <x v="6"/>
    <d v="2015-11-13T00:00:00"/>
    <s v="Second Class"/>
    <x v="584"/>
    <x v="584"/>
    <s v="Consumer"/>
    <s v="United States"/>
    <s v="Hampton"/>
    <x v="17"/>
    <n v="23666"/>
    <x v="0"/>
    <x v="1409"/>
    <x v="2"/>
    <x v="7"/>
    <x v="1396"/>
    <n v="226.2"/>
    <s v="High"/>
    <n v="5"/>
    <n v="0"/>
    <x v="0"/>
    <x v="0"/>
    <n v="58.811999999999998"/>
    <n v="0.26"/>
    <n v="0"/>
  </r>
  <r>
    <n v="6993"/>
    <s v="CA-2015-109386"/>
    <d v="2015-11-08T00:00:00"/>
    <x v="1"/>
    <s v="Q4"/>
    <x v="6"/>
    <d v="2015-11-13T00:00:00"/>
    <s v="Second Class"/>
    <x v="584"/>
    <x v="584"/>
    <s v="Consumer"/>
    <s v="United States"/>
    <s v="Hampton"/>
    <x v="17"/>
    <n v="23666"/>
    <x v="0"/>
    <x v="1292"/>
    <x v="0"/>
    <x v="5"/>
    <x v="1278"/>
    <n v="186.54"/>
    <s v="High"/>
    <n v="3"/>
    <n v="0"/>
    <x v="0"/>
    <x v="0"/>
    <n v="41.038800000000002"/>
    <n v="0.22000000000000003"/>
    <n v="0"/>
  </r>
  <r>
    <n v="6994"/>
    <s v="CA-2015-109386"/>
    <d v="2015-11-08T00:00:00"/>
    <x v="1"/>
    <s v="Q4"/>
    <x v="6"/>
    <d v="2015-11-13T00:00:00"/>
    <s v="Second Class"/>
    <x v="584"/>
    <x v="584"/>
    <s v="Consumer"/>
    <s v="United States"/>
    <s v="Hampton"/>
    <x v="17"/>
    <n v="23666"/>
    <x v="0"/>
    <x v="108"/>
    <x v="1"/>
    <x v="6"/>
    <x v="108"/>
    <n v="265.86"/>
    <s v="High"/>
    <n v="7"/>
    <n v="0"/>
    <x v="0"/>
    <x v="0"/>
    <n v="79.757999999999996"/>
    <n v="0.3"/>
    <n v="0"/>
  </r>
  <r>
    <n v="6995"/>
    <s v="CA-2015-109386"/>
    <d v="2015-11-08T00:00:00"/>
    <x v="1"/>
    <s v="Q4"/>
    <x v="6"/>
    <d v="2015-11-13T00:00:00"/>
    <s v="Second Class"/>
    <x v="584"/>
    <x v="584"/>
    <s v="Consumer"/>
    <s v="United States"/>
    <s v="Hampton"/>
    <x v="17"/>
    <n v="23666"/>
    <x v="0"/>
    <x v="311"/>
    <x v="1"/>
    <x v="6"/>
    <x v="311"/>
    <n v="27.9"/>
    <s v="Medium"/>
    <n v="5"/>
    <n v="0"/>
    <x v="0"/>
    <x v="0"/>
    <n v="6.9749999999999996"/>
    <n v="0.25"/>
    <n v="0"/>
  </r>
  <r>
    <n v="6996"/>
    <s v="CA-2015-166800"/>
    <d v="2015-11-19T00:00:00"/>
    <x v="1"/>
    <s v="Q4"/>
    <x v="6"/>
    <d v="2015-11-26T00:00:00"/>
    <s v="Standard Class"/>
    <x v="636"/>
    <x v="636"/>
    <s v="Corporate"/>
    <s v="United States"/>
    <s v="Las Vegas"/>
    <x v="33"/>
    <n v="89115"/>
    <x v="1"/>
    <x v="1037"/>
    <x v="1"/>
    <x v="9"/>
    <x v="1027"/>
    <n v="31.08"/>
    <s v="Medium"/>
    <n v="4"/>
    <n v="0"/>
    <x v="0"/>
    <x v="0"/>
    <n v="8.3916000000000004"/>
    <n v="0.27"/>
    <n v="0"/>
  </r>
  <r>
    <n v="6997"/>
    <s v="CA-2017-117443"/>
    <d v="2017-12-23T00:00:00"/>
    <x v="3"/>
    <s v="Q4"/>
    <x v="22"/>
    <d v="2017-12-25T00:00:00"/>
    <s v="Second Class"/>
    <x v="80"/>
    <x v="80"/>
    <s v="Corporate"/>
    <s v="United States"/>
    <s v="Rockford"/>
    <x v="10"/>
    <n v="61107"/>
    <x v="2"/>
    <x v="153"/>
    <x v="1"/>
    <x v="8"/>
    <x v="154"/>
    <n v="13.84"/>
    <s v="Low"/>
    <n v="4"/>
    <n v="0.8"/>
    <x v="1"/>
    <x v="3"/>
    <n v="-22.143999999999998"/>
    <n v="-1.5999999999999999"/>
    <n v="1"/>
  </r>
  <r>
    <n v="6998"/>
    <s v="CA-2017-117443"/>
    <d v="2017-12-23T00:00:00"/>
    <x v="3"/>
    <s v="Q4"/>
    <x v="22"/>
    <d v="2017-12-25T00:00:00"/>
    <s v="Second Class"/>
    <x v="80"/>
    <x v="80"/>
    <s v="Corporate"/>
    <s v="United States"/>
    <s v="Rockford"/>
    <x v="10"/>
    <n v="61107"/>
    <x v="2"/>
    <x v="1082"/>
    <x v="1"/>
    <x v="10"/>
    <x v="1072"/>
    <n v="175.87200000000001"/>
    <s v="High"/>
    <n v="4"/>
    <n v="0.2"/>
    <x v="2"/>
    <x v="2"/>
    <n v="63.753599999999999"/>
    <n v="0.36249999999999999"/>
    <n v="0"/>
  </r>
  <r>
    <n v="6999"/>
    <s v="US-2016-134369"/>
    <d v="2016-09-16T00:00:00"/>
    <x v="0"/>
    <s v="Q3"/>
    <x v="21"/>
    <d v="2016-09-22T00:00:00"/>
    <s v="Standard Class"/>
    <x v="604"/>
    <x v="604"/>
    <s v="Home Office"/>
    <s v="United States"/>
    <s v="Laguna Niguel"/>
    <x v="1"/>
    <n v="92677"/>
    <x v="1"/>
    <x v="727"/>
    <x v="1"/>
    <x v="10"/>
    <x v="1552"/>
    <n v="12.96"/>
    <s v="Low"/>
    <n v="2"/>
    <n v="0"/>
    <x v="0"/>
    <x v="0"/>
    <n v="6.3503999999999996"/>
    <n v="0.48999999999999994"/>
    <n v="0"/>
  </r>
  <r>
    <n v="7000"/>
    <s v="CA-2017-123687"/>
    <d v="2017-05-26T00:00:00"/>
    <x v="3"/>
    <s v="Q2"/>
    <x v="24"/>
    <d v="2017-05-29T00:00:00"/>
    <s v="First Class"/>
    <x v="169"/>
    <x v="169"/>
    <s v="Corporate"/>
    <s v="United States"/>
    <s v="Louisville"/>
    <x v="0"/>
    <n v="40214"/>
    <x v="0"/>
    <x v="1710"/>
    <x v="1"/>
    <x v="9"/>
    <x v="1699"/>
    <n v="208.44"/>
    <s v="High"/>
    <n v="3"/>
    <n v="0"/>
    <x v="0"/>
    <x v="0"/>
    <n v="62.531999999999996"/>
    <n v="0.3"/>
    <n v="0"/>
  </r>
  <r>
    <n v="7001"/>
    <s v="CA-2017-123687"/>
    <d v="2017-05-26T00:00:00"/>
    <x v="3"/>
    <s v="Q2"/>
    <x v="24"/>
    <d v="2017-05-29T00:00:00"/>
    <s v="First Class"/>
    <x v="169"/>
    <x v="169"/>
    <s v="Corporate"/>
    <s v="United States"/>
    <s v="Louisville"/>
    <x v="0"/>
    <n v="40214"/>
    <x v="0"/>
    <x v="505"/>
    <x v="1"/>
    <x v="14"/>
    <x v="505"/>
    <n v="25.76"/>
    <s v="Medium"/>
    <n v="2"/>
    <n v="0"/>
    <x v="0"/>
    <x v="0"/>
    <n v="0.77280000000000004"/>
    <n v="0.03"/>
    <n v="0"/>
  </r>
  <r>
    <n v="7002"/>
    <s v="CA-2015-104871"/>
    <d v="2015-03-30T00:00:00"/>
    <x v="1"/>
    <s v="Q1"/>
    <x v="29"/>
    <d v="2015-04-03T00:00:00"/>
    <s v="Standard Class"/>
    <x v="660"/>
    <x v="660"/>
    <s v="Home Office"/>
    <s v="United States"/>
    <s v="Normal"/>
    <x v="10"/>
    <n v="61761"/>
    <x v="2"/>
    <x v="1585"/>
    <x v="0"/>
    <x v="1"/>
    <x v="1576"/>
    <n v="366.74400000000003"/>
    <s v="High"/>
    <n v="4"/>
    <n v="0.3"/>
    <x v="1"/>
    <x v="4"/>
    <n v="-110.0232"/>
    <n v="-0.3"/>
    <n v="1"/>
  </r>
  <r>
    <n v="7003"/>
    <s v="CA-2014-133158"/>
    <d v="2014-08-19T00:00:00"/>
    <x v="2"/>
    <s v="Q3"/>
    <x v="9"/>
    <d v="2014-08-21T00:00:00"/>
    <s v="Second Class"/>
    <x v="694"/>
    <x v="694"/>
    <s v="Corporate"/>
    <s v="United States"/>
    <s v="Los Angeles"/>
    <x v="1"/>
    <n v="90045"/>
    <x v="1"/>
    <x v="479"/>
    <x v="0"/>
    <x v="5"/>
    <x v="480"/>
    <n v="289.24"/>
    <s v="High"/>
    <n v="7"/>
    <n v="0"/>
    <x v="0"/>
    <x v="0"/>
    <n v="26.031600000000001"/>
    <n v="0.09"/>
    <n v="0"/>
  </r>
  <r>
    <n v="7004"/>
    <s v="CA-2014-133158"/>
    <d v="2014-08-19T00:00:00"/>
    <x v="2"/>
    <s v="Q3"/>
    <x v="9"/>
    <d v="2014-08-21T00:00:00"/>
    <s v="Second Class"/>
    <x v="694"/>
    <x v="694"/>
    <s v="Corporate"/>
    <s v="United States"/>
    <s v="Los Angeles"/>
    <x v="1"/>
    <n v="90045"/>
    <x v="1"/>
    <x v="1311"/>
    <x v="1"/>
    <x v="8"/>
    <x v="1297"/>
    <n v="69.456000000000003"/>
    <s v="Medium"/>
    <n v="2"/>
    <n v="0.2"/>
    <x v="2"/>
    <x v="2"/>
    <n v="22.5732"/>
    <n v="0.32500000000000001"/>
    <n v="0"/>
  </r>
  <r>
    <n v="7005"/>
    <s v="CA-2014-126333"/>
    <d v="2014-12-23T00:00:00"/>
    <x v="2"/>
    <s v="Q4"/>
    <x v="20"/>
    <d v="2014-12-28T00:00:00"/>
    <s v="Standard Class"/>
    <x v="545"/>
    <x v="545"/>
    <s v="Corporate"/>
    <s v="United States"/>
    <s v="Port Arthur"/>
    <x v="5"/>
    <n v="77642"/>
    <x v="2"/>
    <x v="1396"/>
    <x v="1"/>
    <x v="10"/>
    <x v="1383"/>
    <n v="5.1840000000000002"/>
    <s v="Low"/>
    <n v="1"/>
    <n v="0.2"/>
    <x v="2"/>
    <x v="2"/>
    <n v="1.8144"/>
    <n v="0.35"/>
    <n v="0"/>
  </r>
  <r>
    <n v="7006"/>
    <s v="CA-2015-141740"/>
    <d v="2015-11-01T00:00:00"/>
    <x v="1"/>
    <s v="Q4"/>
    <x v="6"/>
    <d v="2015-11-05T00:00:00"/>
    <s v="Standard Class"/>
    <x v="223"/>
    <x v="223"/>
    <s v="Consumer"/>
    <s v="United States"/>
    <s v="New York City"/>
    <x v="15"/>
    <n v="10009"/>
    <x v="3"/>
    <x v="1756"/>
    <x v="0"/>
    <x v="1"/>
    <x v="1746"/>
    <n v="205.16399999999999"/>
    <s v="High"/>
    <n v="2"/>
    <n v="0.1"/>
    <x v="3"/>
    <x v="8"/>
    <n v="13.6776"/>
    <n v="6.6666666666666666E-2"/>
    <n v="0"/>
  </r>
  <r>
    <n v="7007"/>
    <s v="CA-2014-119466"/>
    <d v="2014-12-15T00:00:00"/>
    <x v="2"/>
    <s v="Q4"/>
    <x v="20"/>
    <d v="2014-12-21T00:00:00"/>
    <s v="Standard Class"/>
    <x v="133"/>
    <x v="133"/>
    <s v="Corporate"/>
    <s v="United States"/>
    <s v="Chicago"/>
    <x v="10"/>
    <n v="60623"/>
    <x v="2"/>
    <x v="1445"/>
    <x v="0"/>
    <x v="5"/>
    <x v="1432"/>
    <n v="8.5440000000000005"/>
    <s v="Low"/>
    <n v="2"/>
    <n v="0.6"/>
    <x v="1"/>
    <x v="6"/>
    <n v="-7.476"/>
    <n v="-0.875"/>
    <n v="1"/>
  </r>
  <r>
    <n v="7008"/>
    <s v="CA-2015-154823"/>
    <d v="2015-08-21T00:00:00"/>
    <x v="1"/>
    <s v="Q3"/>
    <x v="37"/>
    <d v="2015-08-25T00:00:00"/>
    <s v="Standard Class"/>
    <x v="471"/>
    <x v="471"/>
    <s v="Corporate"/>
    <s v="United States"/>
    <s v="Springfield"/>
    <x v="24"/>
    <n v="45503"/>
    <x v="3"/>
    <x v="410"/>
    <x v="1"/>
    <x v="8"/>
    <x v="410"/>
    <n v="12.827999999999999"/>
    <s v="Low"/>
    <n v="2"/>
    <n v="0.7"/>
    <x v="1"/>
    <x v="5"/>
    <n v="-8.9795999999999996"/>
    <n v="-0.7"/>
    <n v="1"/>
  </r>
  <r>
    <n v="7009"/>
    <s v="CA-2015-154823"/>
    <d v="2015-08-21T00:00:00"/>
    <x v="1"/>
    <s v="Q3"/>
    <x v="37"/>
    <d v="2015-08-25T00:00:00"/>
    <s v="Standard Class"/>
    <x v="471"/>
    <x v="471"/>
    <s v="Corporate"/>
    <s v="United States"/>
    <s v="Springfield"/>
    <x v="24"/>
    <n v="45503"/>
    <x v="3"/>
    <x v="463"/>
    <x v="0"/>
    <x v="1"/>
    <x v="464"/>
    <n v="598.45799999999997"/>
    <s v="High"/>
    <n v="3"/>
    <n v="0.3"/>
    <x v="1"/>
    <x v="4"/>
    <n v="-42.747"/>
    <n v="-7.1428571428571438E-2"/>
    <n v="1"/>
  </r>
  <r>
    <n v="7010"/>
    <s v="CA-2015-154823"/>
    <d v="2015-08-21T00:00:00"/>
    <x v="1"/>
    <s v="Q3"/>
    <x v="37"/>
    <d v="2015-08-25T00:00:00"/>
    <s v="Standard Class"/>
    <x v="471"/>
    <x v="471"/>
    <s v="Corporate"/>
    <s v="United States"/>
    <s v="Springfield"/>
    <x v="24"/>
    <n v="45503"/>
    <x v="3"/>
    <x v="1525"/>
    <x v="0"/>
    <x v="5"/>
    <x v="1512"/>
    <n v="25.984000000000002"/>
    <s v="Medium"/>
    <n v="1"/>
    <n v="0.2"/>
    <x v="2"/>
    <x v="2"/>
    <n v="-3.8976000000000002"/>
    <n v="-0.15"/>
    <n v="1"/>
  </r>
  <r>
    <n v="7011"/>
    <s v="US-2014-135881"/>
    <d v="2014-05-23T00:00:00"/>
    <x v="2"/>
    <s v="Q2"/>
    <x v="8"/>
    <d v="2014-05-27T00:00:00"/>
    <s v="Standard Class"/>
    <x v="218"/>
    <x v="218"/>
    <s v="Consumer"/>
    <s v="United States"/>
    <s v="New York City"/>
    <x v="15"/>
    <n v="10035"/>
    <x v="3"/>
    <x v="1366"/>
    <x v="1"/>
    <x v="8"/>
    <x v="307"/>
    <n v="17.96"/>
    <s v="Low"/>
    <n v="5"/>
    <n v="0.2"/>
    <x v="2"/>
    <x v="2"/>
    <n v="5.8369999999999997"/>
    <n v="0.32499999999999996"/>
    <n v="0"/>
  </r>
  <r>
    <n v="7012"/>
    <s v="US-2014-135881"/>
    <d v="2014-05-23T00:00:00"/>
    <x v="2"/>
    <s v="Q2"/>
    <x v="8"/>
    <d v="2014-05-27T00:00:00"/>
    <s v="Standard Class"/>
    <x v="218"/>
    <x v="218"/>
    <s v="Consumer"/>
    <s v="United States"/>
    <s v="New York City"/>
    <x v="15"/>
    <n v="10035"/>
    <x v="3"/>
    <x v="1576"/>
    <x v="1"/>
    <x v="14"/>
    <x v="1567"/>
    <n v="5.04"/>
    <s v="Low"/>
    <n v="2"/>
    <n v="0"/>
    <x v="0"/>
    <x v="0"/>
    <n v="0.1512"/>
    <n v="0.03"/>
    <n v="0"/>
  </r>
  <r>
    <n v="7013"/>
    <s v="US-2014-135881"/>
    <d v="2014-05-23T00:00:00"/>
    <x v="2"/>
    <s v="Q2"/>
    <x v="8"/>
    <d v="2014-05-27T00:00:00"/>
    <s v="Standard Class"/>
    <x v="218"/>
    <x v="218"/>
    <s v="Consumer"/>
    <s v="United States"/>
    <s v="New York City"/>
    <x v="15"/>
    <n v="10035"/>
    <x v="3"/>
    <x v="77"/>
    <x v="1"/>
    <x v="9"/>
    <x v="77"/>
    <n v="208.16"/>
    <s v="High"/>
    <n v="1"/>
    <n v="0"/>
    <x v="0"/>
    <x v="0"/>
    <n v="56.203200000000002"/>
    <n v="0.27"/>
    <n v="0"/>
  </r>
  <r>
    <n v="7014"/>
    <s v="CA-2017-141201"/>
    <d v="2017-12-09T00:00:00"/>
    <x v="3"/>
    <s v="Q4"/>
    <x v="22"/>
    <d v="2017-12-11T00:00:00"/>
    <s v="Second Class"/>
    <x v="626"/>
    <x v="626"/>
    <s v="Home Office"/>
    <s v="United States"/>
    <s v="Salinas"/>
    <x v="1"/>
    <n v="93905"/>
    <x v="1"/>
    <x v="672"/>
    <x v="0"/>
    <x v="0"/>
    <x v="672"/>
    <n v="148.25700000000001"/>
    <s v="High"/>
    <n v="3"/>
    <n v="0.15"/>
    <x v="2"/>
    <x v="2"/>
    <n v="15.697800000000001"/>
    <n v="0.10588235294117647"/>
    <n v="0"/>
  </r>
  <r>
    <n v="7015"/>
    <s v="CA-2014-114790"/>
    <d v="2014-03-11T00:00:00"/>
    <x v="2"/>
    <s v="Q1"/>
    <x v="34"/>
    <d v="2014-03-13T00:00:00"/>
    <s v="Second Class"/>
    <x v="524"/>
    <x v="524"/>
    <s v="Corporate"/>
    <s v="United States"/>
    <s v="Richmond"/>
    <x v="0"/>
    <n v="40475"/>
    <x v="0"/>
    <x v="414"/>
    <x v="1"/>
    <x v="9"/>
    <x v="414"/>
    <n v="146.76"/>
    <s v="High"/>
    <n v="3"/>
    <n v="0"/>
    <x v="0"/>
    <x v="0"/>
    <n v="38.157600000000002"/>
    <n v="0.26"/>
    <n v="0"/>
  </r>
  <r>
    <n v="7016"/>
    <s v="CA-2014-114790"/>
    <d v="2014-03-11T00:00:00"/>
    <x v="2"/>
    <s v="Q1"/>
    <x v="34"/>
    <d v="2014-03-13T00:00:00"/>
    <s v="Second Class"/>
    <x v="524"/>
    <x v="524"/>
    <s v="Corporate"/>
    <s v="United States"/>
    <s v="Richmond"/>
    <x v="0"/>
    <n v="40475"/>
    <x v="0"/>
    <x v="678"/>
    <x v="2"/>
    <x v="11"/>
    <x v="678"/>
    <n v="32.96"/>
    <s v="Medium"/>
    <n v="2"/>
    <n v="0"/>
    <x v="0"/>
    <x v="0"/>
    <n v="14.172800000000001"/>
    <n v="0.43"/>
    <n v="0"/>
  </r>
  <r>
    <n v="7017"/>
    <s v="CA-2014-114790"/>
    <d v="2014-03-11T00:00:00"/>
    <x v="2"/>
    <s v="Q1"/>
    <x v="34"/>
    <d v="2014-03-13T00:00:00"/>
    <s v="Second Class"/>
    <x v="524"/>
    <x v="524"/>
    <s v="Corporate"/>
    <s v="United States"/>
    <s v="Richmond"/>
    <x v="0"/>
    <n v="40475"/>
    <x v="0"/>
    <x v="469"/>
    <x v="2"/>
    <x v="7"/>
    <x v="470"/>
    <n v="587.97"/>
    <s v="High"/>
    <n v="3"/>
    <n v="0"/>
    <x v="0"/>
    <x v="0"/>
    <n v="164.63159999999999"/>
    <n v="0.27999999999999997"/>
    <n v="0"/>
  </r>
  <r>
    <n v="7018"/>
    <s v="CA-2014-114790"/>
    <d v="2014-03-11T00:00:00"/>
    <x v="2"/>
    <s v="Q1"/>
    <x v="34"/>
    <d v="2014-03-13T00:00:00"/>
    <s v="Second Class"/>
    <x v="524"/>
    <x v="524"/>
    <s v="Corporate"/>
    <s v="United States"/>
    <s v="Richmond"/>
    <x v="0"/>
    <n v="40475"/>
    <x v="0"/>
    <x v="1463"/>
    <x v="1"/>
    <x v="10"/>
    <x v="1449"/>
    <n v="14.94"/>
    <s v="Low"/>
    <n v="3"/>
    <n v="0"/>
    <x v="0"/>
    <x v="0"/>
    <n v="7.0217999999999998"/>
    <n v="0.47000000000000003"/>
    <n v="0"/>
  </r>
  <r>
    <n v="7019"/>
    <s v="US-2016-154256"/>
    <d v="2016-06-23T00:00:00"/>
    <x v="0"/>
    <s v="Q2"/>
    <x v="1"/>
    <d v="2016-06-27T00:00:00"/>
    <s v="Second Class"/>
    <x v="325"/>
    <x v="325"/>
    <s v="Consumer"/>
    <s v="United States"/>
    <s v="New York City"/>
    <x v="15"/>
    <n v="10035"/>
    <x v="3"/>
    <x v="1647"/>
    <x v="1"/>
    <x v="2"/>
    <x v="1636"/>
    <n v="25.83"/>
    <s v="Medium"/>
    <n v="7"/>
    <n v="0"/>
    <x v="0"/>
    <x v="0"/>
    <n v="12.1401"/>
    <n v="0.47000000000000003"/>
    <n v="0"/>
  </r>
  <r>
    <n v="7020"/>
    <s v="CA-2014-124737"/>
    <d v="2014-08-23T00:00:00"/>
    <x v="2"/>
    <s v="Q3"/>
    <x v="9"/>
    <d v="2014-08-27T00:00:00"/>
    <s v="Standard Class"/>
    <x v="275"/>
    <x v="275"/>
    <s v="Consumer"/>
    <s v="United States"/>
    <s v="Denver"/>
    <x v="22"/>
    <n v="80219"/>
    <x v="1"/>
    <x v="1810"/>
    <x v="1"/>
    <x v="10"/>
    <x v="1800"/>
    <n v="15.552"/>
    <s v="Low"/>
    <n v="3"/>
    <n v="0.2"/>
    <x v="2"/>
    <x v="2"/>
    <n v="5.4432"/>
    <n v="0.35000000000000003"/>
    <n v="0"/>
  </r>
  <r>
    <n v="7021"/>
    <s v="CA-2014-124737"/>
    <d v="2014-08-23T00:00:00"/>
    <x v="2"/>
    <s v="Q3"/>
    <x v="9"/>
    <d v="2014-08-27T00:00:00"/>
    <s v="Standard Class"/>
    <x v="275"/>
    <x v="275"/>
    <s v="Consumer"/>
    <s v="United States"/>
    <s v="Denver"/>
    <x v="22"/>
    <n v="80219"/>
    <x v="1"/>
    <x v="1768"/>
    <x v="1"/>
    <x v="14"/>
    <x v="1757"/>
    <n v="6.8"/>
    <s v="Low"/>
    <n v="1"/>
    <n v="0.2"/>
    <x v="2"/>
    <x v="2"/>
    <n v="0.51"/>
    <n v="7.4999999999999997E-2"/>
    <n v="0"/>
  </r>
  <r>
    <n v="7022"/>
    <s v="CA-2014-124737"/>
    <d v="2014-08-23T00:00:00"/>
    <x v="2"/>
    <s v="Q3"/>
    <x v="9"/>
    <d v="2014-08-27T00:00:00"/>
    <s v="Standard Class"/>
    <x v="275"/>
    <x v="275"/>
    <s v="Consumer"/>
    <s v="United States"/>
    <s v="Denver"/>
    <x v="22"/>
    <n v="80219"/>
    <x v="1"/>
    <x v="247"/>
    <x v="0"/>
    <x v="5"/>
    <x v="248"/>
    <n v="4.2240000000000002"/>
    <s v="Low"/>
    <n v="3"/>
    <n v="0.2"/>
    <x v="2"/>
    <x v="2"/>
    <n v="1.2672000000000001"/>
    <n v="0.3"/>
    <n v="0"/>
  </r>
  <r>
    <n v="7023"/>
    <s v="CA-2014-124737"/>
    <d v="2014-08-23T00:00:00"/>
    <x v="2"/>
    <s v="Q3"/>
    <x v="9"/>
    <d v="2014-08-27T00:00:00"/>
    <s v="Standard Class"/>
    <x v="275"/>
    <x v="275"/>
    <s v="Consumer"/>
    <s v="United States"/>
    <s v="Denver"/>
    <x v="22"/>
    <n v="80219"/>
    <x v="1"/>
    <x v="424"/>
    <x v="2"/>
    <x v="7"/>
    <x v="424"/>
    <n v="143.63999999999999"/>
    <s v="High"/>
    <n v="9"/>
    <n v="0.2"/>
    <x v="2"/>
    <x v="2"/>
    <n v="10.773"/>
    <n v="7.5000000000000011E-2"/>
    <n v="0"/>
  </r>
  <r>
    <n v="7024"/>
    <s v="CA-2014-124737"/>
    <d v="2014-08-23T00:00:00"/>
    <x v="2"/>
    <s v="Q3"/>
    <x v="9"/>
    <d v="2014-08-27T00:00:00"/>
    <s v="Standard Class"/>
    <x v="275"/>
    <x v="275"/>
    <s v="Consumer"/>
    <s v="United States"/>
    <s v="Denver"/>
    <x v="22"/>
    <n v="80219"/>
    <x v="1"/>
    <x v="712"/>
    <x v="1"/>
    <x v="10"/>
    <x v="711"/>
    <n v="31.103999999999999"/>
    <s v="Medium"/>
    <n v="6"/>
    <n v="0.2"/>
    <x v="2"/>
    <x v="2"/>
    <n v="10.8864"/>
    <n v="0.35000000000000003"/>
    <n v="0"/>
  </r>
  <r>
    <n v="7025"/>
    <s v="CA-2014-124737"/>
    <d v="2014-08-23T00:00:00"/>
    <x v="2"/>
    <s v="Q3"/>
    <x v="9"/>
    <d v="2014-08-27T00:00:00"/>
    <s v="Standard Class"/>
    <x v="275"/>
    <x v="275"/>
    <s v="Consumer"/>
    <s v="United States"/>
    <s v="Denver"/>
    <x v="22"/>
    <n v="80219"/>
    <x v="1"/>
    <x v="1030"/>
    <x v="1"/>
    <x v="10"/>
    <x v="1021"/>
    <n v="223.05600000000001"/>
    <s v="High"/>
    <n v="9"/>
    <n v="0.2"/>
    <x v="2"/>
    <x v="2"/>
    <n v="69.704999999999998"/>
    <n v="0.3125"/>
    <n v="0"/>
  </r>
  <r>
    <n v="7026"/>
    <s v="US-2017-101840"/>
    <d v="2017-02-06T00:00:00"/>
    <x v="3"/>
    <s v="Q1"/>
    <x v="31"/>
    <d v="2017-02-12T00:00:00"/>
    <s v="Standard Class"/>
    <x v="259"/>
    <x v="259"/>
    <s v="Corporate"/>
    <s v="United States"/>
    <s v="New York City"/>
    <x v="15"/>
    <n v="10024"/>
    <x v="3"/>
    <x v="529"/>
    <x v="2"/>
    <x v="7"/>
    <x v="529"/>
    <n v="227.46"/>
    <s v="High"/>
    <n v="6"/>
    <n v="0"/>
    <x v="0"/>
    <x v="0"/>
    <n v="65.963399999999993"/>
    <n v="0.28999999999999998"/>
    <n v="0"/>
  </r>
  <r>
    <n v="7027"/>
    <s v="US-2017-101840"/>
    <d v="2017-02-06T00:00:00"/>
    <x v="3"/>
    <s v="Q1"/>
    <x v="31"/>
    <d v="2017-02-12T00:00:00"/>
    <s v="Standard Class"/>
    <x v="259"/>
    <x v="259"/>
    <s v="Corporate"/>
    <s v="United States"/>
    <s v="New York City"/>
    <x v="15"/>
    <n v="10024"/>
    <x v="3"/>
    <x v="1784"/>
    <x v="1"/>
    <x v="8"/>
    <x v="1774"/>
    <n v="46.24"/>
    <s v="Medium"/>
    <n v="4"/>
    <n v="0.2"/>
    <x v="2"/>
    <x v="2"/>
    <n v="15.606"/>
    <n v="0.33749999999999997"/>
    <n v="0"/>
  </r>
  <r>
    <n v="7028"/>
    <s v="CA-2017-131653"/>
    <d v="2017-01-29T00:00:00"/>
    <x v="3"/>
    <s v="Q1"/>
    <x v="44"/>
    <d v="2017-02-05T00:00:00"/>
    <s v="Standard Class"/>
    <x v="361"/>
    <x v="361"/>
    <s v="Consumer"/>
    <s v="United States"/>
    <s v="New York City"/>
    <x v="15"/>
    <n v="10011"/>
    <x v="3"/>
    <x v="709"/>
    <x v="1"/>
    <x v="2"/>
    <x v="708"/>
    <n v="5.22"/>
    <s v="Low"/>
    <n v="2"/>
    <n v="0"/>
    <x v="0"/>
    <x v="0"/>
    <n v="2.4011999999999998"/>
    <n v="0.45999999999999996"/>
    <n v="0"/>
  </r>
  <r>
    <n v="7029"/>
    <s v="US-2016-157840"/>
    <d v="2016-12-20T00:00:00"/>
    <x v="0"/>
    <s v="Q4"/>
    <x v="5"/>
    <d v="2016-12-23T00:00:00"/>
    <s v="Second Class"/>
    <x v="430"/>
    <x v="430"/>
    <s v="Consumer"/>
    <s v="United States"/>
    <s v="Fremont"/>
    <x v="8"/>
    <n v="68025"/>
    <x v="2"/>
    <x v="987"/>
    <x v="1"/>
    <x v="10"/>
    <x v="980"/>
    <n v="33.9"/>
    <s v="Medium"/>
    <n v="5"/>
    <n v="0"/>
    <x v="0"/>
    <x v="0"/>
    <n v="15.593999999999999"/>
    <n v="0.46"/>
    <n v="0"/>
  </r>
  <r>
    <n v="7030"/>
    <s v="CA-2016-145548"/>
    <d v="2016-11-11T00:00:00"/>
    <x v="0"/>
    <s v="Q4"/>
    <x v="0"/>
    <d v="2016-11-16T00:00:00"/>
    <s v="Standard Class"/>
    <x v="494"/>
    <x v="494"/>
    <s v="Corporate"/>
    <s v="United States"/>
    <s v="New York City"/>
    <x v="15"/>
    <n v="10011"/>
    <x v="3"/>
    <x v="1190"/>
    <x v="1"/>
    <x v="4"/>
    <x v="683"/>
    <n v="28.14"/>
    <s v="Medium"/>
    <n v="3"/>
    <n v="0"/>
    <x v="0"/>
    <x v="0"/>
    <n v="7.8792"/>
    <n v="0.27999999999999997"/>
    <n v="0"/>
  </r>
  <r>
    <n v="7031"/>
    <s v="CA-2016-145548"/>
    <d v="2016-11-11T00:00:00"/>
    <x v="0"/>
    <s v="Q4"/>
    <x v="0"/>
    <d v="2016-11-16T00:00:00"/>
    <s v="Standard Class"/>
    <x v="494"/>
    <x v="494"/>
    <s v="Corporate"/>
    <s v="United States"/>
    <s v="New York City"/>
    <x v="15"/>
    <n v="10011"/>
    <x v="3"/>
    <x v="1542"/>
    <x v="2"/>
    <x v="11"/>
    <x v="1530"/>
    <n v="36"/>
    <s v="Medium"/>
    <n v="2"/>
    <n v="0"/>
    <x v="0"/>
    <x v="0"/>
    <n v="6.48"/>
    <n v="0.18000000000000002"/>
    <n v="0"/>
  </r>
  <r>
    <n v="7032"/>
    <s v="CA-2016-145548"/>
    <d v="2016-11-11T00:00:00"/>
    <x v="0"/>
    <s v="Q4"/>
    <x v="0"/>
    <d v="2016-11-16T00:00:00"/>
    <s v="Standard Class"/>
    <x v="494"/>
    <x v="494"/>
    <s v="Corporate"/>
    <s v="United States"/>
    <s v="New York City"/>
    <x v="15"/>
    <n v="10011"/>
    <x v="3"/>
    <x v="290"/>
    <x v="1"/>
    <x v="6"/>
    <x v="290"/>
    <n v="92.94"/>
    <s v="Medium"/>
    <n v="3"/>
    <n v="0"/>
    <x v="0"/>
    <x v="0"/>
    <n v="25.093800000000002"/>
    <n v="0.27"/>
    <n v="0"/>
  </r>
  <r>
    <n v="7033"/>
    <s v="CA-2016-145548"/>
    <d v="2016-11-11T00:00:00"/>
    <x v="0"/>
    <s v="Q4"/>
    <x v="0"/>
    <d v="2016-11-16T00:00:00"/>
    <s v="Standard Class"/>
    <x v="494"/>
    <x v="494"/>
    <s v="Corporate"/>
    <s v="United States"/>
    <s v="New York City"/>
    <x v="15"/>
    <n v="10011"/>
    <x v="3"/>
    <x v="1209"/>
    <x v="0"/>
    <x v="1"/>
    <x v="1194"/>
    <n v="245.64599999999999"/>
    <s v="High"/>
    <n v="3"/>
    <n v="0.1"/>
    <x v="3"/>
    <x v="8"/>
    <n v="8.1882000000000001"/>
    <n v="3.3333333333333333E-2"/>
    <n v="0"/>
  </r>
  <r>
    <n v="7034"/>
    <s v="CA-2016-145548"/>
    <d v="2016-11-11T00:00:00"/>
    <x v="0"/>
    <s v="Q4"/>
    <x v="0"/>
    <d v="2016-11-16T00:00:00"/>
    <s v="Standard Class"/>
    <x v="494"/>
    <x v="494"/>
    <s v="Corporate"/>
    <s v="United States"/>
    <s v="New York City"/>
    <x v="15"/>
    <n v="10011"/>
    <x v="3"/>
    <x v="710"/>
    <x v="1"/>
    <x v="8"/>
    <x v="709"/>
    <n v="55.008000000000003"/>
    <s v="Medium"/>
    <n v="3"/>
    <n v="0.2"/>
    <x v="2"/>
    <x v="2"/>
    <n v="17.190000000000001"/>
    <n v="0.3125"/>
    <n v="0"/>
  </r>
  <r>
    <n v="7035"/>
    <s v="CA-2016-145548"/>
    <d v="2016-11-11T00:00:00"/>
    <x v="0"/>
    <s v="Q4"/>
    <x v="0"/>
    <d v="2016-11-16T00:00:00"/>
    <s v="Standard Class"/>
    <x v="494"/>
    <x v="494"/>
    <s v="Corporate"/>
    <s v="United States"/>
    <s v="New York City"/>
    <x v="15"/>
    <n v="10011"/>
    <x v="3"/>
    <x v="908"/>
    <x v="1"/>
    <x v="8"/>
    <x v="900"/>
    <n v="35.231999999999999"/>
    <s v="Medium"/>
    <n v="3"/>
    <n v="0.2"/>
    <x v="2"/>
    <x v="2"/>
    <n v="11.4504"/>
    <n v="0.32500000000000001"/>
    <n v="0"/>
  </r>
  <r>
    <n v="7036"/>
    <s v="CA-2017-119494"/>
    <d v="2017-11-09T00:00:00"/>
    <x v="3"/>
    <s v="Q4"/>
    <x v="23"/>
    <d v="2017-11-13T00:00:00"/>
    <s v="Standard Class"/>
    <x v="531"/>
    <x v="531"/>
    <s v="Corporate"/>
    <s v="United States"/>
    <s v="San Diego"/>
    <x v="1"/>
    <n v="92105"/>
    <x v="1"/>
    <x v="635"/>
    <x v="0"/>
    <x v="1"/>
    <x v="635"/>
    <n v="523.39200000000005"/>
    <s v="High"/>
    <n v="3"/>
    <n v="0.2"/>
    <x v="2"/>
    <x v="2"/>
    <n v="52.339199999999998"/>
    <n v="9.9999999999999992E-2"/>
    <n v="0"/>
  </r>
  <r>
    <n v="7037"/>
    <s v="CA-2014-124618"/>
    <d v="2014-05-02T00:00:00"/>
    <x v="2"/>
    <s v="Q2"/>
    <x v="8"/>
    <d v="2014-05-04T00:00:00"/>
    <s v="Second Class"/>
    <x v="750"/>
    <x v="750"/>
    <s v="Consumer"/>
    <s v="United States"/>
    <s v="Lakeland"/>
    <x v="2"/>
    <n v="33801"/>
    <x v="0"/>
    <x v="851"/>
    <x v="2"/>
    <x v="16"/>
    <x v="844"/>
    <n v="479.98399999999998"/>
    <s v="High"/>
    <n v="2"/>
    <n v="0.2"/>
    <x v="2"/>
    <x v="2"/>
    <n v="89.997"/>
    <n v="0.1875"/>
    <n v="0"/>
  </r>
  <r>
    <n v="7038"/>
    <s v="CA-2017-161970"/>
    <d v="2017-09-22T00:00:00"/>
    <x v="3"/>
    <s v="Q3"/>
    <x v="15"/>
    <d v="2017-09-27T00:00:00"/>
    <s v="Standard Class"/>
    <x v="287"/>
    <x v="287"/>
    <s v="Consumer"/>
    <s v="United States"/>
    <s v="Smyrna"/>
    <x v="32"/>
    <n v="30080"/>
    <x v="0"/>
    <x v="1330"/>
    <x v="1"/>
    <x v="10"/>
    <x v="1315"/>
    <n v="12.96"/>
    <s v="Low"/>
    <n v="2"/>
    <n v="0"/>
    <x v="0"/>
    <x v="0"/>
    <n v="6.2207999999999997"/>
    <n v="0.47999999999999993"/>
    <n v="0"/>
  </r>
  <r>
    <n v="7039"/>
    <s v="CA-2017-161970"/>
    <d v="2017-09-22T00:00:00"/>
    <x v="3"/>
    <s v="Q3"/>
    <x v="15"/>
    <d v="2017-09-27T00:00:00"/>
    <s v="Standard Class"/>
    <x v="287"/>
    <x v="287"/>
    <s v="Consumer"/>
    <s v="United States"/>
    <s v="Smyrna"/>
    <x v="32"/>
    <n v="30080"/>
    <x v="0"/>
    <x v="1811"/>
    <x v="1"/>
    <x v="6"/>
    <x v="1801"/>
    <n v="17.940000000000001"/>
    <s v="Low"/>
    <n v="3"/>
    <n v="0"/>
    <x v="0"/>
    <x v="0"/>
    <n v="6.4584000000000001"/>
    <n v="0.36"/>
    <n v="0"/>
  </r>
  <r>
    <n v="7040"/>
    <s v="CA-2017-103443"/>
    <d v="2017-12-17T00:00:00"/>
    <x v="3"/>
    <s v="Q4"/>
    <x v="22"/>
    <d v="2017-12-23T00:00:00"/>
    <s v="Standard Class"/>
    <x v="247"/>
    <x v="247"/>
    <s v="Consumer"/>
    <s v="United States"/>
    <s v="New York City"/>
    <x v="15"/>
    <n v="10009"/>
    <x v="3"/>
    <x v="225"/>
    <x v="1"/>
    <x v="4"/>
    <x v="226"/>
    <n v="166.72"/>
    <s v="High"/>
    <n v="2"/>
    <n v="0"/>
    <x v="0"/>
    <x v="0"/>
    <n v="41.68"/>
    <n v="0.25"/>
    <n v="0"/>
  </r>
  <r>
    <n v="7041"/>
    <s v="CA-2017-103443"/>
    <d v="2017-12-17T00:00:00"/>
    <x v="3"/>
    <s v="Q4"/>
    <x v="22"/>
    <d v="2017-12-23T00:00:00"/>
    <s v="Standard Class"/>
    <x v="247"/>
    <x v="247"/>
    <s v="Consumer"/>
    <s v="United States"/>
    <s v="New York City"/>
    <x v="15"/>
    <n v="10009"/>
    <x v="3"/>
    <x v="1339"/>
    <x v="1"/>
    <x v="8"/>
    <x v="1324"/>
    <n v="24.815999999999999"/>
    <s v="Low"/>
    <n v="3"/>
    <n v="0.2"/>
    <x v="2"/>
    <x v="2"/>
    <n v="8.3754000000000008"/>
    <n v="0.33750000000000002"/>
    <n v="0"/>
  </r>
  <r>
    <n v="7042"/>
    <s v="CA-2017-103443"/>
    <d v="2017-12-17T00:00:00"/>
    <x v="3"/>
    <s v="Q4"/>
    <x v="22"/>
    <d v="2017-12-23T00:00:00"/>
    <s v="Standard Class"/>
    <x v="247"/>
    <x v="247"/>
    <s v="Consumer"/>
    <s v="United States"/>
    <s v="New York City"/>
    <x v="15"/>
    <n v="10009"/>
    <x v="3"/>
    <x v="1292"/>
    <x v="0"/>
    <x v="5"/>
    <x v="1278"/>
    <n v="124.36"/>
    <s v="High"/>
    <n v="2"/>
    <n v="0"/>
    <x v="0"/>
    <x v="0"/>
    <n v="27.359200000000001"/>
    <n v="0.22"/>
    <n v="0"/>
  </r>
  <r>
    <n v="7043"/>
    <s v="US-2017-165358"/>
    <d v="2017-07-18T00:00:00"/>
    <x v="3"/>
    <s v="Q3"/>
    <x v="10"/>
    <d v="2017-07-23T00:00:00"/>
    <s v="Standard Class"/>
    <x v="277"/>
    <x v="277"/>
    <s v="Consumer"/>
    <s v="United States"/>
    <s v="Philadelphia"/>
    <x v="9"/>
    <n v="19134"/>
    <x v="3"/>
    <x v="1687"/>
    <x v="2"/>
    <x v="16"/>
    <x v="1675"/>
    <n v="599.97"/>
    <s v="High"/>
    <n v="5"/>
    <n v="0.4"/>
    <x v="1"/>
    <x v="7"/>
    <n v="69.996499999999997"/>
    <n v="0.11666666666666665"/>
    <n v="0"/>
  </r>
  <r>
    <n v="7044"/>
    <s v="US-2017-165358"/>
    <d v="2017-07-18T00:00:00"/>
    <x v="3"/>
    <s v="Q3"/>
    <x v="10"/>
    <d v="2017-07-23T00:00:00"/>
    <s v="Standard Class"/>
    <x v="277"/>
    <x v="277"/>
    <s v="Consumer"/>
    <s v="United States"/>
    <s v="Philadelphia"/>
    <x v="9"/>
    <n v="19134"/>
    <x v="3"/>
    <x v="474"/>
    <x v="0"/>
    <x v="1"/>
    <x v="475"/>
    <n v="198.744"/>
    <s v="High"/>
    <n v="4"/>
    <n v="0.3"/>
    <x v="1"/>
    <x v="4"/>
    <n v="-14.196"/>
    <n v="-7.1428571428571425E-2"/>
    <n v="1"/>
  </r>
  <r>
    <n v="7045"/>
    <s v="US-2017-165358"/>
    <d v="2017-07-18T00:00:00"/>
    <x v="3"/>
    <s v="Q3"/>
    <x v="10"/>
    <d v="2017-07-23T00:00:00"/>
    <s v="Standard Class"/>
    <x v="277"/>
    <x v="277"/>
    <s v="Consumer"/>
    <s v="United States"/>
    <s v="Philadelphia"/>
    <x v="9"/>
    <n v="19134"/>
    <x v="3"/>
    <x v="1322"/>
    <x v="1"/>
    <x v="14"/>
    <x v="1308"/>
    <n v="9.1839999999999993"/>
    <s v="Low"/>
    <n v="2"/>
    <n v="0.2"/>
    <x v="2"/>
    <x v="2"/>
    <n v="1.1479999999999999"/>
    <n v="0.125"/>
    <n v="0"/>
  </r>
  <r>
    <n v="7046"/>
    <s v="CA-2016-160136"/>
    <d v="2016-11-03T00:00:00"/>
    <x v="0"/>
    <s v="Q4"/>
    <x v="0"/>
    <d v="2016-11-09T00:00:00"/>
    <s v="Standard Class"/>
    <x v="601"/>
    <x v="601"/>
    <s v="Corporate"/>
    <s v="United States"/>
    <s v="Dallas"/>
    <x v="5"/>
    <n v="75217"/>
    <x v="2"/>
    <x v="1215"/>
    <x v="1"/>
    <x v="10"/>
    <x v="1199"/>
    <n v="9.2479999999999993"/>
    <s v="Low"/>
    <n v="2"/>
    <n v="0.2"/>
    <x v="2"/>
    <x v="2"/>
    <n v="3.3523999999999998"/>
    <n v="0.36249999999999999"/>
    <n v="0"/>
  </r>
  <r>
    <n v="7047"/>
    <s v="CA-2014-150581"/>
    <d v="2014-04-08T00:00:00"/>
    <x v="2"/>
    <s v="Q2"/>
    <x v="41"/>
    <d v="2014-04-12T00:00:00"/>
    <s v="Standard Class"/>
    <x v="134"/>
    <x v="134"/>
    <s v="Home Office"/>
    <s v="United States"/>
    <s v="Concord"/>
    <x v="1"/>
    <n v="94521"/>
    <x v="1"/>
    <x v="209"/>
    <x v="0"/>
    <x v="3"/>
    <x v="210"/>
    <n v="99.591999999999999"/>
    <s v="Medium"/>
    <n v="1"/>
    <n v="0.2"/>
    <x v="2"/>
    <x v="2"/>
    <n v="2.4897999999999998"/>
    <n v="2.4999999999999998E-2"/>
    <n v="0"/>
  </r>
  <r>
    <n v="7048"/>
    <s v="CA-2014-150581"/>
    <d v="2014-04-08T00:00:00"/>
    <x v="2"/>
    <s v="Q2"/>
    <x v="41"/>
    <d v="2014-04-12T00:00:00"/>
    <s v="Standard Class"/>
    <x v="134"/>
    <x v="134"/>
    <s v="Home Office"/>
    <s v="United States"/>
    <s v="Concord"/>
    <x v="1"/>
    <n v="94521"/>
    <x v="1"/>
    <x v="295"/>
    <x v="2"/>
    <x v="11"/>
    <x v="295"/>
    <n v="399.96"/>
    <s v="High"/>
    <n v="4"/>
    <n v="0"/>
    <x v="0"/>
    <x v="0"/>
    <n v="139.98599999999999"/>
    <n v="0.35"/>
    <n v="0"/>
  </r>
  <r>
    <n v="7049"/>
    <s v="CA-2016-119515"/>
    <d v="2016-08-14T00:00:00"/>
    <x v="0"/>
    <s v="Q3"/>
    <x v="28"/>
    <d v="2016-08-16T00:00:00"/>
    <s v="First Class"/>
    <x v="309"/>
    <x v="309"/>
    <s v="Consumer"/>
    <s v="United States"/>
    <s v="Nashville"/>
    <x v="18"/>
    <n v="37211"/>
    <x v="0"/>
    <x v="1553"/>
    <x v="1"/>
    <x v="10"/>
    <x v="1541"/>
    <n v="15.552"/>
    <s v="Low"/>
    <n v="3"/>
    <n v="0.2"/>
    <x v="2"/>
    <x v="2"/>
    <n v="5.4432"/>
    <n v="0.35000000000000003"/>
    <n v="0"/>
  </r>
  <r>
    <n v="7050"/>
    <s v="CA-2014-141355"/>
    <d v="2014-09-25T00:00:00"/>
    <x v="2"/>
    <s v="Q3"/>
    <x v="30"/>
    <d v="2014-09-30T00:00:00"/>
    <s v="Standard Class"/>
    <x v="593"/>
    <x v="593"/>
    <s v="Home Office"/>
    <s v="United States"/>
    <s v="Aurora"/>
    <x v="22"/>
    <n v="80013"/>
    <x v="1"/>
    <x v="1583"/>
    <x v="1"/>
    <x v="6"/>
    <x v="1574"/>
    <n v="14.576000000000001"/>
    <s v="Low"/>
    <n v="2"/>
    <n v="0.2"/>
    <x v="2"/>
    <x v="2"/>
    <n v="2.3685999999999998"/>
    <n v="0.16249999999999998"/>
    <n v="0"/>
  </r>
  <r>
    <n v="7051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270"/>
    <x v="1"/>
    <x v="8"/>
    <x v="270"/>
    <n v="209.6"/>
    <s v="High"/>
    <n v="5"/>
    <n v="0.2"/>
    <x v="2"/>
    <x v="2"/>
    <n v="68.12"/>
    <n v="0.32500000000000001"/>
    <n v="0"/>
  </r>
  <r>
    <n v="7052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1759"/>
    <x v="1"/>
    <x v="6"/>
    <x v="1748"/>
    <n v="23.32"/>
    <s v="Low"/>
    <n v="2"/>
    <n v="0"/>
    <x v="0"/>
    <x v="0"/>
    <n v="6.0632000000000001"/>
    <n v="0.26"/>
    <n v="0"/>
  </r>
  <r>
    <n v="7053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1174"/>
    <x v="1"/>
    <x v="10"/>
    <x v="1160"/>
    <n v="30.98"/>
    <s v="Medium"/>
    <n v="1"/>
    <n v="0"/>
    <x v="0"/>
    <x v="0"/>
    <n v="13.941000000000001"/>
    <n v="0.45"/>
    <n v="0"/>
  </r>
  <r>
    <n v="7054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632"/>
    <x v="2"/>
    <x v="11"/>
    <x v="632"/>
    <n v="119.96"/>
    <s v="Medium"/>
    <n v="4"/>
    <n v="0"/>
    <x v="0"/>
    <x v="0"/>
    <n v="25.191600000000001"/>
    <n v="0.21000000000000002"/>
    <n v="0"/>
  </r>
  <r>
    <n v="7055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1209"/>
    <x v="0"/>
    <x v="1"/>
    <x v="1194"/>
    <n v="363.92"/>
    <s v="High"/>
    <n v="5"/>
    <n v="0.2"/>
    <x v="2"/>
    <x v="2"/>
    <n v="-31.843"/>
    <n v="-8.7499999999999994E-2"/>
    <n v="1"/>
  </r>
  <r>
    <n v="7056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528"/>
    <x v="1"/>
    <x v="8"/>
    <x v="528"/>
    <n v="35.808"/>
    <s v="Medium"/>
    <n v="3"/>
    <n v="0.2"/>
    <x v="2"/>
    <x v="2"/>
    <n v="11.19"/>
    <n v="0.3125"/>
    <n v="0"/>
  </r>
  <r>
    <n v="7057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822"/>
    <x v="1"/>
    <x v="8"/>
    <x v="818"/>
    <n v="122.688"/>
    <s v="Medium"/>
    <n v="9"/>
    <n v="0.2"/>
    <x v="2"/>
    <x v="2"/>
    <n v="39.873600000000003"/>
    <n v="0.32500000000000001"/>
    <n v="0"/>
  </r>
  <r>
    <n v="7058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898"/>
    <x v="0"/>
    <x v="3"/>
    <x v="891"/>
    <n v="892.13599999999997"/>
    <s v="High"/>
    <n v="7"/>
    <n v="0.2"/>
    <x v="2"/>
    <x v="2"/>
    <n v="111.517"/>
    <n v="0.125"/>
    <n v="0"/>
  </r>
  <r>
    <n v="7059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1764"/>
    <x v="1"/>
    <x v="4"/>
    <x v="1753"/>
    <n v="50.22"/>
    <s v="Medium"/>
    <n v="3"/>
    <n v="0"/>
    <x v="0"/>
    <x v="0"/>
    <n v="2.0087999999999999"/>
    <n v="0.04"/>
    <n v="0"/>
  </r>
  <r>
    <n v="7060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586"/>
    <x v="1"/>
    <x v="9"/>
    <x v="586"/>
    <n v="83.42"/>
    <s v="Medium"/>
    <n v="2"/>
    <n v="0"/>
    <x v="0"/>
    <x v="0"/>
    <n v="24.191800000000001"/>
    <n v="0.28999999999999998"/>
    <n v="0"/>
  </r>
  <r>
    <n v="7061"/>
    <s v="CA-2016-165330"/>
    <d v="2016-12-11T00:00:00"/>
    <x v="0"/>
    <s v="Q4"/>
    <x v="5"/>
    <d v="2016-12-11T00:00:00"/>
    <s v="Same Day"/>
    <x v="576"/>
    <x v="576"/>
    <s v="Consumer"/>
    <s v="United States"/>
    <s v="Anaheim"/>
    <x v="1"/>
    <n v="92804"/>
    <x v="1"/>
    <x v="1812"/>
    <x v="1"/>
    <x v="8"/>
    <x v="1802"/>
    <n v="5.8719999999999999"/>
    <s v="Low"/>
    <n v="2"/>
    <n v="0.2"/>
    <x v="2"/>
    <x v="2"/>
    <n v="2.1286"/>
    <n v="0.36249999999999999"/>
    <n v="0"/>
  </r>
  <r>
    <n v="7062"/>
    <s v="CA-2015-132633"/>
    <d v="2015-02-03T00:00:00"/>
    <x v="1"/>
    <s v="Q1"/>
    <x v="36"/>
    <d v="2015-02-05T00:00:00"/>
    <s v="Second Class"/>
    <x v="175"/>
    <x v="175"/>
    <s v="Corporate"/>
    <s v="United States"/>
    <s v="Pleasant Grove"/>
    <x v="7"/>
    <n v="84062"/>
    <x v="1"/>
    <x v="881"/>
    <x v="1"/>
    <x v="8"/>
    <x v="875"/>
    <n v="12.144"/>
    <s v="Low"/>
    <n v="3"/>
    <n v="0.2"/>
    <x v="2"/>
    <x v="2"/>
    <n v="4.0986000000000002"/>
    <n v="0.33750000000000002"/>
    <n v="0"/>
  </r>
  <r>
    <n v="7063"/>
    <s v="CA-2016-157742"/>
    <d v="2016-12-29T00:00:00"/>
    <x v="0"/>
    <s v="Q4"/>
    <x v="5"/>
    <d v="2016-12-31T00:00:00"/>
    <s v="Second Class"/>
    <x v="107"/>
    <x v="107"/>
    <s v="Consumer"/>
    <s v="United States"/>
    <s v="Springfield"/>
    <x v="21"/>
    <n v="97477"/>
    <x v="1"/>
    <x v="1758"/>
    <x v="1"/>
    <x v="12"/>
    <x v="1711"/>
    <n v="27.792000000000002"/>
    <s v="Medium"/>
    <n v="3"/>
    <n v="0.2"/>
    <x v="2"/>
    <x v="2"/>
    <n v="10.422000000000001"/>
    <n v="0.375"/>
    <n v="0"/>
  </r>
  <r>
    <n v="7064"/>
    <s v="CA-2017-127712"/>
    <d v="2017-08-31T00:00:00"/>
    <x v="3"/>
    <s v="Q3"/>
    <x v="43"/>
    <d v="2017-09-05T00:00:00"/>
    <s v="Standard Class"/>
    <x v="450"/>
    <x v="450"/>
    <s v="Home Office"/>
    <s v="United States"/>
    <s v="Salem"/>
    <x v="21"/>
    <n v="97301"/>
    <x v="1"/>
    <x v="1562"/>
    <x v="1"/>
    <x v="14"/>
    <x v="1553"/>
    <n v="6.2080000000000002"/>
    <s v="Low"/>
    <n v="2"/>
    <n v="0.2"/>
    <x v="2"/>
    <x v="2"/>
    <n v="0.69840000000000002"/>
    <n v="0.1125"/>
    <n v="0"/>
  </r>
  <r>
    <n v="7065"/>
    <s v="CA-2017-169474"/>
    <d v="2017-02-04T00:00:00"/>
    <x v="3"/>
    <s v="Q1"/>
    <x v="31"/>
    <d v="2017-02-09T00:00:00"/>
    <s v="Standard Class"/>
    <x v="282"/>
    <x v="282"/>
    <s v="Consumer"/>
    <s v="United States"/>
    <s v="Rochester"/>
    <x v="15"/>
    <n v="14609"/>
    <x v="3"/>
    <x v="930"/>
    <x v="1"/>
    <x v="9"/>
    <x v="923"/>
    <n v="32.67"/>
    <s v="Medium"/>
    <n v="3"/>
    <n v="0"/>
    <x v="0"/>
    <x v="0"/>
    <n v="8.4941999999999993"/>
    <n v="0.25999999999999995"/>
    <n v="0"/>
  </r>
  <r>
    <n v="7066"/>
    <s v="CA-2014-106726"/>
    <d v="2014-12-06T00:00:00"/>
    <x v="2"/>
    <s v="Q4"/>
    <x v="20"/>
    <d v="2014-12-08T00:00:00"/>
    <s v="First Class"/>
    <x v="276"/>
    <x v="276"/>
    <s v="Corporate"/>
    <s v="United States"/>
    <s v="Los Angeles"/>
    <x v="1"/>
    <n v="90008"/>
    <x v="1"/>
    <x v="734"/>
    <x v="1"/>
    <x v="4"/>
    <x v="733"/>
    <n v="1261.33"/>
    <s v="High"/>
    <n v="7"/>
    <n v="0"/>
    <x v="0"/>
    <x v="0"/>
    <n v="327.94580000000002"/>
    <n v="0.26"/>
    <n v="0"/>
  </r>
  <r>
    <n v="7067"/>
    <s v="CA-2016-147473"/>
    <d v="2016-05-30T00:00:00"/>
    <x v="0"/>
    <s v="Q2"/>
    <x v="35"/>
    <d v="2016-06-03T00:00:00"/>
    <s v="Standard Class"/>
    <x v="644"/>
    <x v="644"/>
    <s v="Home Office"/>
    <s v="United States"/>
    <s v="Los Angeles"/>
    <x v="1"/>
    <n v="90049"/>
    <x v="1"/>
    <x v="1434"/>
    <x v="1"/>
    <x v="10"/>
    <x v="1422"/>
    <n v="38.880000000000003"/>
    <s v="Medium"/>
    <n v="6"/>
    <n v="0"/>
    <x v="0"/>
    <x v="0"/>
    <n v="18.662400000000002"/>
    <n v="0.48000000000000004"/>
    <n v="0"/>
  </r>
  <r>
    <n v="7068"/>
    <s v="CA-2016-114209"/>
    <d v="2016-05-21T00:00:00"/>
    <x v="0"/>
    <s v="Q2"/>
    <x v="35"/>
    <d v="2016-05-26T00:00:00"/>
    <s v="Standard Class"/>
    <x v="155"/>
    <x v="155"/>
    <s v="Corporate"/>
    <s v="United States"/>
    <s v="Dallas"/>
    <x v="5"/>
    <n v="75081"/>
    <x v="2"/>
    <x v="185"/>
    <x v="1"/>
    <x v="8"/>
    <x v="186"/>
    <n v="1.964"/>
    <s v="Low"/>
    <n v="2"/>
    <n v="0.8"/>
    <x v="1"/>
    <x v="3"/>
    <n v="-3.2406000000000001"/>
    <n v="-1.6500000000000001"/>
    <n v="1"/>
  </r>
  <r>
    <n v="7069"/>
    <s v="CA-2016-114209"/>
    <d v="2016-05-21T00:00:00"/>
    <x v="0"/>
    <s v="Q2"/>
    <x v="35"/>
    <d v="2016-05-26T00:00:00"/>
    <s v="Standard Class"/>
    <x v="155"/>
    <x v="155"/>
    <s v="Corporate"/>
    <s v="United States"/>
    <s v="Dallas"/>
    <x v="5"/>
    <n v="75081"/>
    <x v="2"/>
    <x v="693"/>
    <x v="1"/>
    <x v="10"/>
    <x v="693"/>
    <n v="82.656000000000006"/>
    <s v="Medium"/>
    <n v="9"/>
    <n v="0.2"/>
    <x v="2"/>
    <x v="2"/>
    <n v="30.995999999999999"/>
    <n v="0.37499999999999994"/>
    <n v="0"/>
  </r>
  <r>
    <n v="7070"/>
    <s v="CA-2014-141901"/>
    <d v="2014-08-09T00:00:00"/>
    <x v="2"/>
    <s v="Q3"/>
    <x v="9"/>
    <d v="2014-08-14T00:00:00"/>
    <s v="Standard Class"/>
    <x v="421"/>
    <x v="421"/>
    <s v="Consumer"/>
    <s v="United States"/>
    <s v="Fresno"/>
    <x v="1"/>
    <n v="93727"/>
    <x v="1"/>
    <x v="457"/>
    <x v="1"/>
    <x v="10"/>
    <x v="458"/>
    <n v="5.98"/>
    <s v="Low"/>
    <n v="1"/>
    <n v="0"/>
    <x v="0"/>
    <x v="0"/>
    <n v="2.6909999999999998"/>
    <n v="0.44999999999999996"/>
    <n v="0"/>
  </r>
  <r>
    <n v="7071"/>
    <s v="CA-2016-164490"/>
    <d v="2016-09-05T00:00:00"/>
    <x v="0"/>
    <s v="Q3"/>
    <x v="21"/>
    <d v="2016-09-10T00:00:00"/>
    <s v="Second Class"/>
    <x v="711"/>
    <x v="711"/>
    <s v="Home Office"/>
    <s v="United States"/>
    <s v="Chicago"/>
    <x v="10"/>
    <n v="60653"/>
    <x v="2"/>
    <x v="609"/>
    <x v="1"/>
    <x v="10"/>
    <x v="609"/>
    <n v="9.2479999999999993"/>
    <s v="Low"/>
    <n v="2"/>
    <n v="0.2"/>
    <x v="2"/>
    <x v="2"/>
    <n v="3.3523999999999998"/>
    <n v="0.36249999999999999"/>
    <n v="0"/>
  </r>
  <r>
    <n v="7072"/>
    <s v="CA-2016-112256"/>
    <d v="2016-07-23T00:00:00"/>
    <x v="0"/>
    <s v="Q3"/>
    <x v="16"/>
    <d v="2016-07-28T00:00:00"/>
    <s v="Standard Class"/>
    <x v="237"/>
    <x v="237"/>
    <s v="Consumer"/>
    <s v="United States"/>
    <s v="Mcallen"/>
    <x v="5"/>
    <n v="78501"/>
    <x v="2"/>
    <x v="1477"/>
    <x v="1"/>
    <x v="6"/>
    <x v="1464"/>
    <n v="4.4480000000000004"/>
    <s v="Low"/>
    <n v="2"/>
    <n v="0.2"/>
    <x v="2"/>
    <x v="2"/>
    <n v="0.33360000000000001"/>
    <n v="7.4999999999999997E-2"/>
    <n v="0"/>
  </r>
  <r>
    <n v="7073"/>
    <s v="CA-2016-112256"/>
    <d v="2016-07-23T00:00:00"/>
    <x v="0"/>
    <s v="Q3"/>
    <x v="16"/>
    <d v="2016-07-28T00:00:00"/>
    <s v="Standard Class"/>
    <x v="237"/>
    <x v="237"/>
    <s v="Consumer"/>
    <s v="United States"/>
    <s v="Mcallen"/>
    <x v="5"/>
    <n v="78501"/>
    <x v="2"/>
    <x v="1114"/>
    <x v="1"/>
    <x v="10"/>
    <x v="1103"/>
    <n v="5.1840000000000002"/>
    <s v="Low"/>
    <n v="1"/>
    <n v="0.2"/>
    <x v="2"/>
    <x v="2"/>
    <n v="1.8144"/>
    <n v="0.35"/>
    <n v="0"/>
  </r>
  <r>
    <n v="7074"/>
    <s v="CA-2016-112256"/>
    <d v="2016-07-23T00:00:00"/>
    <x v="0"/>
    <s v="Q3"/>
    <x v="16"/>
    <d v="2016-07-28T00:00:00"/>
    <s v="Standard Class"/>
    <x v="237"/>
    <x v="237"/>
    <s v="Consumer"/>
    <s v="United States"/>
    <s v="Mcallen"/>
    <x v="5"/>
    <n v="78501"/>
    <x v="2"/>
    <x v="399"/>
    <x v="1"/>
    <x v="6"/>
    <x v="400"/>
    <n v="175.92"/>
    <s v="High"/>
    <n v="5"/>
    <n v="0.2"/>
    <x v="2"/>
    <x v="2"/>
    <n v="15.393000000000001"/>
    <n v="8.7500000000000008E-2"/>
    <n v="0"/>
  </r>
  <r>
    <n v="7075"/>
    <s v="CA-2016-112256"/>
    <d v="2016-07-23T00:00:00"/>
    <x v="0"/>
    <s v="Q3"/>
    <x v="16"/>
    <d v="2016-07-28T00:00:00"/>
    <s v="Standard Class"/>
    <x v="237"/>
    <x v="237"/>
    <s v="Consumer"/>
    <s v="United States"/>
    <s v="Mcallen"/>
    <x v="5"/>
    <n v="78501"/>
    <x v="2"/>
    <x v="990"/>
    <x v="1"/>
    <x v="8"/>
    <x v="305"/>
    <n v="4.7519999999999998"/>
    <s v="Low"/>
    <n v="4"/>
    <n v="0.8"/>
    <x v="1"/>
    <x v="3"/>
    <n v="-8.3160000000000007"/>
    <n v="-1.7500000000000002"/>
    <n v="1"/>
  </r>
  <r>
    <n v="7076"/>
    <s v="CA-2016-112256"/>
    <d v="2016-07-23T00:00:00"/>
    <x v="0"/>
    <s v="Q3"/>
    <x v="16"/>
    <d v="2016-07-28T00:00:00"/>
    <s v="Standard Class"/>
    <x v="237"/>
    <x v="237"/>
    <s v="Consumer"/>
    <s v="United States"/>
    <s v="Mcallen"/>
    <x v="5"/>
    <n v="78501"/>
    <x v="2"/>
    <x v="1059"/>
    <x v="1"/>
    <x v="14"/>
    <x v="1048"/>
    <n v="13.343999999999999"/>
    <s v="Low"/>
    <n v="2"/>
    <n v="0.2"/>
    <x v="2"/>
    <x v="2"/>
    <n v="1.0007999999999999"/>
    <n v="7.4999999999999997E-2"/>
    <n v="0"/>
  </r>
  <r>
    <n v="7077"/>
    <s v="CA-2016-167416"/>
    <d v="2016-05-12T00:00:00"/>
    <x v="0"/>
    <s v="Q2"/>
    <x v="35"/>
    <d v="2016-05-17T00:00:00"/>
    <s v="Standard Class"/>
    <x v="758"/>
    <x v="758"/>
    <s v="Consumer"/>
    <s v="United States"/>
    <s v="Seattle"/>
    <x v="4"/>
    <n v="98105"/>
    <x v="1"/>
    <x v="598"/>
    <x v="1"/>
    <x v="12"/>
    <x v="598"/>
    <n v="54.9"/>
    <s v="Medium"/>
    <n v="5"/>
    <n v="0"/>
    <x v="0"/>
    <x v="0"/>
    <n v="26.901"/>
    <n v="0.49"/>
    <n v="0"/>
  </r>
  <r>
    <n v="7078"/>
    <s v="CA-2016-106950"/>
    <d v="2016-09-02T00:00:00"/>
    <x v="0"/>
    <s v="Q3"/>
    <x v="21"/>
    <d v="2016-09-06T00:00:00"/>
    <s v="Standard Class"/>
    <x v="555"/>
    <x v="555"/>
    <s v="Consumer"/>
    <s v="United States"/>
    <s v="Charlotte"/>
    <x v="3"/>
    <n v="28205"/>
    <x v="0"/>
    <x v="634"/>
    <x v="1"/>
    <x v="8"/>
    <x v="634"/>
    <n v="22.911000000000001"/>
    <s v="Low"/>
    <n v="7"/>
    <n v="0.7"/>
    <x v="1"/>
    <x v="5"/>
    <n v="-17.565100000000001"/>
    <n v="-0.76666666666666672"/>
    <n v="1"/>
  </r>
  <r>
    <n v="7079"/>
    <s v="CA-2016-106950"/>
    <d v="2016-09-02T00:00:00"/>
    <x v="0"/>
    <s v="Q3"/>
    <x v="21"/>
    <d v="2016-09-06T00:00:00"/>
    <s v="Standard Class"/>
    <x v="555"/>
    <x v="555"/>
    <s v="Consumer"/>
    <s v="United States"/>
    <s v="Charlotte"/>
    <x v="3"/>
    <n v="28205"/>
    <x v="0"/>
    <x v="1428"/>
    <x v="1"/>
    <x v="9"/>
    <x v="1416"/>
    <n v="309.45600000000002"/>
    <s v="High"/>
    <n v="9"/>
    <n v="0.2"/>
    <x v="2"/>
    <x v="2"/>
    <n v="34.813800000000001"/>
    <n v="0.11249999999999999"/>
    <n v="0"/>
  </r>
  <r>
    <n v="7080"/>
    <s v="CA-2016-106950"/>
    <d v="2016-09-02T00:00:00"/>
    <x v="0"/>
    <s v="Q3"/>
    <x v="21"/>
    <d v="2016-09-06T00:00:00"/>
    <s v="Standard Class"/>
    <x v="555"/>
    <x v="555"/>
    <s v="Consumer"/>
    <s v="United States"/>
    <s v="Charlotte"/>
    <x v="3"/>
    <n v="28205"/>
    <x v="0"/>
    <x v="487"/>
    <x v="1"/>
    <x v="6"/>
    <x v="487"/>
    <n v="19.456"/>
    <s v="Low"/>
    <n v="4"/>
    <n v="0.2"/>
    <x v="2"/>
    <x v="2"/>
    <n v="3.4047999999999998"/>
    <n v="0.17499999999999999"/>
    <n v="0"/>
  </r>
  <r>
    <n v="7081"/>
    <s v="CA-2016-106950"/>
    <d v="2016-09-02T00:00:00"/>
    <x v="0"/>
    <s v="Q3"/>
    <x v="21"/>
    <d v="2016-09-06T00:00:00"/>
    <s v="Standard Class"/>
    <x v="555"/>
    <x v="555"/>
    <s v="Consumer"/>
    <s v="United States"/>
    <s v="Charlotte"/>
    <x v="3"/>
    <n v="28205"/>
    <x v="0"/>
    <x v="114"/>
    <x v="0"/>
    <x v="3"/>
    <x v="114"/>
    <n v="472.51799999999997"/>
    <s v="High"/>
    <n v="3"/>
    <n v="0.4"/>
    <x v="1"/>
    <x v="7"/>
    <n v="-149.63069999999999"/>
    <n v="-0.31666666666666665"/>
    <n v="1"/>
  </r>
  <r>
    <n v="7082"/>
    <s v="CA-2016-106950"/>
    <d v="2016-09-02T00:00:00"/>
    <x v="0"/>
    <s v="Q3"/>
    <x v="21"/>
    <d v="2016-09-06T00:00:00"/>
    <s v="Standard Class"/>
    <x v="555"/>
    <x v="555"/>
    <s v="Consumer"/>
    <s v="United States"/>
    <s v="Charlotte"/>
    <x v="3"/>
    <n v="28205"/>
    <x v="0"/>
    <x v="695"/>
    <x v="2"/>
    <x v="11"/>
    <x v="1062"/>
    <n v="1012.68"/>
    <s v="High"/>
    <n v="3"/>
    <n v="0.2"/>
    <x v="2"/>
    <x v="2"/>
    <n v="303.80399999999997"/>
    <n v="0.3"/>
    <n v="0"/>
  </r>
  <r>
    <n v="7083"/>
    <s v="CA-2016-106950"/>
    <d v="2016-09-02T00:00:00"/>
    <x v="0"/>
    <s v="Q3"/>
    <x v="21"/>
    <d v="2016-09-06T00:00:00"/>
    <s v="Standard Class"/>
    <x v="555"/>
    <x v="555"/>
    <s v="Consumer"/>
    <s v="United States"/>
    <s v="Charlotte"/>
    <x v="3"/>
    <n v="28205"/>
    <x v="0"/>
    <x v="1426"/>
    <x v="1"/>
    <x v="8"/>
    <x v="1414"/>
    <n v="17.22"/>
    <s v="Low"/>
    <n v="5"/>
    <n v="0.7"/>
    <x v="1"/>
    <x v="5"/>
    <n v="-12.628"/>
    <n v="-0.73333333333333339"/>
    <n v="1"/>
  </r>
  <r>
    <n v="7084"/>
    <s v="CA-2017-118724"/>
    <d v="2017-07-21T00:00:00"/>
    <x v="3"/>
    <s v="Q3"/>
    <x v="10"/>
    <d v="2017-07-25T00:00:00"/>
    <s v="Second Class"/>
    <x v="255"/>
    <x v="255"/>
    <s v="Corporate"/>
    <s v="United States"/>
    <s v="Concord"/>
    <x v="1"/>
    <n v="94521"/>
    <x v="1"/>
    <x v="1273"/>
    <x v="1"/>
    <x v="6"/>
    <x v="1258"/>
    <n v="3.52"/>
    <s v="Low"/>
    <n v="2"/>
    <n v="0"/>
    <x v="0"/>
    <x v="0"/>
    <n v="1.6896"/>
    <n v="0.48"/>
    <n v="0"/>
  </r>
  <r>
    <n v="7085"/>
    <s v="CA-2017-118724"/>
    <d v="2017-07-21T00:00:00"/>
    <x v="3"/>
    <s v="Q3"/>
    <x v="10"/>
    <d v="2017-07-25T00:00:00"/>
    <s v="Second Class"/>
    <x v="255"/>
    <x v="255"/>
    <s v="Corporate"/>
    <s v="United States"/>
    <s v="Concord"/>
    <x v="1"/>
    <n v="94521"/>
    <x v="1"/>
    <x v="944"/>
    <x v="2"/>
    <x v="7"/>
    <x v="937"/>
    <n v="1626.192"/>
    <s v="High"/>
    <n v="9"/>
    <n v="0.2"/>
    <x v="2"/>
    <x v="2"/>
    <n v="121.9644"/>
    <n v="7.4999999999999997E-2"/>
    <n v="0"/>
  </r>
  <r>
    <n v="7086"/>
    <s v="CA-2017-112004"/>
    <d v="2017-09-25T00:00:00"/>
    <x v="3"/>
    <s v="Q3"/>
    <x v="15"/>
    <d v="2017-09-28T00:00:00"/>
    <s v="First Class"/>
    <x v="340"/>
    <x v="340"/>
    <s v="Corporate"/>
    <s v="United States"/>
    <s v="Chester"/>
    <x v="9"/>
    <n v="19013"/>
    <x v="3"/>
    <x v="1547"/>
    <x v="1"/>
    <x v="8"/>
    <x v="1535"/>
    <n v="8.5950000000000006"/>
    <s v="Low"/>
    <n v="5"/>
    <n v="0.7"/>
    <x v="1"/>
    <x v="5"/>
    <n v="-6.3029999999999999"/>
    <n v="-0.73333333333333328"/>
    <n v="1"/>
  </r>
  <r>
    <n v="7087"/>
    <s v="CA-2017-112004"/>
    <d v="2017-09-25T00:00:00"/>
    <x v="3"/>
    <s v="Q3"/>
    <x v="15"/>
    <d v="2017-09-28T00:00:00"/>
    <s v="First Class"/>
    <x v="340"/>
    <x v="340"/>
    <s v="Corporate"/>
    <s v="United States"/>
    <s v="Chester"/>
    <x v="9"/>
    <n v="19013"/>
    <x v="3"/>
    <x v="1420"/>
    <x v="1"/>
    <x v="14"/>
    <x v="1408"/>
    <n v="190.89599999999999"/>
    <s v="High"/>
    <n v="2"/>
    <n v="0.2"/>
    <x v="2"/>
    <x v="2"/>
    <n v="-42.951599999999999"/>
    <n v="-0.22500000000000001"/>
    <n v="1"/>
  </r>
  <r>
    <n v="7088"/>
    <s v="US-2017-143175"/>
    <d v="2017-08-03T00:00:00"/>
    <x v="3"/>
    <s v="Q3"/>
    <x v="43"/>
    <d v="2017-08-06T00:00:00"/>
    <s v="Second Class"/>
    <x v="654"/>
    <x v="654"/>
    <s v="Consumer"/>
    <s v="United States"/>
    <s v="Los Angeles"/>
    <x v="1"/>
    <n v="90004"/>
    <x v="1"/>
    <x v="1291"/>
    <x v="1"/>
    <x v="4"/>
    <x v="1277"/>
    <n v="99.87"/>
    <s v="Medium"/>
    <n v="3"/>
    <n v="0"/>
    <x v="0"/>
    <x v="0"/>
    <n v="23.968800000000002"/>
    <n v="0.24000000000000002"/>
    <n v="0"/>
  </r>
  <r>
    <n v="7089"/>
    <s v="CA-2015-105844"/>
    <d v="2015-10-25T00:00:00"/>
    <x v="1"/>
    <s v="Q4"/>
    <x v="2"/>
    <d v="2015-10-27T00:00:00"/>
    <s v="Second Class"/>
    <x v="226"/>
    <x v="226"/>
    <s v="Consumer"/>
    <s v="United States"/>
    <s v="Sparks"/>
    <x v="33"/>
    <n v="89431"/>
    <x v="1"/>
    <x v="1041"/>
    <x v="1"/>
    <x v="6"/>
    <x v="1030"/>
    <n v="79.36"/>
    <s v="Medium"/>
    <n v="4"/>
    <n v="0"/>
    <x v="0"/>
    <x v="0"/>
    <n v="23.808"/>
    <n v="0.3"/>
    <n v="0"/>
  </r>
  <r>
    <n v="7090"/>
    <s v="CA-2017-118864"/>
    <d v="2017-06-15T00:00:00"/>
    <x v="3"/>
    <s v="Q2"/>
    <x v="27"/>
    <d v="2017-06-19T00:00:00"/>
    <s v="Second Class"/>
    <x v="120"/>
    <x v="120"/>
    <s v="Corporate"/>
    <s v="United States"/>
    <s v="Los Angeles"/>
    <x v="1"/>
    <n v="90032"/>
    <x v="1"/>
    <x v="1187"/>
    <x v="2"/>
    <x v="7"/>
    <x v="1173"/>
    <n v="119.96"/>
    <s v="Medium"/>
    <n v="1"/>
    <n v="0.2"/>
    <x v="2"/>
    <x v="2"/>
    <n v="7.4974999999999996"/>
    <n v="6.25E-2"/>
    <n v="0"/>
  </r>
  <r>
    <n v="7091"/>
    <s v="CA-2015-119480"/>
    <d v="2015-01-09T00:00:00"/>
    <x v="1"/>
    <s v="Q1"/>
    <x v="26"/>
    <d v="2015-01-13T00:00:00"/>
    <s v="Standard Class"/>
    <x v="530"/>
    <x v="530"/>
    <s v="Consumer"/>
    <s v="United States"/>
    <s v="Henderson"/>
    <x v="0"/>
    <n v="42420"/>
    <x v="0"/>
    <x v="258"/>
    <x v="1"/>
    <x v="10"/>
    <x v="33"/>
    <n v="106.32"/>
    <s v="Medium"/>
    <n v="3"/>
    <n v="0"/>
    <x v="0"/>
    <x v="0"/>
    <n v="49.970399999999998"/>
    <n v="0.47000000000000003"/>
    <n v="0"/>
  </r>
  <r>
    <n v="7092"/>
    <s v="CA-2015-119480"/>
    <d v="2015-01-09T00:00:00"/>
    <x v="1"/>
    <s v="Q1"/>
    <x v="26"/>
    <d v="2015-01-13T00:00:00"/>
    <s v="Standard Class"/>
    <x v="530"/>
    <x v="530"/>
    <s v="Consumer"/>
    <s v="United States"/>
    <s v="Henderson"/>
    <x v="0"/>
    <n v="42420"/>
    <x v="0"/>
    <x v="1309"/>
    <x v="1"/>
    <x v="9"/>
    <x v="1294"/>
    <n v="163.44"/>
    <s v="High"/>
    <n v="3"/>
    <n v="0"/>
    <x v="0"/>
    <x v="0"/>
    <n v="45.763199999999998"/>
    <n v="0.27999999999999997"/>
    <n v="0"/>
  </r>
  <r>
    <n v="7093"/>
    <s v="CA-2015-119480"/>
    <d v="2015-01-09T00:00:00"/>
    <x v="1"/>
    <s v="Q1"/>
    <x v="26"/>
    <d v="2015-01-13T00:00:00"/>
    <s v="Standard Class"/>
    <x v="530"/>
    <x v="530"/>
    <s v="Consumer"/>
    <s v="United States"/>
    <s v="Henderson"/>
    <x v="0"/>
    <n v="42420"/>
    <x v="0"/>
    <x v="1394"/>
    <x v="1"/>
    <x v="6"/>
    <x v="1380"/>
    <n v="42.76"/>
    <s v="Medium"/>
    <n v="2"/>
    <n v="0"/>
    <x v="0"/>
    <x v="0"/>
    <n v="11.117599999999999"/>
    <n v="0.26"/>
    <n v="0"/>
  </r>
  <r>
    <n v="7094"/>
    <s v="CA-2015-119480"/>
    <d v="2015-01-09T00:00:00"/>
    <x v="1"/>
    <s v="Q1"/>
    <x v="26"/>
    <d v="2015-01-13T00:00:00"/>
    <s v="Standard Class"/>
    <x v="530"/>
    <x v="530"/>
    <s v="Consumer"/>
    <s v="United States"/>
    <s v="Henderson"/>
    <x v="0"/>
    <n v="42420"/>
    <x v="0"/>
    <x v="1540"/>
    <x v="1"/>
    <x v="10"/>
    <x v="1528"/>
    <n v="51.55"/>
    <s v="Medium"/>
    <n v="5"/>
    <n v="0"/>
    <x v="0"/>
    <x v="0"/>
    <n v="24.2285"/>
    <n v="0.47000000000000003"/>
    <n v="0"/>
  </r>
  <r>
    <n v="7095"/>
    <s v="US-2015-153374"/>
    <d v="2015-02-09T00:00:00"/>
    <x v="1"/>
    <s v="Q1"/>
    <x v="36"/>
    <d v="2015-02-13T00:00:00"/>
    <s v="Second Class"/>
    <x v="535"/>
    <x v="535"/>
    <s v="Consumer"/>
    <s v="United States"/>
    <s v="Decatur"/>
    <x v="10"/>
    <n v="62521"/>
    <x v="2"/>
    <x v="295"/>
    <x v="2"/>
    <x v="11"/>
    <x v="295"/>
    <n v="479.952"/>
    <s v="High"/>
    <n v="6"/>
    <n v="0.2"/>
    <x v="2"/>
    <x v="2"/>
    <n v="89.991"/>
    <n v="0.1875"/>
    <n v="0"/>
  </r>
  <r>
    <n v="7096"/>
    <s v="CA-2016-101980"/>
    <d v="2016-08-19T00:00:00"/>
    <x v="0"/>
    <s v="Q3"/>
    <x v="28"/>
    <d v="2016-08-20T00:00:00"/>
    <s v="First Class"/>
    <x v="261"/>
    <x v="261"/>
    <s v="Consumer"/>
    <s v="United States"/>
    <s v="New York City"/>
    <x v="15"/>
    <n v="10009"/>
    <x v="3"/>
    <x v="997"/>
    <x v="1"/>
    <x v="8"/>
    <x v="989"/>
    <n v="146.68799999999999"/>
    <s v="High"/>
    <n v="6"/>
    <n v="0.2"/>
    <x v="2"/>
    <x v="2"/>
    <n v="55.008000000000003"/>
    <n v="0.37500000000000006"/>
    <n v="0"/>
  </r>
  <r>
    <n v="7097"/>
    <s v="CA-2016-101980"/>
    <d v="2016-08-19T00:00:00"/>
    <x v="0"/>
    <s v="Q3"/>
    <x v="28"/>
    <d v="2016-08-20T00:00:00"/>
    <s v="First Class"/>
    <x v="261"/>
    <x v="261"/>
    <s v="Consumer"/>
    <s v="United States"/>
    <s v="New York City"/>
    <x v="15"/>
    <n v="10009"/>
    <x v="3"/>
    <x v="1591"/>
    <x v="1"/>
    <x v="8"/>
    <x v="1583"/>
    <n v="276.78399999999999"/>
    <s v="High"/>
    <n v="2"/>
    <n v="0.2"/>
    <x v="2"/>
    <x v="2"/>
    <n v="89.954800000000006"/>
    <n v="0.32500000000000001"/>
    <n v="0"/>
  </r>
  <r>
    <n v="7098"/>
    <s v="CA-2016-101980"/>
    <d v="2016-08-19T00:00:00"/>
    <x v="0"/>
    <s v="Q3"/>
    <x v="28"/>
    <d v="2016-08-20T00:00:00"/>
    <s v="First Class"/>
    <x v="261"/>
    <x v="261"/>
    <s v="Consumer"/>
    <s v="United States"/>
    <s v="New York City"/>
    <x v="15"/>
    <n v="10009"/>
    <x v="3"/>
    <x v="858"/>
    <x v="1"/>
    <x v="8"/>
    <x v="852"/>
    <n v="25.32"/>
    <s v="Medium"/>
    <n v="5"/>
    <n v="0.2"/>
    <x v="2"/>
    <x v="2"/>
    <n v="9.1784999999999997"/>
    <n v="0.36249999999999999"/>
    <n v="0"/>
  </r>
  <r>
    <n v="7099"/>
    <s v="CA-2017-144596"/>
    <d v="2017-11-06T00:00:00"/>
    <x v="3"/>
    <s v="Q4"/>
    <x v="23"/>
    <d v="2017-11-10T00:00:00"/>
    <s v="Standard Class"/>
    <x v="263"/>
    <x v="263"/>
    <s v="Consumer"/>
    <s v="United States"/>
    <s v="New York City"/>
    <x v="15"/>
    <n v="10011"/>
    <x v="3"/>
    <x v="1733"/>
    <x v="1"/>
    <x v="10"/>
    <x v="1721"/>
    <n v="318.95999999999998"/>
    <s v="High"/>
    <n v="9"/>
    <n v="0"/>
    <x v="0"/>
    <x v="0"/>
    <n v="149.91120000000001"/>
    <n v="0.47000000000000003"/>
    <n v="0"/>
  </r>
  <r>
    <n v="7100"/>
    <s v="CA-2015-124933"/>
    <d v="2015-12-26T00:00:00"/>
    <x v="1"/>
    <s v="Q4"/>
    <x v="14"/>
    <d v="2015-12-30T00:00:00"/>
    <s v="Second Class"/>
    <x v="650"/>
    <x v="650"/>
    <s v="Consumer"/>
    <s v="United States"/>
    <s v="New York City"/>
    <x v="15"/>
    <n v="10009"/>
    <x v="3"/>
    <x v="1733"/>
    <x v="1"/>
    <x v="10"/>
    <x v="1721"/>
    <n v="212.64"/>
    <s v="High"/>
    <n v="6"/>
    <n v="0"/>
    <x v="0"/>
    <x v="0"/>
    <n v="99.940799999999996"/>
    <n v="0.47000000000000003"/>
    <n v="0"/>
  </r>
  <r>
    <n v="7101"/>
    <s v="CA-2014-159625"/>
    <d v="2014-11-23T00:00:00"/>
    <x v="2"/>
    <s v="Q4"/>
    <x v="7"/>
    <d v="2014-11-28T00:00:00"/>
    <s v="Standard Class"/>
    <x v="325"/>
    <x v="325"/>
    <s v="Consumer"/>
    <s v="United States"/>
    <s v="Scottsdale"/>
    <x v="16"/>
    <n v="85254"/>
    <x v="1"/>
    <x v="1170"/>
    <x v="1"/>
    <x v="12"/>
    <x v="153"/>
    <n v="23.472000000000001"/>
    <s v="Low"/>
    <n v="3"/>
    <n v="0.2"/>
    <x v="2"/>
    <x v="2"/>
    <n v="8.8019999999999996"/>
    <n v="0.37499999999999994"/>
    <n v="0"/>
  </r>
  <r>
    <n v="7102"/>
    <s v="CA-2016-144337"/>
    <d v="2016-08-01T00:00:00"/>
    <x v="0"/>
    <s v="Q3"/>
    <x v="28"/>
    <d v="2016-08-05T00:00:00"/>
    <s v="Second Class"/>
    <x v="737"/>
    <x v="737"/>
    <s v="Corporate"/>
    <s v="United States"/>
    <s v="Amarillo"/>
    <x v="5"/>
    <n v="79109"/>
    <x v="2"/>
    <x v="33"/>
    <x v="1"/>
    <x v="10"/>
    <x v="33"/>
    <n v="19.648"/>
    <s v="Low"/>
    <n v="2"/>
    <n v="0.2"/>
    <x v="2"/>
    <x v="2"/>
    <n v="6.6311999999999998"/>
    <n v="0.33749999999999997"/>
    <n v="0"/>
  </r>
  <r>
    <n v="7103"/>
    <s v="CA-2014-117478"/>
    <d v="2014-09-21T00:00:00"/>
    <x v="2"/>
    <s v="Q3"/>
    <x v="30"/>
    <d v="2014-09-24T00:00:00"/>
    <s v="First Class"/>
    <x v="405"/>
    <x v="405"/>
    <s v="Consumer"/>
    <s v="United States"/>
    <s v="Philadelphia"/>
    <x v="9"/>
    <n v="19140"/>
    <x v="3"/>
    <x v="347"/>
    <x v="1"/>
    <x v="8"/>
    <x v="347"/>
    <n v="6.57"/>
    <s v="Low"/>
    <n v="3"/>
    <n v="0.7"/>
    <x v="1"/>
    <x v="5"/>
    <n v="-5.0369999999999999"/>
    <n v="-0.76666666666666661"/>
    <n v="1"/>
  </r>
  <r>
    <n v="7104"/>
    <s v="CA-2017-147410"/>
    <d v="2017-09-04T00:00:00"/>
    <x v="3"/>
    <s v="Q3"/>
    <x v="15"/>
    <d v="2017-09-08T00:00:00"/>
    <s v="Standard Class"/>
    <x v="412"/>
    <x v="412"/>
    <s v="Consumer"/>
    <s v="United States"/>
    <s v="Santa Ana"/>
    <x v="1"/>
    <n v="92704"/>
    <x v="1"/>
    <x v="1672"/>
    <x v="1"/>
    <x v="4"/>
    <x v="1660"/>
    <n v="421.1"/>
    <s v="High"/>
    <n v="2"/>
    <n v="0"/>
    <x v="0"/>
    <x v="0"/>
    <n v="105.27500000000001"/>
    <n v="0.25"/>
    <n v="0"/>
  </r>
  <r>
    <n v="7105"/>
    <s v="CA-2017-128944"/>
    <d v="2017-06-19T00:00:00"/>
    <x v="3"/>
    <s v="Q2"/>
    <x v="27"/>
    <d v="2017-06-21T00:00:00"/>
    <s v="Second Class"/>
    <x v="542"/>
    <x v="542"/>
    <s v="Corporate"/>
    <s v="United States"/>
    <s v="Newark"/>
    <x v="24"/>
    <n v="43055"/>
    <x v="3"/>
    <x v="323"/>
    <x v="0"/>
    <x v="1"/>
    <x v="323"/>
    <n v="760.11599999999999"/>
    <s v="High"/>
    <n v="6"/>
    <n v="0.3"/>
    <x v="1"/>
    <x v="4"/>
    <n v="-43.435200000000002"/>
    <n v="-5.7142857142857148E-2"/>
    <n v="1"/>
  </r>
  <r>
    <n v="7106"/>
    <s v="CA-2017-128944"/>
    <d v="2017-06-19T00:00:00"/>
    <x v="3"/>
    <s v="Q2"/>
    <x v="27"/>
    <d v="2017-06-21T00:00:00"/>
    <s v="Second Class"/>
    <x v="542"/>
    <x v="542"/>
    <s v="Corporate"/>
    <s v="United States"/>
    <s v="Newark"/>
    <x v="24"/>
    <n v="43055"/>
    <x v="3"/>
    <x v="1372"/>
    <x v="0"/>
    <x v="5"/>
    <x v="1357"/>
    <n v="38.783999999999999"/>
    <s v="Medium"/>
    <n v="3"/>
    <n v="0.2"/>
    <x v="2"/>
    <x v="2"/>
    <n v="7.2720000000000002"/>
    <n v="0.1875"/>
    <n v="0"/>
  </r>
  <r>
    <n v="7107"/>
    <s v="CA-2017-128944"/>
    <d v="2017-06-19T00:00:00"/>
    <x v="3"/>
    <s v="Q2"/>
    <x v="27"/>
    <d v="2017-06-21T00:00:00"/>
    <s v="Second Class"/>
    <x v="542"/>
    <x v="542"/>
    <s v="Corporate"/>
    <s v="United States"/>
    <s v="Newark"/>
    <x v="24"/>
    <n v="43055"/>
    <x v="3"/>
    <x v="1617"/>
    <x v="2"/>
    <x v="11"/>
    <x v="1608"/>
    <n v="122.328"/>
    <s v="Medium"/>
    <n v="9"/>
    <n v="0.2"/>
    <x v="2"/>
    <x v="2"/>
    <n v="1.5290999999999999"/>
    <n v="1.2499999999999999E-2"/>
    <n v="0"/>
  </r>
  <r>
    <n v="7108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714"/>
    <x v="2"/>
    <x v="7"/>
    <x v="713"/>
    <n v="25.98"/>
    <s v="Medium"/>
    <n v="2"/>
    <n v="0"/>
    <x v="0"/>
    <x v="0"/>
    <n v="0.77939999999999998"/>
    <n v="0.03"/>
    <n v="0"/>
  </r>
  <r>
    <n v="7109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1199"/>
    <x v="1"/>
    <x v="6"/>
    <x v="1184"/>
    <n v="3.28"/>
    <s v="Low"/>
    <n v="2"/>
    <n v="0"/>
    <x v="0"/>
    <x v="0"/>
    <n v="1.476"/>
    <n v="0.45"/>
    <n v="0"/>
  </r>
  <r>
    <n v="7110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156"/>
    <x v="1"/>
    <x v="4"/>
    <x v="157"/>
    <n v="459.88"/>
    <s v="High"/>
    <n v="4"/>
    <n v="0"/>
    <x v="0"/>
    <x v="0"/>
    <n v="13.7964"/>
    <n v="3.0000000000000002E-2"/>
    <n v="0"/>
  </r>
  <r>
    <n v="7111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1562"/>
    <x v="1"/>
    <x v="14"/>
    <x v="1553"/>
    <n v="7.76"/>
    <s v="Low"/>
    <n v="2"/>
    <n v="0"/>
    <x v="0"/>
    <x v="0"/>
    <n v="2.2504"/>
    <n v="0.28999999999999998"/>
    <n v="0"/>
  </r>
  <r>
    <n v="7112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915"/>
    <x v="1"/>
    <x v="6"/>
    <x v="907"/>
    <n v="71.959999999999994"/>
    <s v="Medium"/>
    <n v="2"/>
    <n v="0"/>
    <x v="0"/>
    <x v="0"/>
    <n v="17.989999999999998"/>
    <n v="0.25"/>
    <n v="0"/>
  </r>
  <r>
    <n v="7113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133"/>
    <x v="1"/>
    <x v="14"/>
    <x v="134"/>
    <n v="54.9"/>
    <s v="Medium"/>
    <n v="5"/>
    <n v="0"/>
    <x v="0"/>
    <x v="0"/>
    <n v="15.372"/>
    <n v="0.28000000000000003"/>
    <n v="0"/>
  </r>
  <r>
    <n v="7114"/>
    <s v="CA-2016-109666"/>
    <d v="2016-04-19T00:00:00"/>
    <x v="0"/>
    <s v="Q2"/>
    <x v="25"/>
    <d v="2016-04-26T00:00:00"/>
    <s v="Standard Class"/>
    <x v="27"/>
    <x v="27"/>
    <s v="Consumer"/>
    <s v="United States"/>
    <s v="New York City"/>
    <x v="15"/>
    <n v="10035"/>
    <x v="3"/>
    <x v="1458"/>
    <x v="1"/>
    <x v="8"/>
    <x v="1444"/>
    <n v="9.2799999999999994"/>
    <s v="Low"/>
    <n v="2"/>
    <n v="0.2"/>
    <x v="2"/>
    <x v="2"/>
    <n v="3.2480000000000002"/>
    <n v="0.35000000000000003"/>
    <n v="0"/>
  </r>
  <r>
    <n v="7115"/>
    <s v="US-2016-102239"/>
    <d v="2016-05-05T00:00:00"/>
    <x v="0"/>
    <s v="Q2"/>
    <x v="35"/>
    <d v="2016-05-06T00:00:00"/>
    <s v="First Class"/>
    <x v="352"/>
    <x v="352"/>
    <s v="Corporate"/>
    <s v="United States"/>
    <s v="Henderson"/>
    <x v="33"/>
    <n v="89015"/>
    <x v="1"/>
    <x v="1660"/>
    <x v="0"/>
    <x v="3"/>
    <x v="1648"/>
    <n v="1685.88"/>
    <s v="High"/>
    <n v="6"/>
    <n v="0"/>
    <x v="0"/>
    <x v="0"/>
    <n v="320.31720000000001"/>
    <n v="0.19"/>
    <n v="0"/>
  </r>
  <r>
    <n v="7116"/>
    <s v="US-2016-102239"/>
    <d v="2016-05-05T00:00:00"/>
    <x v="0"/>
    <s v="Q2"/>
    <x v="35"/>
    <d v="2016-05-06T00:00:00"/>
    <s v="First Class"/>
    <x v="352"/>
    <x v="352"/>
    <s v="Corporate"/>
    <s v="United States"/>
    <s v="Henderson"/>
    <x v="33"/>
    <n v="89015"/>
    <x v="1"/>
    <x v="175"/>
    <x v="1"/>
    <x v="8"/>
    <x v="176"/>
    <n v="5.7279999999999998"/>
    <s v="Low"/>
    <n v="2"/>
    <n v="0.2"/>
    <x v="2"/>
    <x v="2"/>
    <n v="2.0047999999999999"/>
    <n v="0.35"/>
    <n v="0"/>
  </r>
  <r>
    <n v="7117"/>
    <s v="CA-2014-143168"/>
    <d v="2014-10-18T00:00:00"/>
    <x v="2"/>
    <s v="Q4"/>
    <x v="18"/>
    <d v="2014-10-23T00:00:00"/>
    <s v="Second Class"/>
    <x v="490"/>
    <x v="490"/>
    <s v="Consumer"/>
    <s v="United States"/>
    <s v="Seattle"/>
    <x v="4"/>
    <n v="98103"/>
    <x v="1"/>
    <x v="1090"/>
    <x v="1"/>
    <x v="10"/>
    <x v="1080"/>
    <n v="61.96"/>
    <s v="Medium"/>
    <n v="2"/>
    <n v="0"/>
    <x v="0"/>
    <x v="0"/>
    <n v="27.882000000000001"/>
    <n v="0.45"/>
    <n v="0"/>
  </r>
  <r>
    <n v="7118"/>
    <s v="CA-2014-143168"/>
    <d v="2014-10-18T00:00:00"/>
    <x v="2"/>
    <s v="Q4"/>
    <x v="18"/>
    <d v="2014-10-23T00:00:00"/>
    <s v="Second Class"/>
    <x v="490"/>
    <x v="490"/>
    <s v="Consumer"/>
    <s v="United States"/>
    <s v="Seattle"/>
    <x v="4"/>
    <n v="98103"/>
    <x v="1"/>
    <x v="1338"/>
    <x v="1"/>
    <x v="8"/>
    <x v="1323"/>
    <n v="1.3440000000000001"/>
    <s v="Low"/>
    <n v="1"/>
    <n v="0.2"/>
    <x v="2"/>
    <x v="2"/>
    <n v="0.47039999999999998"/>
    <n v="0.35"/>
    <n v="0"/>
  </r>
  <r>
    <n v="7119"/>
    <s v="CA-2017-104906"/>
    <d v="2017-02-13T00:00:00"/>
    <x v="3"/>
    <s v="Q1"/>
    <x v="31"/>
    <d v="2017-02-17T00:00:00"/>
    <s v="Standard Class"/>
    <x v="687"/>
    <x v="687"/>
    <s v="Corporate"/>
    <s v="United States"/>
    <s v="New York City"/>
    <x v="15"/>
    <n v="10009"/>
    <x v="3"/>
    <x v="1331"/>
    <x v="1"/>
    <x v="10"/>
    <x v="1316"/>
    <n v="17.940000000000001"/>
    <s v="Low"/>
    <n v="3"/>
    <n v="0"/>
    <x v="0"/>
    <x v="0"/>
    <n v="8.7905999999999995"/>
    <n v="0.48999999999999994"/>
    <n v="0"/>
  </r>
  <r>
    <n v="7120"/>
    <s v="CA-2017-118122"/>
    <d v="2017-11-17T00:00:00"/>
    <x v="3"/>
    <s v="Q4"/>
    <x v="23"/>
    <d v="2017-11-24T00:00:00"/>
    <s v="Standard Class"/>
    <x v="55"/>
    <x v="55"/>
    <s v="Corporate"/>
    <s v="United States"/>
    <s v="Seattle"/>
    <x v="4"/>
    <n v="98103"/>
    <x v="1"/>
    <x v="530"/>
    <x v="1"/>
    <x v="8"/>
    <x v="530"/>
    <n v="13.904"/>
    <s v="Low"/>
    <n v="2"/>
    <n v="0.2"/>
    <x v="2"/>
    <x v="2"/>
    <n v="4.5187999999999997"/>
    <n v="0.32499999999999996"/>
    <n v="0"/>
  </r>
  <r>
    <n v="7121"/>
    <s v="US-2014-147774"/>
    <d v="2014-01-20T00:00:00"/>
    <x v="2"/>
    <s v="Q1"/>
    <x v="46"/>
    <d v="2014-01-26T00:00:00"/>
    <s v="Standard Class"/>
    <x v="152"/>
    <x v="152"/>
    <s v="Corporate"/>
    <s v="United States"/>
    <s v="Smyrna"/>
    <x v="18"/>
    <n v="37167"/>
    <x v="0"/>
    <x v="1188"/>
    <x v="1"/>
    <x v="8"/>
    <x v="1174"/>
    <n v="67.194000000000003"/>
    <s v="Medium"/>
    <n v="1"/>
    <n v="0.7"/>
    <x v="1"/>
    <x v="5"/>
    <n v="-51.5154"/>
    <n v="-0.76666666666666661"/>
    <n v="1"/>
  </r>
  <r>
    <n v="7122"/>
    <s v="CA-2017-166926"/>
    <d v="2017-12-01T00:00:00"/>
    <x v="3"/>
    <s v="Q4"/>
    <x v="22"/>
    <d v="2017-12-08T00:00:00"/>
    <s v="Standard Class"/>
    <x v="2"/>
    <x v="2"/>
    <s v="Consumer"/>
    <s v="United States"/>
    <s v="Seattle"/>
    <x v="4"/>
    <n v="98105"/>
    <x v="1"/>
    <x v="1774"/>
    <x v="1"/>
    <x v="10"/>
    <x v="1764"/>
    <n v="41.86"/>
    <s v="Medium"/>
    <n v="7"/>
    <n v="0"/>
    <x v="0"/>
    <x v="0"/>
    <n v="18.837"/>
    <n v="0.45"/>
    <n v="0"/>
  </r>
  <r>
    <n v="7123"/>
    <s v="CA-2017-166926"/>
    <d v="2017-12-01T00:00:00"/>
    <x v="3"/>
    <s v="Q4"/>
    <x v="22"/>
    <d v="2017-12-08T00:00:00"/>
    <s v="Standard Class"/>
    <x v="2"/>
    <x v="2"/>
    <s v="Consumer"/>
    <s v="United States"/>
    <s v="Seattle"/>
    <x v="4"/>
    <n v="98105"/>
    <x v="1"/>
    <x v="1531"/>
    <x v="0"/>
    <x v="0"/>
    <x v="1518"/>
    <n v="141.96"/>
    <s v="High"/>
    <n v="2"/>
    <n v="0"/>
    <x v="0"/>
    <x v="0"/>
    <n v="41.168399999999998"/>
    <n v="0.28999999999999998"/>
    <n v="0"/>
  </r>
  <r>
    <n v="7124"/>
    <s v="CA-2015-128013"/>
    <d v="2015-08-09T00:00:00"/>
    <x v="1"/>
    <s v="Q3"/>
    <x v="37"/>
    <d v="2015-08-16T00:00:00"/>
    <s v="Standard Class"/>
    <x v="751"/>
    <x v="751"/>
    <s v="Corporate"/>
    <s v="United States"/>
    <s v="New York City"/>
    <x v="15"/>
    <n v="10035"/>
    <x v="3"/>
    <x v="1533"/>
    <x v="0"/>
    <x v="5"/>
    <x v="1521"/>
    <n v="10.02"/>
    <s v="Low"/>
    <n v="3"/>
    <n v="0"/>
    <x v="0"/>
    <x v="0"/>
    <n v="4.4088000000000003"/>
    <n v="0.44000000000000006"/>
    <n v="0"/>
  </r>
  <r>
    <n v="7125"/>
    <s v="CA-2015-128013"/>
    <d v="2015-08-09T00:00:00"/>
    <x v="1"/>
    <s v="Q3"/>
    <x v="37"/>
    <d v="2015-08-16T00:00:00"/>
    <s v="Standard Class"/>
    <x v="751"/>
    <x v="751"/>
    <s v="Corporate"/>
    <s v="United States"/>
    <s v="New York City"/>
    <x v="15"/>
    <n v="10035"/>
    <x v="3"/>
    <x v="1415"/>
    <x v="1"/>
    <x v="10"/>
    <x v="1402"/>
    <n v="144.12"/>
    <s v="High"/>
    <n v="3"/>
    <n v="0"/>
    <x v="0"/>
    <x v="0"/>
    <n v="69.177599999999998"/>
    <n v="0.48"/>
    <n v="0"/>
  </r>
  <r>
    <n v="7126"/>
    <s v="CA-2016-123176"/>
    <d v="2016-09-27T00:00:00"/>
    <x v="0"/>
    <s v="Q3"/>
    <x v="21"/>
    <d v="2016-09-29T00:00:00"/>
    <s v="Second Class"/>
    <x v="506"/>
    <x v="506"/>
    <s v="Consumer"/>
    <s v="United States"/>
    <s v="Atlanta"/>
    <x v="32"/>
    <n v="30318"/>
    <x v="0"/>
    <x v="1296"/>
    <x v="1"/>
    <x v="10"/>
    <x v="1281"/>
    <n v="17.940000000000001"/>
    <s v="Low"/>
    <n v="3"/>
    <n v="0"/>
    <x v="0"/>
    <x v="0"/>
    <n v="8.7905999999999995"/>
    <n v="0.48999999999999994"/>
    <n v="0"/>
  </r>
  <r>
    <n v="7127"/>
    <s v="CA-2016-123176"/>
    <d v="2016-09-27T00:00:00"/>
    <x v="0"/>
    <s v="Q3"/>
    <x v="21"/>
    <d v="2016-09-29T00:00:00"/>
    <s v="Second Class"/>
    <x v="506"/>
    <x v="506"/>
    <s v="Consumer"/>
    <s v="United States"/>
    <s v="Atlanta"/>
    <x v="32"/>
    <n v="30318"/>
    <x v="0"/>
    <x v="182"/>
    <x v="1"/>
    <x v="6"/>
    <x v="183"/>
    <n v="13.89"/>
    <s v="Low"/>
    <n v="3"/>
    <n v="0"/>
    <x v="0"/>
    <x v="0"/>
    <n v="4.5837000000000003"/>
    <n v="0.33"/>
    <n v="0"/>
  </r>
  <r>
    <n v="7128"/>
    <s v="US-2016-117541"/>
    <d v="2016-11-14T00:00:00"/>
    <x v="0"/>
    <s v="Q4"/>
    <x v="0"/>
    <d v="2016-11-20T00:00:00"/>
    <s v="Standard Class"/>
    <x v="594"/>
    <x v="594"/>
    <s v="Consumer"/>
    <s v="United States"/>
    <s v="Newark"/>
    <x v="13"/>
    <n v="19711"/>
    <x v="3"/>
    <x v="1128"/>
    <x v="1"/>
    <x v="10"/>
    <x v="1116"/>
    <n v="16.45"/>
    <s v="Low"/>
    <n v="5"/>
    <n v="0"/>
    <x v="0"/>
    <x v="0"/>
    <n v="7.5670000000000002"/>
    <n v="0.46"/>
    <n v="0"/>
  </r>
  <r>
    <n v="7129"/>
    <s v="US-2016-117541"/>
    <d v="2016-11-14T00:00:00"/>
    <x v="0"/>
    <s v="Q4"/>
    <x v="0"/>
    <d v="2016-11-20T00:00:00"/>
    <s v="Standard Class"/>
    <x v="594"/>
    <x v="594"/>
    <s v="Consumer"/>
    <s v="United States"/>
    <s v="Newark"/>
    <x v="13"/>
    <n v="19711"/>
    <x v="3"/>
    <x v="1467"/>
    <x v="0"/>
    <x v="5"/>
    <x v="1454"/>
    <n v="19.920000000000002"/>
    <s v="Low"/>
    <n v="4"/>
    <n v="0"/>
    <x v="0"/>
    <x v="0"/>
    <n v="6.5735999999999999"/>
    <n v="0.32999999999999996"/>
    <n v="0"/>
  </r>
  <r>
    <n v="7130"/>
    <s v="CA-2016-166282"/>
    <d v="2016-04-16T00:00:00"/>
    <x v="0"/>
    <s v="Q2"/>
    <x v="25"/>
    <d v="2016-04-22T00:00:00"/>
    <s v="Standard Class"/>
    <x v="7"/>
    <x v="7"/>
    <s v="Consumer"/>
    <s v="United States"/>
    <s v="Nashville"/>
    <x v="18"/>
    <n v="37211"/>
    <x v="0"/>
    <x v="916"/>
    <x v="2"/>
    <x v="11"/>
    <x v="908"/>
    <n v="35.167999999999999"/>
    <s v="Medium"/>
    <n v="4"/>
    <n v="0.2"/>
    <x v="2"/>
    <x v="2"/>
    <n v="8.3523999999999994"/>
    <n v="0.23749999999999999"/>
    <n v="0"/>
  </r>
  <r>
    <n v="7131"/>
    <s v="CA-2016-166282"/>
    <d v="2016-04-16T00:00:00"/>
    <x v="0"/>
    <s v="Q2"/>
    <x v="25"/>
    <d v="2016-04-22T00:00:00"/>
    <s v="Standard Class"/>
    <x v="7"/>
    <x v="7"/>
    <s v="Consumer"/>
    <s v="United States"/>
    <s v="Nashville"/>
    <x v="18"/>
    <n v="37211"/>
    <x v="0"/>
    <x v="1665"/>
    <x v="1"/>
    <x v="10"/>
    <x v="1723"/>
    <n v="123.08799999999999"/>
    <s v="High"/>
    <n v="7"/>
    <n v="0.2"/>
    <x v="2"/>
    <x v="2"/>
    <n v="40.003599999999999"/>
    <n v="0.32500000000000001"/>
    <n v="0"/>
  </r>
  <r>
    <n v="7132"/>
    <s v="CA-2017-141439"/>
    <d v="2017-11-26T00:00:00"/>
    <x v="3"/>
    <s v="Q4"/>
    <x v="23"/>
    <d v="2017-12-01T00:00:00"/>
    <s v="Standard Class"/>
    <x v="499"/>
    <x v="499"/>
    <s v="Home Office"/>
    <s v="United States"/>
    <s v="Richmond"/>
    <x v="14"/>
    <n v="47374"/>
    <x v="2"/>
    <x v="977"/>
    <x v="0"/>
    <x v="3"/>
    <x v="832"/>
    <n v="257.94"/>
    <s v="High"/>
    <n v="3"/>
    <n v="0"/>
    <x v="0"/>
    <x v="0"/>
    <n v="67.064400000000006"/>
    <n v="0.26"/>
    <n v="0"/>
  </r>
  <r>
    <n v="7133"/>
    <s v="CA-2017-141439"/>
    <d v="2017-11-26T00:00:00"/>
    <x v="3"/>
    <s v="Q4"/>
    <x v="23"/>
    <d v="2017-12-01T00:00:00"/>
    <s v="Standard Class"/>
    <x v="499"/>
    <x v="499"/>
    <s v="Home Office"/>
    <s v="United States"/>
    <s v="Richmond"/>
    <x v="14"/>
    <n v="47374"/>
    <x v="2"/>
    <x v="1147"/>
    <x v="2"/>
    <x v="7"/>
    <x v="1135"/>
    <n v="1879.96"/>
    <s v="High"/>
    <n v="4"/>
    <n v="0"/>
    <x v="0"/>
    <x v="0"/>
    <n v="545.1884"/>
    <n v="0.28999999999999998"/>
    <n v="0"/>
  </r>
  <r>
    <n v="7134"/>
    <s v="CA-2017-141439"/>
    <d v="2017-11-26T00:00:00"/>
    <x v="3"/>
    <s v="Q4"/>
    <x v="23"/>
    <d v="2017-12-01T00:00:00"/>
    <s v="Standard Class"/>
    <x v="499"/>
    <x v="499"/>
    <s v="Home Office"/>
    <s v="United States"/>
    <s v="Richmond"/>
    <x v="14"/>
    <n v="47374"/>
    <x v="2"/>
    <x v="1001"/>
    <x v="0"/>
    <x v="5"/>
    <x v="993"/>
    <n v="27.46"/>
    <s v="Medium"/>
    <n v="2"/>
    <n v="0"/>
    <x v="0"/>
    <x v="0"/>
    <n v="9.8856000000000002"/>
    <n v="0.36"/>
    <n v="0"/>
  </r>
  <r>
    <n v="7135"/>
    <s v="CA-2017-141439"/>
    <d v="2017-11-26T00:00:00"/>
    <x v="3"/>
    <s v="Q4"/>
    <x v="23"/>
    <d v="2017-12-01T00:00:00"/>
    <s v="Standard Class"/>
    <x v="499"/>
    <x v="499"/>
    <s v="Home Office"/>
    <s v="United States"/>
    <s v="Richmond"/>
    <x v="14"/>
    <n v="47374"/>
    <x v="2"/>
    <x v="817"/>
    <x v="2"/>
    <x v="7"/>
    <x v="813"/>
    <n v="89.98"/>
    <s v="Medium"/>
    <n v="2"/>
    <n v="0"/>
    <x v="0"/>
    <x v="0"/>
    <n v="43.190399999999997"/>
    <n v="0.47999999999999993"/>
    <n v="0"/>
  </r>
  <r>
    <n v="7136"/>
    <s v="CA-2017-141439"/>
    <d v="2017-11-26T00:00:00"/>
    <x v="3"/>
    <s v="Q4"/>
    <x v="23"/>
    <d v="2017-12-01T00:00:00"/>
    <s v="Standard Class"/>
    <x v="499"/>
    <x v="499"/>
    <s v="Home Office"/>
    <s v="United States"/>
    <s v="Richmond"/>
    <x v="14"/>
    <n v="47374"/>
    <x v="2"/>
    <x v="157"/>
    <x v="0"/>
    <x v="1"/>
    <x v="158"/>
    <n v="828.6"/>
    <s v="High"/>
    <n v="3"/>
    <n v="0"/>
    <x v="0"/>
    <x v="0"/>
    <n v="240.29400000000001"/>
    <n v="0.28999999999999998"/>
    <n v="0"/>
  </r>
  <r>
    <n v="7137"/>
    <s v="CA-2015-163965"/>
    <d v="2015-11-20T00:00:00"/>
    <x v="1"/>
    <s v="Q4"/>
    <x v="6"/>
    <d v="2015-11-27T00:00:00"/>
    <s v="Standard Class"/>
    <x v="286"/>
    <x v="286"/>
    <s v="Consumer"/>
    <s v="United States"/>
    <s v="Miami"/>
    <x v="2"/>
    <n v="33180"/>
    <x v="0"/>
    <x v="544"/>
    <x v="1"/>
    <x v="8"/>
    <x v="544"/>
    <n v="7.23"/>
    <s v="Low"/>
    <n v="5"/>
    <n v="0.7"/>
    <x v="1"/>
    <x v="5"/>
    <n v="-5.7839999999999998"/>
    <n v="-0.79999999999999993"/>
    <n v="1"/>
  </r>
  <r>
    <n v="7138"/>
    <s v="CA-2015-163965"/>
    <d v="2015-11-20T00:00:00"/>
    <x v="1"/>
    <s v="Q4"/>
    <x v="6"/>
    <d v="2015-11-27T00:00:00"/>
    <s v="Standard Class"/>
    <x v="286"/>
    <x v="286"/>
    <s v="Consumer"/>
    <s v="United States"/>
    <s v="Miami"/>
    <x v="2"/>
    <n v="33180"/>
    <x v="0"/>
    <x v="376"/>
    <x v="1"/>
    <x v="4"/>
    <x v="377"/>
    <n v="17.440000000000001"/>
    <s v="Low"/>
    <n v="2"/>
    <n v="0.2"/>
    <x v="2"/>
    <x v="2"/>
    <n v="1.3080000000000001"/>
    <n v="7.4999999999999997E-2"/>
    <n v="0"/>
  </r>
  <r>
    <n v="7139"/>
    <s v="CA-2015-163965"/>
    <d v="2015-11-20T00:00:00"/>
    <x v="1"/>
    <s v="Q4"/>
    <x v="6"/>
    <d v="2015-11-27T00:00:00"/>
    <s v="Standard Class"/>
    <x v="286"/>
    <x v="286"/>
    <s v="Consumer"/>
    <s v="United States"/>
    <s v="Miami"/>
    <x v="2"/>
    <n v="33180"/>
    <x v="0"/>
    <x v="270"/>
    <x v="1"/>
    <x v="8"/>
    <x v="270"/>
    <n v="62.88"/>
    <s v="Medium"/>
    <n v="4"/>
    <n v="0.7"/>
    <x v="1"/>
    <x v="5"/>
    <n v="-50.304000000000002"/>
    <n v="-0.8"/>
    <n v="1"/>
  </r>
  <r>
    <n v="7140"/>
    <s v="CA-2015-163965"/>
    <d v="2015-11-20T00:00:00"/>
    <x v="1"/>
    <s v="Q4"/>
    <x v="6"/>
    <d v="2015-11-27T00:00:00"/>
    <s v="Standard Class"/>
    <x v="286"/>
    <x v="286"/>
    <s v="Consumer"/>
    <s v="United States"/>
    <s v="Miami"/>
    <x v="2"/>
    <n v="33180"/>
    <x v="0"/>
    <x v="430"/>
    <x v="0"/>
    <x v="0"/>
    <x v="430"/>
    <n v="290.35199999999998"/>
    <s v="High"/>
    <n v="3"/>
    <n v="0.2"/>
    <x v="2"/>
    <x v="2"/>
    <n v="-36.293999999999997"/>
    <n v="-0.125"/>
    <n v="1"/>
  </r>
  <r>
    <n v="7141"/>
    <s v="CA-2017-128783"/>
    <d v="2017-09-07T00:00:00"/>
    <x v="3"/>
    <s v="Q3"/>
    <x v="15"/>
    <d v="2017-09-07T00:00:00"/>
    <s v="Same Day"/>
    <x v="228"/>
    <x v="228"/>
    <s v="Consumer"/>
    <s v="United States"/>
    <s v="Saint Charles"/>
    <x v="25"/>
    <n v="63301"/>
    <x v="2"/>
    <x v="721"/>
    <x v="2"/>
    <x v="11"/>
    <x v="720"/>
    <n v="113.52"/>
    <s v="Medium"/>
    <n v="4"/>
    <n v="0"/>
    <x v="0"/>
    <x v="0"/>
    <n v="46.543199999999999"/>
    <n v="0.41000000000000003"/>
    <n v="0"/>
  </r>
  <r>
    <n v="7142"/>
    <s v="CA-2017-128783"/>
    <d v="2017-09-07T00:00:00"/>
    <x v="3"/>
    <s v="Q3"/>
    <x v="15"/>
    <d v="2017-09-07T00:00:00"/>
    <s v="Same Day"/>
    <x v="228"/>
    <x v="228"/>
    <s v="Consumer"/>
    <s v="United States"/>
    <s v="Saint Charles"/>
    <x v="25"/>
    <n v="63301"/>
    <x v="2"/>
    <x v="1251"/>
    <x v="0"/>
    <x v="5"/>
    <x v="1235"/>
    <n v="135.30000000000001"/>
    <s v="High"/>
    <n v="5"/>
    <n v="0"/>
    <x v="0"/>
    <x v="0"/>
    <n v="37.884"/>
    <n v="0.27999999999999997"/>
    <n v="0"/>
  </r>
  <r>
    <n v="7143"/>
    <s v="CA-2014-122217"/>
    <d v="2014-11-24T00:00:00"/>
    <x v="2"/>
    <s v="Q4"/>
    <x v="7"/>
    <d v="2014-11-29T00:00:00"/>
    <s v="Standard Class"/>
    <x v="6"/>
    <x v="6"/>
    <s v="Home Office"/>
    <s v="United States"/>
    <s v="Virginia Beach"/>
    <x v="17"/>
    <n v="23464"/>
    <x v="0"/>
    <x v="1380"/>
    <x v="0"/>
    <x v="5"/>
    <x v="1365"/>
    <n v="111.15"/>
    <s v="Medium"/>
    <n v="5"/>
    <n v="0"/>
    <x v="0"/>
    <x v="0"/>
    <n v="48.905999999999999"/>
    <n v="0.43999999999999995"/>
    <n v="0"/>
  </r>
  <r>
    <n v="7144"/>
    <s v="US-2017-141558"/>
    <d v="2017-03-11T00:00:00"/>
    <x v="3"/>
    <s v="Q1"/>
    <x v="42"/>
    <d v="2017-03-16T00:00:00"/>
    <s v="Standard Class"/>
    <x v="762"/>
    <x v="762"/>
    <s v="Home Office"/>
    <s v="United States"/>
    <s v="Philadelphia"/>
    <x v="9"/>
    <n v="19140"/>
    <x v="3"/>
    <x v="1367"/>
    <x v="2"/>
    <x v="7"/>
    <x v="1352"/>
    <n v="776.85"/>
    <s v="High"/>
    <n v="5"/>
    <n v="0.4"/>
    <x v="1"/>
    <x v="7"/>
    <n v="-181.26499999999999"/>
    <n v="-0.23333333333333331"/>
    <n v="1"/>
  </r>
  <r>
    <n v="7145"/>
    <s v="US-2017-141558"/>
    <d v="2017-03-11T00:00:00"/>
    <x v="3"/>
    <s v="Q1"/>
    <x v="42"/>
    <d v="2017-03-16T00:00:00"/>
    <s v="Standard Class"/>
    <x v="762"/>
    <x v="762"/>
    <s v="Home Office"/>
    <s v="United States"/>
    <s v="Philadelphia"/>
    <x v="9"/>
    <n v="19140"/>
    <x v="3"/>
    <x v="102"/>
    <x v="1"/>
    <x v="8"/>
    <x v="102"/>
    <n v="12.294"/>
    <s v="Low"/>
    <n v="1"/>
    <n v="0.7"/>
    <x v="1"/>
    <x v="5"/>
    <n v="-8.6058000000000003"/>
    <n v="-0.7"/>
    <n v="1"/>
  </r>
  <r>
    <n v="7146"/>
    <s v="US-2017-141558"/>
    <d v="2017-03-11T00:00:00"/>
    <x v="3"/>
    <s v="Q1"/>
    <x v="42"/>
    <d v="2017-03-16T00:00:00"/>
    <s v="Standard Class"/>
    <x v="762"/>
    <x v="762"/>
    <s v="Home Office"/>
    <s v="United States"/>
    <s v="Philadelphia"/>
    <x v="9"/>
    <n v="19140"/>
    <x v="3"/>
    <x v="838"/>
    <x v="0"/>
    <x v="3"/>
    <x v="832"/>
    <n v="154.76400000000001"/>
    <s v="High"/>
    <n v="3"/>
    <n v="0.4"/>
    <x v="1"/>
    <x v="7"/>
    <n v="-46.429200000000002"/>
    <n v="-0.3"/>
    <n v="1"/>
  </r>
  <r>
    <n v="7147"/>
    <s v="US-2017-141558"/>
    <d v="2017-03-11T00:00:00"/>
    <x v="3"/>
    <s v="Q1"/>
    <x v="42"/>
    <d v="2017-03-16T00:00:00"/>
    <s v="Standard Class"/>
    <x v="762"/>
    <x v="762"/>
    <s v="Home Office"/>
    <s v="United States"/>
    <s v="Philadelphia"/>
    <x v="9"/>
    <n v="19140"/>
    <x v="3"/>
    <x v="1789"/>
    <x v="1"/>
    <x v="4"/>
    <x v="1779"/>
    <n v="43.28"/>
    <s v="Medium"/>
    <n v="1"/>
    <n v="0.2"/>
    <x v="2"/>
    <x v="2"/>
    <n v="3.246"/>
    <n v="7.4999999999999997E-2"/>
    <n v="0"/>
  </r>
  <r>
    <n v="7148"/>
    <s v="CA-2016-139941"/>
    <d v="2016-06-12T00:00:00"/>
    <x v="0"/>
    <s v="Q2"/>
    <x v="1"/>
    <d v="2016-06-17T00:00:00"/>
    <s v="Standard Class"/>
    <x v="558"/>
    <x v="558"/>
    <s v="Consumer"/>
    <s v="United States"/>
    <s v="Long Beach"/>
    <x v="15"/>
    <n v="11561"/>
    <x v="3"/>
    <x v="1174"/>
    <x v="1"/>
    <x v="10"/>
    <x v="1160"/>
    <n v="92.94"/>
    <s v="Medium"/>
    <n v="3"/>
    <n v="0"/>
    <x v="0"/>
    <x v="0"/>
    <n v="41.823"/>
    <n v="0.45"/>
    <n v="0"/>
  </r>
  <r>
    <n v="7149"/>
    <s v="CA-2016-139941"/>
    <d v="2016-06-12T00:00:00"/>
    <x v="0"/>
    <s v="Q2"/>
    <x v="1"/>
    <d v="2016-06-17T00:00:00"/>
    <s v="Standard Class"/>
    <x v="558"/>
    <x v="558"/>
    <s v="Consumer"/>
    <s v="United States"/>
    <s v="Long Beach"/>
    <x v="15"/>
    <n v="11561"/>
    <x v="3"/>
    <x v="1297"/>
    <x v="1"/>
    <x v="9"/>
    <x v="1282"/>
    <n v="52.56"/>
    <s v="Medium"/>
    <n v="3"/>
    <n v="0"/>
    <x v="0"/>
    <x v="0"/>
    <n v="18.396000000000001"/>
    <n v="0.35"/>
    <n v="0"/>
  </r>
  <r>
    <n v="7150"/>
    <s v="CA-2015-166583"/>
    <d v="2015-06-26T00:00:00"/>
    <x v="1"/>
    <s v="Q2"/>
    <x v="40"/>
    <d v="2015-06-30T00:00:00"/>
    <s v="Standard Class"/>
    <x v="104"/>
    <x v="104"/>
    <s v="Consumer"/>
    <s v="United States"/>
    <s v="Houston"/>
    <x v="5"/>
    <n v="77070"/>
    <x v="2"/>
    <x v="1246"/>
    <x v="2"/>
    <x v="7"/>
    <x v="1230"/>
    <n v="971.88"/>
    <s v="High"/>
    <n v="3"/>
    <n v="0.2"/>
    <x v="2"/>
    <x v="2"/>
    <n v="109.3365"/>
    <n v="0.1125"/>
    <n v="0"/>
  </r>
  <r>
    <n v="7151"/>
    <s v="CA-2017-100412"/>
    <d v="2017-12-22T00:00:00"/>
    <x v="3"/>
    <s v="Q4"/>
    <x v="22"/>
    <d v="2017-12-26T00:00:00"/>
    <s v="Standard Class"/>
    <x v="676"/>
    <x v="676"/>
    <s v="Home Office"/>
    <s v="United States"/>
    <s v="Tuscaloosa"/>
    <x v="19"/>
    <n v="35401"/>
    <x v="0"/>
    <x v="474"/>
    <x v="0"/>
    <x v="1"/>
    <x v="475"/>
    <n v="141.96"/>
    <s v="High"/>
    <n v="2"/>
    <n v="0"/>
    <x v="0"/>
    <x v="0"/>
    <n v="35.49"/>
    <n v="0.25"/>
    <n v="0"/>
  </r>
  <r>
    <n v="7152"/>
    <s v="CA-2017-142909"/>
    <d v="2017-12-22T00:00:00"/>
    <x v="3"/>
    <s v="Q4"/>
    <x v="22"/>
    <d v="2017-12-25T00:00:00"/>
    <s v="Second Class"/>
    <x v="743"/>
    <x v="743"/>
    <s v="Consumer"/>
    <s v="United States"/>
    <s v="Mesa"/>
    <x v="16"/>
    <n v="85204"/>
    <x v="1"/>
    <x v="962"/>
    <x v="0"/>
    <x v="3"/>
    <x v="955"/>
    <n v="182.55"/>
    <s v="High"/>
    <n v="2"/>
    <n v="0.5"/>
    <x v="1"/>
    <x v="1"/>
    <n v="-135.08699999999999"/>
    <n v="-0.73999999999999988"/>
    <n v="1"/>
  </r>
  <r>
    <n v="7153"/>
    <s v="CA-2014-137911"/>
    <d v="2014-10-09T00:00:00"/>
    <x v="2"/>
    <s v="Q4"/>
    <x v="18"/>
    <d v="2014-10-15T00:00:00"/>
    <s v="Standard Class"/>
    <x v="162"/>
    <x v="162"/>
    <s v="Corporate"/>
    <s v="United States"/>
    <s v="Jacksonville"/>
    <x v="3"/>
    <n v="28540"/>
    <x v="0"/>
    <x v="417"/>
    <x v="1"/>
    <x v="10"/>
    <x v="417"/>
    <n v="88.768000000000001"/>
    <s v="Medium"/>
    <n v="2"/>
    <n v="0.2"/>
    <x v="2"/>
    <x v="2"/>
    <n v="31.0688"/>
    <n v="0.35"/>
    <n v="0"/>
  </r>
  <r>
    <n v="7154"/>
    <s v="CA-2015-106208"/>
    <d v="2015-12-10T00:00:00"/>
    <x v="1"/>
    <s v="Q4"/>
    <x v="14"/>
    <d v="2015-12-15T00:00:00"/>
    <s v="Standard Class"/>
    <x v="493"/>
    <x v="493"/>
    <s v="Consumer"/>
    <s v="United States"/>
    <s v="Chicago"/>
    <x v="10"/>
    <n v="60610"/>
    <x v="2"/>
    <x v="983"/>
    <x v="1"/>
    <x v="9"/>
    <x v="976"/>
    <n v="53.088000000000001"/>
    <s v="Medium"/>
    <n v="7"/>
    <n v="0.8"/>
    <x v="1"/>
    <x v="3"/>
    <n v="-108.8304"/>
    <n v="-2.0499999999999998"/>
    <n v="1"/>
  </r>
  <r>
    <n v="7155"/>
    <s v="US-2015-136749"/>
    <d v="2015-12-25T00:00:00"/>
    <x v="1"/>
    <s v="Q4"/>
    <x v="14"/>
    <d v="2015-12-27T00:00:00"/>
    <s v="Second Class"/>
    <x v="23"/>
    <x v="23"/>
    <s v="Consumer"/>
    <s v="United States"/>
    <s v="Columbus"/>
    <x v="32"/>
    <n v="31907"/>
    <x v="0"/>
    <x v="1762"/>
    <x v="0"/>
    <x v="5"/>
    <x v="1751"/>
    <n v="275.88"/>
    <s v="High"/>
    <n v="6"/>
    <n v="0"/>
    <x v="0"/>
    <x v="0"/>
    <n v="46.8996"/>
    <n v="0.17"/>
    <n v="0"/>
  </r>
  <r>
    <n v="7156"/>
    <s v="US-2015-136749"/>
    <d v="2015-12-25T00:00:00"/>
    <x v="1"/>
    <s v="Q4"/>
    <x v="14"/>
    <d v="2015-12-27T00:00:00"/>
    <s v="Second Class"/>
    <x v="23"/>
    <x v="23"/>
    <s v="Consumer"/>
    <s v="United States"/>
    <s v="Columbus"/>
    <x v="32"/>
    <n v="31907"/>
    <x v="0"/>
    <x v="351"/>
    <x v="1"/>
    <x v="8"/>
    <x v="351"/>
    <n v="157.9"/>
    <s v="High"/>
    <n v="5"/>
    <n v="0"/>
    <x v="0"/>
    <x v="0"/>
    <n v="74.212999999999994"/>
    <n v="0.46999999999999992"/>
    <n v="0"/>
  </r>
  <r>
    <n v="7157"/>
    <s v="CA-2017-126718"/>
    <d v="2017-04-29T00:00:00"/>
    <x v="3"/>
    <s v="Q2"/>
    <x v="4"/>
    <d v="2017-05-04T00:00:00"/>
    <s v="Standard Class"/>
    <x v="409"/>
    <x v="409"/>
    <s v="Consumer"/>
    <s v="United States"/>
    <s v="Orange"/>
    <x v="30"/>
    <n v="7050"/>
    <x v="3"/>
    <x v="746"/>
    <x v="1"/>
    <x v="2"/>
    <x v="744"/>
    <n v="4.91"/>
    <s v="Low"/>
    <n v="1"/>
    <n v="0"/>
    <x v="0"/>
    <x v="0"/>
    <n v="2.4058999999999999"/>
    <n v="0.49"/>
    <n v="0"/>
  </r>
  <r>
    <n v="7158"/>
    <s v="CA-2016-131380"/>
    <d v="2016-03-28T00:00:00"/>
    <x v="0"/>
    <s v="Q1"/>
    <x v="17"/>
    <d v="2016-03-31T00:00:00"/>
    <s v="Second Class"/>
    <x v="417"/>
    <x v="417"/>
    <s v="Consumer"/>
    <s v="United States"/>
    <s v="Los Angeles"/>
    <x v="1"/>
    <n v="90032"/>
    <x v="1"/>
    <x v="210"/>
    <x v="1"/>
    <x v="4"/>
    <x v="211"/>
    <n v="87.92"/>
    <s v="Medium"/>
    <n v="4"/>
    <n v="0"/>
    <x v="0"/>
    <x v="0"/>
    <n v="0.87919999999999998"/>
    <n v="0.01"/>
    <n v="0"/>
  </r>
  <r>
    <n v="7159"/>
    <s v="CA-2016-131380"/>
    <d v="2016-03-28T00:00:00"/>
    <x v="0"/>
    <s v="Q1"/>
    <x v="17"/>
    <d v="2016-03-31T00:00:00"/>
    <s v="Second Class"/>
    <x v="417"/>
    <x v="417"/>
    <s v="Consumer"/>
    <s v="United States"/>
    <s v="Los Angeles"/>
    <x v="1"/>
    <n v="90032"/>
    <x v="1"/>
    <x v="1813"/>
    <x v="1"/>
    <x v="10"/>
    <x v="1803"/>
    <n v="5.98"/>
    <s v="Low"/>
    <n v="1"/>
    <n v="0"/>
    <x v="0"/>
    <x v="0"/>
    <n v="2.9302000000000001"/>
    <n v="0.49"/>
    <n v="0"/>
  </r>
  <r>
    <n v="7160"/>
    <s v="CA-2015-145835"/>
    <d v="2015-05-13T00:00:00"/>
    <x v="1"/>
    <s v="Q2"/>
    <x v="33"/>
    <d v="2015-05-18T00:00:00"/>
    <s v="Second Class"/>
    <x v="408"/>
    <x v="408"/>
    <s v="Home Office"/>
    <s v="United States"/>
    <s v="Chicago"/>
    <x v="10"/>
    <n v="60623"/>
    <x v="2"/>
    <x v="872"/>
    <x v="2"/>
    <x v="7"/>
    <x v="866"/>
    <n v="222.38399999999999"/>
    <s v="High"/>
    <n v="2"/>
    <n v="0.2"/>
    <x v="2"/>
    <x v="2"/>
    <n v="16.678799999999999"/>
    <n v="7.4999999999999997E-2"/>
    <n v="0"/>
  </r>
  <r>
    <n v="7161"/>
    <s v="CA-2015-145835"/>
    <d v="2015-05-13T00:00:00"/>
    <x v="1"/>
    <s v="Q2"/>
    <x v="33"/>
    <d v="2015-05-18T00:00:00"/>
    <s v="Second Class"/>
    <x v="408"/>
    <x v="408"/>
    <s v="Home Office"/>
    <s v="United States"/>
    <s v="Chicago"/>
    <x v="10"/>
    <n v="60623"/>
    <x v="2"/>
    <x v="659"/>
    <x v="1"/>
    <x v="13"/>
    <x v="659"/>
    <n v="16"/>
    <s v="Low"/>
    <n v="4"/>
    <n v="0.2"/>
    <x v="2"/>
    <x v="2"/>
    <n v="5.6"/>
    <n v="0.35"/>
    <n v="0"/>
  </r>
  <r>
    <n v="7162"/>
    <s v="CA-2014-138709"/>
    <d v="2014-07-04T00:00:00"/>
    <x v="2"/>
    <s v="Q3"/>
    <x v="39"/>
    <d v="2014-07-09T00:00:00"/>
    <s v="Standard Class"/>
    <x v="474"/>
    <x v="474"/>
    <s v="Consumer"/>
    <s v="United States"/>
    <s v="Richmond"/>
    <x v="17"/>
    <n v="23223"/>
    <x v="0"/>
    <x v="339"/>
    <x v="1"/>
    <x v="10"/>
    <x v="339"/>
    <n v="21.84"/>
    <s v="Low"/>
    <n v="3"/>
    <n v="0"/>
    <x v="0"/>
    <x v="0"/>
    <n v="10.92"/>
    <n v="0.5"/>
    <n v="0"/>
  </r>
  <r>
    <n v="7163"/>
    <s v="CA-2014-138709"/>
    <d v="2014-07-04T00:00:00"/>
    <x v="2"/>
    <s v="Q3"/>
    <x v="39"/>
    <d v="2014-07-09T00:00:00"/>
    <s v="Standard Class"/>
    <x v="474"/>
    <x v="474"/>
    <s v="Consumer"/>
    <s v="United States"/>
    <s v="Richmond"/>
    <x v="17"/>
    <n v="23223"/>
    <x v="0"/>
    <x v="744"/>
    <x v="1"/>
    <x v="8"/>
    <x v="742"/>
    <n v="15.6"/>
    <s v="Low"/>
    <n v="5"/>
    <n v="0"/>
    <x v="0"/>
    <x v="0"/>
    <n v="7.6440000000000001"/>
    <n v="0.49000000000000005"/>
    <n v="0"/>
  </r>
  <r>
    <n v="7164"/>
    <s v="CA-2014-122070"/>
    <d v="2014-04-22T00:00:00"/>
    <x v="2"/>
    <s v="Q2"/>
    <x v="41"/>
    <d v="2014-04-24T00:00:00"/>
    <s v="Second Class"/>
    <x v="692"/>
    <x v="692"/>
    <s v="Corporate"/>
    <s v="United States"/>
    <s v="Troy"/>
    <x v="15"/>
    <n v="12180"/>
    <x v="3"/>
    <x v="1503"/>
    <x v="1"/>
    <x v="12"/>
    <x v="153"/>
    <n v="247.84"/>
    <s v="High"/>
    <n v="8"/>
    <n v="0"/>
    <x v="0"/>
    <x v="0"/>
    <n v="121.44159999999999"/>
    <n v="0.49"/>
    <n v="0"/>
  </r>
  <r>
    <n v="7165"/>
    <s v="CA-2014-122070"/>
    <d v="2014-04-22T00:00:00"/>
    <x v="2"/>
    <s v="Q2"/>
    <x v="41"/>
    <d v="2014-04-24T00:00:00"/>
    <s v="Second Class"/>
    <x v="692"/>
    <x v="692"/>
    <s v="Corporate"/>
    <s v="United States"/>
    <s v="Troy"/>
    <x v="15"/>
    <n v="12180"/>
    <x v="3"/>
    <x v="925"/>
    <x v="1"/>
    <x v="8"/>
    <x v="917"/>
    <n v="9.9120000000000008"/>
    <s v="Low"/>
    <n v="3"/>
    <n v="0.2"/>
    <x v="2"/>
    <x v="2"/>
    <n v="3.3452999999999999"/>
    <n v="0.33749999999999997"/>
    <n v="0"/>
  </r>
  <r>
    <n v="7166"/>
    <s v="CA-2016-158610"/>
    <d v="2016-09-19T00:00:00"/>
    <x v="0"/>
    <s v="Q3"/>
    <x v="21"/>
    <d v="2016-09-22T00:00:00"/>
    <s v="First Class"/>
    <x v="242"/>
    <x v="242"/>
    <s v="Consumer"/>
    <s v="United States"/>
    <s v="Providence"/>
    <x v="34"/>
    <n v="2908"/>
    <x v="3"/>
    <x v="54"/>
    <x v="1"/>
    <x v="4"/>
    <x v="54"/>
    <n v="69.52"/>
    <s v="Medium"/>
    <n v="2"/>
    <n v="0"/>
    <x v="0"/>
    <x v="0"/>
    <n v="17.38"/>
    <n v="0.25"/>
    <n v="0"/>
  </r>
  <r>
    <n v="7167"/>
    <s v="CA-2014-117464"/>
    <d v="2014-07-22T00:00:00"/>
    <x v="2"/>
    <s v="Q3"/>
    <x v="39"/>
    <d v="2014-07-24T00:00:00"/>
    <s v="Second Class"/>
    <x v="268"/>
    <x v="268"/>
    <s v="Consumer"/>
    <s v="United States"/>
    <s v="San Francisco"/>
    <x v="1"/>
    <n v="94122"/>
    <x v="1"/>
    <x v="649"/>
    <x v="1"/>
    <x v="6"/>
    <x v="649"/>
    <n v="11.52"/>
    <s v="Low"/>
    <n v="4"/>
    <n v="0"/>
    <x v="0"/>
    <x v="0"/>
    <n v="3.2256"/>
    <n v="0.28000000000000003"/>
    <n v="0"/>
  </r>
  <r>
    <n v="7168"/>
    <s v="CA-2014-117464"/>
    <d v="2014-07-22T00:00:00"/>
    <x v="2"/>
    <s v="Q3"/>
    <x v="39"/>
    <d v="2014-07-24T00:00:00"/>
    <s v="Second Class"/>
    <x v="268"/>
    <x v="268"/>
    <s v="Consumer"/>
    <s v="United States"/>
    <s v="San Francisco"/>
    <x v="1"/>
    <n v="94122"/>
    <x v="1"/>
    <x v="1180"/>
    <x v="0"/>
    <x v="1"/>
    <x v="1166"/>
    <n v="717.72"/>
    <s v="High"/>
    <n v="3"/>
    <n v="0.2"/>
    <x v="2"/>
    <x v="2"/>
    <n v="71.772000000000006"/>
    <n v="0.1"/>
    <n v="0"/>
  </r>
  <r>
    <n v="7169"/>
    <s v="CA-2014-117464"/>
    <d v="2014-07-22T00:00:00"/>
    <x v="2"/>
    <s v="Q3"/>
    <x v="39"/>
    <d v="2014-07-24T00:00:00"/>
    <s v="Second Class"/>
    <x v="268"/>
    <x v="268"/>
    <s v="Consumer"/>
    <s v="United States"/>
    <s v="San Francisco"/>
    <x v="1"/>
    <n v="94122"/>
    <x v="1"/>
    <x v="392"/>
    <x v="1"/>
    <x v="4"/>
    <x v="393"/>
    <n v="236.5"/>
    <s v="High"/>
    <n v="10"/>
    <n v="0"/>
    <x v="0"/>
    <x v="0"/>
    <n v="68.584999999999994"/>
    <n v="0.28999999999999998"/>
    <n v="0"/>
  </r>
  <r>
    <n v="7170"/>
    <s v="CA-2014-117464"/>
    <d v="2014-07-22T00:00:00"/>
    <x v="2"/>
    <s v="Q3"/>
    <x v="39"/>
    <d v="2014-07-24T00:00:00"/>
    <s v="Second Class"/>
    <x v="268"/>
    <x v="268"/>
    <s v="Consumer"/>
    <s v="United States"/>
    <s v="San Francisco"/>
    <x v="1"/>
    <n v="94122"/>
    <x v="1"/>
    <x v="1169"/>
    <x v="0"/>
    <x v="3"/>
    <x v="1156"/>
    <n v="170.352"/>
    <s v="High"/>
    <n v="3"/>
    <n v="0.2"/>
    <x v="2"/>
    <x v="2"/>
    <n v="19.1646"/>
    <n v="0.1125"/>
    <n v="0"/>
  </r>
  <r>
    <n v="7171"/>
    <s v="US-2017-168613"/>
    <d v="2017-10-08T00:00:00"/>
    <x v="3"/>
    <s v="Q4"/>
    <x v="13"/>
    <d v="2017-10-14T00:00:00"/>
    <s v="Standard Class"/>
    <x v="306"/>
    <x v="306"/>
    <s v="Consumer"/>
    <s v="United States"/>
    <s v="New York City"/>
    <x v="15"/>
    <n v="10009"/>
    <x v="3"/>
    <x v="394"/>
    <x v="0"/>
    <x v="1"/>
    <x v="395"/>
    <n v="145.76400000000001"/>
    <s v="High"/>
    <n v="2"/>
    <n v="0.1"/>
    <x v="3"/>
    <x v="8"/>
    <n v="3.2391999999999999"/>
    <n v="2.222222222222222E-2"/>
    <n v="0"/>
  </r>
  <r>
    <n v="7172"/>
    <s v="CA-2017-125381"/>
    <d v="2017-04-25T00:00:00"/>
    <x v="3"/>
    <s v="Q2"/>
    <x v="4"/>
    <d v="2017-04-27T00:00:00"/>
    <s v="Second Class"/>
    <x v="611"/>
    <x v="611"/>
    <s v="Consumer"/>
    <s v="United States"/>
    <s v="San Francisco"/>
    <x v="1"/>
    <n v="94109"/>
    <x v="1"/>
    <x v="357"/>
    <x v="2"/>
    <x v="11"/>
    <x v="357"/>
    <n v="107.97"/>
    <s v="Medium"/>
    <n v="3"/>
    <n v="0"/>
    <x v="0"/>
    <x v="0"/>
    <n v="22.6737"/>
    <n v="0.21"/>
    <n v="0"/>
  </r>
  <r>
    <n v="7173"/>
    <s v="US-2017-141677"/>
    <d v="2017-03-26T00:00:00"/>
    <x v="3"/>
    <s v="Q1"/>
    <x v="42"/>
    <d v="2017-03-30T00:00:00"/>
    <s v="Standard Class"/>
    <x v="96"/>
    <x v="96"/>
    <s v="Corporate"/>
    <s v="United States"/>
    <s v="Houston"/>
    <x v="5"/>
    <n v="77070"/>
    <x v="2"/>
    <x v="357"/>
    <x v="2"/>
    <x v="11"/>
    <x v="357"/>
    <n v="143.96"/>
    <s v="High"/>
    <n v="5"/>
    <n v="0.2"/>
    <x v="2"/>
    <x v="2"/>
    <n v="1.7995000000000001"/>
    <n v="1.2500000000000001E-2"/>
    <n v="0"/>
  </r>
  <r>
    <n v="7174"/>
    <s v="US-2017-141677"/>
    <d v="2017-03-26T00:00:00"/>
    <x v="3"/>
    <s v="Q1"/>
    <x v="42"/>
    <d v="2017-03-30T00:00:00"/>
    <s v="Standard Class"/>
    <x v="96"/>
    <x v="96"/>
    <s v="Corporate"/>
    <s v="United States"/>
    <s v="Houston"/>
    <x v="5"/>
    <n v="77070"/>
    <x v="2"/>
    <x v="349"/>
    <x v="2"/>
    <x v="16"/>
    <x v="349"/>
    <n v="2399.96"/>
    <s v="High"/>
    <n v="5"/>
    <n v="0.2"/>
    <x v="2"/>
    <x v="2"/>
    <n v="569.9905"/>
    <n v="0.23749999999999999"/>
    <n v="0"/>
  </r>
  <r>
    <n v="7175"/>
    <s v="US-2017-141677"/>
    <d v="2017-03-26T00:00:00"/>
    <x v="3"/>
    <s v="Q1"/>
    <x v="42"/>
    <d v="2017-03-30T00:00:00"/>
    <s v="Standard Class"/>
    <x v="96"/>
    <x v="96"/>
    <s v="Corporate"/>
    <s v="United States"/>
    <s v="Houston"/>
    <x v="5"/>
    <n v="77070"/>
    <x v="2"/>
    <x v="1323"/>
    <x v="1"/>
    <x v="10"/>
    <x v="1309"/>
    <n v="74.352000000000004"/>
    <s v="Medium"/>
    <n v="3"/>
    <n v="0.2"/>
    <x v="2"/>
    <x v="2"/>
    <n v="23.234999999999999"/>
    <n v="0.3125"/>
    <n v="0"/>
  </r>
  <r>
    <n v="7176"/>
    <s v="US-2017-141677"/>
    <d v="2017-03-26T00:00:00"/>
    <x v="3"/>
    <s v="Q1"/>
    <x v="42"/>
    <d v="2017-03-30T00:00:00"/>
    <s v="Standard Class"/>
    <x v="96"/>
    <x v="96"/>
    <s v="Corporate"/>
    <s v="United States"/>
    <s v="Houston"/>
    <x v="5"/>
    <n v="77070"/>
    <x v="2"/>
    <x v="1309"/>
    <x v="1"/>
    <x v="9"/>
    <x v="1294"/>
    <n v="87.168000000000006"/>
    <s v="Medium"/>
    <n v="8"/>
    <n v="0.8"/>
    <x v="1"/>
    <x v="3"/>
    <n v="-226.63679999999999"/>
    <n v="-2.5999999999999996"/>
    <n v="1"/>
  </r>
  <r>
    <n v="7177"/>
    <s v="US-2017-141677"/>
    <d v="2017-03-26T00:00:00"/>
    <x v="3"/>
    <s v="Q1"/>
    <x v="42"/>
    <d v="2017-03-30T00:00:00"/>
    <s v="Standard Class"/>
    <x v="96"/>
    <x v="96"/>
    <s v="Corporate"/>
    <s v="United States"/>
    <s v="Houston"/>
    <x v="5"/>
    <n v="77070"/>
    <x v="2"/>
    <x v="1031"/>
    <x v="1"/>
    <x v="4"/>
    <x v="1022"/>
    <n v="32.231999999999999"/>
    <s v="Medium"/>
    <n v="3"/>
    <n v="0.2"/>
    <x v="2"/>
    <x v="2"/>
    <n v="2.4174000000000002"/>
    <n v="7.5000000000000011E-2"/>
    <n v="0"/>
  </r>
  <r>
    <n v="7178"/>
    <s v="CA-2017-133067"/>
    <d v="2017-05-04T00:00:00"/>
    <x v="3"/>
    <s v="Q2"/>
    <x v="24"/>
    <d v="2017-05-10T00:00:00"/>
    <s v="Standard Class"/>
    <x v="501"/>
    <x v="501"/>
    <s v="Corporate"/>
    <s v="United States"/>
    <s v="Philadelphia"/>
    <x v="9"/>
    <n v="19140"/>
    <x v="3"/>
    <x v="1812"/>
    <x v="1"/>
    <x v="8"/>
    <x v="1802"/>
    <n v="2.202"/>
    <s v="Low"/>
    <n v="2"/>
    <n v="0.7"/>
    <x v="1"/>
    <x v="5"/>
    <n v="-1.5414000000000001"/>
    <n v="-0.70000000000000007"/>
    <n v="1"/>
  </r>
  <r>
    <n v="7179"/>
    <s v="CA-2017-133067"/>
    <d v="2017-05-04T00:00:00"/>
    <x v="3"/>
    <s v="Q2"/>
    <x v="24"/>
    <d v="2017-05-10T00:00:00"/>
    <s v="Standard Class"/>
    <x v="501"/>
    <x v="501"/>
    <s v="Corporate"/>
    <s v="United States"/>
    <s v="Philadelphia"/>
    <x v="9"/>
    <n v="19140"/>
    <x v="3"/>
    <x v="864"/>
    <x v="1"/>
    <x v="8"/>
    <x v="858"/>
    <n v="9.3960000000000008"/>
    <s v="Low"/>
    <n v="3"/>
    <n v="0.7"/>
    <x v="1"/>
    <x v="5"/>
    <n v="-7.5167999999999999"/>
    <n v="-0.79999999999999993"/>
    <n v="1"/>
  </r>
  <r>
    <n v="7180"/>
    <s v="US-2016-144351"/>
    <d v="2016-11-14T00:00:00"/>
    <x v="0"/>
    <s v="Q4"/>
    <x v="0"/>
    <d v="2016-11-18T00:00:00"/>
    <s v="Standard Class"/>
    <x v="53"/>
    <x v="53"/>
    <s v="Consumer"/>
    <s v="United States"/>
    <s v="Baltimore"/>
    <x v="39"/>
    <n v="21215"/>
    <x v="3"/>
    <x v="1507"/>
    <x v="2"/>
    <x v="7"/>
    <x v="1494"/>
    <n v="89.97"/>
    <s v="Medium"/>
    <n v="3"/>
    <n v="0"/>
    <x v="0"/>
    <x v="0"/>
    <n v="25.191600000000001"/>
    <n v="0.28000000000000003"/>
    <n v="0"/>
  </r>
  <r>
    <n v="7181"/>
    <s v="CA-2014-106054"/>
    <d v="2014-01-06T00:00:00"/>
    <x v="2"/>
    <s v="Q1"/>
    <x v="46"/>
    <d v="2014-01-07T00:00:00"/>
    <s v="First Class"/>
    <x v="705"/>
    <x v="705"/>
    <s v="Corporate"/>
    <s v="United States"/>
    <s v="Athens"/>
    <x v="32"/>
    <n v="30605"/>
    <x v="0"/>
    <x v="319"/>
    <x v="1"/>
    <x v="6"/>
    <x v="319"/>
    <n v="12.78"/>
    <s v="Low"/>
    <n v="3"/>
    <n v="0"/>
    <x v="0"/>
    <x v="0"/>
    <n v="5.2397999999999998"/>
    <n v="0.41000000000000003"/>
    <n v="0"/>
  </r>
  <r>
    <n v="7182"/>
    <s v="CA-2016-138667"/>
    <d v="2016-12-27T00:00:00"/>
    <x v="0"/>
    <s v="Q4"/>
    <x v="5"/>
    <d v="2016-12-30T00:00:00"/>
    <s v="Second Class"/>
    <x v="596"/>
    <x v="596"/>
    <s v="Consumer"/>
    <s v="United States"/>
    <s v="Lancaster"/>
    <x v="24"/>
    <n v="43130"/>
    <x v="3"/>
    <x v="1072"/>
    <x v="2"/>
    <x v="11"/>
    <x v="1061"/>
    <n v="40"/>
    <s v="Medium"/>
    <n v="2"/>
    <n v="0.2"/>
    <x v="2"/>
    <x v="2"/>
    <n v="0.5"/>
    <n v="1.2500000000000001E-2"/>
    <n v="0"/>
  </r>
  <r>
    <n v="7183"/>
    <s v="CA-2017-150609"/>
    <d v="2017-04-30T00:00:00"/>
    <x v="3"/>
    <s v="Q2"/>
    <x v="4"/>
    <d v="2017-05-04T00:00:00"/>
    <s v="Standard Class"/>
    <x v="125"/>
    <x v="125"/>
    <s v="Home Office"/>
    <s v="United States"/>
    <s v="Los Angeles"/>
    <x v="1"/>
    <n v="90032"/>
    <x v="1"/>
    <x v="699"/>
    <x v="1"/>
    <x v="8"/>
    <x v="699"/>
    <n v="23.24"/>
    <s v="Low"/>
    <n v="5"/>
    <n v="0.2"/>
    <x v="2"/>
    <x v="2"/>
    <n v="7.5529999999999999"/>
    <n v="0.32500000000000001"/>
    <n v="0"/>
  </r>
  <r>
    <n v="7184"/>
    <s v="CA-2017-128853"/>
    <d v="2017-04-21T00:00:00"/>
    <x v="3"/>
    <s v="Q2"/>
    <x v="4"/>
    <d v="2017-04-23T00:00:00"/>
    <s v="First Class"/>
    <x v="49"/>
    <x v="49"/>
    <s v="Consumer"/>
    <s v="United States"/>
    <s v="Baltimore"/>
    <x v="39"/>
    <n v="21215"/>
    <x v="3"/>
    <x v="38"/>
    <x v="0"/>
    <x v="1"/>
    <x v="38"/>
    <n v="908.82"/>
    <s v="High"/>
    <n v="9"/>
    <n v="0"/>
    <x v="0"/>
    <x v="0"/>
    <n v="227.20500000000001"/>
    <n v="0.25"/>
    <n v="0"/>
  </r>
  <r>
    <n v="7185"/>
    <s v="CA-2017-133102"/>
    <d v="2017-08-17T00:00:00"/>
    <x v="3"/>
    <s v="Q3"/>
    <x v="43"/>
    <d v="2017-08-24T00:00:00"/>
    <s v="Standard Class"/>
    <x v="525"/>
    <x v="525"/>
    <s v="Home Office"/>
    <s v="United States"/>
    <s v="Houston"/>
    <x v="5"/>
    <n v="77095"/>
    <x v="2"/>
    <x v="1567"/>
    <x v="1"/>
    <x v="14"/>
    <x v="1558"/>
    <n v="5.5519999999999996"/>
    <s v="Low"/>
    <n v="2"/>
    <n v="0.2"/>
    <x v="2"/>
    <x v="2"/>
    <n v="-1.0409999999999999"/>
    <n v="-0.1875"/>
    <n v="1"/>
  </r>
  <r>
    <n v="7186"/>
    <s v="CA-2017-133102"/>
    <d v="2017-08-17T00:00:00"/>
    <x v="3"/>
    <s v="Q3"/>
    <x v="43"/>
    <d v="2017-08-24T00:00:00"/>
    <s v="Standard Class"/>
    <x v="525"/>
    <x v="525"/>
    <s v="Home Office"/>
    <s v="United States"/>
    <s v="Houston"/>
    <x v="5"/>
    <n v="77095"/>
    <x v="2"/>
    <x v="1412"/>
    <x v="1"/>
    <x v="6"/>
    <x v="1399"/>
    <n v="8.016"/>
    <s v="Low"/>
    <n v="3"/>
    <n v="0.2"/>
    <x v="2"/>
    <x v="2"/>
    <n v="1.002"/>
    <n v="0.125"/>
    <n v="0"/>
  </r>
  <r>
    <n v="7187"/>
    <s v="CA-2017-133102"/>
    <d v="2017-08-17T00:00:00"/>
    <x v="3"/>
    <s v="Q3"/>
    <x v="43"/>
    <d v="2017-08-24T00:00:00"/>
    <s v="Standard Class"/>
    <x v="525"/>
    <x v="525"/>
    <s v="Home Office"/>
    <s v="United States"/>
    <s v="Houston"/>
    <x v="5"/>
    <n v="77095"/>
    <x v="2"/>
    <x v="1391"/>
    <x v="0"/>
    <x v="1"/>
    <x v="1377"/>
    <n v="74.591999999999999"/>
    <s v="Medium"/>
    <n v="4"/>
    <n v="0.3"/>
    <x v="1"/>
    <x v="4"/>
    <n v="-2.1312000000000002"/>
    <n v="-2.8571428571428574E-2"/>
    <n v="1"/>
  </r>
  <r>
    <n v="7188"/>
    <s v="CA-2017-133102"/>
    <d v="2017-08-17T00:00:00"/>
    <x v="3"/>
    <s v="Q3"/>
    <x v="43"/>
    <d v="2017-08-24T00:00:00"/>
    <s v="Standard Class"/>
    <x v="525"/>
    <x v="525"/>
    <s v="Home Office"/>
    <s v="United States"/>
    <s v="Houston"/>
    <x v="5"/>
    <n v="77095"/>
    <x v="2"/>
    <x v="1478"/>
    <x v="0"/>
    <x v="5"/>
    <x v="1465"/>
    <n v="16.783999999999999"/>
    <s v="Low"/>
    <n v="2"/>
    <n v="0.6"/>
    <x v="1"/>
    <x v="6"/>
    <n v="-22.238800000000001"/>
    <n v="-1.3250000000000002"/>
    <n v="1"/>
  </r>
  <r>
    <n v="7189"/>
    <s v="CA-2017-133102"/>
    <d v="2017-08-17T00:00:00"/>
    <x v="3"/>
    <s v="Q3"/>
    <x v="43"/>
    <d v="2017-08-24T00:00:00"/>
    <s v="Standard Class"/>
    <x v="525"/>
    <x v="525"/>
    <s v="Home Office"/>
    <s v="United States"/>
    <s v="Houston"/>
    <x v="5"/>
    <n v="77095"/>
    <x v="2"/>
    <x v="535"/>
    <x v="1"/>
    <x v="9"/>
    <x v="535"/>
    <n v="38.863999999999997"/>
    <s v="Medium"/>
    <n v="4"/>
    <n v="0.8"/>
    <x v="1"/>
    <x v="3"/>
    <n v="-99.103200000000001"/>
    <n v="-2.5500000000000003"/>
    <n v="1"/>
  </r>
  <r>
    <n v="7190"/>
    <s v="CA-2016-164399"/>
    <d v="2016-11-12T00:00:00"/>
    <x v="0"/>
    <s v="Q4"/>
    <x v="0"/>
    <d v="2016-11-15T00:00:00"/>
    <s v="First Class"/>
    <x v="108"/>
    <x v="108"/>
    <s v="Home Office"/>
    <s v="United States"/>
    <s v="San Diego"/>
    <x v="1"/>
    <n v="92024"/>
    <x v="1"/>
    <x v="1495"/>
    <x v="2"/>
    <x v="7"/>
    <x v="1483"/>
    <n v="203.976"/>
    <s v="High"/>
    <n v="3"/>
    <n v="0.2"/>
    <x v="2"/>
    <x v="2"/>
    <n v="25.497"/>
    <n v="0.125"/>
    <n v="0"/>
  </r>
  <r>
    <n v="7191"/>
    <s v="CA-2016-164399"/>
    <d v="2016-11-12T00:00:00"/>
    <x v="0"/>
    <s v="Q4"/>
    <x v="0"/>
    <d v="2016-11-15T00:00:00"/>
    <s v="First Class"/>
    <x v="108"/>
    <x v="108"/>
    <s v="Home Office"/>
    <s v="United States"/>
    <s v="San Diego"/>
    <x v="1"/>
    <n v="92024"/>
    <x v="1"/>
    <x v="1660"/>
    <x v="0"/>
    <x v="3"/>
    <x v="1648"/>
    <n v="674.35199999999998"/>
    <s v="High"/>
    <n v="3"/>
    <n v="0.2"/>
    <x v="2"/>
    <x v="2"/>
    <n v="-8.4293999999999993"/>
    <n v="-1.2499999999999999E-2"/>
    <n v="1"/>
  </r>
  <r>
    <n v="7192"/>
    <s v="CA-2016-116918"/>
    <d v="2016-10-01T00:00:00"/>
    <x v="0"/>
    <s v="Q4"/>
    <x v="32"/>
    <d v="2016-10-06T00:00:00"/>
    <s v="Second Class"/>
    <x v="523"/>
    <x v="523"/>
    <s v="Consumer"/>
    <s v="United States"/>
    <s v="Hialeah"/>
    <x v="2"/>
    <n v="33012"/>
    <x v="0"/>
    <x v="307"/>
    <x v="1"/>
    <x v="8"/>
    <x v="307"/>
    <n v="5.3879999999999999"/>
    <s v="Low"/>
    <n v="4"/>
    <n v="0.7"/>
    <x v="1"/>
    <x v="5"/>
    <n v="-4.49"/>
    <n v="-0.83333333333333337"/>
    <n v="1"/>
  </r>
  <r>
    <n v="7193"/>
    <s v="CA-2016-116918"/>
    <d v="2016-10-01T00:00:00"/>
    <x v="0"/>
    <s v="Q4"/>
    <x v="32"/>
    <d v="2016-10-06T00:00:00"/>
    <s v="Second Class"/>
    <x v="523"/>
    <x v="523"/>
    <s v="Consumer"/>
    <s v="United States"/>
    <s v="Hialeah"/>
    <x v="2"/>
    <n v="33012"/>
    <x v="0"/>
    <x v="1159"/>
    <x v="1"/>
    <x v="6"/>
    <x v="772"/>
    <n v="30.975999999999999"/>
    <s v="Medium"/>
    <n v="8"/>
    <n v="0.2"/>
    <x v="2"/>
    <x v="2"/>
    <n v="5.0335999999999999"/>
    <n v="0.16250000000000001"/>
    <n v="0"/>
  </r>
  <r>
    <n v="7194"/>
    <s v="CA-2016-110492"/>
    <d v="2016-02-12T00:00:00"/>
    <x v="0"/>
    <s v="Q1"/>
    <x v="47"/>
    <d v="2016-02-14T00:00:00"/>
    <s v="First Class"/>
    <x v="365"/>
    <x v="365"/>
    <s v="Consumer"/>
    <s v="United States"/>
    <s v="Atlanta"/>
    <x v="32"/>
    <n v="30318"/>
    <x v="0"/>
    <x v="906"/>
    <x v="1"/>
    <x v="4"/>
    <x v="898"/>
    <n v="1350.12"/>
    <s v="High"/>
    <n v="6"/>
    <n v="0"/>
    <x v="0"/>
    <x v="0"/>
    <n v="175.51560000000001"/>
    <n v="0.13"/>
    <n v="0"/>
  </r>
  <r>
    <n v="7195"/>
    <s v="CA-2016-110492"/>
    <d v="2016-02-12T00:00:00"/>
    <x v="0"/>
    <s v="Q1"/>
    <x v="47"/>
    <d v="2016-02-14T00:00:00"/>
    <s v="First Class"/>
    <x v="365"/>
    <x v="365"/>
    <s v="Consumer"/>
    <s v="United States"/>
    <s v="Atlanta"/>
    <x v="32"/>
    <n v="30318"/>
    <x v="0"/>
    <x v="122"/>
    <x v="1"/>
    <x v="8"/>
    <x v="122"/>
    <n v="15.92"/>
    <s v="Low"/>
    <n v="4"/>
    <n v="0"/>
    <x v="0"/>
    <x v="0"/>
    <n v="7.4824000000000002"/>
    <n v="0.47000000000000003"/>
    <n v="0"/>
  </r>
  <r>
    <n v="7196"/>
    <s v="CA-2016-147683"/>
    <d v="2016-11-13T00:00:00"/>
    <x v="0"/>
    <s v="Q4"/>
    <x v="0"/>
    <d v="2016-11-17T00:00:00"/>
    <s v="Standard Class"/>
    <x v="178"/>
    <x v="178"/>
    <s v="Home Office"/>
    <s v="United States"/>
    <s v="Seattle"/>
    <x v="4"/>
    <n v="98103"/>
    <x v="1"/>
    <x v="28"/>
    <x v="0"/>
    <x v="5"/>
    <x v="1310"/>
    <n v="19.54"/>
    <s v="Low"/>
    <n v="2"/>
    <n v="0"/>
    <x v="0"/>
    <x v="0"/>
    <n v="7.2298"/>
    <n v="0.37"/>
    <n v="0"/>
  </r>
  <r>
    <n v="7197"/>
    <s v="CA-2014-116785"/>
    <d v="2014-04-26T00:00:00"/>
    <x v="2"/>
    <s v="Q2"/>
    <x v="41"/>
    <d v="2014-04-30T00:00:00"/>
    <s v="Standard Class"/>
    <x v="762"/>
    <x v="762"/>
    <s v="Home Office"/>
    <s v="United States"/>
    <s v="Los Angeles"/>
    <x v="1"/>
    <n v="90036"/>
    <x v="1"/>
    <x v="1046"/>
    <x v="1"/>
    <x v="6"/>
    <x v="1035"/>
    <n v="21.4"/>
    <s v="Low"/>
    <n v="5"/>
    <n v="0"/>
    <x v="0"/>
    <x v="0"/>
    <n v="6.2060000000000004"/>
    <n v="0.29000000000000004"/>
    <n v="0"/>
  </r>
  <r>
    <n v="7198"/>
    <s v="CA-2014-116785"/>
    <d v="2014-04-26T00:00:00"/>
    <x v="2"/>
    <s v="Q2"/>
    <x v="41"/>
    <d v="2014-04-30T00:00:00"/>
    <s v="Standard Class"/>
    <x v="762"/>
    <x v="762"/>
    <s v="Home Office"/>
    <s v="United States"/>
    <s v="Los Angeles"/>
    <x v="1"/>
    <n v="90036"/>
    <x v="1"/>
    <x v="1729"/>
    <x v="1"/>
    <x v="2"/>
    <x v="1716"/>
    <n v="12.6"/>
    <s v="Low"/>
    <n v="2"/>
    <n v="0"/>
    <x v="0"/>
    <x v="0"/>
    <n v="5.7960000000000003"/>
    <n v="0.46"/>
    <n v="0"/>
  </r>
  <r>
    <n v="7199"/>
    <s v="US-2015-156797"/>
    <d v="2015-08-11T00:00:00"/>
    <x v="1"/>
    <s v="Q3"/>
    <x v="37"/>
    <d v="2015-08-15T00:00:00"/>
    <s v="Standard Class"/>
    <x v="178"/>
    <x v="178"/>
    <s v="Home Office"/>
    <s v="United States"/>
    <s v="New York City"/>
    <x v="15"/>
    <n v="10035"/>
    <x v="3"/>
    <x v="250"/>
    <x v="1"/>
    <x v="6"/>
    <x v="251"/>
    <n v="11.96"/>
    <s v="Low"/>
    <n v="2"/>
    <n v="0"/>
    <x v="0"/>
    <x v="0"/>
    <n v="3.1095999999999999"/>
    <n v="0.25999999999999995"/>
    <n v="0"/>
  </r>
  <r>
    <n v="7200"/>
    <s v="US-2015-156797"/>
    <d v="2015-08-11T00:00:00"/>
    <x v="1"/>
    <s v="Q3"/>
    <x v="37"/>
    <d v="2015-08-15T00:00:00"/>
    <s v="Standard Class"/>
    <x v="178"/>
    <x v="178"/>
    <s v="Home Office"/>
    <s v="United States"/>
    <s v="New York City"/>
    <x v="15"/>
    <n v="10035"/>
    <x v="3"/>
    <x v="302"/>
    <x v="2"/>
    <x v="7"/>
    <x v="302"/>
    <n v="138"/>
    <s v="High"/>
    <n v="2"/>
    <n v="0"/>
    <x v="0"/>
    <x v="0"/>
    <n v="34.5"/>
    <n v="0.25"/>
    <n v="0"/>
  </r>
  <r>
    <n v="7201"/>
    <s v="CA-2016-104276"/>
    <d v="2016-11-27T00:00:00"/>
    <x v="0"/>
    <s v="Q4"/>
    <x v="0"/>
    <d v="2016-12-03T00:00:00"/>
    <s v="Standard Class"/>
    <x v="520"/>
    <x v="520"/>
    <s v="Consumer"/>
    <s v="United States"/>
    <s v="Fort Lauderdale"/>
    <x v="2"/>
    <n v="33311"/>
    <x v="0"/>
    <x v="1285"/>
    <x v="2"/>
    <x v="7"/>
    <x v="1271"/>
    <n v="116.76"/>
    <s v="Medium"/>
    <n v="1"/>
    <n v="0.2"/>
    <x v="2"/>
    <x v="2"/>
    <n v="14.595000000000001"/>
    <n v="0.125"/>
    <n v="0"/>
  </r>
  <r>
    <n v="7202"/>
    <s v="CA-2016-104276"/>
    <d v="2016-11-27T00:00:00"/>
    <x v="0"/>
    <s v="Q4"/>
    <x v="0"/>
    <d v="2016-12-03T00:00:00"/>
    <s v="Standard Class"/>
    <x v="520"/>
    <x v="520"/>
    <s v="Consumer"/>
    <s v="United States"/>
    <s v="Fort Lauderdale"/>
    <x v="2"/>
    <n v="33311"/>
    <x v="0"/>
    <x v="977"/>
    <x v="0"/>
    <x v="3"/>
    <x v="832"/>
    <n v="331.02300000000002"/>
    <s v="High"/>
    <n v="7"/>
    <n v="0.45"/>
    <x v="1"/>
    <x v="1"/>
    <n v="-114.35339999999999"/>
    <n v="-0.3454545454545454"/>
    <n v="1"/>
  </r>
  <r>
    <n v="7203"/>
    <s v="CA-2016-120369"/>
    <d v="2016-10-28T00:00:00"/>
    <x v="0"/>
    <s v="Q4"/>
    <x v="32"/>
    <d v="2016-10-28T00:00:00"/>
    <s v="Same Day"/>
    <x v="146"/>
    <x v="146"/>
    <s v="Corporate"/>
    <s v="United States"/>
    <s v="Rochester"/>
    <x v="15"/>
    <n v="14609"/>
    <x v="3"/>
    <x v="1814"/>
    <x v="0"/>
    <x v="5"/>
    <x v="1804"/>
    <n v="756.8"/>
    <s v="High"/>
    <n v="5"/>
    <n v="0"/>
    <x v="0"/>
    <x v="0"/>
    <n v="75.680000000000007"/>
    <n v="0.10000000000000002"/>
    <n v="0"/>
  </r>
  <r>
    <n v="7204"/>
    <s v="CA-2014-118276"/>
    <d v="2014-12-29T00:00:00"/>
    <x v="2"/>
    <s v="Q4"/>
    <x v="20"/>
    <d v="2015-01-02T00:00:00"/>
    <s v="Standard Class"/>
    <x v="450"/>
    <x v="450"/>
    <s v="Home Office"/>
    <s v="United States"/>
    <s v="Saint Charles"/>
    <x v="10"/>
    <n v="60174"/>
    <x v="2"/>
    <x v="1677"/>
    <x v="0"/>
    <x v="5"/>
    <x v="1665"/>
    <n v="8.7360000000000007"/>
    <s v="Low"/>
    <n v="3"/>
    <n v="0.6"/>
    <x v="1"/>
    <x v="6"/>
    <n v="-4.8048000000000002"/>
    <n v="-0.54999999999999993"/>
    <n v="1"/>
  </r>
  <r>
    <n v="7205"/>
    <s v="CA-2015-136658"/>
    <d v="2015-09-10T00:00:00"/>
    <x v="1"/>
    <s v="Q3"/>
    <x v="11"/>
    <d v="2015-09-17T00:00:00"/>
    <s v="Standard Class"/>
    <x v="491"/>
    <x v="491"/>
    <s v="Consumer"/>
    <s v="United States"/>
    <s v="New York City"/>
    <x v="15"/>
    <n v="10024"/>
    <x v="3"/>
    <x v="1279"/>
    <x v="1"/>
    <x v="6"/>
    <x v="1264"/>
    <n v="6.08"/>
    <s v="Low"/>
    <n v="2"/>
    <n v="0"/>
    <x v="0"/>
    <x v="0"/>
    <n v="2.0672000000000001"/>
    <n v="0.34"/>
    <n v="0"/>
  </r>
  <r>
    <n v="7206"/>
    <s v="CA-2017-137414"/>
    <d v="2017-10-02T00:00:00"/>
    <x v="3"/>
    <s v="Q4"/>
    <x v="13"/>
    <d v="2017-10-06T00:00:00"/>
    <s v="Standard Class"/>
    <x v="441"/>
    <x v="441"/>
    <s v="Consumer"/>
    <s v="United States"/>
    <s v="San Francisco"/>
    <x v="1"/>
    <n v="94109"/>
    <x v="1"/>
    <x v="698"/>
    <x v="0"/>
    <x v="5"/>
    <x v="698"/>
    <n v="17.46"/>
    <s v="Low"/>
    <n v="2"/>
    <n v="0"/>
    <x v="0"/>
    <x v="0"/>
    <n v="5.9363999999999999"/>
    <n v="0.33999999999999997"/>
    <n v="0"/>
  </r>
  <r>
    <n v="7207"/>
    <s v="CA-2017-137414"/>
    <d v="2017-10-02T00:00:00"/>
    <x v="3"/>
    <s v="Q4"/>
    <x v="13"/>
    <d v="2017-10-06T00:00:00"/>
    <s v="Standard Class"/>
    <x v="441"/>
    <x v="441"/>
    <s v="Consumer"/>
    <s v="United States"/>
    <s v="San Francisco"/>
    <x v="1"/>
    <n v="94109"/>
    <x v="1"/>
    <x v="1794"/>
    <x v="2"/>
    <x v="15"/>
    <x v="1784"/>
    <n v="369.16"/>
    <s v="High"/>
    <n v="11"/>
    <n v="0.2"/>
    <x v="2"/>
    <x v="2"/>
    <n v="32.301499999999997"/>
    <n v="8.7499999999999981E-2"/>
    <n v="0"/>
  </r>
  <r>
    <n v="7208"/>
    <s v="CA-2016-143476"/>
    <d v="2016-09-11T00:00:00"/>
    <x v="0"/>
    <s v="Q3"/>
    <x v="21"/>
    <d v="2016-09-13T00:00:00"/>
    <s v="First Class"/>
    <x v="18"/>
    <x v="18"/>
    <s v="Corporate"/>
    <s v="United States"/>
    <s v="Phoenix"/>
    <x v="16"/>
    <n v="85023"/>
    <x v="1"/>
    <x v="853"/>
    <x v="1"/>
    <x v="6"/>
    <x v="846"/>
    <n v="2.9119999999999999"/>
    <s v="Low"/>
    <n v="2"/>
    <n v="0.2"/>
    <x v="2"/>
    <x v="2"/>
    <n v="0.91"/>
    <n v="0.3125"/>
    <n v="0"/>
  </r>
  <r>
    <n v="7209"/>
    <s v="CA-2016-143476"/>
    <d v="2016-09-11T00:00:00"/>
    <x v="0"/>
    <s v="Q3"/>
    <x v="21"/>
    <d v="2016-09-13T00:00:00"/>
    <s v="First Class"/>
    <x v="18"/>
    <x v="18"/>
    <s v="Corporate"/>
    <s v="United States"/>
    <s v="Phoenix"/>
    <x v="16"/>
    <n v="85023"/>
    <x v="1"/>
    <x v="1810"/>
    <x v="1"/>
    <x v="10"/>
    <x v="1800"/>
    <n v="20.736000000000001"/>
    <s v="Low"/>
    <n v="4"/>
    <n v="0.2"/>
    <x v="2"/>
    <x v="2"/>
    <n v="7.2576000000000001"/>
    <n v="0.35"/>
    <n v="0"/>
  </r>
  <r>
    <n v="7210"/>
    <s v="CA-2016-143476"/>
    <d v="2016-09-11T00:00:00"/>
    <x v="0"/>
    <s v="Q3"/>
    <x v="21"/>
    <d v="2016-09-13T00:00:00"/>
    <s v="First Class"/>
    <x v="18"/>
    <x v="18"/>
    <s v="Corporate"/>
    <s v="United States"/>
    <s v="Phoenix"/>
    <x v="16"/>
    <n v="85023"/>
    <x v="1"/>
    <x v="457"/>
    <x v="1"/>
    <x v="10"/>
    <x v="458"/>
    <n v="9.5679999999999996"/>
    <s v="Low"/>
    <n v="2"/>
    <n v="0.2"/>
    <x v="2"/>
    <x v="2"/>
    <n v="2.99"/>
    <n v="0.31250000000000006"/>
    <n v="0"/>
  </r>
  <r>
    <n v="7211"/>
    <s v="US-2016-119046"/>
    <d v="2016-06-02T00:00:00"/>
    <x v="0"/>
    <s v="Q2"/>
    <x v="1"/>
    <d v="2016-06-06T00:00:00"/>
    <s v="Standard Class"/>
    <x v="553"/>
    <x v="553"/>
    <s v="Corporate"/>
    <s v="United States"/>
    <s v="Seattle"/>
    <x v="4"/>
    <n v="98115"/>
    <x v="1"/>
    <x v="1603"/>
    <x v="1"/>
    <x v="10"/>
    <x v="1595"/>
    <n v="30.18"/>
    <s v="Medium"/>
    <n v="3"/>
    <n v="0"/>
    <x v="0"/>
    <x v="0"/>
    <n v="13.8828"/>
    <n v="0.45999999999999996"/>
    <n v="0"/>
  </r>
  <r>
    <n v="7212"/>
    <s v="US-2016-119046"/>
    <d v="2016-06-02T00:00:00"/>
    <x v="0"/>
    <s v="Q2"/>
    <x v="1"/>
    <d v="2016-06-06T00:00:00"/>
    <s v="Standard Class"/>
    <x v="553"/>
    <x v="553"/>
    <s v="Corporate"/>
    <s v="United States"/>
    <s v="Seattle"/>
    <x v="4"/>
    <n v="98115"/>
    <x v="1"/>
    <x v="61"/>
    <x v="1"/>
    <x v="8"/>
    <x v="61"/>
    <n v="51.648000000000003"/>
    <s v="Medium"/>
    <n v="12"/>
    <n v="0.2"/>
    <x v="2"/>
    <x v="2"/>
    <n v="18.7224"/>
    <n v="0.36249999999999999"/>
    <n v="0"/>
  </r>
  <r>
    <n v="7213"/>
    <s v="US-2016-119046"/>
    <d v="2016-06-02T00:00:00"/>
    <x v="0"/>
    <s v="Q2"/>
    <x v="1"/>
    <d v="2016-06-06T00:00:00"/>
    <s v="Standard Class"/>
    <x v="553"/>
    <x v="553"/>
    <s v="Corporate"/>
    <s v="United States"/>
    <s v="Seattle"/>
    <x v="4"/>
    <n v="98115"/>
    <x v="1"/>
    <x v="605"/>
    <x v="1"/>
    <x v="8"/>
    <x v="605"/>
    <n v="11.231999999999999"/>
    <s v="Low"/>
    <n v="3"/>
    <n v="0.2"/>
    <x v="2"/>
    <x v="2"/>
    <n v="3.9312"/>
    <n v="0.35000000000000003"/>
    <n v="0"/>
  </r>
  <r>
    <n v="7214"/>
    <s v="CA-2017-154949"/>
    <d v="2017-10-15T00:00:00"/>
    <x v="3"/>
    <s v="Q4"/>
    <x v="13"/>
    <d v="2017-10-19T00:00:00"/>
    <s v="Standard Class"/>
    <x v="507"/>
    <x v="507"/>
    <s v="Consumer"/>
    <s v="United States"/>
    <s v="Camarillo"/>
    <x v="1"/>
    <n v="93010"/>
    <x v="1"/>
    <x v="1123"/>
    <x v="1"/>
    <x v="2"/>
    <x v="1111"/>
    <n v="14.73"/>
    <s v="Low"/>
    <n v="3"/>
    <n v="0"/>
    <x v="0"/>
    <x v="0"/>
    <n v="7.2176999999999998"/>
    <n v="0.49"/>
    <n v="0"/>
  </r>
  <r>
    <n v="7215"/>
    <s v="CA-2015-103072"/>
    <d v="2015-09-27T00:00:00"/>
    <x v="1"/>
    <s v="Q3"/>
    <x v="11"/>
    <d v="2015-09-30T00:00:00"/>
    <s v="Second Class"/>
    <x v="304"/>
    <x v="304"/>
    <s v="Corporate"/>
    <s v="United States"/>
    <s v="Detroit"/>
    <x v="12"/>
    <n v="48205"/>
    <x v="2"/>
    <x v="1210"/>
    <x v="1"/>
    <x v="6"/>
    <x v="1195"/>
    <n v="16.399999999999999"/>
    <s v="Low"/>
    <n v="5"/>
    <n v="0"/>
    <x v="0"/>
    <x v="0"/>
    <n v="4.7560000000000002"/>
    <n v="0.29000000000000004"/>
    <n v="0"/>
  </r>
  <r>
    <n v="7216"/>
    <s v="CA-2015-103072"/>
    <d v="2015-09-27T00:00:00"/>
    <x v="1"/>
    <s v="Q3"/>
    <x v="11"/>
    <d v="2015-09-30T00:00:00"/>
    <s v="Second Class"/>
    <x v="304"/>
    <x v="304"/>
    <s v="Corporate"/>
    <s v="United States"/>
    <s v="Detroit"/>
    <x v="12"/>
    <n v="48205"/>
    <x v="2"/>
    <x v="860"/>
    <x v="1"/>
    <x v="10"/>
    <x v="854"/>
    <n v="25.92"/>
    <s v="Medium"/>
    <n v="4"/>
    <n v="0"/>
    <x v="0"/>
    <x v="0"/>
    <n v="12.441599999999999"/>
    <n v="0.47999999999999993"/>
    <n v="0"/>
  </r>
  <r>
    <n v="7217"/>
    <s v="CA-2015-150770"/>
    <d v="2015-05-03T00:00:00"/>
    <x v="1"/>
    <s v="Q2"/>
    <x v="33"/>
    <d v="2015-05-06T00:00:00"/>
    <s v="First Class"/>
    <x v="48"/>
    <x v="48"/>
    <s v="Consumer"/>
    <s v="United States"/>
    <s v="San Francisco"/>
    <x v="1"/>
    <n v="94109"/>
    <x v="1"/>
    <x v="454"/>
    <x v="1"/>
    <x v="6"/>
    <x v="455"/>
    <n v="8.82"/>
    <s v="Low"/>
    <n v="3"/>
    <n v="0"/>
    <x v="0"/>
    <x v="0"/>
    <n v="2.5577999999999999"/>
    <n v="0.28999999999999998"/>
    <n v="0"/>
  </r>
  <r>
    <n v="7218"/>
    <s v="CA-2015-150770"/>
    <d v="2015-05-03T00:00:00"/>
    <x v="1"/>
    <s v="Q2"/>
    <x v="33"/>
    <d v="2015-05-06T00:00:00"/>
    <s v="First Class"/>
    <x v="48"/>
    <x v="48"/>
    <s v="Consumer"/>
    <s v="United States"/>
    <s v="San Francisco"/>
    <x v="1"/>
    <n v="94109"/>
    <x v="1"/>
    <x v="920"/>
    <x v="1"/>
    <x v="8"/>
    <x v="1758"/>
    <n v="62.496000000000002"/>
    <s v="Medium"/>
    <n v="2"/>
    <n v="0.2"/>
    <x v="2"/>
    <x v="2"/>
    <n v="21.8736"/>
    <n v="0.35"/>
    <n v="0"/>
  </r>
  <r>
    <n v="7219"/>
    <s v="CA-2015-150770"/>
    <d v="2015-05-03T00:00:00"/>
    <x v="1"/>
    <s v="Q2"/>
    <x v="33"/>
    <d v="2015-05-06T00:00:00"/>
    <s v="First Class"/>
    <x v="48"/>
    <x v="48"/>
    <s v="Consumer"/>
    <s v="United States"/>
    <s v="San Francisco"/>
    <x v="1"/>
    <n v="94109"/>
    <x v="1"/>
    <x v="106"/>
    <x v="2"/>
    <x v="11"/>
    <x v="106"/>
    <n v="339.96"/>
    <s v="High"/>
    <n v="4"/>
    <n v="0"/>
    <x v="0"/>
    <x v="0"/>
    <n v="122.3856"/>
    <n v="0.36"/>
    <n v="0"/>
  </r>
  <r>
    <n v="7220"/>
    <s v="CA-2015-150770"/>
    <d v="2015-05-03T00:00:00"/>
    <x v="1"/>
    <s v="Q2"/>
    <x v="33"/>
    <d v="2015-05-06T00:00:00"/>
    <s v="First Class"/>
    <x v="48"/>
    <x v="48"/>
    <s v="Consumer"/>
    <s v="United States"/>
    <s v="San Francisco"/>
    <x v="1"/>
    <n v="94109"/>
    <x v="1"/>
    <x v="582"/>
    <x v="1"/>
    <x v="8"/>
    <x v="582"/>
    <n v="49.567999999999998"/>
    <s v="Medium"/>
    <n v="2"/>
    <n v="0.2"/>
    <x v="2"/>
    <x v="2"/>
    <n v="17.348800000000001"/>
    <n v="0.35000000000000003"/>
    <n v="0"/>
  </r>
  <r>
    <n v="7221"/>
    <s v="CA-2017-154760"/>
    <d v="2017-01-09T00:00:00"/>
    <x v="3"/>
    <s v="Q1"/>
    <x v="44"/>
    <d v="2017-01-13T00:00:00"/>
    <s v="Standard Class"/>
    <x v="443"/>
    <x v="443"/>
    <s v="Consumer"/>
    <s v="United States"/>
    <s v="Philadelphia"/>
    <x v="9"/>
    <n v="19140"/>
    <x v="3"/>
    <x v="569"/>
    <x v="1"/>
    <x v="8"/>
    <x v="569"/>
    <n v="274.49099999999999"/>
    <s v="High"/>
    <n v="3"/>
    <n v="0.7"/>
    <x v="1"/>
    <x v="5"/>
    <n v="-228.74250000000001"/>
    <n v="-0.83333333333333337"/>
    <n v="1"/>
  </r>
  <r>
    <n v="7222"/>
    <s v="US-2017-104437"/>
    <d v="2017-01-27T00:00:00"/>
    <x v="3"/>
    <s v="Q1"/>
    <x v="44"/>
    <d v="2017-01-31T00:00:00"/>
    <s v="Standard Class"/>
    <x v="592"/>
    <x v="592"/>
    <s v="Consumer"/>
    <s v="United States"/>
    <s v="New York City"/>
    <x v="15"/>
    <n v="10035"/>
    <x v="3"/>
    <x v="1676"/>
    <x v="2"/>
    <x v="7"/>
    <x v="1664"/>
    <n v="137.94"/>
    <s v="High"/>
    <n v="3"/>
    <n v="0"/>
    <x v="0"/>
    <x v="0"/>
    <n v="35.864400000000003"/>
    <n v="0.26"/>
    <n v="0"/>
  </r>
  <r>
    <n v="7223"/>
    <s v="CA-2017-113075"/>
    <d v="2017-09-02T00:00:00"/>
    <x v="3"/>
    <s v="Q3"/>
    <x v="15"/>
    <d v="2017-09-06T00:00:00"/>
    <s v="Standard Class"/>
    <x v="498"/>
    <x v="498"/>
    <s v="Consumer"/>
    <s v="United States"/>
    <s v="Chicago"/>
    <x v="10"/>
    <n v="60623"/>
    <x v="2"/>
    <x v="658"/>
    <x v="2"/>
    <x v="11"/>
    <x v="658"/>
    <n v="40.68"/>
    <s v="Medium"/>
    <n v="3"/>
    <n v="0.2"/>
    <x v="2"/>
    <x v="2"/>
    <n v="-7.1189999999999998"/>
    <n v="-0.17499999999999999"/>
    <n v="1"/>
  </r>
  <r>
    <n v="7224"/>
    <s v="CA-2016-109953"/>
    <d v="2016-07-14T00:00:00"/>
    <x v="0"/>
    <s v="Q3"/>
    <x v="16"/>
    <d v="2016-07-18T00:00:00"/>
    <s v="Standard Class"/>
    <x v="181"/>
    <x v="181"/>
    <s v="Consumer"/>
    <s v="United States"/>
    <s v="San Francisco"/>
    <x v="1"/>
    <n v="94122"/>
    <x v="1"/>
    <x v="40"/>
    <x v="2"/>
    <x v="7"/>
    <x v="40"/>
    <n v="110.376"/>
    <s v="Medium"/>
    <n v="3"/>
    <n v="0.2"/>
    <x v="2"/>
    <x v="2"/>
    <n v="12.417299999999999"/>
    <n v="0.11249999999999999"/>
    <n v="0"/>
  </r>
  <r>
    <n v="7225"/>
    <s v="CA-2016-109953"/>
    <d v="2016-07-14T00:00:00"/>
    <x v="0"/>
    <s v="Q3"/>
    <x v="16"/>
    <d v="2016-07-18T00:00:00"/>
    <s v="Standard Class"/>
    <x v="181"/>
    <x v="181"/>
    <s v="Consumer"/>
    <s v="United States"/>
    <s v="San Francisco"/>
    <x v="1"/>
    <n v="94122"/>
    <x v="1"/>
    <x v="1656"/>
    <x v="1"/>
    <x v="9"/>
    <x v="1644"/>
    <n v="151.62"/>
    <s v="High"/>
    <n v="7"/>
    <n v="0"/>
    <x v="0"/>
    <x v="0"/>
    <n v="50.034599999999998"/>
    <n v="0.32999999999999996"/>
    <n v="0"/>
  </r>
  <r>
    <n v="7226"/>
    <s v="CA-2016-109953"/>
    <d v="2016-07-14T00:00:00"/>
    <x v="0"/>
    <s v="Q3"/>
    <x v="16"/>
    <d v="2016-07-18T00:00:00"/>
    <s v="Standard Class"/>
    <x v="181"/>
    <x v="181"/>
    <s v="Consumer"/>
    <s v="United States"/>
    <s v="San Francisco"/>
    <x v="1"/>
    <n v="94122"/>
    <x v="1"/>
    <x v="442"/>
    <x v="0"/>
    <x v="5"/>
    <x v="442"/>
    <n v="30.8"/>
    <s v="Medium"/>
    <n v="4"/>
    <n v="0"/>
    <x v="0"/>
    <x v="0"/>
    <n v="10.164"/>
    <n v="0.32999999999999996"/>
    <n v="0"/>
  </r>
  <r>
    <n v="7227"/>
    <s v="CA-2017-127397"/>
    <d v="2017-02-24T00:00:00"/>
    <x v="3"/>
    <s v="Q1"/>
    <x v="31"/>
    <d v="2017-02-28T00:00:00"/>
    <s v="Standard Class"/>
    <x v="20"/>
    <x v="20"/>
    <s v="Corporate"/>
    <s v="United States"/>
    <s v="Philadelphia"/>
    <x v="9"/>
    <n v="19134"/>
    <x v="3"/>
    <x v="1030"/>
    <x v="1"/>
    <x v="10"/>
    <x v="1021"/>
    <n v="123.92"/>
    <s v="High"/>
    <n v="5"/>
    <n v="0.2"/>
    <x v="2"/>
    <x v="2"/>
    <n v="38.725000000000001"/>
    <n v="0.3125"/>
    <n v="0"/>
  </r>
  <r>
    <n v="7228"/>
    <s v="CA-2017-127397"/>
    <d v="2017-02-24T00:00:00"/>
    <x v="3"/>
    <s v="Q1"/>
    <x v="31"/>
    <d v="2017-02-28T00:00:00"/>
    <s v="Standard Class"/>
    <x v="20"/>
    <x v="20"/>
    <s v="Corporate"/>
    <s v="United States"/>
    <s v="Philadelphia"/>
    <x v="9"/>
    <n v="19134"/>
    <x v="3"/>
    <x v="764"/>
    <x v="2"/>
    <x v="11"/>
    <x v="763"/>
    <n v="1319.8"/>
    <s v="High"/>
    <n v="5"/>
    <n v="0.2"/>
    <x v="2"/>
    <x v="2"/>
    <n v="214.4675"/>
    <n v="0.16250000000000001"/>
    <n v="0"/>
  </r>
  <r>
    <n v="7229"/>
    <s v="CA-2014-157546"/>
    <d v="2014-07-20T00:00:00"/>
    <x v="2"/>
    <s v="Q3"/>
    <x v="39"/>
    <d v="2014-07-22T00:00:00"/>
    <s v="First Class"/>
    <x v="742"/>
    <x v="742"/>
    <s v="Consumer"/>
    <s v="United States"/>
    <s v="San Francisco"/>
    <x v="1"/>
    <n v="94122"/>
    <x v="1"/>
    <x v="440"/>
    <x v="1"/>
    <x v="8"/>
    <x v="440"/>
    <n v="89.712000000000003"/>
    <s v="Medium"/>
    <n v="6"/>
    <n v="0.2"/>
    <x v="2"/>
    <x v="2"/>
    <n v="30.277799999999999"/>
    <n v="0.33749999999999997"/>
    <n v="0"/>
  </r>
  <r>
    <n v="7230"/>
    <s v="CA-2014-157546"/>
    <d v="2014-07-20T00:00:00"/>
    <x v="2"/>
    <s v="Q3"/>
    <x v="39"/>
    <d v="2014-07-22T00:00:00"/>
    <s v="First Class"/>
    <x v="742"/>
    <x v="742"/>
    <s v="Consumer"/>
    <s v="United States"/>
    <s v="San Francisco"/>
    <x v="1"/>
    <n v="94122"/>
    <x v="1"/>
    <x v="229"/>
    <x v="1"/>
    <x v="10"/>
    <x v="230"/>
    <n v="22.83"/>
    <s v="Low"/>
    <n v="3"/>
    <n v="0"/>
    <x v="0"/>
    <x v="0"/>
    <n v="10.7301"/>
    <n v="0.47000000000000003"/>
    <n v="0"/>
  </r>
  <r>
    <n v="7231"/>
    <s v="CA-2017-153843"/>
    <d v="2017-03-13T00:00:00"/>
    <x v="3"/>
    <s v="Q1"/>
    <x v="42"/>
    <d v="2017-03-15T00:00:00"/>
    <s v="First Class"/>
    <x v="618"/>
    <x v="618"/>
    <s v="Consumer"/>
    <s v="United States"/>
    <s v="Fairfield"/>
    <x v="29"/>
    <n v="6824"/>
    <x v="3"/>
    <x v="1087"/>
    <x v="1"/>
    <x v="8"/>
    <x v="1077"/>
    <n v="30.88"/>
    <s v="Medium"/>
    <n v="2"/>
    <n v="0"/>
    <x v="0"/>
    <x v="0"/>
    <n v="15.44"/>
    <n v="0.5"/>
    <n v="0"/>
  </r>
  <r>
    <n v="7232"/>
    <s v="CA-2017-153843"/>
    <d v="2017-03-13T00:00:00"/>
    <x v="3"/>
    <s v="Q1"/>
    <x v="42"/>
    <d v="2017-03-15T00:00:00"/>
    <s v="First Class"/>
    <x v="618"/>
    <x v="618"/>
    <s v="Consumer"/>
    <s v="United States"/>
    <s v="Fairfield"/>
    <x v="29"/>
    <n v="6824"/>
    <x v="3"/>
    <x v="1778"/>
    <x v="1"/>
    <x v="9"/>
    <x v="1768"/>
    <n v="465.16"/>
    <s v="High"/>
    <n v="2"/>
    <n v="0"/>
    <x v="0"/>
    <x v="0"/>
    <n v="120.94159999999999"/>
    <n v="0.25999999999999995"/>
    <n v="0"/>
  </r>
  <r>
    <n v="7233"/>
    <s v="CA-2017-153843"/>
    <d v="2017-03-13T00:00:00"/>
    <x v="3"/>
    <s v="Q1"/>
    <x v="42"/>
    <d v="2017-03-15T00:00:00"/>
    <s v="First Class"/>
    <x v="618"/>
    <x v="618"/>
    <s v="Consumer"/>
    <s v="United States"/>
    <s v="Fairfield"/>
    <x v="29"/>
    <n v="6824"/>
    <x v="3"/>
    <x v="987"/>
    <x v="1"/>
    <x v="10"/>
    <x v="980"/>
    <n v="27.12"/>
    <s v="Medium"/>
    <n v="4"/>
    <n v="0"/>
    <x v="0"/>
    <x v="0"/>
    <n v="12.475199999999999"/>
    <n v="0.45999999999999996"/>
    <n v="0"/>
  </r>
  <r>
    <n v="7234"/>
    <s v="CA-2016-137337"/>
    <d v="2016-03-08T00:00:00"/>
    <x v="0"/>
    <s v="Q1"/>
    <x v="17"/>
    <d v="2016-03-12T00:00:00"/>
    <s v="Standard Class"/>
    <x v="673"/>
    <x v="673"/>
    <s v="Consumer"/>
    <s v="United States"/>
    <s v="New York City"/>
    <x v="15"/>
    <n v="10011"/>
    <x v="3"/>
    <x v="378"/>
    <x v="0"/>
    <x v="5"/>
    <x v="379"/>
    <n v="113.6"/>
    <s v="Medium"/>
    <n v="8"/>
    <n v="0"/>
    <x v="0"/>
    <x v="0"/>
    <n v="44.304000000000002"/>
    <n v="0.39"/>
    <n v="0"/>
  </r>
  <r>
    <n v="7235"/>
    <s v="CA-2016-137337"/>
    <d v="2016-03-08T00:00:00"/>
    <x v="0"/>
    <s v="Q1"/>
    <x v="17"/>
    <d v="2016-03-12T00:00:00"/>
    <s v="Standard Class"/>
    <x v="673"/>
    <x v="673"/>
    <s v="Consumer"/>
    <s v="United States"/>
    <s v="New York City"/>
    <x v="15"/>
    <n v="10011"/>
    <x v="3"/>
    <x v="548"/>
    <x v="1"/>
    <x v="10"/>
    <x v="548"/>
    <n v="12.96"/>
    <s v="Low"/>
    <n v="2"/>
    <n v="0"/>
    <x v="0"/>
    <x v="0"/>
    <n v="6.3503999999999996"/>
    <n v="0.48999999999999994"/>
    <n v="0"/>
  </r>
  <r>
    <n v="7236"/>
    <s v="CA-2016-137337"/>
    <d v="2016-03-08T00:00:00"/>
    <x v="0"/>
    <s v="Q1"/>
    <x v="17"/>
    <d v="2016-03-12T00:00:00"/>
    <s v="Standard Class"/>
    <x v="673"/>
    <x v="673"/>
    <s v="Consumer"/>
    <s v="United States"/>
    <s v="New York City"/>
    <x v="15"/>
    <n v="10011"/>
    <x v="3"/>
    <x v="1311"/>
    <x v="1"/>
    <x v="8"/>
    <x v="1297"/>
    <n v="69.456000000000003"/>
    <s v="Medium"/>
    <n v="2"/>
    <n v="0.2"/>
    <x v="2"/>
    <x v="2"/>
    <n v="22.5732"/>
    <n v="0.32500000000000001"/>
    <n v="0"/>
  </r>
  <r>
    <n v="7237"/>
    <s v="CA-2014-138737"/>
    <d v="2014-12-07T00:00:00"/>
    <x v="2"/>
    <s v="Q4"/>
    <x v="20"/>
    <d v="2014-12-10T00:00:00"/>
    <s v="First Class"/>
    <x v="224"/>
    <x v="224"/>
    <s v="Consumer"/>
    <s v="United States"/>
    <s v="Los Angeles"/>
    <x v="1"/>
    <n v="90049"/>
    <x v="1"/>
    <x v="649"/>
    <x v="1"/>
    <x v="6"/>
    <x v="649"/>
    <n v="8.64"/>
    <s v="Low"/>
    <n v="3"/>
    <n v="0"/>
    <x v="0"/>
    <x v="0"/>
    <n v="2.4192"/>
    <n v="0.27999999999999997"/>
    <n v="0"/>
  </r>
  <r>
    <n v="7238"/>
    <s v="CA-2016-164924"/>
    <d v="2016-07-10T00:00:00"/>
    <x v="0"/>
    <s v="Q3"/>
    <x v="16"/>
    <d v="2016-07-10T00:00:00"/>
    <s v="Same Day"/>
    <x v="105"/>
    <x v="105"/>
    <s v="Corporate"/>
    <s v="United States"/>
    <s v="Philadelphia"/>
    <x v="9"/>
    <n v="19143"/>
    <x v="3"/>
    <x v="1815"/>
    <x v="2"/>
    <x v="15"/>
    <x v="1805"/>
    <n v="341.99099999999999"/>
    <s v="High"/>
    <n v="3"/>
    <n v="0.7"/>
    <x v="1"/>
    <x v="5"/>
    <n v="-319.19159999999999"/>
    <n v="-0.93333333333333335"/>
    <n v="1"/>
  </r>
  <r>
    <n v="7239"/>
    <s v="CA-2016-101651"/>
    <d v="2016-12-24T00:00:00"/>
    <x v="0"/>
    <s v="Q4"/>
    <x v="5"/>
    <d v="2016-12-30T00:00:00"/>
    <s v="Standard Class"/>
    <x v="253"/>
    <x v="253"/>
    <s v="Consumer"/>
    <s v="United States"/>
    <s v="San Jose"/>
    <x v="1"/>
    <n v="95123"/>
    <x v="1"/>
    <x v="1448"/>
    <x v="0"/>
    <x v="5"/>
    <x v="1435"/>
    <n v="43.96"/>
    <s v="Medium"/>
    <n v="7"/>
    <n v="0"/>
    <x v="0"/>
    <x v="0"/>
    <n v="18.463200000000001"/>
    <n v="0.42"/>
    <n v="0"/>
  </r>
  <r>
    <n v="7240"/>
    <s v="CA-2016-101651"/>
    <d v="2016-12-24T00:00:00"/>
    <x v="0"/>
    <s v="Q4"/>
    <x v="5"/>
    <d v="2016-12-30T00:00:00"/>
    <s v="Standard Class"/>
    <x v="253"/>
    <x v="253"/>
    <s v="Consumer"/>
    <s v="United States"/>
    <s v="San Jose"/>
    <x v="1"/>
    <n v="95123"/>
    <x v="1"/>
    <x v="152"/>
    <x v="1"/>
    <x v="12"/>
    <x v="153"/>
    <n v="39.76"/>
    <s v="Medium"/>
    <n v="7"/>
    <n v="0"/>
    <x v="0"/>
    <x v="0"/>
    <n v="18.687200000000001"/>
    <n v="0.47000000000000003"/>
    <n v="0"/>
  </r>
  <r>
    <n v="7241"/>
    <s v="CA-2017-136651"/>
    <d v="2017-04-23T00:00:00"/>
    <x v="3"/>
    <s v="Q2"/>
    <x v="4"/>
    <d v="2017-04-25T00:00:00"/>
    <s v="Second Class"/>
    <x v="282"/>
    <x v="282"/>
    <s v="Consumer"/>
    <s v="United States"/>
    <s v="Pasadena"/>
    <x v="1"/>
    <n v="91104"/>
    <x v="1"/>
    <x v="1462"/>
    <x v="0"/>
    <x v="5"/>
    <x v="1448"/>
    <n v="66.36"/>
    <s v="Medium"/>
    <n v="7"/>
    <n v="0"/>
    <x v="0"/>
    <x v="0"/>
    <n v="26.544"/>
    <n v="0.4"/>
    <n v="0"/>
  </r>
  <r>
    <n v="7242"/>
    <s v="CA-2017-136651"/>
    <d v="2017-04-23T00:00:00"/>
    <x v="3"/>
    <s v="Q2"/>
    <x v="4"/>
    <d v="2017-04-25T00:00:00"/>
    <s v="Second Class"/>
    <x v="282"/>
    <x v="282"/>
    <s v="Consumer"/>
    <s v="United States"/>
    <s v="Pasadena"/>
    <x v="1"/>
    <n v="91104"/>
    <x v="1"/>
    <x v="612"/>
    <x v="1"/>
    <x v="8"/>
    <x v="612"/>
    <n v="92.88"/>
    <s v="Medium"/>
    <n v="6"/>
    <n v="0.2"/>
    <x v="2"/>
    <x v="2"/>
    <n v="30.186"/>
    <n v="0.32500000000000001"/>
    <n v="0"/>
  </r>
  <r>
    <n v="7243"/>
    <s v="CA-2017-136651"/>
    <d v="2017-04-23T00:00:00"/>
    <x v="3"/>
    <s v="Q2"/>
    <x v="4"/>
    <d v="2017-04-25T00:00:00"/>
    <s v="Second Class"/>
    <x v="282"/>
    <x v="282"/>
    <s v="Consumer"/>
    <s v="United States"/>
    <s v="Pasadena"/>
    <x v="1"/>
    <n v="91104"/>
    <x v="1"/>
    <x v="441"/>
    <x v="0"/>
    <x v="5"/>
    <x v="1719"/>
    <n v="24.14"/>
    <s v="Low"/>
    <n v="2"/>
    <n v="0"/>
    <x v="0"/>
    <x v="0"/>
    <n v="7.9661999999999997"/>
    <n v="0.32999999999999996"/>
    <n v="0"/>
  </r>
  <r>
    <n v="7244"/>
    <s v="CA-2017-118892"/>
    <d v="2017-08-17T00:00:00"/>
    <x v="3"/>
    <s v="Q3"/>
    <x v="43"/>
    <d v="2017-08-22T00:00:00"/>
    <s v="Second Class"/>
    <x v="599"/>
    <x v="599"/>
    <s v="Consumer"/>
    <s v="United States"/>
    <s v="Philadelphia"/>
    <x v="9"/>
    <n v="19134"/>
    <x v="3"/>
    <x v="483"/>
    <x v="0"/>
    <x v="1"/>
    <x v="483"/>
    <n v="4416.174"/>
    <s v="High"/>
    <n v="9"/>
    <n v="0.3"/>
    <x v="1"/>
    <x v="4"/>
    <n v="-630.88199999999995"/>
    <n v="-0.14285714285714285"/>
    <n v="1"/>
  </r>
  <r>
    <n v="7245"/>
    <s v="US-2017-151127"/>
    <d v="2017-05-22T00:00:00"/>
    <x v="3"/>
    <s v="Q2"/>
    <x v="24"/>
    <d v="2017-05-25T00:00:00"/>
    <s v="First Class"/>
    <x v="210"/>
    <x v="210"/>
    <s v="Consumer"/>
    <s v="United States"/>
    <s v="Los Angeles"/>
    <x v="1"/>
    <n v="90049"/>
    <x v="1"/>
    <x v="1658"/>
    <x v="1"/>
    <x v="6"/>
    <x v="1646"/>
    <n v="49.56"/>
    <s v="Medium"/>
    <n v="7"/>
    <n v="0"/>
    <x v="0"/>
    <x v="0"/>
    <n v="18.832799999999999"/>
    <n v="0.37999999999999995"/>
    <n v="0"/>
  </r>
  <r>
    <n v="7246"/>
    <s v="CA-2017-145807"/>
    <d v="2017-02-09T00:00:00"/>
    <x v="3"/>
    <s v="Q1"/>
    <x v="31"/>
    <d v="2017-02-13T00:00:00"/>
    <s v="Standard Class"/>
    <x v="641"/>
    <x v="641"/>
    <s v="Consumer"/>
    <s v="United States"/>
    <s v="Los Angeles"/>
    <x v="1"/>
    <n v="90032"/>
    <x v="1"/>
    <x v="1043"/>
    <x v="1"/>
    <x v="4"/>
    <x v="1032"/>
    <n v="354.9"/>
    <s v="High"/>
    <n v="5"/>
    <n v="0"/>
    <x v="0"/>
    <x v="0"/>
    <n v="17.745000000000001"/>
    <n v="0.05"/>
    <n v="0"/>
  </r>
  <r>
    <n v="7247"/>
    <s v="US-2014-127978"/>
    <d v="2014-03-03T00:00:00"/>
    <x v="2"/>
    <s v="Q1"/>
    <x v="34"/>
    <d v="2014-03-08T00:00:00"/>
    <s v="Standard Class"/>
    <x v="329"/>
    <x v="329"/>
    <s v="Corporate"/>
    <s v="United States"/>
    <s v="Columbus"/>
    <x v="24"/>
    <n v="43229"/>
    <x v="3"/>
    <x v="1729"/>
    <x v="1"/>
    <x v="2"/>
    <x v="1716"/>
    <n v="15.12"/>
    <s v="Low"/>
    <n v="3"/>
    <n v="0.2"/>
    <x v="2"/>
    <x v="2"/>
    <n v="4.9139999999999997"/>
    <n v="0.32500000000000001"/>
    <n v="0"/>
  </r>
  <r>
    <n v="7248"/>
    <s v="US-2014-127978"/>
    <d v="2014-03-03T00:00:00"/>
    <x v="2"/>
    <s v="Q1"/>
    <x v="34"/>
    <d v="2014-03-08T00:00:00"/>
    <s v="Standard Class"/>
    <x v="329"/>
    <x v="329"/>
    <s v="Corporate"/>
    <s v="United States"/>
    <s v="Columbus"/>
    <x v="24"/>
    <n v="43229"/>
    <x v="3"/>
    <x v="366"/>
    <x v="0"/>
    <x v="0"/>
    <x v="367"/>
    <n v="302.45"/>
    <s v="High"/>
    <n v="5"/>
    <n v="0.5"/>
    <x v="1"/>
    <x v="1"/>
    <n v="-199.61699999999999"/>
    <n v="-0.66"/>
    <n v="1"/>
  </r>
  <r>
    <n v="7249"/>
    <s v="US-2014-127978"/>
    <d v="2014-03-03T00:00:00"/>
    <x v="2"/>
    <s v="Q1"/>
    <x v="34"/>
    <d v="2014-03-08T00:00:00"/>
    <s v="Standard Class"/>
    <x v="329"/>
    <x v="329"/>
    <s v="Corporate"/>
    <s v="United States"/>
    <s v="Columbus"/>
    <x v="24"/>
    <n v="43229"/>
    <x v="3"/>
    <x v="700"/>
    <x v="1"/>
    <x v="4"/>
    <x v="700"/>
    <n v="44.671999999999997"/>
    <s v="Medium"/>
    <n v="8"/>
    <n v="0.2"/>
    <x v="2"/>
    <x v="2"/>
    <n v="-10.0512"/>
    <n v="-0.22500000000000001"/>
    <n v="1"/>
  </r>
  <r>
    <n v="7250"/>
    <s v="CA-2015-158491"/>
    <d v="2015-06-04T00:00:00"/>
    <x v="1"/>
    <s v="Q2"/>
    <x v="40"/>
    <d v="2015-06-09T00:00:00"/>
    <s v="Second Class"/>
    <x v="669"/>
    <x v="669"/>
    <s v="Consumer"/>
    <s v="United States"/>
    <s v="Los Angeles"/>
    <x v="1"/>
    <n v="90008"/>
    <x v="1"/>
    <x v="1580"/>
    <x v="2"/>
    <x v="11"/>
    <x v="1571"/>
    <n v="119.98"/>
    <s v="Medium"/>
    <n v="2"/>
    <n v="0"/>
    <x v="0"/>
    <x v="0"/>
    <n v="35.994"/>
    <n v="0.3"/>
    <n v="0"/>
  </r>
  <r>
    <n v="7251"/>
    <s v="CA-2015-158491"/>
    <d v="2015-06-04T00:00:00"/>
    <x v="1"/>
    <s v="Q2"/>
    <x v="40"/>
    <d v="2015-06-09T00:00:00"/>
    <s v="Second Class"/>
    <x v="669"/>
    <x v="669"/>
    <s v="Consumer"/>
    <s v="United States"/>
    <s v="Los Angeles"/>
    <x v="1"/>
    <n v="90008"/>
    <x v="1"/>
    <x v="1738"/>
    <x v="2"/>
    <x v="11"/>
    <x v="1727"/>
    <n v="989.97"/>
    <s v="High"/>
    <n v="3"/>
    <n v="0"/>
    <x v="0"/>
    <x v="0"/>
    <n v="395.988"/>
    <n v="0.39999999999999997"/>
    <n v="0"/>
  </r>
  <r>
    <n v="7252"/>
    <s v="CA-2016-116764"/>
    <d v="2016-08-27T00:00:00"/>
    <x v="0"/>
    <s v="Q3"/>
    <x v="28"/>
    <d v="2016-09-02T00:00:00"/>
    <s v="Standard Class"/>
    <x v="605"/>
    <x v="605"/>
    <s v="Corporate"/>
    <s v="United States"/>
    <s v="Hollywood"/>
    <x v="2"/>
    <n v="33021"/>
    <x v="0"/>
    <x v="1816"/>
    <x v="1"/>
    <x v="2"/>
    <x v="1806"/>
    <n v="9.2159999999999993"/>
    <s v="Low"/>
    <n v="4"/>
    <n v="0.2"/>
    <x v="2"/>
    <x v="2"/>
    <n v="3.3408000000000002"/>
    <n v="0.36250000000000004"/>
    <n v="0"/>
  </r>
  <r>
    <n v="7253"/>
    <s v="CA-2016-152457"/>
    <d v="2016-09-12T00:00:00"/>
    <x v="0"/>
    <s v="Q3"/>
    <x v="21"/>
    <d v="2016-09-18T00:00:00"/>
    <s v="Standard Class"/>
    <x v="281"/>
    <x v="281"/>
    <s v="Corporate"/>
    <s v="United States"/>
    <s v="Roseville"/>
    <x v="12"/>
    <n v="48066"/>
    <x v="2"/>
    <x v="1274"/>
    <x v="1"/>
    <x v="10"/>
    <x v="1259"/>
    <n v="68.52"/>
    <s v="Medium"/>
    <n v="3"/>
    <n v="0"/>
    <x v="0"/>
    <x v="0"/>
    <n v="31.519200000000001"/>
    <n v="0.46"/>
    <n v="0"/>
  </r>
  <r>
    <n v="7254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166"/>
    <x v="1"/>
    <x v="9"/>
    <x v="167"/>
    <n v="364.74"/>
    <s v="High"/>
    <n v="3"/>
    <n v="0"/>
    <x v="0"/>
    <x v="0"/>
    <n v="109.422"/>
    <n v="0.3"/>
    <n v="0"/>
  </r>
  <r>
    <n v="7255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1183"/>
    <x v="0"/>
    <x v="5"/>
    <x v="1169"/>
    <n v="47.4"/>
    <s v="Medium"/>
    <n v="5"/>
    <n v="0"/>
    <x v="0"/>
    <x v="0"/>
    <n v="21.33"/>
    <n v="0.44999999999999996"/>
    <n v="0"/>
  </r>
  <r>
    <n v="7256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253"/>
    <x v="1"/>
    <x v="4"/>
    <x v="254"/>
    <n v="49.76"/>
    <s v="Medium"/>
    <n v="4"/>
    <n v="0"/>
    <x v="0"/>
    <x v="0"/>
    <n v="13.9328"/>
    <n v="0.28000000000000003"/>
    <n v="0"/>
  </r>
  <r>
    <n v="7257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324"/>
    <x v="1"/>
    <x v="6"/>
    <x v="324"/>
    <n v="5.56"/>
    <s v="Low"/>
    <n v="2"/>
    <n v="0"/>
    <x v="0"/>
    <x v="0"/>
    <n v="1.4456"/>
    <n v="0.26"/>
    <n v="0"/>
  </r>
  <r>
    <n v="7258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921"/>
    <x v="1"/>
    <x v="10"/>
    <x v="913"/>
    <n v="629.1"/>
    <s v="High"/>
    <n v="6"/>
    <n v="0"/>
    <x v="0"/>
    <x v="0"/>
    <n v="301.96800000000002"/>
    <n v="0.48000000000000004"/>
    <n v="0"/>
  </r>
  <r>
    <n v="7259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134"/>
    <x v="1"/>
    <x v="6"/>
    <x v="135"/>
    <n v="14.7"/>
    <s v="Low"/>
    <n v="5"/>
    <n v="0"/>
    <x v="0"/>
    <x v="0"/>
    <n v="3.9689999999999999"/>
    <n v="0.27"/>
    <n v="0"/>
  </r>
  <r>
    <n v="7260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974"/>
    <x v="1"/>
    <x v="10"/>
    <x v="968"/>
    <n v="45.36"/>
    <s v="Medium"/>
    <n v="7"/>
    <n v="0"/>
    <x v="0"/>
    <x v="0"/>
    <n v="21.7728"/>
    <n v="0.48"/>
    <n v="0"/>
  </r>
  <r>
    <n v="7261"/>
    <s v="CA-2016-152730"/>
    <d v="2016-05-30T00:00:00"/>
    <x v="0"/>
    <s v="Q2"/>
    <x v="35"/>
    <d v="2016-06-04T00:00:00"/>
    <s v="Standard Class"/>
    <x v="670"/>
    <x v="670"/>
    <s v="Home Office"/>
    <s v="United States"/>
    <s v="Superior"/>
    <x v="6"/>
    <n v="54880"/>
    <x v="2"/>
    <x v="1066"/>
    <x v="2"/>
    <x v="7"/>
    <x v="1055"/>
    <n v="125.99"/>
    <s v="High"/>
    <n v="1"/>
    <n v="0"/>
    <x v="0"/>
    <x v="0"/>
    <n v="35.277200000000001"/>
    <n v="0.28000000000000003"/>
    <n v="0"/>
  </r>
  <r>
    <n v="7262"/>
    <s v="CA-2017-137001"/>
    <d v="2017-06-10T00:00:00"/>
    <x v="3"/>
    <s v="Q2"/>
    <x v="27"/>
    <d v="2017-06-13T00:00:00"/>
    <s v="Second Class"/>
    <x v="433"/>
    <x v="433"/>
    <s v="Corporate"/>
    <s v="United States"/>
    <s v="Thousand Oaks"/>
    <x v="1"/>
    <n v="91360"/>
    <x v="1"/>
    <x v="1706"/>
    <x v="1"/>
    <x v="6"/>
    <x v="1695"/>
    <n v="14.7"/>
    <s v="Low"/>
    <n v="7"/>
    <n v="0"/>
    <x v="0"/>
    <x v="0"/>
    <n v="4.1159999999999997"/>
    <n v="0.27999999999999997"/>
    <n v="0"/>
  </r>
  <r>
    <n v="7263"/>
    <s v="CA-2017-156363"/>
    <d v="2017-10-22T00:00:00"/>
    <x v="3"/>
    <s v="Q4"/>
    <x v="13"/>
    <d v="2017-10-28T00:00:00"/>
    <s v="Standard Class"/>
    <x v="504"/>
    <x v="504"/>
    <s v="Corporate"/>
    <s v="United States"/>
    <s v="Philadelphia"/>
    <x v="9"/>
    <n v="19134"/>
    <x v="3"/>
    <x v="47"/>
    <x v="2"/>
    <x v="7"/>
    <x v="47"/>
    <n v="32.700000000000003"/>
    <s v="Medium"/>
    <n v="5"/>
    <n v="0.4"/>
    <x v="1"/>
    <x v="7"/>
    <n v="-6.54"/>
    <n v="-0.19999999999999998"/>
    <n v="1"/>
  </r>
  <r>
    <n v="7264"/>
    <s v="CA-2017-156363"/>
    <d v="2017-10-22T00:00:00"/>
    <x v="3"/>
    <s v="Q4"/>
    <x v="13"/>
    <d v="2017-10-28T00:00:00"/>
    <s v="Standard Class"/>
    <x v="504"/>
    <x v="504"/>
    <s v="Corporate"/>
    <s v="United States"/>
    <s v="Philadelphia"/>
    <x v="9"/>
    <n v="19134"/>
    <x v="3"/>
    <x v="1652"/>
    <x v="1"/>
    <x v="12"/>
    <x v="1641"/>
    <n v="31.68"/>
    <s v="Medium"/>
    <n v="4"/>
    <n v="0.2"/>
    <x v="2"/>
    <x v="2"/>
    <n v="11.087999999999999"/>
    <n v="0.35"/>
    <n v="0"/>
  </r>
  <r>
    <n v="7265"/>
    <s v="CA-2017-122056"/>
    <d v="2017-06-13T00:00:00"/>
    <x v="3"/>
    <s v="Q2"/>
    <x v="27"/>
    <d v="2017-06-17T00:00:00"/>
    <s v="Standard Class"/>
    <x v="38"/>
    <x v="38"/>
    <s v="Consumer"/>
    <s v="United States"/>
    <s v="Springfield"/>
    <x v="17"/>
    <n v="22153"/>
    <x v="0"/>
    <x v="1502"/>
    <x v="1"/>
    <x v="6"/>
    <x v="1490"/>
    <n v="181.86"/>
    <s v="High"/>
    <n v="7"/>
    <n v="0"/>
    <x v="0"/>
    <x v="0"/>
    <n v="50.9208"/>
    <n v="0.27999999999999997"/>
    <n v="0"/>
  </r>
  <r>
    <n v="7266"/>
    <s v="US-2014-143721"/>
    <d v="2014-11-23T00:00:00"/>
    <x v="2"/>
    <s v="Q4"/>
    <x v="7"/>
    <d v="2014-11-26T00:00:00"/>
    <s v="Second Class"/>
    <x v="460"/>
    <x v="460"/>
    <s v="Corporate"/>
    <s v="United States"/>
    <s v="Houston"/>
    <x v="5"/>
    <n v="77095"/>
    <x v="2"/>
    <x v="913"/>
    <x v="0"/>
    <x v="1"/>
    <x v="905"/>
    <n v="155.37200000000001"/>
    <s v="High"/>
    <n v="2"/>
    <n v="0.3"/>
    <x v="1"/>
    <x v="4"/>
    <n v="-35.513599999999997"/>
    <n v="-0.22857142857142854"/>
    <n v="1"/>
  </r>
  <r>
    <n v="7267"/>
    <s v="CA-2017-122987"/>
    <d v="2017-08-16T00:00:00"/>
    <x v="3"/>
    <s v="Q3"/>
    <x v="43"/>
    <d v="2017-08-16T00:00:00"/>
    <s v="Same Day"/>
    <x v="695"/>
    <x v="695"/>
    <s v="Consumer"/>
    <s v="United States"/>
    <s v="Columbia"/>
    <x v="18"/>
    <n v="38401"/>
    <x v="0"/>
    <x v="528"/>
    <x v="1"/>
    <x v="8"/>
    <x v="528"/>
    <n v="13.428000000000001"/>
    <s v="Low"/>
    <n v="3"/>
    <n v="0.7"/>
    <x v="1"/>
    <x v="5"/>
    <n v="-11.19"/>
    <n v="-0.83333333333333326"/>
    <n v="1"/>
  </r>
  <r>
    <n v="7268"/>
    <s v="CA-2017-122987"/>
    <d v="2017-08-16T00:00:00"/>
    <x v="3"/>
    <s v="Q3"/>
    <x v="43"/>
    <d v="2017-08-16T00:00:00"/>
    <s v="Same Day"/>
    <x v="695"/>
    <x v="695"/>
    <s v="Consumer"/>
    <s v="United States"/>
    <s v="Columbia"/>
    <x v="18"/>
    <n v="38401"/>
    <x v="0"/>
    <x v="1018"/>
    <x v="1"/>
    <x v="4"/>
    <x v="1009"/>
    <n v="67.135999999999996"/>
    <s v="Medium"/>
    <n v="4"/>
    <n v="0.2"/>
    <x v="2"/>
    <x v="2"/>
    <n v="-0.83919999999999995"/>
    <n v="-1.2500000000000001E-2"/>
    <n v="1"/>
  </r>
  <r>
    <n v="7269"/>
    <s v="CA-2016-133368"/>
    <d v="2016-01-14T00:00:00"/>
    <x v="0"/>
    <s v="Q1"/>
    <x v="12"/>
    <d v="2016-01-20T00:00:00"/>
    <s v="Standard Class"/>
    <x v="165"/>
    <x v="165"/>
    <s v="Consumer"/>
    <s v="United States"/>
    <s v="Concord"/>
    <x v="3"/>
    <n v="28027"/>
    <x v="0"/>
    <x v="1558"/>
    <x v="1"/>
    <x v="10"/>
    <x v="1547"/>
    <n v="89.567999999999998"/>
    <s v="Medium"/>
    <n v="2"/>
    <n v="0.2"/>
    <x v="2"/>
    <x v="2"/>
    <n v="32.468400000000003"/>
    <n v="0.36250000000000004"/>
    <n v="0"/>
  </r>
  <r>
    <n v="7270"/>
    <s v="CA-2016-133368"/>
    <d v="2016-01-14T00:00:00"/>
    <x v="0"/>
    <s v="Q1"/>
    <x v="12"/>
    <d v="2016-01-20T00:00:00"/>
    <s v="Standard Class"/>
    <x v="165"/>
    <x v="165"/>
    <s v="Consumer"/>
    <s v="United States"/>
    <s v="Concord"/>
    <x v="3"/>
    <n v="28027"/>
    <x v="0"/>
    <x v="1817"/>
    <x v="0"/>
    <x v="5"/>
    <x v="1807"/>
    <n v="315.77600000000001"/>
    <s v="High"/>
    <n v="8"/>
    <n v="0.2"/>
    <x v="2"/>
    <x v="2"/>
    <n v="31.5776"/>
    <n v="9.9999999999999992E-2"/>
    <n v="0"/>
  </r>
  <r>
    <n v="7271"/>
    <s v="CA-2016-123337"/>
    <d v="2016-09-16T00:00:00"/>
    <x v="0"/>
    <s v="Q3"/>
    <x v="21"/>
    <d v="2016-09-22T00:00:00"/>
    <s v="Standard Class"/>
    <x v="470"/>
    <x v="470"/>
    <s v="Corporate"/>
    <s v="United States"/>
    <s v="San Jose"/>
    <x v="1"/>
    <n v="95123"/>
    <x v="1"/>
    <x v="1162"/>
    <x v="0"/>
    <x v="0"/>
    <x v="1149"/>
    <n v="273.666"/>
    <s v="High"/>
    <n v="2"/>
    <n v="0.15"/>
    <x v="2"/>
    <x v="2"/>
    <n v="-12.878399999999999"/>
    <n v="-4.7058823529411764E-2"/>
    <n v="1"/>
  </r>
  <r>
    <n v="7272"/>
    <s v="CA-2016-123337"/>
    <d v="2016-09-16T00:00:00"/>
    <x v="0"/>
    <s v="Q3"/>
    <x v="21"/>
    <d v="2016-09-22T00:00:00"/>
    <s v="Standard Class"/>
    <x v="470"/>
    <x v="470"/>
    <s v="Corporate"/>
    <s v="United States"/>
    <s v="San Jose"/>
    <x v="1"/>
    <n v="95123"/>
    <x v="1"/>
    <x v="1298"/>
    <x v="1"/>
    <x v="9"/>
    <x v="1283"/>
    <n v="17.48"/>
    <s v="Low"/>
    <n v="4"/>
    <n v="0"/>
    <x v="0"/>
    <x v="0"/>
    <n v="4.5448000000000004"/>
    <n v="0.26"/>
    <n v="0"/>
  </r>
  <r>
    <n v="7273"/>
    <s v="US-2016-150357"/>
    <d v="2016-10-10T00:00:00"/>
    <x v="0"/>
    <s v="Q4"/>
    <x v="32"/>
    <d v="2016-10-14T00:00:00"/>
    <s v="Standard Class"/>
    <x v="424"/>
    <x v="424"/>
    <s v="Corporate"/>
    <s v="United States"/>
    <s v="Greensboro"/>
    <x v="3"/>
    <n v="27405"/>
    <x v="0"/>
    <x v="505"/>
    <x v="1"/>
    <x v="14"/>
    <x v="505"/>
    <n v="20.608000000000001"/>
    <s v="Low"/>
    <n v="2"/>
    <n v="0.2"/>
    <x v="2"/>
    <x v="2"/>
    <n v="-4.3792"/>
    <n v="-0.21249999999999999"/>
    <n v="1"/>
  </r>
  <r>
    <n v="7274"/>
    <s v="US-2016-150357"/>
    <d v="2016-10-10T00:00:00"/>
    <x v="0"/>
    <s v="Q4"/>
    <x v="32"/>
    <d v="2016-10-14T00:00:00"/>
    <s v="Standard Class"/>
    <x v="424"/>
    <x v="424"/>
    <s v="Corporate"/>
    <s v="United States"/>
    <s v="Greensboro"/>
    <x v="3"/>
    <n v="27405"/>
    <x v="0"/>
    <x v="248"/>
    <x v="1"/>
    <x v="8"/>
    <x v="249"/>
    <n v="4.0949999999999998"/>
    <s v="Low"/>
    <n v="3"/>
    <n v="0.7"/>
    <x v="1"/>
    <x v="5"/>
    <n v="-2.73"/>
    <n v="-0.66666666666666674"/>
    <n v="1"/>
  </r>
  <r>
    <n v="7275"/>
    <s v="CA-2015-144519"/>
    <d v="2015-11-13T00:00:00"/>
    <x v="1"/>
    <s v="Q4"/>
    <x v="6"/>
    <d v="2015-11-17T00:00:00"/>
    <s v="Standard Class"/>
    <x v="585"/>
    <x v="585"/>
    <s v="Home Office"/>
    <s v="United States"/>
    <s v="Helena"/>
    <x v="37"/>
    <n v="59601"/>
    <x v="1"/>
    <x v="1495"/>
    <x v="2"/>
    <x v="7"/>
    <x v="1483"/>
    <n v="339.96"/>
    <s v="High"/>
    <n v="5"/>
    <n v="0.2"/>
    <x v="2"/>
    <x v="2"/>
    <n v="42.494999999999997"/>
    <n v="0.125"/>
    <n v="0"/>
  </r>
  <r>
    <n v="7276"/>
    <s v="CA-2015-144519"/>
    <d v="2015-11-13T00:00:00"/>
    <x v="1"/>
    <s v="Q4"/>
    <x v="6"/>
    <d v="2015-11-17T00:00:00"/>
    <s v="Standard Class"/>
    <x v="585"/>
    <x v="585"/>
    <s v="Home Office"/>
    <s v="United States"/>
    <s v="Helena"/>
    <x v="37"/>
    <n v="59601"/>
    <x v="1"/>
    <x v="645"/>
    <x v="0"/>
    <x v="5"/>
    <x v="645"/>
    <n v="63.98"/>
    <s v="Medium"/>
    <n v="7"/>
    <n v="0"/>
    <x v="0"/>
    <x v="0"/>
    <n v="21.7532"/>
    <n v="0.34"/>
    <n v="0"/>
  </r>
  <r>
    <n v="7277"/>
    <s v="CA-2014-120670"/>
    <d v="2014-11-02T00:00:00"/>
    <x v="2"/>
    <s v="Q4"/>
    <x v="7"/>
    <d v="2014-11-06T00:00:00"/>
    <s v="Standard Class"/>
    <x v="451"/>
    <x v="451"/>
    <s v="Home Office"/>
    <s v="United States"/>
    <s v="Fort Lauderdale"/>
    <x v="2"/>
    <n v="33311"/>
    <x v="0"/>
    <x v="1336"/>
    <x v="2"/>
    <x v="11"/>
    <x v="1321"/>
    <n v="799.92"/>
    <s v="High"/>
    <n v="10"/>
    <n v="0.2"/>
    <x v="2"/>
    <x v="2"/>
    <n v="239.976"/>
    <n v="0.3"/>
    <n v="0"/>
  </r>
  <r>
    <n v="7278"/>
    <s v="CA-2016-157217"/>
    <d v="2016-07-19T00:00:00"/>
    <x v="0"/>
    <s v="Q3"/>
    <x v="16"/>
    <d v="2016-07-21T00:00:00"/>
    <s v="First Class"/>
    <x v="426"/>
    <x v="426"/>
    <s v="Home Office"/>
    <s v="United States"/>
    <s v="San Francisco"/>
    <x v="1"/>
    <n v="94110"/>
    <x v="1"/>
    <x v="1804"/>
    <x v="2"/>
    <x v="7"/>
    <x v="1794"/>
    <n v="35.984000000000002"/>
    <s v="Medium"/>
    <n v="2"/>
    <n v="0.2"/>
    <x v="2"/>
    <x v="2"/>
    <n v="4.4980000000000002"/>
    <n v="0.125"/>
    <n v="0"/>
  </r>
  <r>
    <n v="7279"/>
    <s v="CA-2016-157217"/>
    <d v="2016-07-19T00:00:00"/>
    <x v="0"/>
    <s v="Q3"/>
    <x v="16"/>
    <d v="2016-07-21T00:00:00"/>
    <s v="First Class"/>
    <x v="426"/>
    <x v="426"/>
    <s v="Home Office"/>
    <s v="United States"/>
    <s v="San Francisco"/>
    <x v="1"/>
    <n v="94110"/>
    <x v="1"/>
    <x v="1301"/>
    <x v="2"/>
    <x v="11"/>
    <x v="1286"/>
    <n v="389.97"/>
    <s v="High"/>
    <n v="3"/>
    <n v="0"/>
    <x v="0"/>
    <x v="0"/>
    <n v="132.5898"/>
    <n v="0.33999999999999997"/>
    <n v="0"/>
  </r>
  <r>
    <n v="7280"/>
    <s v="CA-2016-108224"/>
    <d v="2016-05-14T00:00:00"/>
    <x v="0"/>
    <s v="Q2"/>
    <x v="35"/>
    <d v="2016-05-14T00:00:00"/>
    <s v="Same Day"/>
    <x v="260"/>
    <x v="260"/>
    <s v="Corporate"/>
    <s v="United States"/>
    <s v="Yuma"/>
    <x v="16"/>
    <n v="85364"/>
    <x v="1"/>
    <x v="217"/>
    <x v="2"/>
    <x v="11"/>
    <x v="463"/>
    <n v="185.52799999999999"/>
    <s v="High"/>
    <n v="7"/>
    <n v="0.2"/>
    <x v="2"/>
    <x v="2"/>
    <n v="48.701099999999997"/>
    <n v="0.26250000000000001"/>
    <n v="0"/>
  </r>
  <r>
    <n v="7281"/>
    <s v="CA-2015-162782"/>
    <d v="2015-02-21T00:00:00"/>
    <x v="1"/>
    <s v="Q1"/>
    <x v="36"/>
    <d v="2015-02-27T00:00:00"/>
    <s v="Standard Class"/>
    <x v="617"/>
    <x v="617"/>
    <s v="Consumer"/>
    <s v="United States"/>
    <s v="Columbia"/>
    <x v="39"/>
    <n v="21044"/>
    <x v="3"/>
    <x v="450"/>
    <x v="1"/>
    <x v="8"/>
    <x v="451"/>
    <n v="2541.98"/>
    <s v="High"/>
    <n v="2"/>
    <n v="0"/>
    <x v="0"/>
    <x v="0"/>
    <n v="1270.99"/>
    <n v="0.5"/>
    <n v="0"/>
  </r>
  <r>
    <n v="7282"/>
    <s v="CA-2017-159282"/>
    <d v="2017-10-16T00:00:00"/>
    <x v="3"/>
    <s v="Q4"/>
    <x v="13"/>
    <d v="2017-10-21T00:00:00"/>
    <s v="Standard Class"/>
    <x v="689"/>
    <x v="689"/>
    <s v="Home Office"/>
    <s v="United States"/>
    <s v="Yuma"/>
    <x v="16"/>
    <n v="85364"/>
    <x v="1"/>
    <x v="206"/>
    <x v="2"/>
    <x v="15"/>
    <x v="207"/>
    <n v="599.98500000000001"/>
    <s v="High"/>
    <n v="5"/>
    <n v="0.7"/>
    <x v="1"/>
    <x v="5"/>
    <n v="-479.988"/>
    <n v="-0.79999999999999993"/>
    <n v="1"/>
  </r>
  <r>
    <n v="7283"/>
    <s v="CA-2017-155936"/>
    <d v="2017-06-22T00:00:00"/>
    <x v="3"/>
    <s v="Q2"/>
    <x v="27"/>
    <d v="2017-06-29T00:00:00"/>
    <s v="Standard Class"/>
    <x v="300"/>
    <x v="300"/>
    <s v="Consumer"/>
    <s v="United States"/>
    <s v="Chicago"/>
    <x v="10"/>
    <n v="60653"/>
    <x v="2"/>
    <x v="881"/>
    <x v="1"/>
    <x v="8"/>
    <x v="875"/>
    <n v="3.036"/>
    <s v="Low"/>
    <n v="3"/>
    <n v="0.8"/>
    <x v="1"/>
    <x v="3"/>
    <n v="-5.0094000000000003"/>
    <n v="-1.6500000000000001"/>
    <n v="1"/>
  </r>
  <r>
    <n v="7284"/>
    <s v="CA-2017-169439"/>
    <d v="2017-09-09T00:00:00"/>
    <x v="3"/>
    <s v="Q3"/>
    <x v="15"/>
    <d v="2017-09-13T00:00:00"/>
    <s v="Standard Class"/>
    <x v="95"/>
    <x v="95"/>
    <s v="Consumer"/>
    <s v="United States"/>
    <s v="Cleveland"/>
    <x v="24"/>
    <n v="44105"/>
    <x v="3"/>
    <x v="313"/>
    <x v="1"/>
    <x v="6"/>
    <x v="313"/>
    <n v="25.92"/>
    <s v="Medium"/>
    <n v="5"/>
    <n v="0.2"/>
    <x v="2"/>
    <x v="2"/>
    <n v="3.8879999999999999"/>
    <n v="0.15"/>
    <n v="0"/>
  </r>
  <r>
    <n v="7285"/>
    <s v="CA-2017-169439"/>
    <d v="2017-09-09T00:00:00"/>
    <x v="3"/>
    <s v="Q3"/>
    <x v="15"/>
    <d v="2017-09-13T00:00:00"/>
    <s v="Standard Class"/>
    <x v="95"/>
    <x v="95"/>
    <s v="Consumer"/>
    <s v="United States"/>
    <s v="Cleveland"/>
    <x v="24"/>
    <n v="44105"/>
    <x v="3"/>
    <x v="479"/>
    <x v="0"/>
    <x v="5"/>
    <x v="480"/>
    <n v="66.111999999999995"/>
    <s v="Medium"/>
    <n v="2"/>
    <n v="0.2"/>
    <x v="2"/>
    <x v="2"/>
    <n v="-9.0904000000000007"/>
    <n v="-0.13750000000000001"/>
    <n v="1"/>
  </r>
  <r>
    <n v="7286"/>
    <s v="CA-2017-151183"/>
    <d v="2017-10-14T00:00:00"/>
    <x v="3"/>
    <s v="Q4"/>
    <x v="13"/>
    <d v="2017-10-19T00:00:00"/>
    <s v="Standard Class"/>
    <x v="318"/>
    <x v="318"/>
    <s v="Consumer"/>
    <s v="United States"/>
    <s v="San Francisco"/>
    <x v="1"/>
    <n v="94110"/>
    <x v="1"/>
    <x v="567"/>
    <x v="2"/>
    <x v="11"/>
    <x v="567"/>
    <n v="46.36"/>
    <s v="Medium"/>
    <n v="4"/>
    <n v="0"/>
    <x v="0"/>
    <x v="0"/>
    <n v="15.2988"/>
    <n v="0.33"/>
    <n v="0"/>
  </r>
  <r>
    <n v="7287"/>
    <s v="CA-2016-149965"/>
    <d v="2016-06-20T00:00:00"/>
    <x v="0"/>
    <s v="Q2"/>
    <x v="1"/>
    <d v="2016-06-25T00:00:00"/>
    <s v="Standard Class"/>
    <x v="740"/>
    <x v="740"/>
    <s v="Corporate"/>
    <s v="United States"/>
    <s v="Oklahoma City"/>
    <x v="26"/>
    <n v="73120"/>
    <x v="2"/>
    <x v="1691"/>
    <x v="2"/>
    <x v="11"/>
    <x v="1679"/>
    <n v="6.9"/>
    <s v="Low"/>
    <n v="1"/>
    <n v="0"/>
    <x v="0"/>
    <x v="0"/>
    <n v="0.55200000000000005"/>
    <n v="0.08"/>
    <n v="0"/>
  </r>
  <r>
    <n v="7288"/>
    <s v="CA-2016-149965"/>
    <d v="2016-06-20T00:00:00"/>
    <x v="0"/>
    <s v="Q2"/>
    <x v="1"/>
    <d v="2016-06-25T00:00:00"/>
    <s v="Standard Class"/>
    <x v="740"/>
    <x v="740"/>
    <s v="Corporate"/>
    <s v="United States"/>
    <s v="Oklahoma City"/>
    <x v="26"/>
    <n v="73120"/>
    <x v="2"/>
    <x v="1006"/>
    <x v="0"/>
    <x v="5"/>
    <x v="1381"/>
    <n v="57.69"/>
    <s v="Medium"/>
    <n v="3"/>
    <n v="0"/>
    <x v="0"/>
    <x v="0"/>
    <n v="23.652899999999999"/>
    <n v="0.41"/>
    <n v="0"/>
  </r>
  <r>
    <n v="7289"/>
    <s v="CA-2014-158281"/>
    <d v="2014-09-02T00:00:00"/>
    <x v="2"/>
    <s v="Q3"/>
    <x v="30"/>
    <d v="2014-09-07T00:00:00"/>
    <s v="Standard Class"/>
    <x v="132"/>
    <x v="132"/>
    <s v="Corporate"/>
    <s v="United States"/>
    <s v="Houston"/>
    <x v="5"/>
    <n v="77095"/>
    <x v="2"/>
    <x v="1389"/>
    <x v="2"/>
    <x v="15"/>
    <x v="1375"/>
    <n v="559.71"/>
    <s v="High"/>
    <n v="3"/>
    <n v="0.4"/>
    <x v="1"/>
    <x v="7"/>
    <n v="-121.2705"/>
    <n v="-0.21666666666666665"/>
    <n v="1"/>
  </r>
  <r>
    <n v="7290"/>
    <s v="CA-2016-153661"/>
    <d v="2016-01-30T00:00:00"/>
    <x v="0"/>
    <s v="Q1"/>
    <x v="12"/>
    <d v="2016-01-31T00:00:00"/>
    <s v="First Class"/>
    <x v="56"/>
    <x v="56"/>
    <s v="Consumer"/>
    <s v="United States"/>
    <s v="San Francisco"/>
    <x v="1"/>
    <n v="94122"/>
    <x v="1"/>
    <x v="298"/>
    <x v="1"/>
    <x v="4"/>
    <x v="298"/>
    <n v="305.01"/>
    <s v="High"/>
    <n v="9"/>
    <n v="0"/>
    <x v="0"/>
    <x v="0"/>
    <n v="76.252499999999998"/>
    <n v="0.25"/>
    <n v="0"/>
  </r>
  <r>
    <n v="7291"/>
    <s v="CA-2016-153661"/>
    <d v="2016-01-30T00:00:00"/>
    <x v="0"/>
    <s v="Q1"/>
    <x v="12"/>
    <d v="2016-01-31T00:00:00"/>
    <s v="First Class"/>
    <x v="56"/>
    <x v="56"/>
    <s v="Consumer"/>
    <s v="United States"/>
    <s v="San Francisco"/>
    <x v="1"/>
    <n v="94122"/>
    <x v="1"/>
    <x v="132"/>
    <x v="1"/>
    <x v="8"/>
    <x v="133"/>
    <n v="50.783999999999999"/>
    <s v="Medium"/>
    <n v="2"/>
    <n v="0.2"/>
    <x v="2"/>
    <x v="2"/>
    <n v="17.7744"/>
    <n v="0.35000000000000003"/>
    <n v="0"/>
  </r>
  <r>
    <n v="7292"/>
    <s v="CA-2016-153661"/>
    <d v="2016-01-30T00:00:00"/>
    <x v="0"/>
    <s v="Q1"/>
    <x v="12"/>
    <d v="2016-01-31T00:00:00"/>
    <s v="First Class"/>
    <x v="56"/>
    <x v="56"/>
    <s v="Consumer"/>
    <s v="United States"/>
    <s v="San Francisco"/>
    <x v="1"/>
    <n v="94122"/>
    <x v="1"/>
    <x v="264"/>
    <x v="1"/>
    <x v="2"/>
    <x v="264"/>
    <n v="26.01"/>
    <s v="Medium"/>
    <n v="9"/>
    <n v="0"/>
    <x v="0"/>
    <x v="0"/>
    <n v="12.2247"/>
    <n v="0.47"/>
    <n v="0"/>
  </r>
  <r>
    <n v="7293"/>
    <s v="CA-2017-109183"/>
    <d v="2017-12-04T00:00:00"/>
    <x v="3"/>
    <s v="Q4"/>
    <x v="22"/>
    <d v="2017-12-09T00:00:00"/>
    <s v="Standard Class"/>
    <x v="235"/>
    <x v="235"/>
    <s v="Consumer"/>
    <s v="United States"/>
    <s v="Nashville"/>
    <x v="18"/>
    <n v="37211"/>
    <x v="0"/>
    <x v="1818"/>
    <x v="2"/>
    <x v="15"/>
    <x v="1787"/>
    <n v="649"/>
    <s v="High"/>
    <n v="2"/>
    <n v="0.5"/>
    <x v="1"/>
    <x v="1"/>
    <n v="-272.58"/>
    <n v="-0.42"/>
    <n v="1"/>
  </r>
  <r>
    <n v="7294"/>
    <s v="CA-2016-113656"/>
    <d v="2016-01-23T00:00:00"/>
    <x v="0"/>
    <s v="Q1"/>
    <x v="12"/>
    <d v="2016-01-29T00:00:00"/>
    <s v="Standard Class"/>
    <x v="558"/>
    <x v="558"/>
    <s v="Consumer"/>
    <s v="United States"/>
    <s v="Los Angeles"/>
    <x v="1"/>
    <n v="90036"/>
    <x v="1"/>
    <x v="1685"/>
    <x v="0"/>
    <x v="5"/>
    <x v="1673"/>
    <n v="59.99"/>
    <s v="Medium"/>
    <n v="7"/>
    <n v="0"/>
    <x v="0"/>
    <x v="0"/>
    <n v="21.596399999999999"/>
    <n v="0.36"/>
    <n v="0"/>
  </r>
  <r>
    <n v="7295"/>
    <s v="CA-2015-148964"/>
    <d v="2015-05-26T00:00:00"/>
    <x v="1"/>
    <s v="Q2"/>
    <x v="33"/>
    <d v="2015-05-31T00:00:00"/>
    <s v="Standard Class"/>
    <x v="76"/>
    <x v="76"/>
    <s v="Consumer"/>
    <s v="United States"/>
    <s v="Bellevue"/>
    <x v="4"/>
    <n v="98006"/>
    <x v="1"/>
    <x v="526"/>
    <x v="0"/>
    <x v="5"/>
    <x v="526"/>
    <n v="20.239999999999998"/>
    <s v="Low"/>
    <n v="1"/>
    <n v="0"/>
    <x v="0"/>
    <x v="0"/>
    <n v="7.8936000000000002"/>
    <n v="0.39"/>
    <n v="0"/>
  </r>
  <r>
    <n v="7296"/>
    <s v="CA-2014-111899"/>
    <d v="2014-05-04T00:00:00"/>
    <x v="2"/>
    <s v="Q2"/>
    <x v="8"/>
    <d v="2014-05-05T00:00:00"/>
    <s v="First Class"/>
    <x v="396"/>
    <x v="396"/>
    <s v="Consumer"/>
    <s v="United States"/>
    <s v="Houston"/>
    <x v="5"/>
    <n v="77036"/>
    <x v="2"/>
    <x v="1559"/>
    <x v="1"/>
    <x v="6"/>
    <x v="1549"/>
    <n v="37.840000000000003"/>
    <s v="Medium"/>
    <n v="2"/>
    <n v="0.2"/>
    <x v="2"/>
    <x v="2"/>
    <n v="2.8380000000000001"/>
    <n v="7.4999999999999997E-2"/>
    <n v="0"/>
  </r>
  <r>
    <n v="7297"/>
    <s v="CA-2014-111899"/>
    <d v="2014-05-04T00:00:00"/>
    <x v="2"/>
    <s v="Q2"/>
    <x v="8"/>
    <d v="2014-05-05T00:00:00"/>
    <s v="First Class"/>
    <x v="396"/>
    <x v="396"/>
    <s v="Consumer"/>
    <s v="United States"/>
    <s v="Houston"/>
    <x v="5"/>
    <n v="77036"/>
    <x v="2"/>
    <x v="1705"/>
    <x v="1"/>
    <x v="13"/>
    <x v="1694"/>
    <n v="5.4720000000000004"/>
    <s v="Low"/>
    <n v="6"/>
    <n v="0.2"/>
    <x v="2"/>
    <x v="2"/>
    <n v="1.8468"/>
    <n v="0.33749999999999997"/>
    <n v="0"/>
  </r>
  <r>
    <n v="7298"/>
    <s v="CA-2015-101126"/>
    <d v="2015-02-10T00:00:00"/>
    <x v="1"/>
    <s v="Q1"/>
    <x v="36"/>
    <d v="2015-02-14T00:00:00"/>
    <s v="Second Class"/>
    <x v="240"/>
    <x v="240"/>
    <s v="Corporate"/>
    <s v="United States"/>
    <s v="Philadelphia"/>
    <x v="9"/>
    <n v="19143"/>
    <x v="3"/>
    <x v="1220"/>
    <x v="1"/>
    <x v="4"/>
    <x v="1204"/>
    <n v="77.239999999999995"/>
    <s v="Medium"/>
    <n v="5"/>
    <n v="0.2"/>
    <x v="2"/>
    <x v="2"/>
    <n v="7.7240000000000002"/>
    <n v="0.1"/>
    <n v="0"/>
  </r>
  <r>
    <n v="7299"/>
    <s v="CA-2014-163468"/>
    <d v="2014-11-18T00:00:00"/>
    <x v="2"/>
    <s v="Q4"/>
    <x v="7"/>
    <d v="2014-11-21T00:00:00"/>
    <s v="First Class"/>
    <x v="300"/>
    <x v="300"/>
    <s v="Consumer"/>
    <s v="United States"/>
    <s v="Des Plaines"/>
    <x v="10"/>
    <n v="60016"/>
    <x v="2"/>
    <x v="277"/>
    <x v="0"/>
    <x v="3"/>
    <x v="277"/>
    <n v="292.10000000000002"/>
    <s v="High"/>
    <n v="4"/>
    <n v="0.5"/>
    <x v="1"/>
    <x v="1"/>
    <n v="-175.26"/>
    <n v="-0.59999999999999987"/>
    <n v="1"/>
  </r>
  <r>
    <n v="7300"/>
    <s v="CA-2014-163468"/>
    <d v="2014-11-18T00:00:00"/>
    <x v="2"/>
    <s v="Q4"/>
    <x v="7"/>
    <d v="2014-11-21T00:00:00"/>
    <s v="First Class"/>
    <x v="300"/>
    <x v="300"/>
    <s v="Consumer"/>
    <s v="United States"/>
    <s v="Des Plaines"/>
    <x v="10"/>
    <n v="60016"/>
    <x v="2"/>
    <x v="1445"/>
    <x v="0"/>
    <x v="5"/>
    <x v="1432"/>
    <n v="8.5440000000000005"/>
    <s v="Low"/>
    <n v="2"/>
    <n v="0.6"/>
    <x v="1"/>
    <x v="6"/>
    <n v="-7.476"/>
    <n v="-0.875"/>
    <n v="1"/>
  </r>
  <r>
    <n v="7301"/>
    <s v="CA-2014-163468"/>
    <d v="2014-11-18T00:00:00"/>
    <x v="2"/>
    <s v="Q4"/>
    <x v="7"/>
    <d v="2014-11-21T00:00:00"/>
    <s v="First Class"/>
    <x v="300"/>
    <x v="300"/>
    <s v="Consumer"/>
    <s v="United States"/>
    <s v="Des Plaines"/>
    <x v="10"/>
    <n v="60016"/>
    <x v="2"/>
    <x v="1659"/>
    <x v="0"/>
    <x v="0"/>
    <x v="1647"/>
    <n v="424.11599999999999"/>
    <s v="High"/>
    <n v="6"/>
    <n v="0.3"/>
    <x v="1"/>
    <x v="4"/>
    <n v="-30.294"/>
    <n v="-7.1428571428571438E-2"/>
    <n v="1"/>
  </r>
  <r>
    <n v="7302"/>
    <s v="CA-2014-163468"/>
    <d v="2014-11-18T00:00:00"/>
    <x v="2"/>
    <s v="Q4"/>
    <x v="7"/>
    <d v="2014-11-21T00:00:00"/>
    <s v="First Class"/>
    <x v="300"/>
    <x v="300"/>
    <s v="Consumer"/>
    <s v="United States"/>
    <s v="Des Plaines"/>
    <x v="10"/>
    <n v="60016"/>
    <x v="2"/>
    <x v="544"/>
    <x v="1"/>
    <x v="8"/>
    <x v="544"/>
    <n v="2.8919999999999999"/>
    <s v="Low"/>
    <n v="3"/>
    <n v="0.8"/>
    <x v="1"/>
    <x v="3"/>
    <n v="-4.9164000000000003"/>
    <n v="-1.7000000000000002"/>
    <n v="1"/>
  </r>
  <r>
    <n v="7303"/>
    <s v="CA-2014-163468"/>
    <d v="2014-11-18T00:00:00"/>
    <x v="2"/>
    <s v="Q4"/>
    <x v="7"/>
    <d v="2014-11-21T00:00:00"/>
    <s v="First Class"/>
    <x v="300"/>
    <x v="300"/>
    <s v="Consumer"/>
    <s v="United States"/>
    <s v="Des Plaines"/>
    <x v="10"/>
    <n v="60016"/>
    <x v="2"/>
    <x v="621"/>
    <x v="1"/>
    <x v="4"/>
    <x v="621"/>
    <n v="381.72"/>
    <s v="High"/>
    <n v="5"/>
    <n v="0.2"/>
    <x v="2"/>
    <x v="2"/>
    <n v="-66.801000000000002"/>
    <n v="-0.17499999999999999"/>
    <n v="1"/>
  </r>
  <r>
    <n v="7304"/>
    <s v="US-2017-117450"/>
    <d v="2017-09-04T00:00:00"/>
    <x v="3"/>
    <s v="Q3"/>
    <x v="15"/>
    <d v="2017-09-08T00:00:00"/>
    <s v="Standard Class"/>
    <x v="770"/>
    <x v="770"/>
    <s v="Consumer"/>
    <s v="United States"/>
    <s v="Boynton Beach"/>
    <x v="2"/>
    <n v="33437"/>
    <x v="0"/>
    <x v="163"/>
    <x v="0"/>
    <x v="1"/>
    <x v="164"/>
    <n v="97.183999999999997"/>
    <s v="Medium"/>
    <n v="2"/>
    <n v="0.2"/>
    <x v="2"/>
    <x v="2"/>
    <n v="6.0739999999999998"/>
    <n v="6.25E-2"/>
    <n v="0"/>
  </r>
  <r>
    <n v="7305"/>
    <s v="US-2017-117450"/>
    <d v="2017-09-04T00:00:00"/>
    <x v="3"/>
    <s v="Q3"/>
    <x v="15"/>
    <d v="2017-09-08T00:00:00"/>
    <s v="Standard Class"/>
    <x v="770"/>
    <x v="770"/>
    <s v="Consumer"/>
    <s v="United States"/>
    <s v="Boynton Beach"/>
    <x v="2"/>
    <n v="33437"/>
    <x v="0"/>
    <x v="730"/>
    <x v="1"/>
    <x v="10"/>
    <x v="729"/>
    <n v="10.368"/>
    <s v="Low"/>
    <n v="2"/>
    <n v="0.2"/>
    <x v="2"/>
    <x v="2"/>
    <n v="3.6288"/>
    <n v="0.35"/>
    <n v="0"/>
  </r>
  <r>
    <n v="7306"/>
    <s v="CA-2014-137274"/>
    <d v="2014-03-29T00:00:00"/>
    <x v="2"/>
    <s v="Q1"/>
    <x v="34"/>
    <d v="2014-04-02T00:00:00"/>
    <s v="Standard Class"/>
    <x v="207"/>
    <x v="207"/>
    <s v="Consumer"/>
    <s v="United States"/>
    <s v="Plano"/>
    <x v="5"/>
    <n v="75023"/>
    <x v="2"/>
    <x v="411"/>
    <x v="0"/>
    <x v="3"/>
    <x v="411"/>
    <n v="890.84100000000001"/>
    <s v="High"/>
    <n v="3"/>
    <n v="0.3"/>
    <x v="1"/>
    <x v="4"/>
    <n v="-152.71559999999999"/>
    <n v="-0.17142857142857143"/>
    <n v="1"/>
  </r>
  <r>
    <n v="7307"/>
    <s v="CA-2016-144092"/>
    <d v="2016-11-05T00:00:00"/>
    <x v="0"/>
    <s v="Q4"/>
    <x v="0"/>
    <d v="2016-11-07T00:00:00"/>
    <s v="Second Class"/>
    <x v="109"/>
    <x v="109"/>
    <s v="Consumer"/>
    <s v="United States"/>
    <s v="San Jose"/>
    <x v="1"/>
    <n v="95123"/>
    <x v="1"/>
    <x v="1542"/>
    <x v="2"/>
    <x v="11"/>
    <x v="1530"/>
    <n v="72"/>
    <s v="Medium"/>
    <n v="4"/>
    <n v="0"/>
    <x v="0"/>
    <x v="0"/>
    <n v="12.96"/>
    <n v="0.18000000000000002"/>
    <n v="0"/>
  </r>
  <r>
    <n v="7308"/>
    <s v="CA-2016-144092"/>
    <d v="2016-11-05T00:00:00"/>
    <x v="0"/>
    <s v="Q4"/>
    <x v="0"/>
    <d v="2016-11-07T00:00:00"/>
    <s v="Second Class"/>
    <x v="109"/>
    <x v="109"/>
    <s v="Consumer"/>
    <s v="United States"/>
    <s v="San Jose"/>
    <x v="1"/>
    <n v="95123"/>
    <x v="1"/>
    <x v="1459"/>
    <x v="0"/>
    <x v="1"/>
    <x v="1445"/>
    <n v="113.88800000000001"/>
    <s v="Medium"/>
    <n v="2"/>
    <n v="0.2"/>
    <x v="2"/>
    <x v="2"/>
    <n v="9.9651999999999994"/>
    <n v="8.7499999999999994E-2"/>
    <n v="0"/>
  </r>
  <r>
    <n v="7309"/>
    <s v="CA-2016-144092"/>
    <d v="2016-11-05T00:00:00"/>
    <x v="0"/>
    <s v="Q4"/>
    <x v="0"/>
    <d v="2016-11-07T00:00:00"/>
    <s v="Second Class"/>
    <x v="109"/>
    <x v="109"/>
    <s v="Consumer"/>
    <s v="United States"/>
    <s v="San Jose"/>
    <x v="1"/>
    <n v="95123"/>
    <x v="1"/>
    <x v="439"/>
    <x v="1"/>
    <x v="12"/>
    <x v="439"/>
    <n v="158.13"/>
    <s v="High"/>
    <n v="3"/>
    <n v="0"/>
    <x v="0"/>
    <x v="0"/>
    <n v="77.483699999999999"/>
    <n v="0.49"/>
    <n v="0"/>
  </r>
  <r>
    <n v="7310"/>
    <s v="CA-2017-112172"/>
    <d v="2017-06-10T00:00:00"/>
    <x v="3"/>
    <s v="Q2"/>
    <x v="27"/>
    <d v="2017-06-14T00:00:00"/>
    <s v="Second Class"/>
    <x v="152"/>
    <x v="152"/>
    <s v="Corporate"/>
    <s v="United States"/>
    <s v="New York City"/>
    <x v="15"/>
    <n v="10024"/>
    <x v="3"/>
    <x v="1217"/>
    <x v="1"/>
    <x v="13"/>
    <x v="1201"/>
    <n v="14.13"/>
    <s v="Low"/>
    <n v="3"/>
    <n v="0"/>
    <x v="0"/>
    <x v="0"/>
    <n v="0.70650000000000002"/>
    <n v="4.9999999999999996E-2"/>
    <n v="0"/>
  </r>
  <r>
    <n v="7311"/>
    <s v="CA-2015-121699"/>
    <d v="2015-08-10T00:00:00"/>
    <x v="1"/>
    <s v="Q3"/>
    <x v="37"/>
    <d v="2015-08-14T00:00:00"/>
    <s v="Standard Class"/>
    <x v="217"/>
    <x v="217"/>
    <s v="Consumer"/>
    <s v="United States"/>
    <s v="Detroit"/>
    <x v="12"/>
    <n v="48227"/>
    <x v="2"/>
    <x v="569"/>
    <x v="1"/>
    <x v="8"/>
    <x v="919"/>
    <n v="64.75"/>
    <s v="Medium"/>
    <n v="5"/>
    <n v="0"/>
    <x v="0"/>
    <x v="0"/>
    <n v="29.137499999999999"/>
    <n v="0.45"/>
    <n v="0"/>
  </r>
  <r>
    <n v="7312"/>
    <s v="CA-2015-162761"/>
    <d v="2015-10-09T00:00:00"/>
    <x v="1"/>
    <s v="Q4"/>
    <x v="2"/>
    <d v="2015-10-13T00:00:00"/>
    <s v="Standard Class"/>
    <x v="623"/>
    <x v="623"/>
    <s v="Consumer"/>
    <s v="United States"/>
    <s v="Miami"/>
    <x v="2"/>
    <n v="33178"/>
    <x v="0"/>
    <x v="744"/>
    <x v="1"/>
    <x v="8"/>
    <x v="742"/>
    <n v="1.8720000000000001"/>
    <s v="Low"/>
    <n v="2"/>
    <n v="0.7"/>
    <x v="1"/>
    <x v="5"/>
    <n v="-1.3104"/>
    <n v="-0.7"/>
    <n v="1"/>
  </r>
  <r>
    <n v="7313"/>
    <s v="CA-2015-162761"/>
    <d v="2015-10-09T00:00:00"/>
    <x v="1"/>
    <s v="Q4"/>
    <x v="2"/>
    <d v="2015-10-13T00:00:00"/>
    <s v="Standard Class"/>
    <x v="623"/>
    <x v="623"/>
    <s v="Consumer"/>
    <s v="United States"/>
    <s v="Miami"/>
    <x v="2"/>
    <n v="33178"/>
    <x v="0"/>
    <x v="440"/>
    <x v="1"/>
    <x v="8"/>
    <x v="440"/>
    <n v="11.214"/>
    <s v="Low"/>
    <n v="2"/>
    <n v="0.7"/>
    <x v="1"/>
    <x v="5"/>
    <n v="-8.5974000000000004"/>
    <n v="-0.76666666666666672"/>
    <n v="1"/>
  </r>
  <r>
    <n v="7314"/>
    <s v="CA-2015-162761"/>
    <d v="2015-10-09T00:00:00"/>
    <x v="1"/>
    <s v="Q4"/>
    <x v="2"/>
    <d v="2015-10-13T00:00:00"/>
    <s v="Standard Class"/>
    <x v="623"/>
    <x v="623"/>
    <s v="Consumer"/>
    <s v="United States"/>
    <s v="Miami"/>
    <x v="2"/>
    <n v="33178"/>
    <x v="0"/>
    <x v="1663"/>
    <x v="1"/>
    <x v="6"/>
    <x v="1651"/>
    <n v="37.375999999999998"/>
    <s v="Medium"/>
    <n v="8"/>
    <n v="0.2"/>
    <x v="2"/>
    <x v="2"/>
    <n v="7.4752000000000001"/>
    <n v="0.2"/>
    <n v="0"/>
  </r>
  <r>
    <n v="7315"/>
    <s v="CA-2016-121377"/>
    <d v="2016-05-28T00:00:00"/>
    <x v="0"/>
    <s v="Q2"/>
    <x v="35"/>
    <d v="2016-06-02T00:00:00"/>
    <s v="Standard Class"/>
    <x v="184"/>
    <x v="184"/>
    <s v="Home Office"/>
    <s v="United States"/>
    <s v="Park Ridge"/>
    <x v="10"/>
    <n v="60068"/>
    <x v="2"/>
    <x v="1118"/>
    <x v="2"/>
    <x v="7"/>
    <x v="1106"/>
    <n v="286.39999999999998"/>
    <s v="High"/>
    <n v="1"/>
    <n v="0.2"/>
    <x v="2"/>
    <x v="2"/>
    <n v="25.06"/>
    <n v="8.7500000000000008E-2"/>
    <n v="0"/>
  </r>
  <r>
    <n v="7316"/>
    <s v="CA-2017-115322"/>
    <d v="2017-05-11T00:00:00"/>
    <x v="3"/>
    <s v="Q2"/>
    <x v="24"/>
    <d v="2017-05-16T00:00:00"/>
    <s v="Second Class"/>
    <x v="233"/>
    <x v="233"/>
    <s v="Consumer"/>
    <s v="United States"/>
    <s v="New York City"/>
    <x v="15"/>
    <n v="10024"/>
    <x v="3"/>
    <x v="1064"/>
    <x v="1"/>
    <x v="6"/>
    <x v="1053"/>
    <n v="43.92"/>
    <s v="Medium"/>
    <n v="3"/>
    <n v="0"/>
    <x v="0"/>
    <x v="0"/>
    <n v="12.736800000000001"/>
    <n v="0.28999999999999998"/>
    <n v="0"/>
  </r>
  <r>
    <n v="7317"/>
    <s v="CA-2016-132066"/>
    <d v="2016-10-16T00:00:00"/>
    <x v="0"/>
    <s v="Q4"/>
    <x v="32"/>
    <d v="2016-10-20T00:00:00"/>
    <s v="Standard Class"/>
    <x v="240"/>
    <x v="240"/>
    <s v="Corporate"/>
    <s v="United States"/>
    <s v="New York City"/>
    <x v="15"/>
    <n v="10011"/>
    <x v="3"/>
    <x v="10"/>
    <x v="0"/>
    <x v="3"/>
    <x v="10"/>
    <n v="142.18199999999999"/>
    <s v="High"/>
    <n v="1"/>
    <n v="0.4"/>
    <x v="1"/>
    <x v="7"/>
    <n v="-37.915199999999999"/>
    <n v="-0.26666666666666666"/>
    <n v="1"/>
  </r>
  <r>
    <n v="7318"/>
    <s v="CA-2017-158120"/>
    <d v="2017-11-17T00:00:00"/>
    <x v="3"/>
    <s v="Q4"/>
    <x v="23"/>
    <d v="2017-11-21T00:00:00"/>
    <s v="Standard Class"/>
    <x v="542"/>
    <x v="542"/>
    <s v="Corporate"/>
    <s v="United States"/>
    <s v="Hillsboro"/>
    <x v="21"/>
    <n v="97123"/>
    <x v="1"/>
    <x v="1795"/>
    <x v="1"/>
    <x v="10"/>
    <x v="1785"/>
    <n v="19.608000000000001"/>
    <s v="Low"/>
    <n v="3"/>
    <n v="0.2"/>
    <x v="2"/>
    <x v="2"/>
    <n v="6.6177000000000001"/>
    <n v="0.33750000000000002"/>
    <n v="0"/>
  </r>
  <r>
    <n v="7319"/>
    <s v="CA-2017-158120"/>
    <d v="2017-11-17T00:00:00"/>
    <x v="3"/>
    <s v="Q4"/>
    <x v="23"/>
    <d v="2017-11-21T00:00:00"/>
    <s v="Standard Class"/>
    <x v="542"/>
    <x v="542"/>
    <s v="Corporate"/>
    <s v="United States"/>
    <s v="Hillsboro"/>
    <x v="21"/>
    <n v="97123"/>
    <x v="1"/>
    <x v="922"/>
    <x v="1"/>
    <x v="8"/>
    <x v="914"/>
    <n v="4.1580000000000004"/>
    <s v="Low"/>
    <n v="7"/>
    <n v="0.7"/>
    <x v="1"/>
    <x v="5"/>
    <n v="-3.4649999999999999"/>
    <n v="-0.83333333333333326"/>
    <n v="1"/>
  </r>
  <r>
    <n v="7320"/>
    <s v="CA-2017-100097"/>
    <d v="2017-11-26T00:00:00"/>
    <x v="3"/>
    <s v="Q4"/>
    <x v="23"/>
    <d v="2017-11-29T00:00:00"/>
    <s v="Second Class"/>
    <x v="438"/>
    <x v="438"/>
    <s v="Consumer"/>
    <s v="United States"/>
    <s v="New York City"/>
    <x v="15"/>
    <n v="10009"/>
    <x v="3"/>
    <x v="966"/>
    <x v="2"/>
    <x v="7"/>
    <x v="1368"/>
    <n v="979.95"/>
    <s v="High"/>
    <n v="5"/>
    <n v="0"/>
    <x v="0"/>
    <x v="0"/>
    <n v="264.5865"/>
    <n v="0.26999999999999996"/>
    <n v="0"/>
  </r>
  <r>
    <n v="7321"/>
    <s v="CA-2017-100097"/>
    <d v="2017-11-26T00:00:00"/>
    <x v="3"/>
    <s v="Q4"/>
    <x v="23"/>
    <d v="2017-11-29T00:00:00"/>
    <s v="Second Class"/>
    <x v="438"/>
    <x v="438"/>
    <s v="Consumer"/>
    <s v="United States"/>
    <s v="New York City"/>
    <x v="15"/>
    <n v="10009"/>
    <x v="3"/>
    <x v="1251"/>
    <x v="0"/>
    <x v="5"/>
    <x v="1235"/>
    <n v="135.30000000000001"/>
    <s v="High"/>
    <n v="5"/>
    <n v="0"/>
    <x v="0"/>
    <x v="0"/>
    <n v="37.884"/>
    <n v="0.27999999999999997"/>
    <n v="0"/>
  </r>
  <r>
    <n v="7322"/>
    <s v="CA-2017-167626"/>
    <d v="2017-09-03T00:00:00"/>
    <x v="3"/>
    <s v="Q3"/>
    <x v="15"/>
    <d v="2017-09-07T00:00:00"/>
    <s v="Standard Class"/>
    <x v="501"/>
    <x v="501"/>
    <s v="Corporate"/>
    <s v="United States"/>
    <s v="Chicago"/>
    <x v="10"/>
    <n v="60623"/>
    <x v="2"/>
    <x v="1101"/>
    <x v="1"/>
    <x v="10"/>
    <x v="1090"/>
    <n v="8.9039999999999999"/>
    <s v="Low"/>
    <n v="3"/>
    <n v="0.2"/>
    <x v="2"/>
    <x v="2"/>
    <n v="3.339"/>
    <n v="0.375"/>
    <n v="0"/>
  </r>
  <r>
    <n v="7323"/>
    <s v="CA-2017-167626"/>
    <d v="2017-09-03T00:00:00"/>
    <x v="3"/>
    <s v="Q3"/>
    <x v="15"/>
    <d v="2017-09-07T00:00:00"/>
    <s v="Standard Class"/>
    <x v="501"/>
    <x v="501"/>
    <s v="Corporate"/>
    <s v="United States"/>
    <s v="Chicago"/>
    <x v="10"/>
    <n v="60623"/>
    <x v="2"/>
    <x v="725"/>
    <x v="2"/>
    <x v="11"/>
    <x v="724"/>
    <n v="100.8"/>
    <s v="Medium"/>
    <n v="2"/>
    <n v="0.2"/>
    <x v="2"/>
    <x v="2"/>
    <n v="21.42"/>
    <n v="0.21250000000000002"/>
    <n v="0"/>
  </r>
  <r>
    <n v="7324"/>
    <s v="US-2017-126053"/>
    <d v="2017-12-05T00:00:00"/>
    <x v="3"/>
    <s v="Q4"/>
    <x v="22"/>
    <d v="2017-12-08T00:00:00"/>
    <s v="First Class"/>
    <x v="229"/>
    <x v="229"/>
    <s v="Consumer"/>
    <s v="United States"/>
    <s v="New York City"/>
    <x v="15"/>
    <n v="10024"/>
    <x v="3"/>
    <x v="107"/>
    <x v="0"/>
    <x v="5"/>
    <x v="107"/>
    <n v="41.96"/>
    <s v="Medium"/>
    <n v="2"/>
    <n v="0"/>
    <x v="0"/>
    <x v="0"/>
    <n v="10.909599999999999"/>
    <n v="0.25999999999999995"/>
    <n v="0"/>
  </r>
  <r>
    <n v="7325"/>
    <s v="US-2017-126053"/>
    <d v="2017-12-05T00:00:00"/>
    <x v="3"/>
    <s v="Q4"/>
    <x v="22"/>
    <d v="2017-12-08T00:00:00"/>
    <s v="First Class"/>
    <x v="229"/>
    <x v="229"/>
    <s v="Consumer"/>
    <s v="United States"/>
    <s v="New York City"/>
    <x v="15"/>
    <n v="10024"/>
    <x v="3"/>
    <x v="365"/>
    <x v="1"/>
    <x v="2"/>
    <x v="365"/>
    <n v="9.4499999999999993"/>
    <s v="Low"/>
    <n v="3"/>
    <n v="0"/>
    <x v="0"/>
    <x v="0"/>
    <n v="4.5359999999999996"/>
    <n v="0.48"/>
    <n v="0"/>
  </r>
  <r>
    <n v="7326"/>
    <s v="US-2017-128447"/>
    <d v="2017-11-10T00:00:00"/>
    <x v="3"/>
    <s v="Q4"/>
    <x v="23"/>
    <d v="2017-11-17T00:00:00"/>
    <s v="Standard Class"/>
    <x v="266"/>
    <x v="266"/>
    <s v="Consumer"/>
    <s v="United States"/>
    <s v="Pasco"/>
    <x v="4"/>
    <n v="99301"/>
    <x v="1"/>
    <x v="1317"/>
    <x v="1"/>
    <x v="9"/>
    <x v="1303"/>
    <n v="400.8"/>
    <s v="High"/>
    <n v="5"/>
    <n v="0"/>
    <x v="0"/>
    <x v="0"/>
    <n v="112.224"/>
    <n v="0.28000000000000003"/>
    <n v="0"/>
  </r>
  <r>
    <n v="7327"/>
    <s v="US-2017-128447"/>
    <d v="2017-11-10T00:00:00"/>
    <x v="3"/>
    <s v="Q4"/>
    <x v="23"/>
    <d v="2017-11-17T00:00:00"/>
    <s v="Standard Class"/>
    <x v="266"/>
    <x v="266"/>
    <s v="Consumer"/>
    <s v="United States"/>
    <s v="Pasco"/>
    <x v="4"/>
    <n v="99301"/>
    <x v="1"/>
    <x v="379"/>
    <x v="1"/>
    <x v="8"/>
    <x v="380"/>
    <n v="28.792000000000002"/>
    <s v="Medium"/>
    <n v="1"/>
    <n v="0.2"/>
    <x v="2"/>
    <x v="2"/>
    <n v="10.077199999999999"/>
    <n v="0.35"/>
    <n v="0"/>
  </r>
  <r>
    <n v="7328"/>
    <s v="US-2014-131275"/>
    <d v="2014-03-18T00:00:00"/>
    <x v="2"/>
    <s v="Q1"/>
    <x v="34"/>
    <d v="2014-03-24T00:00:00"/>
    <s v="Standard Class"/>
    <x v="337"/>
    <x v="337"/>
    <s v="Home Office"/>
    <s v="United States"/>
    <s v="Burbank"/>
    <x v="1"/>
    <n v="91505"/>
    <x v="1"/>
    <x v="1281"/>
    <x v="0"/>
    <x v="5"/>
    <x v="1266"/>
    <n v="111"/>
    <s v="Medium"/>
    <n v="2"/>
    <n v="0"/>
    <x v="0"/>
    <x v="0"/>
    <n v="14.43"/>
    <n v="0.13"/>
    <n v="0"/>
  </r>
  <r>
    <n v="7329"/>
    <s v="US-2014-131275"/>
    <d v="2014-03-18T00:00:00"/>
    <x v="2"/>
    <s v="Q1"/>
    <x v="34"/>
    <d v="2014-03-24T00:00:00"/>
    <s v="Standard Class"/>
    <x v="337"/>
    <x v="337"/>
    <s v="Home Office"/>
    <s v="United States"/>
    <s v="Burbank"/>
    <x v="1"/>
    <n v="91505"/>
    <x v="1"/>
    <x v="206"/>
    <x v="2"/>
    <x v="15"/>
    <x v="207"/>
    <n v="1279.9680000000001"/>
    <s v="High"/>
    <n v="4"/>
    <n v="0.2"/>
    <x v="2"/>
    <x v="2"/>
    <n v="415.9896"/>
    <n v="0.32499999999999996"/>
    <n v="0"/>
  </r>
  <r>
    <n v="7330"/>
    <s v="US-2014-131275"/>
    <d v="2014-03-18T00:00:00"/>
    <x v="2"/>
    <s v="Q1"/>
    <x v="34"/>
    <d v="2014-03-24T00:00:00"/>
    <s v="Standard Class"/>
    <x v="337"/>
    <x v="337"/>
    <s v="Home Office"/>
    <s v="United States"/>
    <s v="Burbank"/>
    <x v="1"/>
    <n v="91505"/>
    <x v="1"/>
    <x v="1244"/>
    <x v="1"/>
    <x v="4"/>
    <x v="1227"/>
    <n v="1856.19"/>
    <s v="High"/>
    <n v="7"/>
    <n v="0"/>
    <x v="0"/>
    <x v="0"/>
    <n v="334.11419999999998"/>
    <n v="0.18"/>
    <n v="0"/>
  </r>
  <r>
    <n v="7331"/>
    <s v="CA-2016-149349"/>
    <d v="2016-11-12T00:00:00"/>
    <x v="0"/>
    <s v="Q4"/>
    <x v="0"/>
    <d v="2016-11-13T00:00:00"/>
    <s v="First Class"/>
    <x v="70"/>
    <x v="70"/>
    <s v="Corporate"/>
    <s v="United States"/>
    <s v="Chicago"/>
    <x v="10"/>
    <n v="60623"/>
    <x v="2"/>
    <x v="1183"/>
    <x v="0"/>
    <x v="5"/>
    <x v="1169"/>
    <n v="22.751999999999999"/>
    <s v="Low"/>
    <n v="6"/>
    <n v="0.6"/>
    <x v="1"/>
    <x v="6"/>
    <n v="-8.532"/>
    <n v="-0.375"/>
    <n v="1"/>
  </r>
  <r>
    <n v="7332"/>
    <s v="CA-2017-115119"/>
    <d v="2017-10-26T00:00:00"/>
    <x v="3"/>
    <s v="Q4"/>
    <x v="13"/>
    <d v="2017-10-30T00:00:00"/>
    <s v="Standard Class"/>
    <x v="464"/>
    <x v="464"/>
    <s v="Corporate"/>
    <s v="United States"/>
    <s v="Lancaster"/>
    <x v="9"/>
    <n v="17602"/>
    <x v="3"/>
    <x v="239"/>
    <x v="2"/>
    <x v="7"/>
    <x v="240"/>
    <n v="61.542000000000002"/>
    <s v="Medium"/>
    <n v="1"/>
    <n v="0.4"/>
    <x v="1"/>
    <x v="7"/>
    <n v="-13.334099999999999"/>
    <n v="-0.21666666666666665"/>
    <n v="1"/>
  </r>
  <r>
    <n v="7333"/>
    <s v="CA-2017-115119"/>
    <d v="2017-10-26T00:00:00"/>
    <x v="3"/>
    <s v="Q4"/>
    <x v="13"/>
    <d v="2017-10-30T00:00:00"/>
    <s v="Standard Class"/>
    <x v="464"/>
    <x v="464"/>
    <s v="Corporate"/>
    <s v="United States"/>
    <s v="Lancaster"/>
    <x v="9"/>
    <n v="17602"/>
    <x v="3"/>
    <x v="1561"/>
    <x v="1"/>
    <x v="8"/>
    <x v="1551"/>
    <n v="81.438000000000002"/>
    <s v="Medium"/>
    <n v="7"/>
    <n v="0.7"/>
    <x v="1"/>
    <x v="5"/>
    <n v="-65.150400000000005"/>
    <n v="-0.8"/>
    <n v="1"/>
  </r>
  <r>
    <n v="7334"/>
    <s v="CA-2015-125563"/>
    <d v="2015-04-11T00:00:00"/>
    <x v="1"/>
    <s v="Q2"/>
    <x v="19"/>
    <d v="2015-04-17T00:00:00"/>
    <s v="Standard Class"/>
    <x v="701"/>
    <x v="701"/>
    <s v="Consumer"/>
    <s v="United States"/>
    <s v="Tampa"/>
    <x v="2"/>
    <n v="33614"/>
    <x v="0"/>
    <x v="451"/>
    <x v="0"/>
    <x v="5"/>
    <x v="452"/>
    <n v="67.36"/>
    <s v="Medium"/>
    <n v="2"/>
    <n v="0.2"/>
    <x v="2"/>
    <x v="2"/>
    <n v="10.103999999999999"/>
    <n v="0.15"/>
    <n v="0"/>
  </r>
  <r>
    <n v="7335"/>
    <s v="CA-2015-125563"/>
    <d v="2015-04-11T00:00:00"/>
    <x v="1"/>
    <s v="Q2"/>
    <x v="19"/>
    <d v="2015-04-17T00:00:00"/>
    <s v="Standard Class"/>
    <x v="701"/>
    <x v="701"/>
    <s v="Consumer"/>
    <s v="United States"/>
    <s v="Tampa"/>
    <x v="2"/>
    <n v="33614"/>
    <x v="0"/>
    <x v="205"/>
    <x v="0"/>
    <x v="5"/>
    <x v="206"/>
    <n v="54.527999999999999"/>
    <s v="Medium"/>
    <n v="3"/>
    <n v="0.2"/>
    <x v="2"/>
    <x v="2"/>
    <n v="14.313599999999999"/>
    <n v="0.26250000000000001"/>
    <n v="0"/>
  </r>
  <r>
    <n v="7336"/>
    <s v="CA-2015-113152"/>
    <d v="2015-12-25T00:00:00"/>
    <x v="1"/>
    <s v="Q4"/>
    <x v="14"/>
    <d v="2015-12-30T00:00:00"/>
    <s v="Standard Class"/>
    <x v="600"/>
    <x v="600"/>
    <s v="Consumer"/>
    <s v="United States"/>
    <s v="New York City"/>
    <x v="15"/>
    <n v="10024"/>
    <x v="3"/>
    <x v="695"/>
    <x v="2"/>
    <x v="11"/>
    <x v="1062"/>
    <n v="843.9"/>
    <s v="High"/>
    <n v="2"/>
    <n v="0"/>
    <x v="0"/>
    <x v="0"/>
    <n v="371.31599999999997"/>
    <n v="0.44"/>
    <n v="0"/>
  </r>
  <r>
    <n v="7337"/>
    <s v="CA-2015-113152"/>
    <d v="2015-12-25T00:00:00"/>
    <x v="1"/>
    <s v="Q4"/>
    <x v="14"/>
    <d v="2015-12-30T00:00:00"/>
    <s v="Standard Class"/>
    <x v="600"/>
    <x v="600"/>
    <s v="Consumer"/>
    <s v="United States"/>
    <s v="New York City"/>
    <x v="15"/>
    <n v="10024"/>
    <x v="3"/>
    <x v="178"/>
    <x v="0"/>
    <x v="0"/>
    <x v="179"/>
    <n v="449.56799999999998"/>
    <s v="High"/>
    <n v="2"/>
    <n v="0.2"/>
    <x v="2"/>
    <x v="2"/>
    <n v="56.195999999999998"/>
    <n v="0.125"/>
    <n v="0"/>
  </r>
  <r>
    <n v="7338"/>
    <s v="CA-2017-165155"/>
    <d v="2017-09-21T00:00:00"/>
    <x v="3"/>
    <s v="Q3"/>
    <x v="15"/>
    <d v="2017-09-23T00:00:00"/>
    <s v="First Class"/>
    <x v="606"/>
    <x v="606"/>
    <s v="Corporate"/>
    <s v="United States"/>
    <s v="Los Angeles"/>
    <x v="1"/>
    <n v="90045"/>
    <x v="1"/>
    <x v="1018"/>
    <x v="1"/>
    <x v="4"/>
    <x v="1519"/>
    <n v="15.51"/>
    <s v="Low"/>
    <n v="1"/>
    <n v="0"/>
    <x v="0"/>
    <x v="0"/>
    <n v="3.8774999999999999"/>
    <n v="0.25"/>
    <n v="0"/>
  </r>
  <r>
    <n v="7339"/>
    <s v="CA-2014-163412"/>
    <d v="2014-12-20T00:00:00"/>
    <x v="2"/>
    <s v="Q4"/>
    <x v="20"/>
    <d v="2014-12-23T00:00:00"/>
    <s v="Second Class"/>
    <x v="416"/>
    <x v="416"/>
    <s v="Corporate"/>
    <s v="United States"/>
    <s v="New York City"/>
    <x v="15"/>
    <n v="10035"/>
    <x v="3"/>
    <x v="1459"/>
    <x v="0"/>
    <x v="1"/>
    <x v="1445"/>
    <n v="192.18600000000001"/>
    <s v="High"/>
    <n v="3"/>
    <n v="0.1"/>
    <x v="3"/>
    <x v="8"/>
    <n v="36.3018"/>
    <n v="0.18888888888888888"/>
    <n v="0"/>
  </r>
  <r>
    <n v="7340"/>
    <s v="CA-2015-159590"/>
    <d v="2015-07-18T00:00:00"/>
    <x v="1"/>
    <s v="Q3"/>
    <x v="38"/>
    <d v="2015-07-21T00:00:00"/>
    <s v="First Class"/>
    <x v="346"/>
    <x v="346"/>
    <s v="Corporate"/>
    <s v="United States"/>
    <s v="New York City"/>
    <x v="15"/>
    <n v="10009"/>
    <x v="3"/>
    <x v="649"/>
    <x v="1"/>
    <x v="6"/>
    <x v="649"/>
    <n v="5.76"/>
    <s v="Low"/>
    <n v="2"/>
    <n v="0"/>
    <x v="0"/>
    <x v="0"/>
    <n v="1.6128"/>
    <n v="0.28000000000000003"/>
    <n v="0"/>
  </r>
  <r>
    <n v="7341"/>
    <s v="CA-2014-116190"/>
    <d v="2014-07-26T00:00:00"/>
    <x v="2"/>
    <s v="Q3"/>
    <x v="39"/>
    <d v="2014-08-01T00:00:00"/>
    <s v="Standard Class"/>
    <x v="495"/>
    <x v="495"/>
    <s v="Consumer"/>
    <s v="United States"/>
    <s v="Atlanta"/>
    <x v="32"/>
    <n v="30318"/>
    <x v="0"/>
    <x v="1272"/>
    <x v="0"/>
    <x v="1"/>
    <x v="1257"/>
    <n v="67.88"/>
    <s v="Medium"/>
    <n v="2"/>
    <n v="0"/>
    <x v="0"/>
    <x v="0"/>
    <n v="18.3276"/>
    <n v="0.27"/>
    <n v="0"/>
  </r>
  <r>
    <n v="7342"/>
    <s v="CA-2014-116190"/>
    <d v="2014-07-26T00:00:00"/>
    <x v="2"/>
    <s v="Q3"/>
    <x v="39"/>
    <d v="2014-08-01T00:00:00"/>
    <s v="Standard Class"/>
    <x v="495"/>
    <x v="495"/>
    <s v="Consumer"/>
    <s v="United States"/>
    <s v="Atlanta"/>
    <x v="32"/>
    <n v="30318"/>
    <x v="0"/>
    <x v="49"/>
    <x v="1"/>
    <x v="2"/>
    <x v="49"/>
    <n v="162.88999999999999"/>
    <s v="High"/>
    <n v="13"/>
    <n v="0"/>
    <x v="0"/>
    <x v="0"/>
    <n v="76.558300000000003"/>
    <n v="0.47000000000000003"/>
    <n v="0"/>
  </r>
  <r>
    <n v="7343"/>
    <s v="CA-2014-116190"/>
    <d v="2014-07-26T00:00:00"/>
    <x v="2"/>
    <s v="Q3"/>
    <x v="39"/>
    <d v="2014-08-01T00:00:00"/>
    <s v="Standard Class"/>
    <x v="495"/>
    <x v="495"/>
    <s v="Consumer"/>
    <s v="United States"/>
    <s v="Atlanta"/>
    <x v="32"/>
    <n v="30318"/>
    <x v="0"/>
    <x v="1685"/>
    <x v="0"/>
    <x v="5"/>
    <x v="1673"/>
    <n v="25.71"/>
    <s v="Medium"/>
    <n v="3"/>
    <n v="0"/>
    <x v="0"/>
    <x v="0"/>
    <n v="9.2555999999999994"/>
    <n v="0.36"/>
    <n v="0"/>
  </r>
  <r>
    <n v="7344"/>
    <s v="CA-2014-168473"/>
    <d v="2014-12-26T00:00:00"/>
    <x v="2"/>
    <s v="Q4"/>
    <x v="20"/>
    <d v="2015-01-01T00:00:00"/>
    <s v="Standard Class"/>
    <x v="14"/>
    <x v="14"/>
    <s v="Consumer"/>
    <s v="United States"/>
    <s v="New York City"/>
    <x v="15"/>
    <n v="10009"/>
    <x v="3"/>
    <x v="911"/>
    <x v="1"/>
    <x v="4"/>
    <x v="903"/>
    <n v="191.88"/>
    <s v="High"/>
    <n v="6"/>
    <n v="0"/>
    <x v="0"/>
    <x v="0"/>
    <n v="19.187999999999999"/>
    <n v="9.9999999999999992E-2"/>
    <n v="0"/>
  </r>
  <r>
    <n v="7345"/>
    <s v="CA-2017-168389"/>
    <d v="2017-12-11T00:00:00"/>
    <x v="3"/>
    <s v="Q4"/>
    <x v="22"/>
    <d v="2017-12-17T00:00:00"/>
    <s v="Standard Class"/>
    <x v="1"/>
    <x v="1"/>
    <s v="Corporate"/>
    <s v="United States"/>
    <s v="Jacksonville"/>
    <x v="2"/>
    <n v="32216"/>
    <x v="0"/>
    <x v="188"/>
    <x v="0"/>
    <x v="3"/>
    <x v="189"/>
    <n v="721.875"/>
    <s v="High"/>
    <n v="6"/>
    <n v="0.45"/>
    <x v="1"/>
    <x v="1"/>
    <n v="-420"/>
    <n v="-0.58181818181818179"/>
    <n v="1"/>
  </r>
  <r>
    <n v="7346"/>
    <s v="CA-2017-168389"/>
    <d v="2017-12-11T00:00:00"/>
    <x v="3"/>
    <s v="Q4"/>
    <x v="22"/>
    <d v="2017-12-17T00:00:00"/>
    <s v="Standard Class"/>
    <x v="1"/>
    <x v="1"/>
    <s v="Corporate"/>
    <s v="United States"/>
    <s v="Jacksonville"/>
    <x v="2"/>
    <n v="32216"/>
    <x v="0"/>
    <x v="461"/>
    <x v="2"/>
    <x v="7"/>
    <x v="462"/>
    <n v="73.567999999999998"/>
    <s v="Medium"/>
    <n v="4"/>
    <n v="0.2"/>
    <x v="2"/>
    <x v="2"/>
    <n v="-16.552800000000001"/>
    <n v="-0.22500000000000003"/>
    <n v="1"/>
  </r>
  <r>
    <n v="7347"/>
    <s v="CA-2017-168389"/>
    <d v="2017-12-11T00:00:00"/>
    <x v="3"/>
    <s v="Q4"/>
    <x v="22"/>
    <d v="2017-12-17T00:00:00"/>
    <s v="Standard Class"/>
    <x v="1"/>
    <x v="1"/>
    <s v="Corporate"/>
    <s v="United States"/>
    <s v="Jacksonville"/>
    <x v="2"/>
    <n v="32216"/>
    <x v="0"/>
    <x v="207"/>
    <x v="1"/>
    <x v="6"/>
    <x v="208"/>
    <n v="13.584"/>
    <s v="Low"/>
    <n v="1"/>
    <n v="0.2"/>
    <x v="2"/>
    <x v="2"/>
    <n v="1.3584000000000001"/>
    <n v="0.1"/>
    <n v="0"/>
  </r>
  <r>
    <n v="7348"/>
    <s v="CA-2017-168389"/>
    <d v="2017-12-11T00:00:00"/>
    <x v="3"/>
    <s v="Q4"/>
    <x v="22"/>
    <d v="2017-12-17T00:00:00"/>
    <s v="Standard Class"/>
    <x v="1"/>
    <x v="1"/>
    <s v="Corporate"/>
    <s v="United States"/>
    <s v="Jacksonville"/>
    <x v="2"/>
    <n v="32216"/>
    <x v="0"/>
    <x v="405"/>
    <x v="0"/>
    <x v="1"/>
    <x v="406"/>
    <n v="64.784000000000006"/>
    <s v="Medium"/>
    <n v="1"/>
    <n v="0.2"/>
    <x v="2"/>
    <x v="2"/>
    <n v="-12.147"/>
    <n v="-0.1875"/>
    <n v="1"/>
  </r>
  <r>
    <n v="7349"/>
    <s v="CA-2014-130421"/>
    <d v="2014-03-03T00:00:00"/>
    <x v="2"/>
    <s v="Q1"/>
    <x v="34"/>
    <d v="2014-03-07T00:00:00"/>
    <s v="Standard Class"/>
    <x v="710"/>
    <x v="710"/>
    <s v="Consumer"/>
    <s v="United States"/>
    <s v="Houston"/>
    <x v="5"/>
    <n v="77095"/>
    <x v="2"/>
    <x v="1218"/>
    <x v="1"/>
    <x v="9"/>
    <x v="1202"/>
    <n v="176.77199999999999"/>
    <s v="High"/>
    <n v="3"/>
    <n v="0.8"/>
    <x v="1"/>
    <x v="3"/>
    <n v="-459.60719999999998"/>
    <n v="-2.6"/>
    <n v="1"/>
  </r>
  <r>
    <n v="7350"/>
    <s v="CA-2017-142125"/>
    <d v="2017-10-21T00:00:00"/>
    <x v="3"/>
    <s v="Q4"/>
    <x v="13"/>
    <d v="2017-10-27T00:00:00"/>
    <s v="Standard Class"/>
    <x v="80"/>
    <x v="80"/>
    <s v="Corporate"/>
    <s v="United States"/>
    <s v="Milwaukee"/>
    <x v="6"/>
    <n v="53209"/>
    <x v="2"/>
    <x v="625"/>
    <x v="1"/>
    <x v="8"/>
    <x v="625"/>
    <n v="38.82"/>
    <s v="Medium"/>
    <n v="6"/>
    <n v="0"/>
    <x v="0"/>
    <x v="0"/>
    <n v="19.41"/>
    <n v="0.5"/>
    <n v="0"/>
  </r>
  <r>
    <n v="7351"/>
    <s v="CA-2017-142125"/>
    <d v="2017-10-21T00:00:00"/>
    <x v="3"/>
    <s v="Q4"/>
    <x v="13"/>
    <d v="2017-10-27T00:00:00"/>
    <s v="Standard Class"/>
    <x v="80"/>
    <x v="80"/>
    <s v="Corporate"/>
    <s v="United States"/>
    <s v="Milwaukee"/>
    <x v="6"/>
    <n v="53209"/>
    <x v="2"/>
    <x v="236"/>
    <x v="1"/>
    <x v="8"/>
    <x v="237"/>
    <n v="21.9"/>
    <s v="Low"/>
    <n v="5"/>
    <n v="0"/>
    <x v="0"/>
    <x v="0"/>
    <n v="10.512"/>
    <n v="0.48000000000000004"/>
    <n v="0"/>
  </r>
  <r>
    <n v="7352"/>
    <s v="CA-2017-141138"/>
    <d v="2017-11-10T00:00:00"/>
    <x v="3"/>
    <s v="Q4"/>
    <x v="23"/>
    <d v="2017-11-16T00:00:00"/>
    <s v="Standard Class"/>
    <x v="485"/>
    <x v="485"/>
    <s v="Consumer"/>
    <s v="United States"/>
    <s v="Modesto"/>
    <x v="1"/>
    <n v="95351"/>
    <x v="1"/>
    <x v="404"/>
    <x v="2"/>
    <x v="11"/>
    <x v="405"/>
    <n v="111.79"/>
    <s v="Medium"/>
    <n v="7"/>
    <n v="0"/>
    <x v="0"/>
    <x v="0"/>
    <n v="43.598100000000002"/>
    <n v="0.39"/>
    <n v="0"/>
  </r>
  <r>
    <n v="7353"/>
    <s v="CA-2017-152135"/>
    <d v="2017-03-16T00:00:00"/>
    <x v="3"/>
    <s v="Q1"/>
    <x v="42"/>
    <d v="2017-03-18T00:00:00"/>
    <s v="Second Class"/>
    <x v="377"/>
    <x v="377"/>
    <s v="Home Office"/>
    <s v="United States"/>
    <s v="Lakewood"/>
    <x v="24"/>
    <n v="44107"/>
    <x v="3"/>
    <x v="918"/>
    <x v="2"/>
    <x v="7"/>
    <x v="910"/>
    <n v="445.44"/>
    <s v="High"/>
    <n v="8"/>
    <n v="0.4"/>
    <x v="1"/>
    <x v="7"/>
    <n v="-81.664000000000001"/>
    <n v="-0.18333333333333335"/>
    <n v="1"/>
  </r>
  <r>
    <n v="7354"/>
    <s v="CA-2016-151974"/>
    <d v="2016-09-22T00:00:00"/>
    <x v="0"/>
    <s v="Q3"/>
    <x v="21"/>
    <d v="2016-09-29T00:00:00"/>
    <s v="Standard Class"/>
    <x v="372"/>
    <x v="372"/>
    <s v="Home Office"/>
    <s v="United States"/>
    <s v="Philadelphia"/>
    <x v="9"/>
    <n v="19134"/>
    <x v="3"/>
    <x v="617"/>
    <x v="1"/>
    <x v="2"/>
    <x v="617"/>
    <n v="16.52"/>
    <s v="Low"/>
    <n v="5"/>
    <n v="0.2"/>
    <x v="2"/>
    <x v="2"/>
    <n v="5.3689999999999998"/>
    <n v="0.32500000000000001"/>
    <n v="0"/>
  </r>
  <r>
    <n v="7355"/>
    <s v="CA-2017-154102"/>
    <d v="2017-02-06T00:00:00"/>
    <x v="3"/>
    <s v="Q1"/>
    <x v="31"/>
    <d v="2017-02-13T00:00:00"/>
    <s v="Standard Class"/>
    <x v="381"/>
    <x v="381"/>
    <s v="Home Office"/>
    <s v="United States"/>
    <s v="San Francisco"/>
    <x v="1"/>
    <n v="94109"/>
    <x v="1"/>
    <x v="1774"/>
    <x v="1"/>
    <x v="10"/>
    <x v="1764"/>
    <n v="29.9"/>
    <s v="Medium"/>
    <n v="5"/>
    <n v="0"/>
    <x v="0"/>
    <x v="0"/>
    <n v="13.455"/>
    <n v="0.45"/>
    <n v="0"/>
  </r>
  <r>
    <n v="7356"/>
    <s v="CA-2015-139780"/>
    <d v="2015-12-31T00:00:00"/>
    <x v="1"/>
    <s v="Q4"/>
    <x v="14"/>
    <d v="2016-01-02T00:00:00"/>
    <s v="Second Class"/>
    <x v="706"/>
    <x v="706"/>
    <s v="Corporate"/>
    <s v="United States"/>
    <s v="Detroit"/>
    <x v="12"/>
    <n v="48205"/>
    <x v="2"/>
    <x v="939"/>
    <x v="1"/>
    <x v="8"/>
    <x v="932"/>
    <n v="116.4"/>
    <s v="Medium"/>
    <n v="8"/>
    <n v="0"/>
    <x v="0"/>
    <x v="0"/>
    <n v="52.38"/>
    <n v="0.45"/>
    <n v="0"/>
  </r>
  <r>
    <n v="7357"/>
    <s v="CA-2016-114748"/>
    <d v="2016-10-09T00:00:00"/>
    <x v="0"/>
    <s v="Q4"/>
    <x v="32"/>
    <d v="2016-10-14T00:00:00"/>
    <s v="Standard Class"/>
    <x v="595"/>
    <x v="595"/>
    <s v="Home Office"/>
    <s v="United States"/>
    <s v="Phoenix"/>
    <x v="16"/>
    <n v="85023"/>
    <x v="1"/>
    <x v="1039"/>
    <x v="1"/>
    <x v="6"/>
    <x v="1029"/>
    <n v="1.4079999999999999"/>
    <s v="Low"/>
    <n v="1"/>
    <n v="0.2"/>
    <x v="2"/>
    <x v="2"/>
    <n v="0.15840000000000001"/>
    <n v="0.11250000000000002"/>
    <n v="0"/>
  </r>
  <r>
    <n v="7358"/>
    <s v="CA-2016-114748"/>
    <d v="2016-10-09T00:00:00"/>
    <x v="0"/>
    <s v="Q4"/>
    <x v="32"/>
    <d v="2016-10-14T00:00:00"/>
    <s v="Standard Class"/>
    <x v="595"/>
    <x v="595"/>
    <s v="Home Office"/>
    <s v="United States"/>
    <s v="Phoenix"/>
    <x v="16"/>
    <n v="85023"/>
    <x v="1"/>
    <x v="1060"/>
    <x v="0"/>
    <x v="5"/>
    <x v="1049"/>
    <n v="169.56800000000001"/>
    <s v="High"/>
    <n v="2"/>
    <n v="0.2"/>
    <x v="2"/>
    <x v="2"/>
    <n v="0"/>
    <n v="0"/>
    <n v="0"/>
  </r>
  <r>
    <n v="7359"/>
    <s v="US-2014-115189"/>
    <d v="2014-12-30T00:00:00"/>
    <x v="2"/>
    <s v="Q4"/>
    <x v="20"/>
    <d v="2015-01-03T00:00:00"/>
    <s v="Second Class"/>
    <x v="753"/>
    <x v="753"/>
    <s v="Corporate"/>
    <s v="United States"/>
    <s v="Philadelphia"/>
    <x v="9"/>
    <n v="19143"/>
    <x v="3"/>
    <x v="599"/>
    <x v="2"/>
    <x v="7"/>
    <x v="599"/>
    <n v="251.964"/>
    <s v="High"/>
    <n v="6"/>
    <n v="0.4"/>
    <x v="1"/>
    <x v="7"/>
    <n v="-50.392800000000001"/>
    <n v="-0.2"/>
    <n v="1"/>
  </r>
  <r>
    <n v="7360"/>
    <s v="US-2014-115189"/>
    <d v="2014-12-30T00:00:00"/>
    <x v="2"/>
    <s v="Q4"/>
    <x v="20"/>
    <d v="2015-01-03T00:00:00"/>
    <s v="Second Class"/>
    <x v="753"/>
    <x v="753"/>
    <s v="Corporate"/>
    <s v="United States"/>
    <s v="Philadelphia"/>
    <x v="9"/>
    <n v="19143"/>
    <x v="3"/>
    <x v="309"/>
    <x v="0"/>
    <x v="3"/>
    <x v="309"/>
    <n v="523.76400000000001"/>
    <s v="High"/>
    <n v="3"/>
    <n v="0.4"/>
    <x v="1"/>
    <x v="7"/>
    <n v="-192.04679999999999"/>
    <n v="-0.36666666666666664"/>
    <n v="1"/>
  </r>
  <r>
    <n v="7361"/>
    <s v="CA-2016-163594"/>
    <d v="2016-04-12T00:00:00"/>
    <x v="0"/>
    <s v="Q2"/>
    <x v="25"/>
    <d v="2016-04-14T00:00:00"/>
    <s v="First Class"/>
    <x v="639"/>
    <x v="639"/>
    <s v="Consumer"/>
    <s v="United States"/>
    <s v="Los Angeles"/>
    <x v="1"/>
    <n v="90036"/>
    <x v="1"/>
    <x v="1145"/>
    <x v="1"/>
    <x v="10"/>
    <x v="1133"/>
    <n v="19.440000000000001"/>
    <s v="Low"/>
    <n v="3"/>
    <n v="0"/>
    <x v="0"/>
    <x v="0"/>
    <n v="9.3312000000000008"/>
    <n v="0.48000000000000004"/>
    <n v="0"/>
  </r>
  <r>
    <n v="7362"/>
    <s v="CA-2016-163594"/>
    <d v="2016-04-12T00:00:00"/>
    <x v="0"/>
    <s v="Q2"/>
    <x v="25"/>
    <d v="2016-04-14T00:00:00"/>
    <s v="First Class"/>
    <x v="639"/>
    <x v="639"/>
    <s v="Consumer"/>
    <s v="United States"/>
    <s v="Los Angeles"/>
    <x v="1"/>
    <n v="90036"/>
    <x v="1"/>
    <x v="405"/>
    <x v="0"/>
    <x v="1"/>
    <x v="406"/>
    <n v="194.352"/>
    <s v="High"/>
    <n v="3"/>
    <n v="0.2"/>
    <x v="2"/>
    <x v="2"/>
    <n v="-36.441000000000003"/>
    <n v="-0.1875"/>
    <n v="1"/>
  </r>
  <r>
    <n v="7363"/>
    <s v="CA-2016-163594"/>
    <d v="2016-04-12T00:00:00"/>
    <x v="0"/>
    <s v="Q2"/>
    <x v="25"/>
    <d v="2016-04-14T00:00:00"/>
    <s v="First Class"/>
    <x v="639"/>
    <x v="639"/>
    <s v="Consumer"/>
    <s v="United States"/>
    <s v="Los Angeles"/>
    <x v="1"/>
    <n v="90036"/>
    <x v="1"/>
    <x v="785"/>
    <x v="1"/>
    <x v="8"/>
    <x v="784"/>
    <n v="36.624000000000002"/>
    <s v="Medium"/>
    <n v="3"/>
    <n v="0.2"/>
    <x v="2"/>
    <x v="2"/>
    <n v="13.734"/>
    <n v="0.375"/>
    <n v="0"/>
  </r>
  <r>
    <n v="7364"/>
    <s v="CA-2016-127243"/>
    <d v="2016-11-28T00:00:00"/>
    <x v="0"/>
    <s v="Q4"/>
    <x v="0"/>
    <d v="2016-12-04T00:00:00"/>
    <s v="Standard Class"/>
    <x v="103"/>
    <x v="103"/>
    <s v="Corporate"/>
    <s v="United States"/>
    <s v="Philadelphia"/>
    <x v="9"/>
    <n v="19140"/>
    <x v="3"/>
    <x v="867"/>
    <x v="2"/>
    <x v="7"/>
    <x v="861"/>
    <n v="340.18200000000002"/>
    <s v="High"/>
    <n v="3"/>
    <n v="0.4"/>
    <x v="1"/>
    <x v="7"/>
    <n v="-73.706100000000006"/>
    <n v="-0.21666666666666667"/>
    <n v="1"/>
  </r>
  <r>
    <n v="7365"/>
    <s v="CA-2016-127243"/>
    <d v="2016-11-28T00:00:00"/>
    <x v="0"/>
    <s v="Q4"/>
    <x v="0"/>
    <d v="2016-12-04T00:00:00"/>
    <s v="Standard Class"/>
    <x v="103"/>
    <x v="103"/>
    <s v="Corporate"/>
    <s v="United States"/>
    <s v="Philadelphia"/>
    <x v="9"/>
    <n v="19140"/>
    <x v="3"/>
    <x v="1239"/>
    <x v="1"/>
    <x v="13"/>
    <x v="1222"/>
    <n v="12.672000000000001"/>
    <s v="Low"/>
    <n v="8"/>
    <n v="0.2"/>
    <x v="2"/>
    <x v="2"/>
    <n v="2.6928000000000001"/>
    <n v="0.21249999999999999"/>
    <n v="0"/>
  </r>
  <r>
    <n v="7366"/>
    <s v="CA-2016-127243"/>
    <d v="2016-11-28T00:00:00"/>
    <x v="0"/>
    <s v="Q4"/>
    <x v="0"/>
    <d v="2016-12-04T00:00:00"/>
    <s v="Standard Class"/>
    <x v="103"/>
    <x v="103"/>
    <s v="Corporate"/>
    <s v="United States"/>
    <s v="Philadelphia"/>
    <x v="9"/>
    <n v="19140"/>
    <x v="3"/>
    <x v="1426"/>
    <x v="1"/>
    <x v="8"/>
    <x v="1414"/>
    <n v="6.8879999999999999"/>
    <s v="Low"/>
    <n v="2"/>
    <n v="0.7"/>
    <x v="1"/>
    <x v="5"/>
    <n v="-5.0511999999999997"/>
    <n v="-0.73333333333333328"/>
    <n v="1"/>
  </r>
  <r>
    <n v="7367"/>
    <s v="CA-2016-127243"/>
    <d v="2016-11-28T00:00:00"/>
    <x v="0"/>
    <s v="Q4"/>
    <x v="0"/>
    <d v="2016-12-04T00:00:00"/>
    <s v="Standard Class"/>
    <x v="103"/>
    <x v="103"/>
    <s v="Corporate"/>
    <s v="United States"/>
    <s v="Philadelphia"/>
    <x v="9"/>
    <n v="19140"/>
    <x v="3"/>
    <x v="1512"/>
    <x v="1"/>
    <x v="4"/>
    <x v="1499"/>
    <n v="32.543999999999997"/>
    <s v="Medium"/>
    <n v="2"/>
    <n v="0.2"/>
    <x v="2"/>
    <x v="2"/>
    <n v="-7.7291999999999996"/>
    <n v="-0.23750000000000002"/>
    <n v="1"/>
  </r>
  <r>
    <n v="7368"/>
    <s v="CA-2016-127243"/>
    <d v="2016-11-28T00:00:00"/>
    <x v="0"/>
    <s v="Q4"/>
    <x v="0"/>
    <d v="2016-12-04T00:00:00"/>
    <s v="Standard Class"/>
    <x v="103"/>
    <x v="103"/>
    <s v="Corporate"/>
    <s v="United States"/>
    <s v="Philadelphia"/>
    <x v="9"/>
    <n v="19140"/>
    <x v="3"/>
    <x v="474"/>
    <x v="0"/>
    <x v="1"/>
    <x v="475"/>
    <n v="347.80200000000002"/>
    <s v="High"/>
    <n v="7"/>
    <n v="0.3"/>
    <x v="1"/>
    <x v="4"/>
    <n v="-24.843"/>
    <n v="-7.1428571428571425E-2"/>
    <n v="1"/>
  </r>
  <r>
    <n v="7369"/>
    <s v="CA-2017-161851"/>
    <d v="2017-04-15T00:00:00"/>
    <x v="3"/>
    <s v="Q2"/>
    <x v="4"/>
    <d v="2017-04-17T00:00:00"/>
    <s v="First Class"/>
    <x v="162"/>
    <x v="162"/>
    <s v="Corporate"/>
    <s v="United States"/>
    <s v="Miami"/>
    <x v="2"/>
    <n v="33180"/>
    <x v="0"/>
    <x v="68"/>
    <x v="1"/>
    <x v="8"/>
    <x v="1453"/>
    <n v="15.57"/>
    <s v="Low"/>
    <n v="3"/>
    <n v="0.7"/>
    <x v="1"/>
    <x v="5"/>
    <n v="-11.936999999999999"/>
    <n v="-0.76666666666666661"/>
    <n v="1"/>
  </r>
  <r>
    <n v="7370"/>
    <s v="CA-2015-110345"/>
    <d v="2015-03-09T00:00:00"/>
    <x v="1"/>
    <s v="Q1"/>
    <x v="29"/>
    <d v="2015-03-11T00:00:00"/>
    <s v="Second Class"/>
    <x v="592"/>
    <x v="592"/>
    <s v="Consumer"/>
    <s v="United States"/>
    <s v="Raleigh"/>
    <x v="3"/>
    <n v="27604"/>
    <x v="0"/>
    <x v="782"/>
    <x v="1"/>
    <x v="2"/>
    <x v="781"/>
    <n v="4.6079999999999997"/>
    <s v="Low"/>
    <n v="2"/>
    <n v="0.2"/>
    <x v="2"/>
    <x v="2"/>
    <n v="1.6704000000000001"/>
    <n v="0.36250000000000004"/>
    <n v="0"/>
  </r>
  <r>
    <n v="7371"/>
    <s v="CA-2014-107769"/>
    <d v="2014-10-28T00:00:00"/>
    <x v="2"/>
    <s v="Q4"/>
    <x v="18"/>
    <d v="2014-11-01T00:00:00"/>
    <s v="Standard Class"/>
    <x v="387"/>
    <x v="387"/>
    <s v="Corporate"/>
    <s v="United States"/>
    <s v="Garden City"/>
    <x v="41"/>
    <n v="67846"/>
    <x v="2"/>
    <x v="957"/>
    <x v="2"/>
    <x v="7"/>
    <x v="950"/>
    <n v="257.98"/>
    <s v="High"/>
    <n v="2"/>
    <n v="0"/>
    <x v="0"/>
    <x v="0"/>
    <n v="74.8142"/>
    <n v="0.28999999999999998"/>
    <n v="0"/>
  </r>
  <r>
    <n v="7372"/>
    <s v="US-2017-123862"/>
    <d v="2017-01-07T00:00:00"/>
    <x v="3"/>
    <s v="Q1"/>
    <x v="44"/>
    <d v="2017-01-09T00:00:00"/>
    <s v="Second Class"/>
    <x v="440"/>
    <x v="440"/>
    <s v="Consumer"/>
    <s v="United States"/>
    <s v="Long Beach"/>
    <x v="1"/>
    <n v="90805"/>
    <x v="1"/>
    <x v="4"/>
    <x v="1"/>
    <x v="4"/>
    <x v="4"/>
    <n v="153.78"/>
    <s v="High"/>
    <n v="11"/>
    <n v="0"/>
    <x v="0"/>
    <x v="0"/>
    <n v="44.596200000000003"/>
    <n v="0.29000000000000004"/>
    <n v="0"/>
  </r>
  <r>
    <n v="7373"/>
    <s v="US-2017-123862"/>
    <d v="2017-01-07T00:00:00"/>
    <x v="3"/>
    <s v="Q1"/>
    <x v="44"/>
    <d v="2017-01-09T00:00:00"/>
    <s v="Second Class"/>
    <x v="440"/>
    <x v="440"/>
    <s v="Consumer"/>
    <s v="United States"/>
    <s v="Long Beach"/>
    <x v="1"/>
    <n v="90805"/>
    <x v="1"/>
    <x v="1512"/>
    <x v="1"/>
    <x v="4"/>
    <x v="1499"/>
    <n v="61.02"/>
    <s v="Medium"/>
    <n v="3"/>
    <n v="0"/>
    <x v="0"/>
    <x v="0"/>
    <n v="0.61019999999999996"/>
    <n v="9.9999999999999985E-3"/>
    <n v="0"/>
  </r>
  <r>
    <n v="7374"/>
    <s v="US-2017-123862"/>
    <d v="2017-01-07T00:00:00"/>
    <x v="3"/>
    <s v="Q1"/>
    <x v="44"/>
    <d v="2017-01-09T00:00:00"/>
    <s v="Second Class"/>
    <x v="440"/>
    <x v="440"/>
    <s v="Consumer"/>
    <s v="United States"/>
    <s v="Long Beach"/>
    <x v="1"/>
    <n v="90805"/>
    <x v="1"/>
    <x v="1799"/>
    <x v="1"/>
    <x v="14"/>
    <x v="1789"/>
    <n v="110.11"/>
    <s v="Medium"/>
    <n v="7"/>
    <n v="0"/>
    <x v="0"/>
    <x v="0"/>
    <n v="31.931899999999999"/>
    <n v="0.28999999999999998"/>
    <n v="0"/>
  </r>
  <r>
    <n v="7375"/>
    <s v="US-2017-123862"/>
    <d v="2017-01-07T00:00:00"/>
    <x v="3"/>
    <s v="Q1"/>
    <x v="44"/>
    <d v="2017-01-09T00:00:00"/>
    <s v="Second Class"/>
    <x v="440"/>
    <x v="440"/>
    <s v="Consumer"/>
    <s v="United States"/>
    <s v="Long Beach"/>
    <x v="1"/>
    <n v="90805"/>
    <x v="1"/>
    <x v="550"/>
    <x v="1"/>
    <x v="13"/>
    <x v="128"/>
    <n v="7.89"/>
    <s v="Low"/>
    <n v="1"/>
    <n v="0"/>
    <x v="0"/>
    <x v="0"/>
    <n v="3.5505"/>
    <n v="0.45"/>
    <n v="0"/>
  </r>
  <r>
    <n v="7376"/>
    <s v="CA-2017-100580"/>
    <d v="2017-08-13T00:00:00"/>
    <x v="3"/>
    <s v="Q3"/>
    <x v="43"/>
    <d v="2017-08-20T00:00:00"/>
    <s v="Standard Class"/>
    <x v="149"/>
    <x v="149"/>
    <s v="Corporate"/>
    <s v="United States"/>
    <s v="San Diego"/>
    <x v="1"/>
    <n v="92037"/>
    <x v="1"/>
    <x v="491"/>
    <x v="1"/>
    <x v="8"/>
    <x v="491"/>
    <n v="36.024000000000001"/>
    <s v="Medium"/>
    <n v="3"/>
    <n v="0.2"/>
    <x v="2"/>
    <x v="2"/>
    <n v="11.707800000000001"/>
    <n v="0.32500000000000001"/>
    <n v="0"/>
  </r>
  <r>
    <n v="7377"/>
    <s v="US-2017-145597"/>
    <d v="2017-11-02T00:00:00"/>
    <x v="3"/>
    <s v="Q4"/>
    <x v="23"/>
    <d v="2017-11-05T00:00:00"/>
    <s v="First Class"/>
    <x v="55"/>
    <x v="55"/>
    <s v="Corporate"/>
    <s v="United States"/>
    <s v="Bloomington"/>
    <x v="10"/>
    <n v="61701"/>
    <x v="2"/>
    <x v="207"/>
    <x v="1"/>
    <x v="6"/>
    <x v="208"/>
    <n v="54.335999999999999"/>
    <s v="Medium"/>
    <n v="4"/>
    <n v="0.2"/>
    <x v="2"/>
    <x v="2"/>
    <n v="5.4336000000000002"/>
    <n v="0.1"/>
    <n v="0"/>
  </r>
  <r>
    <n v="7378"/>
    <s v="CA-2014-132787"/>
    <d v="2014-09-19T00:00:00"/>
    <x v="2"/>
    <s v="Q3"/>
    <x v="30"/>
    <d v="2014-09-23T00:00:00"/>
    <s v="Standard Class"/>
    <x v="305"/>
    <x v="305"/>
    <s v="Corporate"/>
    <s v="United States"/>
    <s v="Seattle"/>
    <x v="4"/>
    <n v="98115"/>
    <x v="1"/>
    <x v="421"/>
    <x v="1"/>
    <x v="4"/>
    <x v="421"/>
    <n v="92.52"/>
    <s v="Medium"/>
    <n v="6"/>
    <n v="0"/>
    <x v="0"/>
    <x v="0"/>
    <n v="24.980399999999999"/>
    <n v="0.27"/>
    <n v="0"/>
  </r>
  <r>
    <n v="7379"/>
    <s v="CA-2015-136224"/>
    <d v="2015-05-31T00:00:00"/>
    <x v="1"/>
    <s v="Q2"/>
    <x v="33"/>
    <d v="2015-05-31T00:00:00"/>
    <s v="Same Day"/>
    <x v="761"/>
    <x v="761"/>
    <s v="Consumer"/>
    <s v="United States"/>
    <s v="Fayetteville"/>
    <x v="3"/>
    <n v="28314"/>
    <x v="0"/>
    <x v="1046"/>
    <x v="1"/>
    <x v="6"/>
    <x v="1035"/>
    <n v="10.272"/>
    <s v="Low"/>
    <n v="3"/>
    <n v="0.2"/>
    <x v="2"/>
    <x v="2"/>
    <n v="1.1556"/>
    <n v="0.11249999999999999"/>
    <n v="0"/>
  </r>
  <r>
    <n v="7380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033"/>
    <x v="1"/>
    <x v="4"/>
    <x v="1024"/>
    <n v="40.74"/>
    <s v="Medium"/>
    <n v="3"/>
    <n v="0"/>
    <x v="0"/>
    <x v="0"/>
    <n v="0.40739999999999998"/>
    <n v="9.9999999999999985E-3"/>
    <n v="0"/>
  </r>
  <r>
    <n v="7381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363"/>
    <x v="1"/>
    <x v="2"/>
    <x v="1349"/>
    <n v="14.4"/>
    <s v="Low"/>
    <n v="5"/>
    <n v="0"/>
    <x v="0"/>
    <x v="0"/>
    <n v="7.056"/>
    <n v="0.49"/>
    <n v="0"/>
  </r>
  <r>
    <n v="7382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507"/>
    <x v="2"/>
    <x v="7"/>
    <x v="1494"/>
    <n v="149.94999999999999"/>
    <s v="High"/>
    <n v="5"/>
    <n v="0"/>
    <x v="0"/>
    <x v="0"/>
    <n v="41.985999999999997"/>
    <n v="0.28000000000000003"/>
    <n v="0"/>
  </r>
  <r>
    <n v="7383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566"/>
    <x v="1"/>
    <x v="14"/>
    <x v="1557"/>
    <n v="16.899999999999999"/>
    <s v="Low"/>
    <n v="2"/>
    <n v="0"/>
    <x v="0"/>
    <x v="0"/>
    <n v="5.07"/>
    <n v="0.30000000000000004"/>
    <n v="0"/>
  </r>
  <r>
    <n v="7384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707"/>
    <x v="1"/>
    <x v="10"/>
    <x v="706"/>
    <n v="17.61"/>
    <s v="Low"/>
    <n v="3"/>
    <n v="0"/>
    <x v="0"/>
    <x v="0"/>
    <n v="8.4527999999999999"/>
    <n v="0.48"/>
    <n v="0"/>
  </r>
  <r>
    <n v="7385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141"/>
    <x v="1"/>
    <x v="9"/>
    <x v="1129"/>
    <n v="378"/>
    <s v="High"/>
    <n v="2"/>
    <n v="0"/>
    <x v="0"/>
    <x v="0"/>
    <n v="136.08000000000001"/>
    <n v="0.36000000000000004"/>
    <n v="0"/>
  </r>
  <r>
    <n v="7386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017"/>
    <x v="1"/>
    <x v="10"/>
    <x v="1008"/>
    <n v="17.64"/>
    <s v="Low"/>
    <n v="3"/>
    <n v="0"/>
    <x v="0"/>
    <x v="0"/>
    <n v="8.6435999999999993"/>
    <n v="0.48999999999999994"/>
    <n v="0"/>
  </r>
  <r>
    <n v="7387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821"/>
    <x v="1"/>
    <x v="4"/>
    <x v="817"/>
    <n v="373.08"/>
    <s v="High"/>
    <n v="6"/>
    <n v="0"/>
    <x v="0"/>
    <x v="0"/>
    <n v="100.7316"/>
    <n v="0.27"/>
    <n v="0"/>
  </r>
  <r>
    <n v="7388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35"/>
    <x v="0"/>
    <x v="5"/>
    <x v="35"/>
    <n v="1336.44"/>
    <s v="High"/>
    <n v="14"/>
    <n v="0"/>
    <x v="0"/>
    <x v="0"/>
    <n v="387.56760000000003"/>
    <n v="0.29000000000000004"/>
    <n v="0"/>
  </r>
  <r>
    <n v="7389"/>
    <s v="CA-2016-105732"/>
    <d v="2016-09-13T00:00:00"/>
    <x v="0"/>
    <s v="Q3"/>
    <x v="21"/>
    <d v="2016-09-18T00:00:00"/>
    <s v="Standard Class"/>
    <x v="8"/>
    <x v="8"/>
    <s v="Consumer"/>
    <s v="United States"/>
    <s v="Omaha"/>
    <x v="8"/>
    <n v="68104"/>
    <x v="2"/>
    <x v="1136"/>
    <x v="2"/>
    <x v="7"/>
    <x v="1124"/>
    <n v="29.97"/>
    <s v="Medium"/>
    <n v="3"/>
    <n v="0"/>
    <x v="0"/>
    <x v="0"/>
    <n v="0.29970000000000002"/>
    <n v="1.0000000000000002E-2"/>
    <n v="0"/>
  </r>
  <r>
    <n v="7390"/>
    <s v="CA-2017-108035"/>
    <d v="2017-11-29T00:00:00"/>
    <x v="3"/>
    <s v="Q4"/>
    <x v="23"/>
    <d v="2017-12-03T00:00:00"/>
    <s v="Standard Class"/>
    <x v="74"/>
    <x v="74"/>
    <s v="Consumer"/>
    <s v="United States"/>
    <s v="Chattanooga"/>
    <x v="18"/>
    <n v="37421"/>
    <x v="0"/>
    <x v="1"/>
    <x v="0"/>
    <x v="1"/>
    <x v="1"/>
    <n v="390.36799999999999"/>
    <s v="High"/>
    <n v="2"/>
    <n v="0.2"/>
    <x v="2"/>
    <x v="2"/>
    <n v="48.795999999999999"/>
    <n v="0.125"/>
    <n v="0"/>
  </r>
  <r>
    <n v="7391"/>
    <s v="CA-2017-108035"/>
    <d v="2017-11-29T00:00:00"/>
    <x v="3"/>
    <s v="Q4"/>
    <x v="23"/>
    <d v="2017-12-03T00:00:00"/>
    <s v="Standard Class"/>
    <x v="74"/>
    <x v="74"/>
    <s v="Consumer"/>
    <s v="United States"/>
    <s v="Chattanooga"/>
    <x v="18"/>
    <n v="37421"/>
    <x v="0"/>
    <x v="216"/>
    <x v="0"/>
    <x v="5"/>
    <x v="1579"/>
    <n v="101.52"/>
    <s v="Medium"/>
    <n v="5"/>
    <n v="0.2"/>
    <x v="2"/>
    <x v="2"/>
    <n v="19.035"/>
    <n v="0.1875"/>
    <n v="0"/>
  </r>
  <r>
    <n v="7392"/>
    <s v="CA-2017-160031"/>
    <d v="2017-12-04T00:00:00"/>
    <x v="3"/>
    <s v="Q4"/>
    <x v="22"/>
    <d v="2017-12-07T00:00:00"/>
    <s v="Second Class"/>
    <x v="398"/>
    <x v="398"/>
    <s v="Consumer"/>
    <s v="United States"/>
    <s v="Fairfield"/>
    <x v="24"/>
    <n v="45014"/>
    <x v="3"/>
    <x v="1174"/>
    <x v="1"/>
    <x v="10"/>
    <x v="1160"/>
    <n v="74.352000000000004"/>
    <s v="Medium"/>
    <n v="3"/>
    <n v="0.2"/>
    <x v="2"/>
    <x v="2"/>
    <n v="23.234999999999999"/>
    <n v="0.3125"/>
    <n v="0"/>
  </r>
  <r>
    <n v="7393"/>
    <s v="CA-2017-147844"/>
    <d v="2017-05-02T00:00:00"/>
    <x v="3"/>
    <s v="Q2"/>
    <x v="24"/>
    <d v="2017-05-06T00:00:00"/>
    <s v="Standard Class"/>
    <x v="732"/>
    <x v="732"/>
    <s v="Consumer"/>
    <s v="United States"/>
    <s v="Los Angeles"/>
    <x v="1"/>
    <n v="90049"/>
    <x v="1"/>
    <x v="1407"/>
    <x v="1"/>
    <x v="10"/>
    <x v="1394"/>
    <n v="15.7"/>
    <s v="Low"/>
    <n v="5"/>
    <n v="0"/>
    <x v="0"/>
    <x v="0"/>
    <n v="7.0650000000000004"/>
    <n v="0.45000000000000007"/>
    <n v="0"/>
  </r>
  <r>
    <n v="7394"/>
    <s v="CA-2017-147844"/>
    <d v="2017-05-02T00:00:00"/>
    <x v="3"/>
    <s v="Q2"/>
    <x v="24"/>
    <d v="2017-05-06T00:00:00"/>
    <s v="Standard Class"/>
    <x v="732"/>
    <x v="732"/>
    <s v="Consumer"/>
    <s v="United States"/>
    <s v="Los Angeles"/>
    <x v="1"/>
    <n v="90049"/>
    <x v="1"/>
    <x v="1500"/>
    <x v="1"/>
    <x v="6"/>
    <x v="1488"/>
    <n v="59.52"/>
    <s v="Medium"/>
    <n v="3"/>
    <n v="0"/>
    <x v="0"/>
    <x v="0"/>
    <n v="15.475199999999999"/>
    <n v="0.25999999999999995"/>
    <n v="0"/>
  </r>
  <r>
    <n v="7395"/>
    <s v="CA-2017-147844"/>
    <d v="2017-05-02T00:00:00"/>
    <x v="3"/>
    <s v="Q2"/>
    <x v="24"/>
    <d v="2017-05-06T00:00:00"/>
    <s v="Standard Class"/>
    <x v="732"/>
    <x v="732"/>
    <s v="Consumer"/>
    <s v="United States"/>
    <s v="Los Angeles"/>
    <x v="1"/>
    <n v="90049"/>
    <x v="1"/>
    <x v="320"/>
    <x v="1"/>
    <x v="10"/>
    <x v="320"/>
    <n v="34.4"/>
    <s v="Medium"/>
    <n v="5"/>
    <n v="0"/>
    <x v="0"/>
    <x v="0"/>
    <n v="15.824"/>
    <n v="0.46"/>
    <n v="0"/>
  </r>
  <r>
    <n v="7396"/>
    <s v="CA-2016-110975"/>
    <d v="2016-12-25T00:00:00"/>
    <x v="0"/>
    <s v="Q4"/>
    <x v="5"/>
    <d v="2016-12-30T00:00:00"/>
    <s v="Standard Class"/>
    <x v="715"/>
    <x v="715"/>
    <s v="Corporate"/>
    <s v="United States"/>
    <s v="New York City"/>
    <x v="15"/>
    <n v="10024"/>
    <x v="3"/>
    <x v="971"/>
    <x v="0"/>
    <x v="3"/>
    <x v="965"/>
    <n v="313.17599999999999"/>
    <s v="High"/>
    <n v="2"/>
    <n v="0.4"/>
    <x v="1"/>
    <x v="7"/>
    <n v="-120.0508"/>
    <n v="-0.38333333333333336"/>
    <n v="1"/>
  </r>
  <r>
    <n v="7397"/>
    <s v="CA-2016-110975"/>
    <d v="2016-12-25T00:00:00"/>
    <x v="0"/>
    <s v="Q4"/>
    <x v="5"/>
    <d v="2016-12-30T00:00:00"/>
    <s v="Standard Class"/>
    <x v="715"/>
    <x v="715"/>
    <s v="Corporate"/>
    <s v="United States"/>
    <s v="New York City"/>
    <x v="15"/>
    <n v="10024"/>
    <x v="3"/>
    <x v="623"/>
    <x v="0"/>
    <x v="1"/>
    <x v="623"/>
    <n v="866.64599999999996"/>
    <s v="High"/>
    <n v="3"/>
    <n v="0.1"/>
    <x v="3"/>
    <x v="8"/>
    <n v="173.32919999999999"/>
    <n v="0.19999999999999998"/>
    <n v="0"/>
  </r>
  <r>
    <n v="7398"/>
    <s v="CA-2014-141649"/>
    <d v="2014-09-30T00:00:00"/>
    <x v="2"/>
    <s v="Q3"/>
    <x v="30"/>
    <d v="2014-09-30T00:00:00"/>
    <s v="Same Day"/>
    <x v="678"/>
    <x v="678"/>
    <s v="Corporate"/>
    <s v="United States"/>
    <s v="Fairfield"/>
    <x v="24"/>
    <n v="45014"/>
    <x v="3"/>
    <x v="190"/>
    <x v="1"/>
    <x v="9"/>
    <x v="191"/>
    <n v="795.40800000000002"/>
    <s v="High"/>
    <n v="6"/>
    <n v="0.2"/>
    <x v="2"/>
    <x v="2"/>
    <n v="59.6556"/>
    <n v="7.4999999999999997E-2"/>
    <n v="0"/>
  </r>
  <r>
    <n v="7399"/>
    <s v="CA-2014-124807"/>
    <d v="2014-07-12T00:00:00"/>
    <x v="2"/>
    <s v="Q3"/>
    <x v="39"/>
    <d v="2014-07-15T00:00:00"/>
    <s v="Second Class"/>
    <x v="250"/>
    <x v="250"/>
    <s v="Consumer"/>
    <s v="United States"/>
    <s v="Chicago"/>
    <x v="10"/>
    <n v="60610"/>
    <x v="2"/>
    <x v="1050"/>
    <x v="1"/>
    <x v="10"/>
    <x v="1039"/>
    <n v="35.856000000000002"/>
    <s v="Medium"/>
    <n v="9"/>
    <n v="0.2"/>
    <x v="2"/>
    <x v="2"/>
    <n v="12.9978"/>
    <n v="0.36249999999999999"/>
    <n v="0"/>
  </r>
  <r>
    <n v="7400"/>
    <s v="CA-2014-124807"/>
    <d v="2014-07-12T00:00:00"/>
    <x v="2"/>
    <s v="Q3"/>
    <x v="39"/>
    <d v="2014-07-15T00:00:00"/>
    <s v="Second Class"/>
    <x v="250"/>
    <x v="250"/>
    <s v="Consumer"/>
    <s v="United States"/>
    <s v="Chicago"/>
    <x v="10"/>
    <n v="60610"/>
    <x v="2"/>
    <x v="540"/>
    <x v="2"/>
    <x v="11"/>
    <x v="540"/>
    <n v="23.84"/>
    <s v="Low"/>
    <n v="4"/>
    <n v="0.2"/>
    <x v="2"/>
    <x v="2"/>
    <n v="3.278"/>
    <n v="0.13750000000000001"/>
    <n v="0"/>
  </r>
  <r>
    <n v="7401"/>
    <s v="CA-2016-110009"/>
    <d v="2016-09-08T00:00:00"/>
    <x v="0"/>
    <s v="Q3"/>
    <x v="21"/>
    <d v="2016-09-13T00:00:00"/>
    <s v="Standard Class"/>
    <x v="309"/>
    <x v="309"/>
    <s v="Consumer"/>
    <s v="United States"/>
    <s v="Seattle"/>
    <x v="4"/>
    <n v="98103"/>
    <x v="1"/>
    <x v="484"/>
    <x v="0"/>
    <x v="5"/>
    <x v="484"/>
    <n v="43.13"/>
    <s v="Medium"/>
    <n v="1"/>
    <n v="0"/>
    <x v="0"/>
    <x v="0"/>
    <n v="14.664199999999999"/>
    <n v="0.33999999999999997"/>
    <n v="0"/>
  </r>
  <r>
    <n v="7402"/>
    <s v="CA-2016-110009"/>
    <d v="2016-09-08T00:00:00"/>
    <x v="0"/>
    <s v="Q3"/>
    <x v="21"/>
    <d v="2016-09-13T00:00:00"/>
    <s v="Standard Class"/>
    <x v="309"/>
    <x v="309"/>
    <s v="Consumer"/>
    <s v="United States"/>
    <s v="Seattle"/>
    <x v="4"/>
    <n v="98103"/>
    <x v="1"/>
    <x v="249"/>
    <x v="1"/>
    <x v="10"/>
    <x v="250"/>
    <n v="30.87"/>
    <s v="Medium"/>
    <n v="7"/>
    <n v="0"/>
    <x v="0"/>
    <x v="0"/>
    <n v="14.200200000000001"/>
    <n v="0.46"/>
    <n v="0"/>
  </r>
  <r>
    <n v="7403"/>
    <s v="CA-2017-168172"/>
    <d v="2017-08-06T00:00:00"/>
    <x v="3"/>
    <s v="Q3"/>
    <x v="43"/>
    <d v="2017-08-10T00:00:00"/>
    <s v="Standard Class"/>
    <x v="129"/>
    <x v="129"/>
    <s v="Consumer"/>
    <s v="United States"/>
    <s v="New York City"/>
    <x v="15"/>
    <n v="10011"/>
    <x v="3"/>
    <x v="354"/>
    <x v="1"/>
    <x v="14"/>
    <x v="354"/>
    <n v="70.12"/>
    <s v="Medium"/>
    <n v="4"/>
    <n v="0"/>
    <x v="0"/>
    <x v="0"/>
    <n v="21.036000000000001"/>
    <n v="0.3"/>
    <n v="0"/>
  </r>
  <r>
    <n v="7404"/>
    <s v="CA-2015-100146"/>
    <d v="2015-05-14T00:00:00"/>
    <x v="1"/>
    <s v="Q2"/>
    <x v="33"/>
    <d v="2015-05-19T00:00:00"/>
    <s v="Standard Class"/>
    <x v="118"/>
    <x v="118"/>
    <s v="Corporate"/>
    <s v="United States"/>
    <s v="Camarillo"/>
    <x v="1"/>
    <n v="93010"/>
    <x v="1"/>
    <x v="574"/>
    <x v="0"/>
    <x v="0"/>
    <x v="574"/>
    <n v="509.95749999999998"/>
    <s v="High"/>
    <n v="5"/>
    <n v="0.15"/>
    <x v="2"/>
    <x v="2"/>
    <n v="41.996499999999997"/>
    <n v="8.2352941176470587E-2"/>
    <n v="0"/>
  </r>
  <r>
    <n v="7405"/>
    <s v="CA-2015-100146"/>
    <d v="2015-05-14T00:00:00"/>
    <x v="1"/>
    <s v="Q2"/>
    <x v="33"/>
    <d v="2015-05-19T00:00:00"/>
    <s v="Standard Class"/>
    <x v="118"/>
    <x v="118"/>
    <s v="Corporate"/>
    <s v="United States"/>
    <s v="Camarillo"/>
    <x v="1"/>
    <n v="93010"/>
    <x v="1"/>
    <x v="514"/>
    <x v="0"/>
    <x v="5"/>
    <x v="514"/>
    <n v="122.91"/>
    <s v="Medium"/>
    <n v="3"/>
    <n v="0"/>
    <x v="0"/>
    <x v="0"/>
    <n v="34.4148"/>
    <n v="0.28000000000000003"/>
    <n v="0"/>
  </r>
  <r>
    <n v="7406"/>
    <s v="CA-2015-100146"/>
    <d v="2015-05-14T00:00:00"/>
    <x v="1"/>
    <s v="Q2"/>
    <x v="33"/>
    <d v="2015-05-19T00:00:00"/>
    <s v="Standard Class"/>
    <x v="118"/>
    <x v="118"/>
    <s v="Corporate"/>
    <s v="United States"/>
    <s v="Camarillo"/>
    <x v="1"/>
    <n v="93010"/>
    <x v="1"/>
    <x v="1225"/>
    <x v="0"/>
    <x v="1"/>
    <x v="1209"/>
    <n v="97.567999999999998"/>
    <s v="Medium"/>
    <n v="2"/>
    <n v="0.2"/>
    <x v="2"/>
    <x v="2"/>
    <n v="-6.0979999999999999"/>
    <n v="-6.25E-2"/>
    <n v="1"/>
  </r>
  <r>
    <n v="7407"/>
    <s v="CA-2015-100146"/>
    <d v="2015-05-14T00:00:00"/>
    <x v="1"/>
    <s v="Q2"/>
    <x v="33"/>
    <d v="2015-05-19T00:00:00"/>
    <s v="Standard Class"/>
    <x v="118"/>
    <x v="118"/>
    <s v="Corporate"/>
    <s v="United States"/>
    <s v="Camarillo"/>
    <x v="1"/>
    <n v="93010"/>
    <x v="1"/>
    <x v="1496"/>
    <x v="0"/>
    <x v="1"/>
    <x v="1484"/>
    <n v="722.35199999999998"/>
    <s v="High"/>
    <n v="3"/>
    <n v="0.2"/>
    <x v="2"/>
    <x v="2"/>
    <n v="81.264600000000002"/>
    <n v="0.1125"/>
    <n v="0"/>
  </r>
  <r>
    <n v="7408"/>
    <s v="CA-2017-152079"/>
    <d v="2017-01-20T00:00:00"/>
    <x v="3"/>
    <s v="Q1"/>
    <x v="44"/>
    <d v="2017-01-21T00:00:00"/>
    <s v="First Class"/>
    <x v="586"/>
    <x v="586"/>
    <s v="Consumer"/>
    <s v="United States"/>
    <s v="Chicago"/>
    <x v="10"/>
    <n v="60653"/>
    <x v="2"/>
    <x v="745"/>
    <x v="1"/>
    <x v="2"/>
    <x v="743"/>
    <n v="11.52"/>
    <s v="Low"/>
    <n v="5"/>
    <n v="0.2"/>
    <x v="2"/>
    <x v="2"/>
    <n v="4.1760000000000002"/>
    <n v="0.36250000000000004"/>
    <n v="0"/>
  </r>
  <r>
    <n v="7409"/>
    <s v="CA-2016-129728"/>
    <d v="2016-05-30T00:00:00"/>
    <x v="0"/>
    <s v="Q2"/>
    <x v="35"/>
    <d v="2016-06-06T00:00:00"/>
    <s v="Standard Class"/>
    <x v="684"/>
    <x v="684"/>
    <s v="Corporate"/>
    <s v="United States"/>
    <s v="Los Angeles"/>
    <x v="1"/>
    <n v="90032"/>
    <x v="1"/>
    <x v="1478"/>
    <x v="0"/>
    <x v="5"/>
    <x v="1465"/>
    <n v="167.84"/>
    <s v="High"/>
    <n v="8"/>
    <n v="0"/>
    <x v="0"/>
    <x v="0"/>
    <n v="11.748799999999999"/>
    <n v="6.9999999999999993E-2"/>
    <n v="0"/>
  </r>
  <r>
    <n v="7410"/>
    <s v="CA-2014-121769"/>
    <d v="2014-04-08T00:00:00"/>
    <x v="2"/>
    <s v="Q2"/>
    <x v="41"/>
    <d v="2014-04-12T00:00:00"/>
    <s v="Standard Class"/>
    <x v="365"/>
    <x v="365"/>
    <s v="Consumer"/>
    <s v="United States"/>
    <s v="Toledo"/>
    <x v="24"/>
    <n v="43615"/>
    <x v="3"/>
    <x v="1666"/>
    <x v="0"/>
    <x v="3"/>
    <x v="1654"/>
    <n v="172.11"/>
    <s v="High"/>
    <n v="1"/>
    <n v="0.4"/>
    <x v="1"/>
    <x v="7"/>
    <n v="-94.660499999999999"/>
    <n v="-0.54999999999999993"/>
    <n v="1"/>
  </r>
  <r>
    <n v="7411"/>
    <s v="CA-2014-103058"/>
    <d v="2014-07-23T00:00:00"/>
    <x v="2"/>
    <s v="Q3"/>
    <x v="39"/>
    <d v="2014-07-24T00:00:00"/>
    <s v="First Class"/>
    <x v="8"/>
    <x v="8"/>
    <s v="Consumer"/>
    <s v="United States"/>
    <s v="New York City"/>
    <x v="15"/>
    <n v="10011"/>
    <x v="3"/>
    <x v="959"/>
    <x v="2"/>
    <x v="11"/>
    <x v="952"/>
    <n v="99.98"/>
    <s v="Medium"/>
    <n v="2"/>
    <n v="0"/>
    <x v="0"/>
    <x v="0"/>
    <n v="7.9984000000000002"/>
    <n v="0.08"/>
    <n v="0"/>
  </r>
  <r>
    <n v="7412"/>
    <s v="CA-2017-121125"/>
    <d v="2017-05-30T00:00:00"/>
    <x v="3"/>
    <s v="Q2"/>
    <x v="24"/>
    <d v="2017-06-03T00:00:00"/>
    <s v="Standard Class"/>
    <x v="450"/>
    <x v="450"/>
    <s v="Home Office"/>
    <s v="United States"/>
    <s v="Tigard"/>
    <x v="21"/>
    <n v="97224"/>
    <x v="1"/>
    <x v="1602"/>
    <x v="2"/>
    <x v="7"/>
    <x v="1594"/>
    <n v="156.792"/>
    <s v="High"/>
    <n v="1"/>
    <n v="0.2"/>
    <x v="2"/>
    <x v="2"/>
    <n v="17.639099999999999"/>
    <n v="0.11249999999999999"/>
    <n v="0"/>
  </r>
  <r>
    <n v="7413"/>
    <s v="CA-2017-121125"/>
    <d v="2017-05-30T00:00:00"/>
    <x v="3"/>
    <s v="Q2"/>
    <x v="24"/>
    <d v="2017-06-03T00:00:00"/>
    <s v="Standard Class"/>
    <x v="450"/>
    <x v="450"/>
    <s v="Home Office"/>
    <s v="United States"/>
    <s v="Tigard"/>
    <x v="21"/>
    <n v="97224"/>
    <x v="1"/>
    <x v="176"/>
    <x v="2"/>
    <x v="11"/>
    <x v="177"/>
    <n v="35.36"/>
    <s v="Medium"/>
    <n v="2"/>
    <n v="0.2"/>
    <x v="2"/>
    <x v="2"/>
    <n v="-3.0939999999999999"/>
    <n v="-8.7499999999999994E-2"/>
    <n v="1"/>
  </r>
  <r>
    <n v="7414"/>
    <s v="CA-2017-121125"/>
    <d v="2017-05-30T00:00:00"/>
    <x v="3"/>
    <s v="Q2"/>
    <x v="24"/>
    <d v="2017-06-03T00:00:00"/>
    <s v="Standard Class"/>
    <x v="450"/>
    <x v="450"/>
    <s v="Home Office"/>
    <s v="United States"/>
    <s v="Tigard"/>
    <x v="21"/>
    <n v="97224"/>
    <x v="1"/>
    <x v="1793"/>
    <x v="0"/>
    <x v="5"/>
    <x v="1783"/>
    <n v="13.592000000000001"/>
    <s v="Low"/>
    <n v="1"/>
    <n v="0.2"/>
    <x v="2"/>
    <x v="2"/>
    <n v="-0.33979999999999999"/>
    <n v="-2.4999999999999998E-2"/>
    <n v="1"/>
  </r>
  <r>
    <n v="7415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157"/>
    <x v="0"/>
    <x v="1"/>
    <x v="158"/>
    <n v="386.68"/>
    <s v="High"/>
    <n v="2"/>
    <n v="0.3"/>
    <x v="1"/>
    <x v="4"/>
    <n v="-5.524"/>
    <n v="-1.4285714285714285E-2"/>
    <n v="1"/>
  </r>
  <r>
    <n v="7416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1523"/>
    <x v="2"/>
    <x v="11"/>
    <x v="1510"/>
    <n v="379.96"/>
    <s v="High"/>
    <n v="5"/>
    <n v="0.2"/>
    <x v="2"/>
    <x v="2"/>
    <n v="47.494999999999997"/>
    <n v="0.125"/>
    <n v="0"/>
  </r>
  <r>
    <n v="7417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716"/>
    <x v="2"/>
    <x v="7"/>
    <x v="715"/>
    <n v="539.91"/>
    <s v="High"/>
    <n v="3"/>
    <n v="0.4"/>
    <x v="1"/>
    <x v="7"/>
    <n v="-116.98050000000001"/>
    <n v="-0.2166666666666667"/>
    <n v="1"/>
  </r>
  <r>
    <n v="7418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1540"/>
    <x v="1"/>
    <x v="10"/>
    <x v="1528"/>
    <n v="41.24"/>
    <s v="Medium"/>
    <n v="5"/>
    <n v="0.2"/>
    <x v="2"/>
    <x v="2"/>
    <n v="13.9185"/>
    <n v="0.33749999999999997"/>
    <n v="0"/>
  </r>
  <r>
    <n v="7419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1591"/>
    <x v="1"/>
    <x v="8"/>
    <x v="1583"/>
    <n v="51.896999999999998"/>
    <s v="Medium"/>
    <n v="1"/>
    <n v="0.7"/>
    <x v="1"/>
    <x v="5"/>
    <n v="-41.517600000000002"/>
    <n v="-0.8"/>
    <n v="1"/>
  </r>
  <r>
    <n v="7420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942"/>
    <x v="1"/>
    <x v="4"/>
    <x v="935"/>
    <n v="552.55999999999995"/>
    <s v="High"/>
    <n v="5"/>
    <n v="0.2"/>
    <x v="2"/>
    <x v="2"/>
    <n v="-138.13999999999999"/>
    <n v="-0.25"/>
    <n v="1"/>
  </r>
  <r>
    <n v="7421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1087"/>
    <x v="1"/>
    <x v="8"/>
    <x v="1077"/>
    <n v="23.16"/>
    <s v="Low"/>
    <n v="5"/>
    <n v="0.7"/>
    <x v="1"/>
    <x v="5"/>
    <n v="-15.44"/>
    <n v="-0.66666666666666663"/>
    <n v="1"/>
  </r>
  <r>
    <n v="7422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1819"/>
    <x v="1"/>
    <x v="4"/>
    <x v="1808"/>
    <n v="126.08"/>
    <s v="High"/>
    <n v="2"/>
    <n v="0.2"/>
    <x v="2"/>
    <x v="2"/>
    <n v="-28.367999999999999"/>
    <n v="-0.22499999999999998"/>
    <n v="1"/>
  </r>
  <r>
    <n v="7423"/>
    <s v="US-2016-114013"/>
    <d v="2016-03-13T00:00:00"/>
    <x v="0"/>
    <s v="Q1"/>
    <x v="17"/>
    <d v="2016-03-15T00:00:00"/>
    <s v="Second Class"/>
    <x v="34"/>
    <x v="34"/>
    <s v="Corporate"/>
    <s v="United States"/>
    <s v="Philadelphia"/>
    <x v="9"/>
    <n v="19134"/>
    <x v="3"/>
    <x v="206"/>
    <x v="2"/>
    <x v="15"/>
    <x v="1542"/>
    <n v="449.1"/>
    <s v="High"/>
    <n v="3"/>
    <n v="0.7"/>
    <x v="1"/>
    <x v="5"/>
    <n v="-643.71"/>
    <n v="-1.4333333333333333"/>
    <n v="1"/>
  </r>
  <r>
    <n v="7424"/>
    <s v="CA-2017-135069"/>
    <d v="2017-04-10T00:00:00"/>
    <x v="3"/>
    <s v="Q2"/>
    <x v="4"/>
    <d v="2017-04-14T00:00:00"/>
    <s v="Standard Class"/>
    <x v="94"/>
    <x v="94"/>
    <s v="Consumer"/>
    <s v="United States"/>
    <s v="Philadelphia"/>
    <x v="9"/>
    <n v="19143"/>
    <x v="3"/>
    <x v="1306"/>
    <x v="1"/>
    <x v="9"/>
    <x v="1291"/>
    <n v="195.10400000000001"/>
    <s v="High"/>
    <n v="4"/>
    <n v="0.2"/>
    <x v="2"/>
    <x v="2"/>
    <n v="21.949200000000001"/>
    <n v="0.1125"/>
    <n v="0"/>
  </r>
  <r>
    <n v="7425"/>
    <s v="CA-2017-135069"/>
    <d v="2017-04-10T00:00:00"/>
    <x v="3"/>
    <s v="Q2"/>
    <x v="4"/>
    <d v="2017-04-14T00:00:00"/>
    <s v="Standard Class"/>
    <x v="94"/>
    <x v="94"/>
    <s v="Consumer"/>
    <s v="United States"/>
    <s v="Philadelphia"/>
    <x v="9"/>
    <n v="19143"/>
    <x v="3"/>
    <x v="677"/>
    <x v="0"/>
    <x v="5"/>
    <x v="677"/>
    <n v="36.671999999999997"/>
    <s v="Medium"/>
    <n v="3"/>
    <n v="0.2"/>
    <x v="2"/>
    <x v="2"/>
    <n v="6.4176000000000002"/>
    <n v="0.17500000000000002"/>
    <n v="0"/>
  </r>
  <r>
    <n v="7426"/>
    <s v="CA-2016-101693"/>
    <d v="2016-06-25T00:00:00"/>
    <x v="0"/>
    <s v="Q2"/>
    <x v="1"/>
    <d v="2016-06-27T00:00:00"/>
    <s v="Second Class"/>
    <x v="95"/>
    <x v="95"/>
    <s v="Consumer"/>
    <s v="United States"/>
    <s v="Houston"/>
    <x v="5"/>
    <n v="77070"/>
    <x v="2"/>
    <x v="64"/>
    <x v="0"/>
    <x v="1"/>
    <x v="64"/>
    <n v="85.245999999999995"/>
    <s v="Medium"/>
    <n v="2"/>
    <n v="0.3"/>
    <x v="1"/>
    <x v="4"/>
    <n v="-6.0890000000000004"/>
    <n v="-7.1428571428571438E-2"/>
    <n v="1"/>
  </r>
  <r>
    <n v="7427"/>
    <s v="CA-2016-101693"/>
    <d v="2016-06-25T00:00:00"/>
    <x v="0"/>
    <s v="Q2"/>
    <x v="1"/>
    <d v="2016-06-27T00:00:00"/>
    <s v="Second Class"/>
    <x v="95"/>
    <x v="95"/>
    <s v="Consumer"/>
    <s v="United States"/>
    <s v="Houston"/>
    <x v="5"/>
    <n v="77070"/>
    <x v="2"/>
    <x v="1535"/>
    <x v="0"/>
    <x v="5"/>
    <x v="1523"/>
    <n v="32.712000000000003"/>
    <s v="Medium"/>
    <n v="2"/>
    <n v="0.6"/>
    <x v="1"/>
    <x v="6"/>
    <n v="-26.169599999999999"/>
    <n v="-0.79999999999999993"/>
    <n v="1"/>
  </r>
  <r>
    <n v="7428"/>
    <s v="US-2014-164763"/>
    <d v="2014-03-17T00:00:00"/>
    <x v="2"/>
    <s v="Q1"/>
    <x v="34"/>
    <d v="2014-03-21T00:00:00"/>
    <s v="Standard Class"/>
    <x v="775"/>
    <x v="775"/>
    <s v="Corporate"/>
    <s v="United States"/>
    <s v="Jackson"/>
    <x v="35"/>
    <n v="39212"/>
    <x v="0"/>
    <x v="536"/>
    <x v="1"/>
    <x v="8"/>
    <x v="536"/>
    <n v="11.43"/>
    <s v="Low"/>
    <n v="3"/>
    <n v="0"/>
    <x v="0"/>
    <x v="0"/>
    <n v="5.3720999999999997"/>
    <n v="0.47"/>
    <n v="0"/>
  </r>
  <r>
    <n v="7429"/>
    <s v="US-2014-164763"/>
    <d v="2014-03-17T00:00:00"/>
    <x v="2"/>
    <s v="Q1"/>
    <x v="34"/>
    <d v="2014-03-21T00:00:00"/>
    <s v="Standard Class"/>
    <x v="775"/>
    <x v="775"/>
    <s v="Corporate"/>
    <s v="United States"/>
    <s v="Jackson"/>
    <x v="35"/>
    <n v="39212"/>
    <x v="0"/>
    <x v="338"/>
    <x v="1"/>
    <x v="8"/>
    <x v="338"/>
    <n v="30.44"/>
    <s v="Medium"/>
    <n v="2"/>
    <n v="0"/>
    <x v="0"/>
    <x v="0"/>
    <n v="14.9156"/>
    <n v="0.49"/>
    <n v="0"/>
  </r>
  <r>
    <n v="7430"/>
    <s v="US-2014-164763"/>
    <d v="2014-03-17T00:00:00"/>
    <x v="2"/>
    <s v="Q1"/>
    <x v="34"/>
    <d v="2014-03-21T00:00:00"/>
    <s v="Standard Class"/>
    <x v="775"/>
    <x v="775"/>
    <s v="Corporate"/>
    <s v="United States"/>
    <s v="Jackson"/>
    <x v="35"/>
    <n v="39212"/>
    <x v="0"/>
    <x v="219"/>
    <x v="1"/>
    <x v="10"/>
    <x v="220"/>
    <n v="12.96"/>
    <s v="Low"/>
    <n v="2"/>
    <n v="0"/>
    <x v="0"/>
    <x v="0"/>
    <n v="6.3503999999999996"/>
    <n v="0.48999999999999994"/>
    <n v="0"/>
  </r>
  <r>
    <n v="7431"/>
    <s v="US-2014-164763"/>
    <d v="2014-03-17T00:00:00"/>
    <x v="2"/>
    <s v="Q1"/>
    <x v="34"/>
    <d v="2014-03-21T00:00:00"/>
    <s v="Standard Class"/>
    <x v="775"/>
    <x v="775"/>
    <s v="Corporate"/>
    <s v="United States"/>
    <s v="Jackson"/>
    <x v="35"/>
    <n v="39212"/>
    <x v="0"/>
    <x v="1732"/>
    <x v="1"/>
    <x v="10"/>
    <x v="1720"/>
    <n v="16"/>
    <s v="Low"/>
    <n v="4"/>
    <n v="0"/>
    <x v="0"/>
    <x v="0"/>
    <n v="7.68"/>
    <n v="0.48"/>
    <n v="0"/>
  </r>
  <r>
    <n v="7432"/>
    <s v="US-2014-164763"/>
    <d v="2014-03-17T00:00:00"/>
    <x v="2"/>
    <s v="Q1"/>
    <x v="34"/>
    <d v="2014-03-21T00:00:00"/>
    <s v="Standard Class"/>
    <x v="775"/>
    <x v="775"/>
    <s v="Corporate"/>
    <s v="United States"/>
    <s v="Jackson"/>
    <x v="35"/>
    <n v="39212"/>
    <x v="0"/>
    <x v="930"/>
    <x v="1"/>
    <x v="9"/>
    <x v="923"/>
    <n v="32.67"/>
    <s v="Medium"/>
    <n v="3"/>
    <n v="0"/>
    <x v="0"/>
    <x v="0"/>
    <n v="8.4941999999999993"/>
    <n v="0.25999999999999995"/>
    <n v="0"/>
  </r>
  <r>
    <n v="7433"/>
    <s v="CA-2014-161249"/>
    <d v="2014-08-09T00:00:00"/>
    <x v="2"/>
    <s v="Q3"/>
    <x v="9"/>
    <d v="2014-08-13T00:00:00"/>
    <s v="Standard Class"/>
    <x v="742"/>
    <x v="742"/>
    <s v="Consumer"/>
    <s v="United States"/>
    <s v="Phoenix"/>
    <x v="16"/>
    <n v="85023"/>
    <x v="1"/>
    <x v="802"/>
    <x v="1"/>
    <x v="13"/>
    <x v="800"/>
    <n v="4.4640000000000004"/>
    <s v="Low"/>
    <n v="3"/>
    <n v="0.2"/>
    <x v="2"/>
    <x v="2"/>
    <n v="-0.9486"/>
    <n v="-0.21249999999999997"/>
    <n v="1"/>
  </r>
  <r>
    <n v="7434"/>
    <s v="CA-2014-161249"/>
    <d v="2014-08-09T00:00:00"/>
    <x v="2"/>
    <s v="Q3"/>
    <x v="9"/>
    <d v="2014-08-13T00:00:00"/>
    <s v="Standard Class"/>
    <x v="742"/>
    <x v="742"/>
    <s v="Consumer"/>
    <s v="United States"/>
    <s v="Phoenix"/>
    <x v="16"/>
    <n v="85023"/>
    <x v="1"/>
    <x v="799"/>
    <x v="1"/>
    <x v="8"/>
    <x v="797"/>
    <n v="9.3450000000000006"/>
    <s v="Low"/>
    <n v="5"/>
    <n v="0.7"/>
    <x v="1"/>
    <x v="5"/>
    <n v="-6.5415000000000001"/>
    <n v="-0.7"/>
    <n v="1"/>
  </r>
  <r>
    <n v="7435"/>
    <s v="CA-2015-148180"/>
    <d v="2015-07-26T00:00:00"/>
    <x v="1"/>
    <s v="Q3"/>
    <x v="38"/>
    <d v="2015-07-31T00:00:00"/>
    <s v="Standard Class"/>
    <x v="162"/>
    <x v="162"/>
    <s v="Corporate"/>
    <s v="United States"/>
    <s v="Oxnard"/>
    <x v="1"/>
    <n v="93030"/>
    <x v="1"/>
    <x v="536"/>
    <x v="1"/>
    <x v="8"/>
    <x v="536"/>
    <n v="9.1440000000000001"/>
    <s v="Low"/>
    <n v="3"/>
    <n v="0.2"/>
    <x v="2"/>
    <x v="2"/>
    <n v="3.0861000000000001"/>
    <n v="0.33750000000000002"/>
    <n v="0"/>
  </r>
  <r>
    <n v="7436"/>
    <s v="CA-2015-148180"/>
    <d v="2015-07-26T00:00:00"/>
    <x v="1"/>
    <s v="Q3"/>
    <x v="38"/>
    <d v="2015-07-31T00:00:00"/>
    <s v="Standard Class"/>
    <x v="162"/>
    <x v="162"/>
    <s v="Corporate"/>
    <s v="United States"/>
    <s v="Oxnard"/>
    <x v="1"/>
    <n v="93030"/>
    <x v="1"/>
    <x v="308"/>
    <x v="1"/>
    <x v="8"/>
    <x v="308"/>
    <n v="23.135999999999999"/>
    <s v="Low"/>
    <n v="6"/>
    <n v="0.2"/>
    <x v="2"/>
    <x v="2"/>
    <n v="8.3867999999999991"/>
    <n v="0.36249999999999999"/>
    <n v="0"/>
  </r>
  <r>
    <n v="7437"/>
    <s v="CA-2015-148180"/>
    <d v="2015-07-26T00:00:00"/>
    <x v="1"/>
    <s v="Q3"/>
    <x v="38"/>
    <d v="2015-07-31T00:00:00"/>
    <s v="Standard Class"/>
    <x v="162"/>
    <x v="162"/>
    <s v="Corporate"/>
    <s v="United States"/>
    <s v="Oxnard"/>
    <x v="1"/>
    <n v="93030"/>
    <x v="1"/>
    <x v="1167"/>
    <x v="1"/>
    <x v="6"/>
    <x v="1154"/>
    <n v="99.2"/>
    <s v="Medium"/>
    <n v="5"/>
    <n v="0"/>
    <x v="0"/>
    <x v="0"/>
    <n v="25.792000000000002"/>
    <n v="0.26"/>
    <n v="0"/>
  </r>
  <r>
    <n v="7438"/>
    <s v="CA-2014-165568"/>
    <d v="2014-02-15T00:00:00"/>
    <x v="2"/>
    <s v="Q1"/>
    <x v="45"/>
    <d v="2014-02-19T00:00:00"/>
    <s v="Standard Class"/>
    <x v="292"/>
    <x v="292"/>
    <s v="Corporate"/>
    <s v="United States"/>
    <s v="Seattle"/>
    <x v="4"/>
    <n v="98105"/>
    <x v="1"/>
    <x v="880"/>
    <x v="1"/>
    <x v="8"/>
    <x v="874"/>
    <n v="21.36"/>
    <s v="Low"/>
    <n v="5"/>
    <n v="0.2"/>
    <x v="2"/>
    <x v="2"/>
    <n v="7.2089999999999996"/>
    <n v="0.33749999999999997"/>
    <n v="0"/>
  </r>
  <r>
    <n v="7439"/>
    <s v="CA-2015-145457"/>
    <d v="2015-03-24T00:00:00"/>
    <x v="1"/>
    <s v="Q1"/>
    <x v="29"/>
    <d v="2015-03-27T00:00:00"/>
    <s v="Second Class"/>
    <x v="434"/>
    <x v="434"/>
    <s v="Corporate"/>
    <s v="United States"/>
    <s v="Covington"/>
    <x v="4"/>
    <n v="98042"/>
    <x v="1"/>
    <x v="1441"/>
    <x v="0"/>
    <x v="5"/>
    <x v="1429"/>
    <n v="46.9"/>
    <s v="Medium"/>
    <n v="5"/>
    <n v="0"/>
    <x v="0"/>
    <x v="0"/>
    <n v="13.132"/>
    <n v="0.28000000000000003"/>
    <n v="0"/>
  </r>
  <r>
    <n v="7440"/>
    <s v="US-2017-163657"/>
    <d v="2017-09-02T00:00:00"/>
    <x v="3"/>
    <s v="Q3"/>
    <x v="15"/>
    <d v="2017-09-06T00:00:00"/>
    <s v="Standard Class"/>
    <x v="538"/>
    <x v="538"/>
    <s v="Consumer"/>
    <s v="United States"/>
    <s v="Los Angeles"/>
    <x v="1"/>
    <n v="90049"/>
    <x v="1"/>
    <x v="605"/>
    <x v="1"/>
    <x v="8"/>
    <x v="605"/>
    <n v="18.72"/>
    <s v="Low"/>
    <n v="5"/>
    <n v="0.2"/>
    <x v="2"/>
    <x v="2"/>
    <n v="6.5519999999999996"/>
    <n v="0.35"/>
    <n v="0"/>
  </r>
  <r>
    <n v="7441"/>
    <s v="US-2017-163657"/>
    <d v="2017-09-02T00:00:00"/>
    <x v="3"/>
    <s v="Q3"/>
    <x v="15"/>
    <d v="2017-09-06T00:00:00"/>
    <s v="Standard Class"/>
    <x v="538"/>
    <x v="538"/>
    <s v="Consumer"/>
    <s v="United States"/>
    <s v="Los Angeles"/>
    <x v="1"/>
    <n v="90049"/>
    <x v="1"/>
    <x v="1116"/>
    <x v="0"/>
    <x v="3"/>
    <x v="1104"/>
    <n v="236.52799999999999"/>
    <s v="High"/>
    <n v="2"/>
    <n v="0.2"/>
    <x v="2"/>
    <x v="2"/>
    <n v="-2.9565999999999999"/>
    <n v="-1.2500000000000001E-2"/>
    <n v="1"/>
  </r>
  <r>
    <n v="7442"/>
    <s v="CA-2015-120446"/>
    <d v="2015-11-16T00:00:00"/>
    <x v="1"/>
    <s v="Q4"/>
    <x v="6"/>
    <d v="2015-11-18T00:00:00"/>
    <s v="First Class"/>
    <x v="189"/>
    <x v="189"/>
    <s v="Corporate"/>
    <s v="United States"/>
    <s v="San Diego"/>
    <x v="1"/>
    <n v="92105"/>
    <x v="1"/>
    <x v="165"/>
    <x v="1"/>
    <x v="2"/>
    <x v="166"/>
    <n v="18.899999999999999"/>
    <s v="Low"/>
    <n v="3"/>
    <n v="0"/>
    <x v="0"/>
    <x v="0"/>
    <n v="8.6940000000000008"/>
    <n v="0.46000000000000008"/>
    <n v="0"/>
  </r>
  <r>
    <n v="7443"/>
    <s v="CA-2014-109932"/>
    <d v="2014-12-09T00:00:00"/>
    <x v="2"/>
    <s v="Q4"/>
    <x v="20"/>
    <d v="2014-12-11T00:00:00"/>
    <s v="First Class"/>
    <x v="778"/>
    <x v="778"/>
    <s v="Corporate"/>
    <s v="United States"/>
    <s v="Brownsville"/>
    <x v="5"/>
    <n v="78521"/>
    <x v="2"/>
    <x v="128"/>
    <x v="1"/>
    <x v="10"/>
    <x v="129"/>
    <n v="10.688000000000001"/>
    <s v="Low"/>
    <n v="2"/>
    <n v="0.2"/>
    <x v="2"/>
    <x v="2"/>
    <n v="3.7408000000000001"/>
    <n v="0.35"/>
    <n v="0"/>
  </r>
  <r>
    <n v="7444"/>
    <s v="CA-2014-109932"/>
    <d v="2014-12-09T00:00:00"/>
    <x v="2"/>
    <s v="Q4"/>
    <x v="20"/>
    <d v="2014-12-11T00:00:00"/>
    <s v="First Class"/>
    <x v="778"/>
    <x v="778"/>
    <s v="Corporate"/>
    <s v="United States"/>
    <s v="Brownsville"/>
    <x v="5"/>
    <n v="78521"/>
    <x v="2"/>
    <x v="595"/>
    <x v="1"/>
    <x v="4"/>
    <x v="595"/>
    <n v="237.096"/>
    <s v="High"/>
    <n v="3"/>
    <n v="0.2"/>
    <x v="2"/>
    <x v="2"/>
    <n v="20.745899999999999"/>
    <n v="8.7499999999999994E-2"/>
    <n v="0"/>
  </r>
  <r>
    <n v="7445"/>
    <s v="CA-2017-127474"/>
    <d v="2017-02-03T00:00:00"/>
    <x v="3"/>
    <s v="Q1"/>
    <x v="31"/>
    <d v="2017-02-07T00:00:00"/>
    <s v="Second Class"/>
    <x v="279"/>
    <x v="279"/>
    <s v="Home Office"/>
    <s v="United States"/>
    <s v="Chicago"/>
    <x v="10"/>
    <n v="60610"/>
    <x v="2"/>
    <x v="778"/>
    <x v="1"/>
    <x v="10"/>
    <x v="777"/>
    <n v="5.1840000000000002"/>
    <s v="Low"/>
    <n v="1"/>
    <n v="0.2"/>
    <x v="2"/>
    <x v="2"/>
    <n v="1.8144"/>
    <n v="0.35"/>
    <n v="0"/>
  </r>
  <r>
    <n v="7446"/>
    <s v="CA-2017-127474"/>
    <d v="2017-02-03T00:00:00"/>
    <x v="3"/>
    <s v="Q1"/>
    <x v="31"/>
    <d v="2017-02-07T00:00:00"/>
    <s v="Second Class"/>
    <x v="279"/>
    <x v="279"/>
    <s v="Home Office"/>
    <s v="United States"/>
    <s v="Chicago"/>
    <x v="10"/>
    <n v="60610"/>
    <x v="2"/>
    <x v="1522"/>
    <x v="1"/>
    <x v="10"/>
    <x v="1509"/>
    <n v="65.584000000000003"/>
    <s v="Medium"/>
    <n v="2"/>
    <n v="0.2"/>
    <x v="2"/>
    <x v="2"/>
    <n v="23.7742"/>
    <n v="0.36249999999999999"/>
    <n v="0"/>
  </r>
  <r>
    <n v="7447"/>
    <s v="CA-2017-127474"/>
    <d v="2017-02-03T00:00:00"/>
    <x v="3"/>
    <s v="Q1"/>
    <x v="31"/>
    <d v="2017-02-07T00:00:00"/>
    <s v="Second Class"/>
    <x v="279"/>
    <x v="279"/>
    <s v="Home Office"/>
    <s v="United States"/>
    <s v="Chicago"/>
    <x v="10"/>
    <n v="60610"/>
    <x v="2"/>
    <x v="1281"/>
    <x v="0"/>
    <x v="5"/>
    <x v="1266"/>
    <n v="22.2"/>
    <s v="Low"/>
    <n v="1"/>
    <n v="0.6"/>
    <x v="1"/>
    <x v="6"/>
    <n v="-26.085000000000001"/>
    <n v="-1.175"/>
    <n v="1"/>
  </r>
  <r>
    <n v="7448"/>
    <s v="CA-2017-127474"/>
    <d v="2017-02-03T00:00:00"/>
    <x v="3"/>
    <s v="Q1"/>
    <x v="31"/>
    <d v="2017-02-07T00:00:00"/>
    <s v="Second Class"/>
    <x v="279"/>
    <x v="279"/>
    <s v="Home Office"/>
    <s v="United States"/>
    <s v="Chicago"/>
    <x v="10"/>
    <n v="60610"/>
    <x v="2"/>
    <x v="976"/>
    <x v="1"/>
    <x v="10"/>
    <x v="970"/>
    <n v="419.4"/>
    <s v="High"/>
    <n v="5"/>
    <n v="0.2"/>
    <x v="2"/>
    <x v="2"/>
    <n v="146.79"/>
    <n v="0.35"/>
    <n v="0"/>
  </r>
  <r>
    <n v="7449"/>
    <s v="CA-2017-115448"/>
    <d v="2017-11-11T00:00:00"/>
    <x v="3"/>
    <s v="Q4"/>
    <x v="23"/>
    <d v="2017-11-14T00:00:00"/>
    <s v="First Class"/>
    <x v="659"/>
    <x v="659"/>
    <s v="Consumer"/>
    <s v="United States"/>
    <s v="Knoxville"/>
    <x v="18"/>
    <n v="37918"/>
    <x v="0"/>
    <x v="642"/>
    <x v="0"/>
    <x v="5"/>
    <x v="642"/>
    <n v="88.92"/>
    <s v="Medium"/>
    <n v="5"/>
    <n v="0.2"/>
    <x v="2"/>
    <x v="2"/>
    <n v="14.4495"/>
    <n v="0.16250000000000001"/>
    <n v="0"/>
  </r>
  <r>
    <n v="7450"/>
    <s v="CA-2017-105669"/>
    <d v="2017-09-17T00:00:00"/>
    <x v="3"/>
    <s v="Q3"/>
    <x v="15"/>
    <d v="2017-09-22T00:00:00"/>
    <s v="Second Class"/>
    <x v="319"/>
    <x v="319"/>
    <s v="Home Office"/>
    <s v="United States"/>
    <s v="Houston"/>
    <x v="5"/>
    <n v="77036"/>
    <x v="2"/>
    <x v="105"/>
    <x v="1"/>
    <x v="6"/>
    <x v="105"/>
    <n v="9.9120000000000008"/>
    <s v="Low"/>
    <n v="3"/>
    <n v="0.2"/>
    <x v="2"/>
    <x v="2"/>
    <n v="3.2214"/>
    <n v="0.32499999999999996"/>
    <n v="0"/>
  </r>
  <r>
    <n v="7451"/>
    <s v="CA-2017-105669"/>
    <d v="2017-09-17T00:00:00"/>
    <x v="3"/>
    <s v="Q3"/>
    <x v="15"/>
    <d v="2017-09-22T00:00:00"/>
    <s v="Second Class"/>
    <x v="319"/>
    <x v="319"/>
    <s v="Home Office"/>
    <s v="United States"/>
    <s v="Houston"/>
    <x v="5"/>
    <n v="77036"/>
    <x v="2"/>
    <x v="1209"/>
    <x v="0"/>
    <x v="1"/>
    <x v="1194"/>
    <n v="318.43"/>
    <s v="High"/>
    <n v="5"/>
    <n v="0.3"/>
    <x v="1"/>
    <x v="4"/>
    <n v="-77.332999999999998"/>
    <n v="-0.24285714285714285"/>
    <n v="1"/>
  </r>
  <r>
    <n v="7452"/>
    <s v="CA-2017-105669"/>
    <d v="2017-09-17T00:00:00"/>
    <x v="3"/>
    <s v="Q3"/>
    <x v="15"/>
    <d v="2017-09-22T00:00:00"/>
    <s v="Second Class"/>
    <x v="319"/>
    <x v="319"/>
    <s v="Home Office"/>
    <s v="United States"/>
    <s v="Houston"/>
    <x v="5"/>
    <n v="77036"/>
    <x v="2"/>
    <x v="326"/>
    <x v="1"/>
    <x v="8"/>
    <x v="326"/>
    <n v="5.8"/>
    <s v="Low"/>
    <n v="5"/>
    <n v="0.8"/>
    <x v="1"/>
    <x v="3"/>
    <n v="-10.15"/>
    <n v="-1.7500000000000002"/>
    <n v="1"/>
  </r>
  <r>
    <n v="7453"/>
    <s v="CA-2017-105669"/>
    <d v="2017-09-17T00:00:00"/>
    <x v="3"/>
    <s v="Q3"/>
    <x v="15"/>
    <d v="2017-09-22T00:00:00"/>
    <s v="Second Class"/>
    <x v="319"/>
    <x v="319"/>
    <s v="Home Office"/>
    <s v="United States"/>
    <s v="Houston"/>
    <x v="5"/>
    <n v="77036"/>
    <x v="2"/>
    <x v="1538"/>
    <x v="2"/>
    <x v="7"/>
    <x v="1526"/>
    <n v="1415.76"/>
    <s v="High"/>
    <n v="6"/>
    <n v="0.2"/>
    <x v="2"/>
    <x v="2"/>
    <n v="88.484999999999999"/>
    <n v="6.25E-2"/>
    <n v="0"/>
  </r>
  <r>
    <n v="7454"/>
    <s v="CA-2017-134796"/>
    <d v="2017-06-25T00:00:00"/>
    <x v="3"/>
    <s v="Q2"/>
    <x v="27"/>
    <d v="2017-07-01T00:00:00"/>
    <s v="Standard Class"/>
    <x v="248"/>
    <x v="248"/>
    <s v="Consumer"/>
    <s v="United States"/>
    <s v="Bolingbrook"/>
    <x v="10"/>
    <n v="60440"/>
    <x v="2"/>
    <x v="918"/>
    <x v="2"/>
    <x v="7"/>
    <x v="910"/>
    <n v="148.47999999999999"/>
    <s v="High"/>
    <n v="2"/>
    <n v="0.2"/>
    <x v="2"/>
    <x v="2"/>
    <n v="16.704000000000001"/>
    <n v="0.11250000000000002"/>
    <n v="0"/>
  </r>
  <r>
    <n v="7455"/>
    <s v="CA-2016-137743"/>
    <d v="2016-07-30T00:00:00"/>
    <x v="0"/>
    <s v="Q3"/>
    <x v="16"/>
    <d v="2016-08-04T00:00:00"/>
    <s v="Standard Class"/>
    <x v="347"/>
    <x v="347"/>
    <s v="Consumer"/>
    <s v="United States"/>
    <s v="Chicago"/>
    <x v="10"/>
    <n v="60623"/>
    <x v="2"/>
    <x v="1387"/>
    <x v="1"/>
    <x v="2"/>
    <x v="1373"/>
    <n v="9.2479999999999993"/>
    <s v="Low"/>
    <n v="4"/>
    <n v="0.2"/>
    <x v="2"/>
    <x v="2"/>
    <n v="3.1212"/>
    <n v="0.33750000000000002"/>
    <n v="0"/>
  </r>
  <r>
    <n v="7456"/>
    <s v="CA-2016-137743"/>
    <d v="2016-07-30T00:00:00"/>
    <x v="0"/>
    <s v="Q3"/>
    <x v="16"/>
    <d v="2016-08-04T00:00:00"/>
    <s v="Standard Class"/>
    <x v="347"/>
    <x v="347"/>
    <s v="Consumer"/>
    <s v="United States"/>
    <s v="Chicago"/>
    <x v="10"/>
    <n v="60623"/>
    <x v="2"/>
    <x v="486"/>
    <x v="1"/>
    <x v="4"/>
    <x v="486"/>
    <n v="1036.624"/>
    <s v="High"/>
    <n v="2"/>
    <n v="0.2"/>
    <x v="2"/>
    <x v="2"/>
    <n v="51.831200000000003"/>
    <n v="0.05"/>
    <n v="0"/>
  </r>
  <r>
    <n v="7457"/>
    <s v="CA-2015-137974"/>
    <d v="2015-04-16T00:00:00"/>
    <x v="1"/>
    <s v="Q2"/>
    <x v="19"/>
    <d v="2015-04-18T00:00:00"/>
    <s v="First Class"/>
    <x v="328"/>
    <x v="328"/>
    <s v="Consumer"/>
    <s v="United States"/>
    <s v="Waynesboro"/>
    <x v="17"/>
    <n v="22980"/>
    <x v="0"/>
    <x v="11"/>
    <x v="2"/>
    <x v="7"/>
    <x v="11"/>
    <n v="569.64"/>
    <s v="High"/>
    <n v="2"/>
    <n v="0"/>
    <x v="0"/>
    <x v="0"/>
    <n v="148.10640000000001"/>
    <n v="0.26"/>
    <n v="0"/>
  </r>
  <r>
    <n v="7458"/>
    <s v="CA-2015-137974"/>
    <d v="2015-04-16T00:00:00"/>
    <x v="1"/>
    <s v="Q2"/>
    <x v="19"/>
    <d v="2015-04-18T00:00:00"/>
    <s v="First Class"/>
    <x v="328"/>
    <x v="328"/>
    <s v="Consumer"/>
    <s v="United States"/>
    <s v="Waynesboro"/>
    <x v="17"/>
    <n v="22980"/>
    <x v="0"/>
    <x v="624"/>
    <x v="1"/>
    <x v="8"/>
    <x v="624"/>
    <n v="9.14"/>
    <s v="Low"/>
    <n v="1"/>
    <n v="0"/>
    <x v="0"/>
    <x v="0"/>
    <n v="4.57"/>
    <n v="0.5"/>
    <n v="0"/>
  </r>
  <r>
    <n v="7459"/>
    <s v="CA-2015-137974"/>
    <d v="2015-04-16T00:00:00"/>
    <x v="1"/>
    <s v="Q2"/>
    <x v="19"/>
    <d v="2015-04-18T00:00:00"/>
    <s v="First Class"/>
    <x v="328"/>
    <x v="328"/>
    <s v="Consumer"/>
    <s v="United States"/>
    <s v="Waynesboro"/>
    <x v="17"/>
    <n v="22980"/>
    <x v="0"/>
    <x v="1304"/>
    <x v="0"/>
    <x v="5"/>
    <x v="1289"/>
    <n v="1196.8599999999999"/>
    <s v="High"/>
    <n v="7"/>
    <n v="0"/>
    <x v="0"/>
    <x v="0"/>
    <n v="119.68600000000001"/>
    <n v="0.10000000000000002"/>
    <n v="0"/>
  </r>
  <r>
    <n v="7460"/>
    <s v="CA-2015-137974"/>
    <d v="2015-04-16T00:00:00"/>
    <x v="1"/>
    <s v="Q2"/>
    <x v="19"/>
    <d v="2015-04-18T00:00:00"/>
    <s v="First Class"/>
    <x v="328"/>
    <x v="328"/>
    <s v="Consumer"/>
    <s v="United States"/>
    <s v="Waynesboro"/>
    <x v="17"/>
    <n v="22980"/>
    <x v="0"/>
    <x v="672"/>
    <x v="0"/>
    <x v="0"/>
    <x v="672"/>
    <n v="523.26"/>
    <s v="High"/>
    <n v="9"/>
    <n v="0"/>
    <x v="0"/>
    <x v="0"/>
    <n v="125.58240000000001"/>
    <n v="0.24000000000000002"/>
    <n v="0"/>
  </r>
  <r>
    <n v="7461"/>
    <s v="US-2015-136987"/>
    <d v="2015-04-11T00:00:00"/>
    <x v="1"/>
    <s v="Q2"/>
    <x v="19"/>
    <d v="2015-04-14T00:00:00"/>
    <s v="Second Class"/>
    <x v="481"/>
    <x v="481"/>
    <s v="Consumer"/>
    <s v="United States"/>
    <s v="Los Angeles"/>
    <x v="1"/>
    <n v="90004"/>
    <x v="1"/>
    <x v="1687"/>
    <x v="2"/>
    <x v="16"/>
    <x v="1675"/>
    <n v="639.96799999999996"/>
    <s v="High"/>
    <n v="4"/>
    <n v="0.2"/>
    <x v="2"/>
    <x v="2"/>
    <n v="215.98920000000001"/>
    <n v="0.33750000000000002"/>
    <n v="0"/>
  </r>
  <r>
    <n v="7462"/>
    <s v="US-2015-136987"/>
    <d v="2015-04-11T00:00:00"/>
    <x v="1"/>
    <s v="Q2"/>
    <x v="19"/>
    <d v="2015-04-14T00:00:00"/>
    <s v="Second Class"/>
    <x v="481"/>
    <x v="481"/>
    <s v="Consumer"/>
    <s v="United States"/>
    <s v="Los Angeles"/>
    <x v="1"/>
    <n v="90004"/>
    <x v="1"/>
    <x v="813"/>
    <x v="1"/>
    <x v="10"/>
    <x v="33"/>
    <n v="52.76"/>
    <s v="Medium"/>
    <n v="2"/>
    <n v="0"/>
    <x v="0"/>
    <x v="0"/>
    <n v="24.269600000000001"/>
    <n v="0.46"/>
    <n v="0"/>
  </r>
  <r>
    <n v="7463"/>
    <s v="CA-2015-138485"/>
    <d v="2015-02-27T00:00:00"/>
    <x v="1"/>
    <s v="Q1"/>
    <x v="36"/>
    <d v="2015-03-01T00:00:00"/>
    <s v="Second Class"/>
    <x v="73"/>
    <x v="73"/>
    <s v="Consumer"/>
    <s v="United States"/>
    <s v="Seattle"/>
    <x v="4"/>
    <n v="98105"/>
    <x v="1"/>
    <x v="333"/>
    <x v="2"/>
    <x v="11"/>
    <x v="333"/>
    <n v="538.91999999999996"/>
    <s v="High"/>
    <n v="9"/>
    <n v="0"/>
    <x v="0"/>
    <x v="0"/>
    <n v="80.837999999999994"/>
    <n v="0.15"/>
    <n v="0"/>
  </r>
  <r>
    <n v="7464"/>
    <s v="CA-2016-103709"/>
    <d v="2016-09-08T00:00:00"/>
    <x v="0"/>
    <s v="Q3"/>
    <x v="21"/>
    <d v="2016-09-15T00:00:00"/>
    <s v="Standard Class"/>
    <x v="431"/>
    <x v="431"/>
    <s v="Consumer"/>
    <s v="United States"/>
    <s v="Visalia"/>
    <x v="1"/>
    <n v="93277"/>
    <x v="1"/>
    <x v="1453"/>
    <x v="1"/>
    <x v="6"/>
    <x v="1439"/>
    <n v="14.88"/>
    <s v="Low"/>
    <n v="2"/>
    <n v="0"/>
    <x v="0"/>
    <x v="0"/>
    <n v="3.72"/>
    <n v="0.25"/>
    <n v="0"/>
  </r>
  <r>
    <n v="7465"/>
    <s v="CA-2016-103709"/>
    <d v="2016-09-08T00:00:00"/>
    <x v="0"/>
    <s v="Q3"/>
    <x v="21"/>
    <d v="2016-09-15T00:00:00"/>
    <s v="Standard Class"/>
    <x v="431"/>
    <x v="431"/>
    <s v="Consumer"/>
    <s v="United States"/>
    <s v="Visalia"/>
    <x v="1"/>
    <n v="93277"/>
    <x v="1"/>
    <x v="1532"/>
    <x v="1"/>
    <x v="10"/>
    <x v="1520"/>
    <n v="34.24"/>
    <s v="Medium"/>
    <n v="8"/>
    <n v="0"/>
    <x v="0"/>
    <x v="0"/>
    <n v="15.407999999999999"/>
    <n v="0.44999999999999996"/>
    <n v="0"/>
  </r>
  <r>
    <n v="7466"/>
    <s v="CA-2016-103709"/>
    <d v="2016-09-08T00:00:00"/>
    <x v="0"/>
    <s v="Q3"/>
    <x v="21"/>
    <d v="2016-09-15T00:00:00"/>
    <s v="Standard Class"/>
    <x v="431"/>
    <x v="431"/>
    <s v="Consumer"/>
    <s v="United States"/>
    <s v="Visalia"/>
    <x v="1"/>
    <n v="93277"/>
    <x v="1"/>
    <x v="533"/>
    <x v="1"/>
    <x v="4"/>
    <x v="533"/>
    <n v="261.74"/>
    <s v="High"/>
    <n v="2"/>
    <n v="0"/>
    <x v="0"/>
    <x v="0"/>
    <n v="65.435000000000002"/>
    <n v="0.25"/>
    <n v="0"/>
  </r>
  <r>
    <n v="7467"/>
    <s v="CA-2016-138282"/>
    <d v="2016-05-19T00:00:00"/>
    <x v="0"/>
    <s v="Q2"/>
    <x v="35"/>
    <d v="2016-05-23T00:00:00"/>
    <s v="Standard Class"/>
    <x v="706"/>
    <x v="706"/>
    <s v="Corporate"/>
    <s v="United States"/>
    <s v="Los Angeles"/>
    <x v="1"/>
    <n v="90008"/>
    <x v="1"/>
    <x v="1644"/>
    <x v="1"/>
    <x v="9"/>
    <x v="360"/>
    <n v="87.84"/>
    <s v="Medium"/>
    <n v="8"/>
    <n v="0"/>
    <x v="0"/>
    <x v="0"/>
    <n v="23.716799999999999"/>
    <n v="0.26999999999999996"/>
    <n v="0"/>
  </r>
  <r>
    <n v="7468"/>
    <s v="CA-2017-148985"/>
    <d v="2017-11-11T00:00:00"/>
    <x v="3"/>
    <s v="Q4"/>
    <x v="23"/>
    <d v="2017-11-15T00:00:00"/>
    <s v="Second Class"/>
    <x v="353"/>
    <x v="353"/>
    <s v="Home Office"/>
    <s v="United States"/>
    <s v="Los Angeles"/>
    <x v="1"/>
    <n v="90045"/>
    <x v="1"/>
    <x v="698"/>
    <x v="0"/>
    <x v="5"/>
    <x v="698"/>
    <n v="34.92"/>
    <s v="Medium"/>
    <n v="4"/>
    <n v="0"/>
    <x v="0"/>
    <x v="0"/>
    <n v="11.8728"/>
    <n v="0.33999999999999997"/>
    <n v="0"/>
  </r>
  <r>
    <n v="7469"/>
    <s v="CA-2014-138100"/>
    <d v="2014-09-15T00:00:00"/>
    <x v="2"/>
    <s v="Q3"/>
    <x v="30"/>
    <d v="2014-09-20T00:00:00"/>
    <s v="Standard Class"/>
    <x v="397"/>
    <x v="397"/>
    <s v="Consumer"/>
    <s v="United States"/>
    <s v="New York City"/>
    <x v="15"/>
    <n v="10011"/>
    <x v="3"/>
    <x v="811"/>
    <x v="1"/>
    <x v="10"/>
    <x v="33"/>
    <n v="14.94"/>
    <s v="Low"/>
    <n v="3"/>
    <n v="0"/>
    <x v="0"/>
    <x v="0"/>
    <n v="7.0217999999999998"/>
    <n v="0.47000000000000003"/>
    <n v="0"/>
  </r>
  <r>
    <n v="7470"/>
    <s v="CA-2014-138100"/>
    <d v="2014-09-15T00:00:00"/>
    <x v="2"/>
    <s v="Q3"/>
    <x v="30"/>
    <d v="2014-09-20T00:00:00"/>
    <s v="Standard Class"/>
    <x v="397"/>
    <x v="397"/>
    <s v="Consumer"/>
    <s v="United States"/>
    <s v="New York City"/>
    <x v="15"/>
    <n v="10011"/>
    <x v="3"/>
    <x v="1027"/>
    <x v="0"/>
    <x v="5"/>
    <x v="1018"/>
    <n v="14.56"/>
    <s v="Low"/>
    <n v="2"/>
    <n v="0"/>
    <x v="0"/>
    <x v="0"/>
    <n v="6.2607999999999997"/>
    <n v="0.42999999999999994"/>
    <n v="0"/>
  </r>
  <r>
    <n v="7471"/>
    <s v="CA-2015-100734"/>
    <d v="2015-09-15T00:00:00"/>
    <x v="1"/>
    <s v="Q3"/>
    <x v="11"/>
    <d v="2015-09-20T00:00:00"/>
    <s v="Standard Class"/>
    <x v="556"/>
    <x v="556"/>
    <s v="Corporate"/>
    <s v="United States"/>
    <s v="Philadelphia"/>
    <x v="9"/>
    <n v="19143"/>
    <x v="3"/>
    <x v="98"/>
    <x v="1"/>
    <x v="8"/>
    <x v="98"/>
    <n v="3.5760000000000001"/>
    <s v="Low"/>
    <n v="4"/>
    <n v="0.7"/>
    <x v="1"/>
    <x v="5"/>
    <n v="-2.8607999999999998"/>
    <n v="-0.79999999999999993"/>
    <n v="1"/>
  </r>
  <r>
    <n v="7472"/>
    <s v="CA-2015-100734"/>
    <d v="2015-09-15T00:00:00"/>
    <x v="1"/>
    <s v="Q3"/>
    <x v="11"/>
    <d v="2015-09-20T00:00:00"/>
    <s v="Standard Class"/>
    <x v="556"/>
    <x v="556"/>
    <s v="Corporate"/>
    <s v="United States"/>
    <s v="Philadelphia"/>
    <x v="9"/>
    <n v="19143"/>
    <x v="3"/>
    <x v="196"/>
    <x v="1"/>
    <x v="4"/>
    <x v="197"/>
    <n v="147.184"/>
    <s v="High"/>
    <n v="2"/>
    <n v="0.2"/>
    <x v="2"/>
    <x v="2"/>
    <n v="-29.436800000000002"/>
    <n v="-0.2"/>
    <n v="1"/>
  </r>
  <r>
    <n v="7473"/>
    <s v="CA-2016-139997"/>
    <d v="2016-07-01T00:00:00"/>
    <x v="0"/>
    <s v="Q3"/>
    <x v="16"/>
    <d v="2016-07-03T00:00:00"/>
    <s v="First Class"/>
    <x v="670"/>
    <x v="670"/>
    <s v="Home Office"/>
    <s v="United States"/>
    <s v="Lehi"/>
    <x v="7"/>
    <n v="84043"/>
    <x v="1"/>
    <x v="1327"/>
    <x v="2"/>
    <x v="16"/>
    <x v="1313"/>
    <n v="1499.95"/>
    <s v="High"/>
    <n v="5"/>
    <n v="0"/>
    <x v="0"/>
    <x v="0"/>
    <n v="449.98500000000001"/>
    <n v="0.3"/>
    <n v="0"/>
  </r>
  <r>
    <n v="7474"/>
    <s v="CA-2016-109652"/>
    <d v="2016-04-10T00:00:00"/>
    <x v="0"/>
    <s v="Q2"/>
    <x v="25"/>
    <d v="2016-04-15T00:00:00"/>
    <s v="Standard Class"/>
    <x v="425"/>
    <x v="425"/>
    <s v="Corporate"/>
    <s v="United States"/>
    <s v="Chicago"/>
    <x v="10"/>
    <n v="60653"/>
    <x v="2"/>
    <x v="753"/>
    <x v="1"/>
    <x v="6"/>
    <x v="751"/>
    <n v="13.568"/>
    <s v="Low"/>
    <n v="4"/>
    <n v="0.2"/>
    <x v="2"/>
    <x v="2"/>
    <n v="3.2223999999999999"/>
    <n v="0.23749999999999999"/>
    <n v="0"/>
  </r>
  <r>
    <n v="7475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120"/>
    <x v="0"/>
    <x v="1"/>
    <x v="120"/>
    <n v="2573.8200000000002"/>
    <s v="High"/>
    <n v="9"/>
    <n v="0"/>
    <x v="0"/>
    <x v="0"/>
    <n v="746.40779999999995"/>
    <n v="0.28999999999999998"/>
    <n v="0"/>
  </r>
  <r>
    <n v="7476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569"/>
    <x v="1"/>
    <x v="8"/>
    <x v="569"/>
    <n v="609.98"/>
    <s v="High"/>
    <n v="2"/>
    <n v="0"/>
    <x v="0"/>
    <x v="0"/>
    <n v="274.49099999999999"/>
    <n v="0.44999999999999996"/>
    <n v="0"/>
  </r>
  <r>
    <n v="7477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448"/>
    <x v="1"/>
    <x v="6"/>
    <x v="448"/>
    <n v="5.48"/>
    <s v="Low"/>
    <n v="2"/>
    <n v="0"/>
    <x v="0"/>
    <x v="0"/>
    <n v="1.4796"/>
    <n v="0.26999999999999996"/>
    <n v="0"/>
  </r>
  <r>
    <n v="7478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34"/>
    <x v="2"/>
    <x v="7"/>
    <x v="34"/>
    <n v="391.98"/>
    <s v="High"/>
    <n v="2"/>
    <n v="0"/>
    <x v="0"/>
    <x v="0"/>
    <n v="113.6742"/>
    <n v="0.28999999999999998"/>
    <n v="0"/>
  </r>
  <r>
    <n v="7479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867"/>
    <x v="2"/>
    <x v="7"/>
    <x v="861"/>
    <n v="755.96"/>
    <s v="High"/>
    <n v="4"/>
    <n v="0"/>
    <x v="0"/>
    <x v="0"/>
    <n v="204.10919999999999"/>
    <n v="0.26999999999999996"/>
    <n v="0"/>
  </r>
  <r>
    <n v="7480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1506"/>
    <x v="1"/>
    <x v="13"/>
    <x v="1493"/>
    <n v="31.12"/>
    <s v="Medium"/>
    <n v="4"/>
    <n v="0"/>
    <x v="0"/>
    <x v="0"/>
    <n v="0.31119999999999998"/>
    <n v="9.9999999999999985E-3"/>
    <n v="0"/>
  </r>
  <r>
    <n v="7481"/>
    <s v="CA-2014-167199"/>
    <d v="2014-01-06T00:00:00"/>
    <x v="2"/>
    <s v="Q1"/>
    <x v="46"/>
    <d v="2014-01-10T00:00:00"/>
    <s v="Standard Class"/>
    <x v="467"/>
    <x v="467"/>
    <s v="Home Office"/>
    <s v="United States"/>
    <s v="Henderson"/>
    <x v="0"/>
    <n v="42420"/>
    <x v="0"/>
    <x v="783"/>
    <x v="1"/>
    <x v="10"/>
    <x v="782"/>
    <n v="6.54"/>
    <s v="Low"/>
    <n v="1"/>
    <n v="0"/>
    <x v="0"/>
    <x v="0"/>
    <n v="3.0084"/>
    <n v="0.45999999999999996"/>
    <n v="0"/>
  </r>
  <r>
    <n v="7482"/>
    <s v="CA-2016-124583"/>
    <d v="2016-09-01T00:00:00"/>
    <x v="0"/>
    <s v="Q3"/>
    <x v="21"/>
    <d v="2016-09-03T00:00:00"/>
    <s v="Second Class"/>
    <x v="697"/>
    <x v="697"/>
    <s v="Home Office"/>
    <s v="United States"/>
    <s v="Huntington Beach"/>
    <x v="1"/>
    <n v="92646"/>
    <x v="1"/>
    <x v="118"/>
    <x v="1"/>
    <x v="12"/>
    <x v="118"/>
    <n v="12.78"/>
    <s v="Low"/>
    <n v="1"/>
    <n v="0"/>
    <x v="0"/>
    <x v="0"/>
    <n v="5.7510000000000003"/>
    <n v="0.45000000000000007"/>
    <n v="0"/>
  </r>
  <r>
    <n v="7483"/>
    <s v="CA-2014-113964"/>
    <d v="2014-09-23T00:00:00"/>
    <x v="2"/>
    <s v="Q3"/>
    <x v="30"/>
    <d v="2014-09-30T00:00:00"/>
    <s v="Standard Class"/>
    <x v="655"/>
    <x v="655"/>
    <s v="Home Office"/>
    <s v="United States"/>
    <s v="New York City"/>
    <x v="15"/>
    <n v="10011"/>
    <x v="3"/>
    <x v="68"/>
    <x v="1"/>
    <x v="8"/>
    <x v="68"/>
    <n v="18.463999999999999"/>
    <s v="Low"/>
    <n v="4"/>
    <n v="0.2"/>
    <x v="2"/>
    <x v="2"/>
    <n v="6.9240000000000004"/>
    <n v="0.37500000000000006"/>
    <n v="0"/>
  </r>
  <r>
    <n v="7484"/>
    <s v="CA-2014-129938"/>
    <d v="2014-12-15T00:00:00"/>
    <x v="2"/>
    <s v="Q4"/>
    <x v="20"/>
    <d v="2014-12-17T00:00:00"/>
    <s v="Second Class"/>
    <x v="182"/>
    <x v="182"/>
    <s v="Corporate"/>
    <s v="United States"/>
    <s v="Philadelphia"/>
    <x v="9"/>
    <n v="19140"/>
    <x v="3"/>
    <x v="1209"/>
    <x v="0"/>
    <x v="1"/>
    <x v="1194"/>
    <n v="445.80200000000002"/>
    <s v="High"/>
    <n v="7"/>
    <n v="0.3"/>
    <x v="1"/>
    <x v="4"/>
    <n v="-108.2662"/>
    <n v="-0.24285714285714283"/>
    <n v="1"/>
  </r>
  <r>
    <n v="7485"/>
    <s v="CA-2017-135111"/>
    <d v="2017-12-28T00:00:00"/>
    <x v="3"/>
    <s v="Q4"/>
    <x v="22"/>
    <d v="2018-01-02T00:00:00"/>
    <s v="Standard Class"/>
    <x v="37"/>
    <x v="37"/>
    <s v="Home Office"/>
    <s v="United States"/>
    <s v="Fargo"/>
    <x v="46"/>
    <n v="58103"/>
    <x v="2"/>
    <x v="1820"/>
    <x v="1"/>
    <x v="6"/>
    <x v="772"/>
    <n v="2.48"/>
    <s v="Low"/>
    <n v="1"/>
    <n v="0"/>
    <x v="0"/>
    <x v="0"/>
    <n v="0.86799999999999999"/>
    <n v="0.35"/>
    <n v="0"/>
  </r>
  <r>
    <n v="7486"/>
    <s v="CA-2017-135111"/>
    <d v="2017-12-28T00:00:00"/>
    <x v="3"/>
    <s v="Q4"/>
    <x v="22"/>
    <d v="2018-01-02T00:00:00"/>
    <s v="Standard Class"/>
    <x v="37"/>
    <x v="37"/>
    <s v="Home Office"/>
    <s v="United States"/>
    <s v="Fargo"/>
    <x v="46"/>
    <n v="58103"/>
    <x v="2"/>
    <x v="1499"/>
    <x v="1"/>
    <x v="8"/>
    <x v="1487"/>
    <n v="25.9"/>
    <s v="Medium"/>
    <n v="5"/>
    <n v="0"/>
    <x v="0"/>
    <x v="0"/>
    <n v="12.691000000000001"/>
    <n v="0.49000000000000005"/>
    <n v="0"/>
  </r>
  <r>
    <n v="7487"/>
    <s v="US-2015-134558"/>
    <d v="2015-12-19T00:00:00"/>
    <x v="1"/>
    <s v="Q4"/>
    <x v="14"/>
    <d v="2015-12-24T00:00:00"/>
    <s v="Second Class"/>
    <x v="327"/>
    <x v="327"/>
    <s v="Home Office"/>
    <s v="United States"/>
    <s v="Dover"/>
    <x v="38"/>
    <n v="3820"/>
    <x v="3"/>
    <x v="1331"/>
    <x v="1"/>
    <x v="10"/>
    <x v="1316"/>
    <n v="29.9"/>
    <s v="Medium"/>
    <n v="5"/>
    <n v="0"/>
    <x v="0"/>
    <x v="0"/>
    <n v="14.651"/>
    <n v="0.49"/>
    <n v="0"/>
  </r>
  <r>
    <n v="7488"/>
    <s v="US-2015-134558"/>
    <d v="2015-12-19T00:00:00"/>
    <x v="1"/>
    <s v="Q4"/>
    <x v="14"/>
    <d v="2015-12-24T00:00:00"/>
    <s v="Second Class"/>
    <x v="327"/>
    <x v="327"/>
    <s v="Home Office"/>
    <s v="United States"/>
    <s v="Dover"/>
    <x v="38"/>
    <n v="3820"/>
    <x v="3"/>
    <x v="1287"/>
    <x v="2"/>
    <x v="11"/>
    <x v="1273"/>
    <n v="2249.91"/>
    <s v="High"/>
    <n v="9"/>
    <n v="0"/>
    <x v="0"/>
    <x v="0"/>
    <n v="517.47929999999997"/>
    <n v="0.23"/>
    <n v="0"/>
  </r>
  <r>
    <n v="7489"/>
    <s v="US-2015-134558"/>
    <d v="2015-12-19T00:00:00"/>
    <x v="1"/>
    <s v="Q4"/>
    <x v="14"/>
    <d v="2015-12-24T00:00:00"/>
    <s v="Second Class"/>
    <x v="327"/>
    <x v="327"/>
    <s v="Home Office"/>
    <s v="United States"/>
    <s v="Dover"/>
    <x v="38"/>
    <n v="3820"/>
    <x v="3"/>
    <x v="215"/>
    <x v="0"/>
    <x v="3"/>
    <x v="216"/>
    <n v="1053.164"/>
    <s v="High"/>
    <n v="4"/>
    <n v="0.3"/>
    <x v="1"/>
    <x v="4"/>
    <n v="-105.3164"/>
    <n v="-0.1"/>
    <n v="1"/>
  </r>
  <r>
    <n v="7490"/>
    <s v="CA-2017-157196"/>
    <d v="2017-11-05T00:00:00"/>
    <x v="3"/>
    <s v="Q4"/>
    <x v="23"/>
    <d v="2017-11-09T00:00:00"/>
    <s v="Standard Class"/>
    <x v="731"/>
    <x v="731"/>
    <s v="Consumer"/>
    <s v="United States"/>
    <s v="San Diego"/>
    <x v="1"/>
    <n v="92105"/>
    <x v="1"/>
    <x v="860"/>
    <x v="1"/>
    <x v="10"/>
    <x v="854"/>
    <n v="12.96"/>
    <s v="Low"/>
    <n v="2"/>
    <n v="0"/>
    <x v="0"/>
    <x v="0"/>
    <n v="6.2207999999999997"/>
    <n v="0.47999999999999993"/>
    <n v="0"/>
  </r>
  <r>
    <n v="7491"/>
    <s v="CA-2015-108672"/>
    <d v="2015-09-10T00:00:00"/>
    <x v="1"/>
    <s v="Q3"/>
    <x v="11"/>
    <d v="2015-09-16T00:00:00"/>
    <s v="Standard Class"/>
    <x v="135"/>
    <x v="135"/>
    <s v="Corporate"/>
    <s v="United States"/>
    <s v="Los Angeles"/>
    <x v="1"/>
    <n v="90032"/>
    <x v="1"/>
    <x v="90"/>
    <x v="0"/>
    <x v="5"/>
    <x v="90"/>
    <n v="106.68"/>
    <s v="Medium"/>
    <n v="6"/>
    <n v="0"/>
    <x v="0"/>
    <x v="0"/>
    <n v="33.070799999999998"/>
    <n v="0.30999999999999994"/>
    <n v="0"/>
  </r>
  <r>
    <n v="7492"/>
    <s v="US-2017-118598"/>
    <d v="2017-11-16T00:00:00"/>
    <x v="3"/>
    <s v="Q4"/>
    <x v="23"/>
    <d v="2017-11-16T00:00:00"/>
    <s v="Same Day"/>
    <x v="496"/>
    <x v="496"/>
    <s v="Consumer"/>
    <s v="United States"/>
    <s v="Utica"/>
    <x v="15"/>
    <n v="13501"/>
    <x v="3"/>
    <x v="1730"/>
    <x v="2"/>
    <x v="7"/>
    <x v="1717"/>
    <n v="119.94"/>
    <s v="Medium"/>
    <n v="6"/>
    <n v="0"/>
    <x v="0"/>
    <x v="0"/>
    <n v="5.9969999999999999"/>
    <n v="0.05"/>
    <n v="0"/>
  </r>
  <r>
    <n v="7493"/>
    <s v="US-2017-160836"/>
    <d v="2017-09-11T00:00:00"/>
    <x v="3"/>
    <s v="Q3"/>
    <x v="15"/>
    <d v="2017-09-16T00:00:00"/>
    <s v="Standard Class"/>
    <x v="693"/>
    <x v="693"/>
    <s v="Consumer"/>
    <s v="United States"/>
    <s v="Houston"/>
    <x v="5"/>
    <n v="77070"/>
    <x v="2"/>
    <x v="1433"/>
    <x v="1"/>
    <x v="10"/>
    <x v="1421"/>
    <n v="10.272"/>
    <s v="Low"/>
    <n v="3"/>
    <n v="0.2"/>
    <x v="2"/>
    <x v="2"/>
    <n v="3.21"/>
    <n v="0.3125"/>
    <n v="0"/>
  </r>
  <r>
    <n v="7494"/>
    <s v="US-2017-160836"/>
    <d v="2017-09-11T00:00:00"/>
    <x v="3"/>
    <s v="Q3"/>
    <x v="15"/>
    <d v="2017-09-16T00:00:00"/>
    <s v="Standard Class"/>
    <x v="693"/>
    <x v="693"/>
    <s v="Consumer"/>
    <s v="United States"/>
    <s v="Houston"/>
    <x v="5"/>
    <n v="77070"/>
    <x v="2"/>
    <x v="1213"/>
    <x v="0"/>
    <x v="3"/>
    <x v="1198"/>
    <n v="512.19000000000005"/>
    <s v="High"/>
    <n v="5"/>
    <n v="0.3"/>
    <x v="1"/>
    <x v="4"/>
    <n v="-65.852999999999994"/>
    <n v="-0.12857142857142856"/>
    <n v="1"/>
  </r>
  <r>
    <n v="7495"/>
    <s v="US-2017-160836"/>
    <d v="2017-09-11T00:00:00"/>
    <x v="3"/>
    <s v="Q3"/>
    <x v="15"/>
    <d v="2017-09-16T00:00:00"/>
    <s v="Standard Class"/>
    <x v="693"/>
    <x v="693"/>
    <s v="Consumer"/>
    <s v="United States"/>
    <s v="Houston"/>
    <x v="5"/>
    <n v="77070"/>
    <x v="2"/>
    <x v="1034"/>
    <x v="1"/>
    <x v="9"/>
    <x v="1025"/>
    <n v="1.556"/>
    <s v="Low"/>
    <n v="2"/>
    <n v="0.8"/>
    <x v="1"/>
    <x v="3"/>
    <n v="-4.2012"/>
    <n v="-2.6999999999999997"/>
    <n v="1"/>
  </r>
  <r>
    <n v="7496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757"/>
    <x v="1"/>
    <x v="8"/>
    <x v="755"/>
    <n v="4.4480000000000004"/>
    <s v="Low"/>
    <n v="2"/>
    <n v="0.2"/>
    <x v="2"/>
    <x v="2"/>
    <n v="1.4456"/>
    <n v="0.32499999999999996"/>
    <n v="0"/>
  </r>
  <r>
    <n v="7497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737"/>
    <x v="0"/>
    <x v="5"/>
    <x v="736"/>
    <n v="276.69"/>
    <s v="High"/>
    <n v="3"/>
    <n v="0"/>
    <x v="0"/>
    <x v="0"/>
    <n v="49.804200000000002"/>
    <n v="0.18"/>
    <n v="0"/>
  </r>
  <r>
    <n v="7498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310"/>
    <x v="1"/>
    <x v="13"/>
    <x v="310"/>
    <n v="4.96"/>
    <s v="Low"/>
    <n v="4"/>
    <n v="0"/>
    <x v="0"/>
    <x v="0"/>
    <n v="2.3311999999999999"/>
    <n v="0.47"/>
    <n v="0"/>
  </r>
  <r>
    <n v="7499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30"/>
    <x v="1"/>
    <x v="6"/>
    <x v="30"/>
    <n v="71.92"/>
    <s v="Medium"/>
    <n v="4"/>
    <n v="0"/>
    <x v="0"/>
    <x v="0"/>
    <n v="20.8568"/>
    <n v="0.28999999999999998"/>
    <n v="0"/>
  </r>
  <r>
    <n v="7500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191"/>
    <x v="0"/>
    <x v="5"/>
    <x v="192"/>
    <n v="18.84"/>
    <s v="Low"/>
    <n v="3"/>
    <n v="0"/>
    <x v="0"/>
    <x v="0"/>
    <n v="7.9127999999999998"/>
    <n v="0.42"/>
    <n v="0"/>
  </r>
  <r>
    <n v="7501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437"/>
    <x v="2"/>
    <x v="11"/>
    <x v="437"/>
    <n v="140.97"/>
    <s v="High"/>
    <n v="3"/>
    <n v="0"/>
    <x v="0"/>
    <x v="0"/>
    <n v="19.735800000000001"/>
    <n v="0.14000000000000001"/>
    <n v="0"/>
  </r>
  <r>
    <n v="7502"/>
    <s v="CA-2017-121048"/>
    <d v="2017-07-14T00:00:00"/>
    <x v="3"/>
    <s v="Q3"/>
    <x v="10"/>
    <d v="2017-07-18T00:00:00"/>
    <s v="Standard Class"/>
    <x v="646"/>
    <x v="646"/>
    <s v="Consumer"/>
    <s v="United States"/>
    <s v="Westminster"/>
    <x v="1"/>
    <n v="92683"/>
    <x v="1"/>
    <x v="34"/>
    <x v="2"/>
    <x v="7"/>
    <x v="34"/>
    <n v="470.37599999999998"/>
    <s v="High"/>
    <n v="3"/>
    <n v="0.2"/>
    <x v="2"/>
    <x v="2"/>
    <n v="52.917299999999997"/>
    <n v="0.1125"/>
    <n v="0"/>
  </r>
  <r>
    <n v="7503"/>
    <s v="US-2017-120147"/>
    <d v="2017-03-30T00:00:00"/>
    <x v="3"/>
    <s v="Q1"/>
    <x v="42"/>
    <d v="2017-03-30T00:00:00"/>
    <s v="Same Day"/>
    <x v="483"/>
    <x v="483"/>
    <s v="Consumer"/>
    <s v="United States"/>
    <s v="Los Angeles"/>
    <x v="1"/>
    <n v="90036"/>
    <x v="1"/>
    <x v="1279"/>
    <x v="1"/>
    <x v="6"/>
    <x v="1264"/>
    <n v="6.08"/>
    <s v="Low"/>
    <n v="2"/>
    <n v="0"/>
    <x v="0"/>
    <x v="0"/>
    <n v="2.0672000000000001"/>
    <n v="0.34"/>
    <n v="0"/>
  </r>
  <r>
    <n v="7504"/>
    <s v="US-2017-120147"/>
    <d v="2017-03-30T00:00:00"/>
    <x v="3"/>
    <s v="Q1"/>
    <x v="42"/>
    <d v="2017-03-30T00:00:00"/>
    <s v="Same Day"/>
    <x v="483"/>
    <x v="483"/>
    <s v="Consumer"/>
    <s v="United States"/>
    <s v="Los Angeles"/>
    <x v="1"/>
    <n v="90036"/>
    <x v="1"/>
    <x v="53"/>
    <x v="2"/>
    <x v="7"/>
    <x v="53"/>
    <n v="164.792"/>
    <s v="High"/>
    <n v="1"/>
    <n v="0.2"/>
    <x v="2"/>
    <x v="2"/>
    <n v="18.539100000000001"/>
    <n v="0.1125"/>
    <n v="0"/>
  </r>
  <r>
    <n v="7505"/>
    <s v="CA-2016-158043"/>
    <d v="2016-01-31T00:00:00"/>
    <x v="0"/>
    <s v="Q1"/>
    <x v="12"/>
    <d v="2016-02-04T00:00:00"/>
    <s v="Second Class"/>
    <x v="759"/>
    <x v="759"/>
    <s v="Corporate"/>
    <s v="United States"/>
    <s v="Atlantic City"/>
    <x v="30"/>
    <n v="8401"/>
    <x v="3"/>
    <x v="1040"/>
    <x v="1"/>
    <x v="12"/>
    <x v="153"/>
    <n v="23.36"/>
    <s v="Low"/>
    <n v="2"/>
    <n v="0"/>
    <x v="0"/>
    <x v="0"/>
    <n v="11.68"/>
    <n v="0.5"/>
    <n v="0"/>
  </r>
  <r>
    <n v="7506"/>
    <s v="US-2017-106579"/>
    <d v="2017-06-08T00:00:00"/>
    <x v="3"/>
    <s v="Q2"/>
    <x v="27"/>
    <d v="2017-06-13T00:00:00"/>
    <s v="Standard Class"/>
    <x v="572"/>
    <x v="572"/>
    <s v="Consumer"/>
    <s v="United States"/>
    <s v="Skokie"/>
    <x v="10"/>
    <n v="60076"/>
    <x v="2"/>
    <x v="338"/>
    <x v="1"/>
    <x v="8"/>
    <x v="338"/>
    <n v="12.176"/>
    <s v="Low"/>
    <n v="4"/>
    <n v="0.8"/>
    <x v="1"/>
    <x v="3"/>
    <n v="-18.872800000000002"/>
    <n v="-1.55"/>
    <n v="1"/>
  </r>
  <r>
    <n v="7507"/>
    <s v="CA-2014-115889"/>
    <d v="2014-11-02T00:00:00"/>
    <x v="2"/>
    <s v="Q4"/>
    <x v="7"/>
    <d v="2014-11-06T00:00:00"/>
    <s v="Standard Class"/>
    <x v="129"/>
    <x v="129"/>
    <s v="Consumer"/>
    <s v="United States"/>
    <s v="San Francisco"/>
    <x v="1"/>
    <n v="94122"/>
    <x v="1"/>
    <x v="1129"/>
    <x v="2"/>
    <x v="7"/>
    <x v="1117"/>
    <n v="46.384"/>
    <s v="Medium"/>
    <n v="2"/>
    <n v="0.2"/>
    <x v="2"/>
    <x v="2"/>
    <n v="5.2182000000000004"/>
    <n v="0.1125"/>
    <n v="0"/>
  </r>
  <r>
    <n v="7508"/>
    <s v="CA-2014-115889"/>
    <d v="2014-11-02T00:00:00"/>
    <x v="2"/>
    <s v="Q4"/>
    <x v="7"/>
    <d v="2014-11-06T00:00:00"/>
    <s v="Standard Class"/>
    <x v="129"/>
    <x v="129"/>
    <s v="Consumer"/>
    <s v="United States"/>
    <s v="San Francisco"/>
    <x v="1"/>
    <n v="94122"/>
    <x v="1"/>
    <x v="245"/>
    <x v="1"/>
    <x v="4"/>
    <x v="246"/>
    <n v="362.92"/>
    <s v="High"/>
    <n v="2"/>
    <n v="0"/>
    <x v="0"/>
    <x v="0"/>
    <n v="105.24679999999999"/>
    <n v="0.28999999999999998"/>
    <n v="0"/>
  </r>
  <r>
    <n v="7509"/>
    <s v="US-2017-161935"/>
    <d v="2017-07-14T00:00:00"/>
    <x v="3"/>
    <s v="Q3"/>
    <x v="10"/>
    <d v="2017-07-18T00:00:00"/>
    <s v="Standard Class"/>
    <x v="252"/>
    <x v="252"/>
    <s v="Consumer"/>
    <s v="United States"/>
    <s v="Columbus"/>
    <x v="24"/>
    <n v="43229"/>
    <x v="3"/>
    <x v="820"/>
    <x v="1"/>
    <x v="10"/>
    <x v="816"/>
    <n v="9.2479999999999993"/>
    <s v="Low"/>
    <n v="2"/>
    <n v="0.2"/>
    <x v="2"/>
    <x v="2"/>
    <n v="3.3523999999999998"/>
    <n v="0.36249999999999999"/>
    <n v="0"/>
  </r>
  <r>
    <n v="7510"/>
    <s v="US-2017-161935"/>
    <d v="2017-07-14T00:00:00"/>
    <x v="3"/>
    <s v="Q3"/>
    <x v="10"/>
    <d v="2017-07-18T00:00:00"/>
    <s v="Standard Class"/>
    <x v="252"/>
    <x v="252"/>
    <s v="Consumer"/>
    <s v="United States"/>
    <s v="Columbus"/>
    <x v="24"/>
    <n v="43229"/>
    <x v="3"/>
    <x v="754"/>
    <x v="2"/>
    <x v="7"/>
    <x v="752"/>
    <n v="1889.9459999999999"/>
    <s v="High"/>
    <n v="9"/>
    <n v="0.4"/>
    <x v="1"/>
    <x v="7"/>
    <n v="-377.98919999999998"/>
    <n v="-0.2"/>
    <n v="1"/>
  </r>
  <r>
    <n v="7511"/>
    <s v="US-2017-161935"/>
    <d v="2017-07-14T00:00:00"/>
    <x v="3"/>
    <s v="Q3"/>
    <x v="10"/>
    <d v="2017-07-18T00:00:00"/>
    <s v="Standard Class"/>
    <x v="252"/>
    <x v="252"/>
    <s v="Consumer"/>
    <s v="United States"/>
    <s v="Columbus"/>
    <x v="24"/>
    <n v="43229"/>
    <x v="3"/>
    <x v="170"/>
    <x v="1"/>
    <x v="4"/>
    <x v="171"/>
    <n v="62.04"/>
    <s v="Medium"/>
    <n v="5"/>
    <n v="0.2"/>
    <x v="2"/>
    <x v="2"/>
    <n v="4.6529999999999996"/>
    <n v="7.4999999999999997E-2"/>
    <n v="0"/>
  </r>
  <r>
    <n v="7512"/>
    <s v="US-2017-161935"/>
    <d v="2017-07-14T00:00:00"/>
    <x v="3"/>
    <s v="Q3"/>
    <x v="10"/>
    <d v="2017-07-18T00:00:00"/>
    <s v="Standard Class"/>
    <x v="252"/>
    <x v="252"/>
    <s v="Consumer"/>
    <s v="United States"/>
    <s v="Columbus"/>
    <x v="24"/>
    <n v="43229"/>
    <x v="3"/>
    <x v="1071"/>
    <x v="0"/>
    <x v="5"/>
    <x v="1060"/>
    <n v="396.92"/>
    <s v="High"/>
    <n v="5"/>
    <n v="0.2"/>
    <x v="2"/>
    <x v="2"/>
    <n v="148.845"/>
    <n v="0.375"/>
    <n v="0"/>
  </r>
  <r>
    <n v="7513"/>
    <s v="US-2017-161935"/>
    <d v="2017-07-14T00:00:00"/>
    <x v="3"/>
    <s v="Q3"/>
    <x v="10"/>
    <d v="2017-07-18T00:00:00"/>
    <s v="Standard Class"/>
    <x v="252"/>
    <x v="252"/>
    <s v="Consumer"/>
    <s v="United States"/>
    <s v="Columbus"/>
    <x v="24"/>
    <n v="43229"/>
    <x v="3"/>
    <x v="1354"/>
    <x v="1"/>
    <x v="4"/>
    <x v="1340"/>
    <n v="239.45599999999999"/>
    <s v="High"/>
    <n v="7"/>
    <n v="0.2"/>
    <x v="2"/>
    <x v="2"/>
    <n v="17.959199999999999"/>
    <n v="7.4999999999999997E-2"/>
    <n v="0"/>
  </r>
  <r>
    <n v="7514"/>
    <s v="US-2017-161935"/>
    <d v="2017-07-14T00:00:00"/>
    <x v="3"/>
    <s v="Q3"/>
    <x v="10"/>
    <d v="2017-07-18T00:00:00"/>
    <s v="Standard Class"/>
    <x v="252"/>
    <x v="252"/>
    <s v="Consumer"/>
    <s v="United States"/>
    <s v="Columbus"/>
    <x v="24"/>
    <n v="43229"/>
    <x v="3"/>
    <x v="346"/>
    <x v="1"/>
    <x v="6"/>
    <x v="346"/>
    <n v="13.12"/>
    <s v="Low"/>
    <n v="5"/>
    <n v="0.2"/>
    <x v="2"/>
    <x v="2"/>
    <n v="2.1320000000000001"/>
    <n v="0.16250000000000001"/>
    <n v="0"/>
  </r>
  <r>
    <n v="7515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908"/>
    <x v="1"/>
    <x v="8"/>
    <x v="900"/>
    <n v="29.36"/>
    <s v="Medium"/>
    <n v="2"/>
    <n v="0"/>
    <x v="0"/>
    <x v="0"/>
    <n v="13.505599999999999"/>
    <n v="0.45999999999999996"/>
    <n v="0"/>
  </r>
  <r>
    <n v="7516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1428"/>
    <x v="1"/>
    <x v="9"/>
    <x v="1416"/>
    <n v="214.9"/>
    <s v="High"/>
    <n v="5"/>
    <n v="0"/>
    <x v="0"/>
    <x v="0"/>
    <n v="62.320999999999998"/>
    <n v="0.28999999999999998"/>
    <n v="0"/>
  </r>
  <r>
    <n v="7517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122"/>
    <x v="1"/>
    <x v="8"/>
    <x v="122"/>
    <n v="15.92"/>
    <s v="Low"/>
    <n v="4"/>
    <n v="0"/>
    <x v="0"/>
    <x v="0"/>
    <n v="7.4824000000000002"/>
    <n v="0.47000000000000003"/>
    <n v="0"/>
  </r>
  <r>
    <n v="7518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825"/>
    <x v="2"/>
    <x v="11"/>
    <x v="821"/>
    <n v="146.44999999999999"/>
    <s v="High"/>
    <n v="5"/>
    <n v="0"/>
    <x v="0"/>
    <x v="0"/>
    <n v="48.328499999999998"/>
    <n v="0.33"/>
    <n v="0"/>
  </r>
  <r>
    <n v="7519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464"/>
    <x v="1"/>
    <x v="4"/>
    <x v="465"/>
    <n v="15.14"/>
    <s v="Low"/>
    <n v="1"/>
    <n v="0"/>
    <x v="0"/>
    <x v="0"/>
    <n v="0.60560000000000003"/>
    <n v="0.04"/>
    <n v="0"/>
  </r>
  <r>
    <n v="7520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1568"/>
    <x v="1"/>
    <x v="2"/>
    <x v="1559"/>
    <n v="5.76"/>
    <s v="Low"/>
    <n v="2"/>
    <n v="0"/>
    <x v="0"/>
    <x v="0"/>
    <n v="2.6496"/>
    <n v="0.46"/>
    <n v="0"/>
  </r>
  <r>
    <n v="7521"/>
    <s v="US-2017-167920"/>
    <d v="2017-12-09T00:00:00"/>
    <x v="3"/>
    <s v="Q4"/>
    <x v="22"/>
    <d v="2017-12-12T00:00:00"/>
    <s v="Second Class"/>
    <x v="252"/>
    <x v="252"/>
    <s v="Consumer"/>
    <s v="United States"/>
    <s v="Richmond"/>
    <x v="0"/>
    <n v="40475"/>
    <x v="0"/>
    <x v="890"/>
    <x v="2"/>
    <x v="16"/>
    <x v="883"/>
    <n v="1399.98"/>
    <s v="High"/>
    <n v="2"/>
    <n v="0"/>
    <x v="0"/>
    <x v="0"/>
    <n v="629.99099999999999"/>
    <n v="0.45"/>
    <n v="0"/>
  </r>
  <r>
    <n v="7522"/>
    <s v="CA-2016-162383"/>
    <d v="2016-09-05T00:00:00"/>
    <x v="0"/>
    <s v="Q3"/>
    <x v="21"/>
    <d v="2016-09-11T00:00:00"/>
    <s v="Standard Class"/>
    <x v="198"/>
    <x v="198"/>
    <s v="Consumer"/>
    <s v="United States"/>
    <s v="Lancaster"/>
    <x v="24"/>
    <n v="43130"/>
    <x v="3"/>
    <x v="528"/>
    <x v="1"/>
    <x v="8"/>
    <x v="528"/>
    <n v="8.952"/>
    <s v="Low"/>
    <n v="2"/>
    <n v="0.7"/>
    <x v="1"/>
    <x v="5"/>
    <n v="-7.46"/>
    <n v="-0.83333333333333337"/>
    <n v="1"/>
  </r>
  <r>
    <n v="7523"/>
    <s v="CA-2016-162383"/>
    <d v="2016-09-05T00:00:00"/>
    <x v="0"/>
    <s v="Q3"/>
    <x v="21"/>
    <d v="2016-09-11T00:00:00"/>
    <s v="Standard Class"/>
    <x v="198"/>
    <x v="198"/>
    <s v="Consumer"/>
    <s v="United States"/>
    <s v="Lancaster"/>
    <x v="24"/>
    <n v="43130"/>
    <x v="3"/>
    <x v="1181"/>
    <x v="1"/>
    <x v="8"/>
    <x v="1167"/>
    <n v="8.8559999999999999"/>
    <s v="Low"/>
    <n v="6"/>
    <n v="0.7"/>
    <x v="1"/>
    <x v="5"/>
    <n v="-6.4943999999999997"/>
    <n v="-0.73333333333333328"/>
    <n v="1"/>
  </r>
  <r>
    <n v="7524"/>
    <s v="CA-2016-162383"/>
    <d v="2016-09-05T00:00:00"/>
    <x v="0"/>
    <s v="Q3"/>
    <x v="21"/>
    <d v="2016-09-11T00:00:00"/>
    <s v="Standard Class"/>
    <x v="198"/>
    <x v="198"/>
    <s v="Consumer"/>
    <s v="United States"/>
    <s v="Lancaster"/>
    <x v="24"/>
    <n v="43130"/>
    <x v="3"/>
    <x v="212"/>
    <x v="0"/>
    <x v="1"/>
    <x v="213"/>
    <n v="85.245999999999995"/>
    <s v="Medium"/>
    <n v="2"/>
    <n v="0.3"/>
    <x v="1"/>
    <x v="4"/>
    <n v="-1.2178"/>
    <n v="-1.4285714285714287E-2"/>
    <n v="1"/>
  </r>
  <r>
    <n v="7525"/>
    <s v="CA-2014-125731"/>
    <d v="2014-09-10T00:00:00"/>
    <x v="2"/>
    <s v="Q3"/>
    <x v="30"/>
    <d v="2014-09-16T00:00:00"/>
    <s v="Standard Class"/>
    <x v="52"/>
    <x v="52"/>
    <s v="Consumer"/>
    <s v="United States"/>
    <s v="Gresham"/>
    <x v="21"/>
    <n v="97030"/>
    <x v="1"/>
    <x v="776"/>
    <x v="1"/>
    <x v="12"/>
    <x v="775"/>
    <n v="21.728000000000002"/>
    <s v="Low"/>
    <n v="7"/>
    <n v="0.2"/>
    <x v="2"/>
    <x v="2"/>
    <n v="7.6048"/>
    <n v="0.35"/>
    <n v="0"/>
  </r>
  <r>
    <n v="7526"/>
    <s v="CA-2014-125731"/>
    <d v="2014-09-10T00:00:00"/>
    <x v="2"/>
    <s v="Q3"/>
    <x v="30"/>
    <d v="2014-09-16T00:00:00"/>
    <s v="Standard Class"/>
    <x v="52"/>
    <x v="52"/>
    <s v="Consumer"/>
    <s v="United States"/>
    <s v="Gresham"/>
    <x v="21"/>
    <n v="97030"/>
    <x v="1"/>
    <x v="873"/>
    <x v="0"/>
    <x v="1"/>
    <x v="867"/>
    <n v="1487.04"/>
    <s v="High"/>
    <n v="5"/>
    <n v="0.2"/>
    <x v="2"/>
    <x v="2"/>
    <n v="148.70400000000001"/>
    <n v="0.1"/>
    <n v="0"/>
  </r>
  <r>
    <n v="7527"/>
    <s v="US-2017-106145"/>
    <d v="2017-09-26T00:00:00"/>
    <x v="3"/>
    <s v="Q3"/>
    <x v="15"/>
    <d v="2017-09-26T00:00:00"/>
    <s v="Same Day"/>
    <x v="19"/>
    <x v="19"/>
    <s v="Corporate"/>
    <s v="United States"/>
    <s v="San Francisco"/>
    <x v="1"/>
    <n v="94109"/>
    <x v="1"/>
    <x v="1606"/>
    <x v="1"/>
    <x v="12"/>
    <x v="153"/>
    <n v="71.88"/>
    <s v="Medium"/>
    <n v="6"/>
    <n v="0"/>
    <x v="0"/>
    <x v="0"/>
    <n v="33.064799999999998"/>
    <n v="0.46"/>
    <n v="0"/>
  </r>
  <r>
    <n v="7528"/>
    <s v="US-2017-106145"/>
    <d v="2017-09-26T00:00:00"/>
    <x v="3"/>
    <s v="Q3"/>
    <x v="15"/>
    <d v="2017-09-26T00:00:00"/>
    <s v="Same Day"/>
    <x v="19"/>
    <x v="19"/>
    <s v="Corporate"/>
    <s v="United States"/>
    <s v="San Francisco"/>
    <x v="1"/>
    <n v="94109"/>
    <x v="1"/>
    <x v="1392"/>
    <x v="0"/>
    <x v="5"/>
    <x v="1378"/>
    <n v="9.24"/>
    <s v="Low"/>
    <n v="3"/>
    <n v="0"/>
    <x v="0"/>
    <x v="0"/>
    <n v="2.9567999999999999"/>
    <n v="0.31999999999999995"/>
    <n v="0"/>
  </r>
  <r>
    <n v="7529"/>
    <s v="US-2017-106145"/>
    <d v="2017-09-26T00:00:00"/>
    <x v="3"/>
    <s v="Q3"/>
    <x v="15"/>
    <d v="2017-09-26T00:00:00"/>
    <s v="Same Day"/>
    <x v="19"/>
    <x v="19"/>
    <s v="Corporate"/>
    <s v="United States"/>
    <s v="San Francisco"/>
    <x v="1"/>
    <n v="94109"/>
    <x v="1"/>
    <x v="1357"/>
    <x v="1"/>
    <x v="10"/>
    <x v="1343"/>
    <n v="35.880000000000003"/>
    <s v="Medium"/>
    <n v="6"/>
    <n v="0"/>
    <x v="0"/>
    <x v="0"/>
    <n v="16.146000000000001"/>
    <n v="0.45"/>
    <n v="0"/>
  </r>
  <r>
    <n v="7530"/>
    <s v="US-2017-106145"/>
    <d v="2017-09-26T00:00:00"/>
    <x v="3"/>
    <s v="Q3"/>
    <x v="15"/>
    <d v="2017-09-26T00:00:00"/>
    <s v="Same Day"/>
    <x v="19"/>
    <x v="19"/>
    <s v="Corporate"/>
    <s v="United States"/>
    <s v="San Francisco"/>
    <x v="1"/>
    <n v="94109"/>
    <x v="1"/>
    <x v="20"/>
    <x v="1"/>
    <x v="8"/>
    <x v="20"/>
    <n v="17.04"/>
    <s v="Low"/>
    <n v="3"/>
    <n v="0.2"/>
    <x v="2"/>
    <x v="2"/>
    <n v="5.5380000000000003"/>
    <n v="0.32500000000000001"/>
    <n v="0"/>
  </r>
  <r>
    <n v="7531"/>
    <s v="US-2017-106145"/>
    <d v="2017-09-26T00:00:00"/>
    <x v="3"/>
    <s v="Q3"/>
    <x v="15"/>
    <d v="2017-09-26T00:00:00"/>
    <s v="Same Day"/>
    <x v="19"/>
    <x v="19"/>
    <s v="Corporate"/>
    <s v="United States"/>
    <s v="San Francisco"/>
    <x v="1"/>
    <n v="94109"/>
    <x v="1"/>
    <x v="760"/>
    <x v="1"/>
    <x v="8"/>
    <x v="758"/>
    <n v="931.17600000000004"/>
    <s v="High"/>
    <n v="3"/>
    <n v="0.2"/>
    <x v="2"/>
    <x v="2"/>
    <n v="314.27190000000002"/>
    <n v="0.33750000000000002"/>
    <n v="0"/>
  </r>
  <r>
    <n v="7532"/>
    <s v="CA-2016-107146"/>
    <d v="2016-06-17T00:00:00"/>
    <x v="0"/>
    <s v="Q2"/>
    <x v="1"/>
    <d v="2016-06-19T00:00:00"/>
    <s v="First Class"/>
    <x v="62"/>
    <x v="62"/>
    <s v="Consumer"/>
    <s v="United States"/>
    <s v="Longmont"/>
    <x v="22"/>
    <n v="80501"/>
    <x v="1"/>
    <x v="1319"/>
    <x v="0"/>
    <x v="5"/>
    <x v="1305"/>
    <n v="266.35199999999998"/>
    <s v="High"/>
    <n v="3"/>
    <n v="0.2"/>
    <x v="2"/>
    <x v="2"/>
    <n v="-13.317600000000001"/>
    <n v="-5.000000000000001E-2"/>
    <n v="1"/>
  </r>
  <r>
    <n v="7533"/>
    <s v="CA-2016-107146"/>
    <d v="2016-06-17T00:00:00"/>
    <x v="0"/>
    <s v="Q2"/>
    <x v="1"/>
    <d v="2016-06-19T00:00:00"/>
    <s v="First Class"/>
    <x v="62"/>
    <x v="62"/>
    <s v="Consumer"/>
    <s v="United States"/>
    <s v="Longmont"/>
    <x v="22"/>
    <n v="80501"/>
    <x v="1"/>
    <x v="531"/>
    <x v="0"/>
    <x v="1"/>
    <x v="531"/>
    <n v="483.13600000000002"/>
    <s v="High"/>
    <n v="4"/>
    <n v="0.2"/>
    <x v="2"/>
    <x v="2"/>
    <n v="54.352800000000002"/>
    <n v="0.1125"/>
    <n v="0"/>
  </r>
  <r>
    <n v="7534"/>
    <s v="US-2017-134642"/>
    <d v="2017-02-25T00:00:00"/>
    <x v="3"/>
    <s v="Q1"/>
    <x v="31"/>
    <d v="2017-03-01T00:00:00"/>
    <s v="Standard Class"/>
    <x v="573"/>
    <x v="573"/>
    <s v="Consumer"/>
    <s v="United States"/>
    <s v="Greenville"/>
    <x v="3"/>
    <n v="27834"/>
    <x v="0"/>
    <x v="812"/>
    <x v="0"/>
    <x v="1"/>
    <x v="809"/>
    <n v="196.78399999999999"/>
    <s v="High"/>
    <n v="2"/>
    <n v="0.2"/>
    <x v="2"/>
    <x v="2"/>
    <n v="-22.138200000000001"/>
    <n v="-0.11250000000000002"/>
    <n v="1"/>
  </r>
  <r>
    <n v="7535"/>
    <s v="US-2017-134642"/>
    <d v="2017-02-25T00:00:00"/>
    <x v="3"/>
    <s v="Q1"/>
    <x v="31"/>
    <d v="2017-03-01T00:00:00"/>
    <s v="Standard Class"/>
    <x v="573"/>
    <x v="573"/>
    <s v="Consumer"/>
    <s v="United States"/>
    <s v="Greenville"/>
    <x v="3"/>
    <n v="27834"/>
    <x v="0"/>
    <x v="266"/>
    <x v="0"/>
    <x v="0"/>
    <x v="266"/>
    <n v="231.92"/>
    <s v="High"/>
    <n v="5"/>
    <n v="0.2"/>
    <x v="2"/>
    <x v="2"/>
    <n v="5.798"/>
    <n v="2.5000000000000001E-2"/>
    <n v="0"/>
  </r>
  <r>
    <n v="7536"/>
    <s v="US-2017-160143"/>
    <d v="2017-03-31T00:00:00"/>
    <x v="3"/>
    <s v="Q1"/>
    <x v="42"/>
    <d v="2017-04-07T00:00:00"/>
    <s v="Standard Class"/>
    <x v="428"/>
    <x v="428"/>
    <s v="Corporate"/>
    <s v="United States"/>
    <s v="Los Angeles"/>
    <x v="1"/>
    <n v="90004"/>
    <x v="1"/>
    <x v="558"/>
    <x v="1"/>
    <x v="14"/>
    <x v="557"/>
    <n v="29.7"/>
    <s v="Medium"/>
    <n v="3"/>
    <n v="0"/>
    <x v="0"/>
    <x v="0"/>
    <n v="8.0190000000000001"/>
    <n v="0.27"/>
    <n v="0"/>
  </r>
  <r>
    <n v="7537"/>
    <s v="CA-2017-103415"/>
    <d v="2017-12-03T00:00:00"/>
    <x v="3"/>
    <s v="Q4"/>
    <x v="22"/>
    <d v="2017-12-08T00:00:00"/>
    <s v="Standard Class"/>
    <x v="597"/>
    <x v="597"/>
    <s v="Consumer"/>
    <s v="United States"/>
    <s v="Houston"/>
    <x v="5"/>
    <n v="77041"/>
    <x v="2"/>
    <x v="1793"/>
    <x v="0"/>
    <x v="5"/>
    <x v="1783"/>
    <n v="13.592000000000001"/>
    <s v="Low"/>
    <n v="2"/>
    <n v="0.6"/>
    <x v="1"/>
    <x v="6"/>
    <n v="-14.271599999999999"/>
    <n v="-1.0499999999999998"/>
    <n v="1"/>
  </r>
  <r>
    <n v="7538"/>
    <s v="CA-2016-106460"/>
    <d v="2016-02-19T00:00:00"/>
    <x v="0"/>
    <s v="Q1"/>
    <x v="47"/>
    <d v="2016-02-22T00:00:00"/>
    <s v="Second Class"/>
    <x v="218"/>
    <x v="218"/>
    <s v="Consumer"/>
    <s v="United States"/>
    <s v="San Francisco"/>
    <x v="1"/>
    <n v="94109"/>
    <x v="1"/>
    <x v="129"/>
    <x v="1"/>
    <x v="10"/>
    <x v="130"/>
    <n v="70.88"/>
    <s v="Medium"/>
    <n v="2"/>
    <n v="0"/>
    <x v="0"/>
    <x v="0"/>
    <n v="33.313600000000001"/>
    <n v="0.47000000000000003"/>
    <n v="0"/>
  </r>
  <r>
    <n v="7539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384"/>
    <x v="1"/>
    <x v="4"/>
    <x v="385"/>
    <n v="114.288"/>
    <s v="Medium"/>
    <n v="1"/>
    <n v="0.2"/>
    <x v="2"/>
    <x v="2"/>
    <n v="12.8574"/>
    <n v="0.1125"/>
    <n v="0"/>
  </r>
  <r>
    <n v="7540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785"/>
    <x v="1"/>
    <x v="8"/>
    <x v="784"/>
    <n v="36.624000000000002"/>
    <s v="Medium"/>
    <n v="8"/>
    <n v="0.7"/>
    <x v="1"/>
    <x v="5"/>
    <n v="-24.416"/>
    <n v="-0.66666666666666663"/>
    <n v="1"/>
  </r>
  <r>
    <n v="7541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1659"/>
    <x v="0"/>
    <x v="0"/>
    <x v="1647"/>
    <n v="242.352"/>
    <s v="High"/>
    <n v="8"/>
    <n v="0.7"/>
    <x v="1"/>
    <x v="5"/>
    <n v="-363.52800000000002"/>
    <n v="-1.5"/>
    <n v="1"/>
  </r>
  <r>
    <n v="7542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1670"/>
    <x v="2"/>
    <x v="7"/>
    <x v="1658"/>
    <n v="49.616"/>
    <s v="Medium"/>
    <n v="2"/>
    <n v="0.2"/>
    <x v="2"/>
    <x v="2"/>
    <n v="4.9615999999999998"/>
    <n v="9.9999999999999992E-2"/>
    <n v="0"/>
  </r>
  <r>
    <n v="7543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1060"/>
    <x v="0"/>
    <x v="5"/>
    <x v="1049"/>
    <n v="508.70400000000001"/>
    <s v="High"/>
    <n v="6"/>
    <n v="0.2"/>
    <x v="2"/>
    <x v="2"/>
    <n v="0"/>
    <n v="0"/>
    <n v="0"/>
  </r>
  <r>
    <n v="7544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1378"/>
    <x v="2"/>
    <x v="7"/>
    <x v="1363"/>
    <n v="57.36"/>
    <s v="Medium"/>
    <n v="6"/>
    <n v="0.2"/>
    <x v="2"/>
    <x v="2"/>
    <n v="-14.34"/>
    <n v="-0.25"/>
    <n v="1"/>
  </r>
  <r>
    <n v="7545"/>
    <s v="US-2017-112347"/>
    <d v="2017-12-02T00:00:00"/>
    <x v="3"/>
    <s v="Q4"/>
    <x v="22"/>
    <d v="2017-12-06T00:00:00"/>
    <s v="Standard Class"/>
    <x v="510"/>
    <x v="510"/>
    <s v="Corporate"/>
    <s v="United States"/>
    <s v="Denver"/>
    <x v="22"/>
    <n v="80219"/>
    <x v="1"/>
    <x v="629"/>
    <x v="0"/>
    <x v="1"/>
    <x v="629"/>
    <n v="906.68"/>
    <s v="High"/>
    <n v="5"/>
    <n v="0.2"/>
    <x v="2"/>
    <x v="2"/>
    <n v="68.001000000000005"/>
    <n v="7.5000000000000011E-2"/>
    <n v="0"/>
  </r>
  <r>
    <n v="7546"/>
    <s v="CA-2014-103492"/>
    <d v="2014-10-10T00:00:00"/>
    <x v="2"/>
    <s v="Q4"/>
    <x v="18"/>
    <d v="2014-10-15T00:00:00"/>
    <s v="Standard Class"/>
    <x v="782"/>
    <x v="782"/>
    <s v="Corporate"/>
    <s v="United States"/>
    <s v="Huntsville"/>
    <x v="5"/>
    <n v="77340"/>
    <x v="2"/>
    <x v="1521"/>
    <x v="2"/>
    <x v="7"/>
    <x v="1508"/>
    <n v="719.952"/>
    <s v="High"/>
    <n v="6"/>
    <n v="0.2"/>
    <x v="2"/>
    <x v="2"/>
    <n v="71.995199999999997"/>
    <n v="9.9999999999999992E-2"/>
    <n v="0"/>
  </r>
  <r>
    <n v="7547"/>
    <s v="CA-2014-103492"/>
    <d v="2014-10-10T00:00:00"/>
    <x v="2"/>
    <s v="Q4"/>
    <x v="18"/>
    <d v="2014-10-15T00:00:00"/>
    <s v="Standard Class"/>
    <x v="782"/>
    <x v="782"/>
    <s v="Corporate"/>
    <s v="United States"/>
    <s v="Huntsville"/>
    <x v="5"/>
    <n v="77340"/>
    <x v="2"/>
    <x v="524"/>
    <x v="2"/>
    <x v="7"/>
    <x v="524"/>
    <n v="755.94399999999996"/>
    <s v="High"/>
    <n v="7"/>
    <n v="0.2"/>
    <x v="2"/>
    <x v="2"/>
    <n v="66.145099999999999"/>
    <n v="8.7500000000000008E-2"/>
    <n v="0"/>
  </r>
  <r>
    <n v="7548"/>
    <s v="CA-2014-103492"/>
    <d v="2014-10-10T00:00:00"/>
    <x v="2"/>
    <s v="Q4"/>
    <x v="18"/>
    <d v="2014-10-15T00:00:00"/>
    <s v="Standard Class"/>
    <x v="782"/>
    <x v="782"/>
    <s v="Corporate"/>
    <s v="United States"/>
    <s v="Huntsville"/>
    <x v="5"/>
    <n v="77340"/>
    <x v="2"/>
    <x v="1224"/>
    <x v="1"/>
    <x v="8"/>
    <x v="1208"/>
    <n v="11.98"/>
    <s v="Low"/>
    <n v="5"/>
    <n v="0.8"/>
    <x v="1"/>
    <x v="3"/>
    <n v="-19.167999999999999"/>
    <n v="-1.5999999999999999"/>
    <n v="1"/>
  </r>
  <r>
    <n v="7549"/>
    <s v="CA-2014-103492"/>
    <d v="2014-10-10T00:00:00"/>
    <x v="2"/>
    <s v="Q4"/>
    <x v="18"/>
    <d v="2014-10-15T00:00:00"/>
    <s v="Standard Class"/>
    <x v="782"/>
    <x v="782"/>
    <s v="Corporate"/>
    <s v="United States"/>
    <s v="Huntsville"/>
    <x v="5"/>
    <n v="77340"/>
    <x v="2"/>
    <x v="307"/>
    <x v="1"/>
    <x v="8"/>
    <x v="307"/>
    <n v="0.89800000000000002"/>
    <s v="Low"/>
    <n v="1"/>
    <n v="0.8"/>
    <x v="1"/>
    <x v="3"/>
    <n v="-1.5714999999999999"/>
    <n v="-1.7499999999999998"/>
    <n v="1"/>
  </r>
  <r>
    <n v="7550"/>
    <s v="CA-2016-136595"/>
    <d v="2016-09-05T00:00:00"/>
    <x v="0"/>
    <s v="Q3"/>
    <x v="21"/>
    <d v="2016-09-07T00:00:00"/>
    <s v="First Class"/>
    <x v="605"/>
    <x v="605"/>
    <s v="Corporate"/>
    <s v="United States"/>
    <s v="Houston"/>
    <x v="5"/>
    <n v="77036"/>
    <x v="2"/>
    <x v="1381"/>
    <x v="0"/>
    <x v="5"/>
    <x v="1366"/>
    <n v="21.204000000000001"/>
    <s v="Low"/>
    <n v="3"/>
    <n v="0.6"/>
    <x v="1"/>
    <x v="6"/>
    <n v="-11.6622"/>
    <n v="-0.55000000000000004"/>
    <n v="1"/>
  </r>
  <r>
    <n v="7551"/>
    <s v="CA-2014-140396"/>
    <d v="2014-11-20T00:00:00"/>
    <x v="2"/>
    <s v="Q4"/>
    <x v="7"/>
    <d v="2014-11-25T00:00:00"/>
    <s v="Standard Class"/>
    <x v="542"/>
    <x v="542"/>
    <s v="Corporate"/>
    <s v="United States"/>
    <s v="New York City"/>
    <x v="15"/>
    <n v="10024"/>
    <x v="3"/>
    <x v="1758"/>
    <x v="1"/>
    <x v="12"/>
    <x v="1711"/>
    <n v="34.74"/>
    <s v="Medium"/>
    <n v="3"/>
    <n v="0"/>
    <x v="0"/>
    <x v="0"/>
    <n v="17.37"/>
    <n v="0.5"/>
    <n v="0"/>
  </r>
  <r>
    <n v="7552"/>
    <s v="CA-2014-140396"/>
    <d v="2014-11-20T00:00:00"/>
    <x v="2"/>
    <s v="Q4"/>
    <x v="7"/>
    <d v="2014-11-25T00:00:00"/>
    <s v="Standard Class"/>
    <x v="542"/>
    <x v="542"/>
    <s v="Corporate"/>
    <s v="United States"/>
    <s v="New York City"/>
    <x v="15"/>
    <n v="10024"/>
    <x v="3"/>
    <x v="872"/>
    <x v="2"/>
    <x v="7"/>
    <x v="866"/>
    <n v="833.94"/>
    <s v="High"/>
    <n v="6"/>
    <n v="0"/>
    <x v="0"/>
    <x v="0"/>
    <n v="216.8244"/>
    <n v="0.25999999999999995"/>
    <n v="0"/>
  </r>
  <r>
    <n v="7553"/>
    <s v="CA-2014-140396"/>
    <d v="2014-11-20T00:00:00"/>
    <x v="2"/>
    <s v="Q4"/>
    <x v="7"/>
    <d v="2014-11-25T00:00:00"/>
    <s v="Standard Class"/>
    <x v="542"/>
    <x v="542"/>
    <s v="Corporate"/>
    <s v="United States"/>
    <s v="New York City"/>
    <x v="15"/>
    <n v="10024"/>
    <x v="3"/>
    <x v="806"/>
    <x v="1"/>
    <x v="8"/>
    <x v="804"/>
    <n v="12.96"/>
    <s v="Low"/>
    <n v="3"/>
    <n v="0.2"/>
    <x v="2"/>
    <x v="2"/>
    <n v="4.5359999999999996"/>
    <n v="0.34999999999999992"/>
    <n v="0"/>
  </r>
  <r>
    <n v="7554"/>
    <s v="CA-2014-140396"/>
    <d v="2014-11-20T00:00:00"/>
    <x v="2"/>
    <s v="Q4"/>
    <x v="7"/>
    <d v="2014-11-25T00:00:00"/>
    <s v="Standard Class"/>
    <x v="542"/>
    <x v="542"/>
    <s v="Corporate"/>
    <s v="United States"/>
    <s v="New York City"/>
    <x v="15"/>
    <n v="10024"/>
    <x v="3"/>
    <x v="1396"/>
    <x v="1"/>
    <x v="10"/>
    <x v="1383"/>
    <n v="25.92"/>
    <s v="Medium"/>
    <n v="4"/>
    <n v="0"/>
    <x v="0"/>
    <x v="0"/>
    <n v="12.441599999999999"/>
    <n v="0.47999999999999993"/>
    <n v="0"/>
  </r>
  <r>
    <n v="7555"/>
    <s v="CA-2014-114181"/>
    <d v="2014-05-10T00:00:00"/>
    <x v="2"/>
    <s v="Q2"/>
    <x v="8"/>
    <d v="2014-05-14T00:00:00"/>
    <s v="Second Class"/>
    <x v="314"/>
    <x v="314"/>
    <s v="Consumer"/>
    <s v="United States"/>
    <s v="Philadelphia"/>
    <x v="9"/>
    <n v="19134"/>
    <x v="3"/>
    <x v="899"/>
    <x v="0"/>
    <x v="0"/>
    <x v="892"/>
    <n v="349.96499999999997"/>
    <s v="High"/>
    <n v="7"/>
    <n v="0.5"/>
    <x v="1"/>
    <x v="1"/>
    <n v="-216.97829999999999"/>
    <n v="-0.62"/>
    <n v="1"/>
  </r>
  <r>
    <n v="7556"/>
    <s v="CA-2014-114181"/>
    <d v="2014-05-10T00:00:00"/>
    <x v="2"/>
    <s v="Q2"/>
    <x v="8"/>
    <d v="2014-05-14T00:00:00"/>
    <s v="Second Class"/>
    <x v="314"/>
    <x v="314"/>
    <s v="Consumer"/>
    <s v="United States"/>
    <s v="Philadelphia"/>
    <x v="9"/>
    <n v="19134"/>
    <x v="3"/>
    <x v="796"/>
    <x v="1"/>
    <x v="6"/>
    <x v="794"/>
    <n v="22.32"/>
    <s v="Low"/>
    <n v="5"/>
    <n v="0.2"/>
    <x v="2"/>
    <x v="2"/>
    <n v="5.3010000000000002"/>
    <n v="0.23750000000000002"/>
    <n v="0"/>
  </r>
  <r>
    <n v="7557"/>
    <s v="CA-2017-159506"/>
    <d v="2017-11-27T00:00:00"/>
    <x v="3"/>
    <s v="Q4"/>
    <x v="23"/>
    <d v="2017-12-02T00:00:00"/>
    <s v="Standard Class"/>
    <x v="335"/>
    <x v="335"/>
    <s v="Corporate"/>
    <s v="United States"/>
    <s v="Columbus"/>
    <x v="14"/>
    <n v="47201"/>
    <x v="2"/>
    <x v="954"/>
    <x v="1"/>
    <x v="10"/>
    <x v="947"/>
    <n v="158.28"/>
    <s v="High"/>
    <n v="6"/>
    <n v="0"/>
    <x v="0"/>
    <x v="0"/>
    <n v="72.808800000000005"/>
    <n v="0.46"/>
    <n v="0"/>
  </r>
  <r>
    <n v="7558"/>
    <s v="CA-2017-159506"/>
    <d v="2017-11-27T00:00:00"/>
    <x v="3"/>
    <s v="Q4"/>
    <x v="23"/>
    <d v="2017-12-02T00:00:00"/>
    <s v="Standard Class"/>
    <x v="335"/>
    <x v="335"/>
    <s v="Corporate"/>
    <s v="United States"/>
    <s v="Columbus"/>
    <x v="14"/>
    <n v="47201"/>
    <x v="2"/>
    <x v="896"/>
    <x v="1"/>
    <x v="8"/>
    <x v="889"/>
    <n v="497.94"/>
    <s v="High"/>
    <n v="3"/>
    <n v="0"/>
    <x v="0"/>
    <x v="0"/>
    <n v="224.07300000000001"/>
    <n v="0.45"/>
    <n v="0"/>
  </r>
  <r>
    <n v="7559"/>
    <s v="US-2014-137155"/>
    <d v="2014-11-01T00:00:00"/>
    <x v="2"/>
    <s v="Q4"/>
    <x v="7"/>
    <d v="2014-11-05T00:00:00"/>
    <s v="Standard Class"/>
    <x v="351"/>
    <x v="351"/>
    <s v="Consumer"/>
    <s v="United States"/>
    <s v="Long Beach"/>
    <x v="15"/>
    <n v="11561"/>
    <x v="3"/>
    <x v="159"/>
    <x v="1"/>
    <x v="9"/>
    <x v="160"/>
    <n v="533.94000000000005"/>
    <s v="High"/>
    <n v="3"/>
    <n v="0"/>
    <x v="0"/>
    <x v="0"/>
    <n v="154.8426"/>
    <n v="0.28999999999999998"/>
    <n v="0"/>
  </r>
  <r>
    <n v="7560"/>
    <s v="US-2014-137155"/>
    <d v="2014-11-01T00:00:00"/>
    <x v="2"/>
    <s v="Q4"/>
    <x v="7"/>
    <d v="2014-11-05T00:00:00"/>
    <s v="Standard Class"/>
    <x v="351"/>
    <x v="351"/>
    <s v="Consumer"/>
    <s v="United States"/>
    <s v="Long Beach"/>
    <x v="15"/>
    <n v="11561"/>
    <x v="3"/>
    <x v="964"/>
    <x v="1"/>
    <x v="10"/>
    <x v="957"/>
    <n v="167.94"/>
    <s v="High"/>
    <n v="3"/>
    <n v="0"/>
    <x v="0"/>
    <x v="0"/>
    <n v="82.290599999999998"/>
    <n v="0.49"/>
    <n v="0"/>
  </r>
  <r>
    <n v="7561"/>
    <s v="US-2014-137155"/>
    <d v="2014-11-01T00:00:00"/>
    <x v="2"/>
    <s v="Q4"/>
    <x v="7"/>
    <d v="2014-11-05T00:00:00"/>
    <s v="Standard Class"/>
    <x v="351"/>
    <x v="351"/>
    <s v="Consumer"/>
    <s v="United States"/>
    <s v="Long Beach"/>
    <x v="15"/>
    <n v="11561"/>
    <x v="3"/>
    <x v="1226"/>
    <x v="0"/>
    <x v="5"/>
    <x v="1210"/>
    <n v="31.68"/>
    <s v="Medium"/>
    <n v="6"/>
    <n v="0"/>
    <x v="0"/>
    <x v="0"/>
    <n v="9.8208000000000002"/>
    <n v="0.31"/>
    <n v="0"/>
  </r>
  <r>
    <n v="7562"/>
    <s v="CA-2016-105746"/>
    <d v="2016-12-30T00:00:00"/>
    <x v="0"/>
    <s v="Q4"/>
    <x v="5"/>
    <d v="2017-01-01T00:00:00"/>
    <s v="First Class"/>
    <x v="205"/>
    <x v="205"/>
    <s v="Consumer"/>
    <s v="United States"/>
    <s v="Lancaster"/>
    <x v="9"/>
    <n v="17602"/>
    <x v="3"/>
    <x v="1"/>
    <x v="0"/>
    <x v="1"/>
    <x v="1"/>
    <n v="170.786"/>
    <s v="High"/>
    <n v="1"/>
    <n v="0.3"/>
    <x v="1"/>
    <x v="4"/>
    <n v="0"/>
    <n v="0"/>
    <n v="0"/>
  </r>
  <r>
    <n v="7563"/>
    <s v="US-2016-104815"/>
    <d v="2016-09-03T00:00:00"/>
    <x v="0"/>
    <s v="Q3"/>
    <x v="21"/>
    <d v="2016-09-07T00:00:00"/>
    <s v="Standard Class"/>
    <x v="262"/>
    <x v="262"/>
    <s v="Consumer"/>
    <s v="United States"/>
    <s v="Chicago"/>
    <x v="10"/>
    <n v="60610"/>
    <x v="2"/>
    <x v="1638"/>
    <x v="0"/>
    <x v="0"/>
    <x v="1628"/>
    <n v="198.744"/>
    <s v="High"/>
    <n v="4"/>
    <n v="0.3"/>
    <x v="1"/>
    <x v="4"/>
    <n v="0"/>
    <n v="0"/>
    <n v="0"/>
  </r>
  <r>
    <n v="7564"/>
    <s v="CA-2017-157672"/>
    <d v="2017-10-05T00:00:00"/>
    <x v="3"/>
    <s v="Q4"/>
    <x v="13"/>
    <d v="2017-10-07T00:00:00"/>
    <s v="First Class"/>
    <x v="176"/>
    <x v="176"/>
    <s v="Home Office"/>
    <s v="United States"/>
    <s v="Denver"/>
    <x v="22"/>
    <n v="80219"/>
    <x v="1"/>
    <x v="685"/>
    <x v="2"/>
    <x v="11"/>
    <x v="685"/>
    <n v="63.823999999999998"/>
    <s v="Medium"/>
    <n v="2"/>
    <n v="0.2"/>
    <x v="2"/>
    <x v="2"/>
    <n v="13.5626"/>
    <n v="0.21249999999999999"/>
    <n v="0"/>
  </r>
  <r>
    <n v="7565"/>
    <s v="US-2016-166660"/>
    <d v="2016-01-30T00:00:00"/>
    <x v="0"/>
    <s v="Q1"/>
    <x v="12"/>
    <d v="2016-02-01T00:00:00"/>
    <s v="Second Class"/>
    <x v="621"/>
    <x v="621"/>
    <s v="Consumer"/>
    <s v="United States"/>
    <s v="Seattle"/>
    <x v="4"/>
    <n v="98103"/>
    <x v="1"/>
    <x v="1349"/>
    <x v="0"/>
    <x v="1"/>
    <x v="1335"/>
    <n v="435.16800000000001"/>
    <s v="High"/>
    <n v="4"/>
    <n v="0.2"/>
    <x v="2"/>
    <x v="2"/>
    <n v="-59.835599999999999"/>
    <n v="-0.13749999999999998"/>
    <n v="1"/>
  </r>
  <r>
    <n v="7566"/>
    <s v="US-2016-166660"/>
    <d v="2016-01-30T00:00:00"/>
    <x v="0"/>
    <s v="Q1"/>
    <x v="12"/>
    <d v="2016-02-01T00:00:00"/>
    <s v="Second Class"/>
    <x v="621"/>
    <x v="621"/>
    <s v="Consumer"/>
    <s v="United States"/>
    <s v="Seattle"/>
    <x v="4"/>
    <n v="98103"/>
    <x v="1"/>
    <x v="1195"/>
    <x v="0"/>
    <x v="0"/>
    <x v="1180"/>
    <n v="48.58"/>
    <s v="Medium"/>
    <n v="1"/>
    <n v="0"/>
    <x v="0"/>
    <x v="0"/>
    <n v="7.7728000000000002"/>
    <n v="0.16"/>
    <n v="0"/>
  </r>
  <r>
    <n v="7567"/>
    <s v="CA-2017-140802"/>
    <d v="2017-04-21T00:00:00"/>
    <x v="3"/>
    <s v="Q2"/>
    <x v="4"/>
    <d v="2017-04-23T00:00:00"/>
    <s v="First Class"/>
    <x v="471"/>
    <x v="471"/>
    <s v="Corporate"/>
    <s v="United States"/>
    <s v="Houston"/>
    <x v="5"/>
    <n v="77070"/>
    <x v="2"/>
    <x v="84"/>
    <x v="2"/>
    <x v="11"/>
    <x v="84"/>
    <n v="47.975999999999999"/>
    <s v="Medium"/>
    <n v="3"/>
    <n v="0.2"/>
    <x v="2"/>
    <x v="2"/>
    <n v="8.3957999999999995"/>
    <n v="0.17499999999999999"/>
    <n v="0"/>
  </r>
  <r>
    <n v="7568"/>
    <s v="CA-2017-140802"/>
    <d v="2017-04-21T00:00:00"/>
    <x v="3"/>
    <s v="Q2"/>
    <x v="4"/>
    <d v="2017-04-23T00:00:00"/>
    <s v="First Class"/>
    <x v="471"/>
    <x v="471"/>
    <s v="Corporate"/>
    <s v="United States"/>
    <s v="Houston"/>
    <x v="5"/>
    <n v="77070"/>
    <x v="2"/>
    <x v="1483"/>
    <x v="1"/>
    <x v="10"/>
    <x v="1470"/>
    <n v="20.736000000000001"/>
    <s v="Low"/>
    <n v="4"/>
    <n v="0.2"/>
    <x v="2"/>
    <x v="2"/>
    <n v="7.2576000000000001"/>
    <n v="0.35"/>
    <n v="0"/>
  </r>
  <r>
    <n v="7569"/>
    <s v="CA-2014-133830"/>
    <d v="2014-12-05T00:00:00"/>
    <x v="2"/>
    <s v="Q4"/>
    <x v="20"/>
    <d v="2014-12-10T00:00:00"/>
    <s v="Standard Class"/>
    <x v="210"/>
    <x v="210"/>
    <s v="Consumer"/>
    <s v="United States"/>
    <s v="Los Angeles"/>
    <x v="1"/>
    <n v="90045"/>
    <x v="1"/>
    <x v="425"/>
    <x v="1"/>
    <x v="6"/>
    <x v="425"/>
    <n v="26.46"/>
    <s v="Medium"/>
    <n v="9"/>
    <n v="0"/>
    <x v="0"/>
    <x v="0"/>
    <n v="11.907"/>
    <n v="0.45"/>
    <n v="0"/>
  </r>
  <r>
    <n v="7570"/>
    <s v="CA-2014-133830"/>
    <d v="2014-12-05T00:00:00"/>
    <x v="2"/>
    <s v="Q4"/>
    <x v="20"/>
    <d v="2014-12-10T00:00:00"/>
    <s v="Standard Class"/>
    <x v="210"/>
    <x v="210"/>
    <s v="Consumer"/>
    <s v="United States"/>
    <s v="Los Angeles"/>
    <x v="1"/>
    <n v="90045"/>
    <x v="1"/>
    <x v="1635"/>
    <x v="1"/>
    <x v="10"/>
    <x v="1625"/>
    <n v="49.12"/>
    <s v="Medium"/>
    <n v="4"/>
    <n v="0"/>
    <x v="0"/>
    <x v="0"/>
    <n v="23.086400000000001"/>
    <n v="0.47000000000000003"/>
    <n v="0"/>
  </r>
  <r>
    <n v="7571"/>
    <s v="CA-2014-133830"/>
    <d v="2014-12-05T00:00:00"/>
    <x v="2"/>
    <s v="Q4"/>
    <x v="20"/>
    <d v="2014-12-10T00:00:00"/>
    <s v="Standard Class"/>
    <x v="210"/>
    <x v="210"/>
    <s v="Consumer"/>
    <s v="United States"/>
    <s v="Los Angeles"/>
    <x v="1"/>
    <n v="90045"/>
    <x v="1"/>
    <x v="659"/>
    <x v="1"/>
    <x v="13"/>
    <x v="659"/>
    <n v="15"/>
    <s v="Low"/>
    <n v="3"/>
    <n v="0"/>
    <x v="0"/>
    <x v="0"/>
    <n v="7.2"/>
    <n v="0.48000000000000004"/>
    <n v="0"/>
  </r>
  <r>
    <n v="7572"/>
    <s v="CA-2014-100916"/>
    <d v="2014-10-21T00:00:00"/>
    <x v="2"/>
    <s v="Q4"/>
    <x v="18"/>
    <d v="2014-10-26T00:00:00"/>
    <s v="Standard Class"/>
    <x v="395"/>
    <x v="395"/>
    <s v="Corporate"/>
    <s v="United States"/>
    <s v="Newport News"/>
    <x v="17"/>
    <n v="23602"/>
    <x v="0"/>
    <x v="41"/>
    <x v="1"/>
    <x v="4"/>
    <x v="41"/>
    <n v="194.7"/>
    <s v="High"/>
    <n v="5"/>
    <n v="0"/>
    <x v="0"/>
    <x v="0"/>
    <n v="9.7349999999999994"/>
    <n v="0.05"/>
    <n v="0"/>
  </r>
  <r>
    <n v="7573"/>
    <s v="CA-2014-100916"/>
    <d v="2014-10-21T00:00:00"/>
    <x v="2"/>
    <s v="Q4"/>
    <x v="18"/>
    <d v="2014-10-26T00:00:00"/>
    <s v="Standard Class"/>
    <x v="395"/>
    <x v="395"/>
    <s v="Corporate"/>
    <s v="United States"/>
    <s v="Newport News"/>
    <x v="17"/>
    <n v="23602"/>
    <x v="0"/>
    <x v="1116"/>
    <x v="0"/>
    <x v="3"/>
    <x v="1104"/>
    <n v="591.32000000000005"/>
    <s v="High"/>
    <n v="4"/>
    <n v="0"/>
    <x v="0"/>
    <x v="0"/>
    <n v="112.35080000000001"/>
    <n v="0.19"/>
    <n v="0"/>
  </r>
  <r>
    <n v="7574"/>
    <s v="CA-2014-100916"/>
    <d v="2014-10-21T00:00:00"/>
    <x v="2"/>
    <s v="Q4"/>
    <x v="18"/>
    <d v="2014-10-26T00:00:00"/>
    <s v="Standard Class"/>
    <x v="395"/>
    <x v="395"/>
    <s v="Corporate"/>
    <s v="United States"/>
    <s v="Newport News"/>
    <x v="17"/>
    <n v="23602"/>
    <x v="0"/>
    <x v="888"/>
    <x v="1"/>
    <x v="6"/>
    <x v="881"/>
    <n v="2.84"/>
    <s v="Low"/>
    <n v="1"/>
    <n v="0"/>
    <x v="0"/>
    <x v="0"/>
    <n v="0.88039999999999996"/>
    <n v="0.31"/>
    <n v="0"/>
  </r>
  <r>
    <n v="7575"/>
    <s v="CA-2015-129532"/>
    <d v="2015-12-08T00:00:00"/>
    <x v="1"/>
    <s v="Q4"/>
    <x v="14"/>
    <d v="2015-12-12T00:00:00"/>
    <s v="Standard Class"/>
    <x v="453"/>
    <x v="453"/>
    <s v="Corporate"/>
    <s v="United States"/>
    <s v="Los Angeles"/>
    <x v="1"/>
    <n v="90036"/>
    <x v="1"/>
    <x v="16"/>
    <x v="1"/>
    <x v="4"/>
    <x v="16"/>
    <n v="221.96"/>
    <s v="High"/>
    <n v="2"/>
    <n v="0"/>
    <x v="0"/>
    <x v="0"/>
    <n v="4.4391999999999996"/>
    <n v="1.9999999999999997E-2"/>
    <n v="0"/>
  </r>
  <r>
    <n v="7576"/>
    <s v="CA-2015-129532"/>
    <d v="2015-12-08T00:00:00"/>
    <x v="1"/>
    <s v="Q4"/>
    <x v="14"/>
    <d v="2015-12-12T00:00:00"/>
    <s v="Standard Class"/>
    <x v="453"/>
    <x v="453"/>
    <s v="Corporate"/>
    <s v="United States"/>
    <s v="Los Angeles"/>
    <x v="1"/>
    <n v="90036"/>
    <x v="1"/>
    <x v="1013"/>
    <x v="2"/>
    <x v="11"/>
    <x v="1005"/>
    <n v="236"/>
    <s v="High"/>
    <n v="4"/>
    <n v="0"/>
    <x v="0"/>
    <x v="0"/>
    <n v="40.119999999999997"/>
    <n v="0.16999999999999998"/>
    <n v="0"/>
  </r>
  <r>
    <n v="7577"/>
    <s v="CA-2014-134726"/>
    <d v="2014-11-02T00:00:00"/>
    <x v="2"/>
    <s v="Q4"/>
    <x v="7"/>
    <d v="2014-11-07T00:00:00"/>
    <s v="Second Class"/>
    <x v="406"/>
    <x v="406"/>
    <s v="Corporate"/>
    <s v="United States"/>
    <s v="Seattle"/>
    <x v="4"/>
    <n v="98115"/>
    <x v="1"/>
    <x v="917"/>
    <x v="2"/>
    <x v="11"/>
    <x v="909"/>
    <n v="41.94"/>
    <s v="Medium"/>
    <n v="2"/>
    <n v="0"/>
    <x v="0"/>
    <x v="0"/>
    <n v="15.0984"/>
    <n v="0.36000000000000004"/>
    <n v="0"/>
  </r>
  <r>
    <n v="7578"/>
    <s v="CA-2014-134726"/>
    <d v="2014-11-02T00:00:00"/>
    <x v="2"/>
    <s v="Q4"/>
    <x v="7"/>
    <d v="2014-11-07T00:00:00"/>
    <s v="Second Class"/>
    <x v="406"/>
    <x v="406"/>
    <s v="Corporate"/>
    <s v="United States"/>
    <s v="Seattle"/>
    <x v="4"/>
    <n v="98115"/>
    <x v="1"/>
    <x v="984"/>
    <x v="2"/>
    <x v="7"/>
    <x v="977"/>
    <n v="52.792000000000002"/>
    <s v="Medium"/>
    <n v="1"/>
    <n v="0.2"/>
    <x v="2"/>
    <x v="2"/>
    <n v="4.6193"/>
    <n v="8.7499999999999994E-2"/>
    <n v="0"/>
  </r>
  <r>
    <n v="7579"/>
    <s v="CA-2016-138597"/>
    <d v="2016-12-18T00:00:00"/>
    <x v="0"/>
    <s v="Q4"/>
    <x v="5"/>
    <d v="2016-12-21T00:00:00"/>
    <s v="First Class"/>
    <x v="43"/>
    <x v="43"/>
    <s v="Home Office"/>
    <s v="United States"/>
    <s v="Omaha"/>
    <x v="8"/>
    <n v="68104"/>
    <x v="2"/>
    <x v="499"/>
    <x v="0"/>
    <x v="1"/>
    <x v="499"/>
    <n v="563.94000000000005"/>
    <s v="High"/>
    <n v="3"/>
    <n v="0"/>
    <x v="0"/>
    <x v="0"/>
    <n v="112.788"/>
    <n v="0.19999999999999998"/>
    <n v="0"/>
  </r>
  <r>
    <n v="7580"/>
    <s v="CA-2015-123113"/>
    <d v="2015-11-23T00:00:00"/>
    <x v="1"/>
    <s v="Q4"/>
    <x v="6"/>
    <d v="2015-11-27T00:00:00"/>
    <s v="Second Class"/>
    <x v="247"/>
    <x v="247"/>
    <s v="Consumer"/>
    <s v="United States"/>
    <s v="Morristown"/>
    <x v="30"/>
    <n v="7960"/>
    <x v="3"/>
    <x v="1739"/>
    <x v="1"/>
    <x v="9"/>
    <x v="1728"/>
    <n v="2625.12"/>
    <s v="High"/>
    <n v="8"/>
    <n v="0"/>
    <x v="0"/>
    <x v="0"/>
    <n v="735.03359999999998"/>
    <n v="0.28000000000000003"/>
    <n v="0"/>
  </r>
  <r>
    <n v="7581"/>
    <s v="CA-2015-123113"/>
    <d v="2015-11-23T00:00:00"/>
    <x v="1"/>
    <s v="Q4"/>
    <x v="6"/>
    <d v="2015-11-27T00:00:00"/>
    <s v="Second Class"/>
    <x v="247"/>
    <x v="247"/>
    <s v="Consumer"/>
    <s v="United States"/>
    <s v="Morristown"/>
    <x v="30"/>
    <n v="7960"/>
    <x v="3"/>
    <x v="879"/>
    <x v="1"/>
    <x v="6"/>
    <x v="873"/>
    <n v="17.940000000000001"/>
    <s v="Low"/>
    <n v="3"/>
    <n v="0"/>
    <x v="0"/>
    <x v="0"/>
    <n v="4.4850000000000003"/>
    <n v="0.25"/>
    <n v="0"/>
  </r>
  <r>
    <n v="7582"/>
    <s v="CA-2015-169656"/>
    <d v="2015-08-13T00:00:00"/>
    <x v="1"/>
    <s v="Q3"/>
    <x v="37"/>
    <d v="2015-08-16T00:00:00"/>
    <s v="First Class"/>
    <x v="719"/>
    <x v="719"/>
    <s v="Consumer"/>
    <s v="United States"/>
    <s v="Philadelphia"/>
    <x v="9"/>
    <n v="19143"/>
    <x v="3"/>
    <x v="718"/>
    <x v="1"/>
    <x v="4"/>
    <x v="717"/>
    <n v="422.85599999999999"/>
    <s v="High"/>
    <n v="3"/>
    <n v="0.2"/>
    <x v="2"/>
    <x v="2"/>
    <n v="15.857100000000001"/>
    <n v="3.7500000000000006E-2"/>
    <n v="0"/>
  </r>
  <r>
    <n v="7583"/>
    <s v="CA-2015-142734"/>
    <d v="2015-04-16T00:00:00"/>
    <x v="1"/>
    <s v="Q2"/>
    <x v="19"/>
    <d v="2015-04-21T00:00:00"/>
    <s v="Standard Class"/>
    <x v="664"/>
    <x v="664"/>
    <s v="Corporate"/>
    <s v="United States"/>
    <s v="New York City"/>
    <x v="15"/>
    <n v="10024"/>
    <x v="3"/>
    <x v="56"/>
    <x v="0"/>
    <x v="1"/>
    <x v="56"/>
    <n v="127.764"/>
    <s v="High"/>
    <n v="2"/>
    <n v="0.1"/>
    <x v="3"/>
    <x v="8"/>
    <n v="2.8391999999999999"/>
    <n v="2.2222222222222223E-2"/>
    <n v="0"/>
  </r>
  <r>
    <n v="7584"/>
    <s v="CA-2014-163223"/>
    <d v="2014-03-21T00:00:00"/>
    <x v="2"/>
    <s v="Q1"/>
    <x v="34"/>
    <d v="2014-03-25T00:00:00"/>
    <s v="Standard Class"/>
    <x v="120"/>
    <x v="120"/>
    <s v="Corporate"/>
    <s v="United States"/>
    <s v="Springfield"/>
    <x v="17"/>
    <n v="22153"/>
    <x v="0"/>
    <x v="1577"/>
    <x v="2"/>
    <x v="7"/>
    <x v="1568"/>
    <n v="3499.93"/>
    <s v="High"/>
    <n v="7"/>
    <n v="0"/>
    <x v="0"/>
    <x v="0"/>
    <n v="909.98180000000002"/>
    <n v="0.26"/>
    <n v="0"/>
  </r>
  <r>
    <n v="7585"/>
    <s v="CA-2014-163223"/>
    <d v="2014-03-21T00:00:00"/>
    <x v="2"/>
    <s v="Q1"/>
    <x v="34"/>
    <d v="2014-03-25T00:00:00"/>
    <s v="Standard Class"/>
    <x v="120"/>
    <x v="120"/>
    <s v="Corporate"/>
    <s v="United States"/>
    <s v="Springfield"/>
    <x v="17"/>
    <n v="22153"/>
    <x v="0"/>
    <x v="1568"/>
    <x v="1"/>
    <x v="2"/>
    <x v="1559"/>
    <n v="14.4"/>
    <s v="Low"/>
    <n v="5"/>
    <n v="0"/>
    <x v="0"/>
    <x v="0"/>
    <n v="6.6239999999999997"/>
    <n v="0.45999999999999996"/>
    <n v="0"/>
  </r>
  <r>
    <n v="7586"/>
    <s v="CA-2014-163223"/>
    <d v="2014-03-21T00:00:00"/>
    <x v="2"/>
    <s v="Q1"/>
    <x v="34"/>
    <d v="2014-03-25T00:00:00"/>
    <s v="Standard Class"/>
    <x v="120"/>
    <x v="120"/>
    <s v="Corporate"/>
    <s v="United States"/>
    <s v="Springfield"/>
    <x v="17"/>
    <n v="22153"/>
    <x v="0"/>
    <x v="1127"/>
    <x v="1"/>
    <x v="10"/>
    <x v="1115"/>
    <n v="122.97"/>
    <s v="High"/>
    <n v="3"/>
    <n v="0"/>
    <x v="0"/>
    <x v="0"/>
    <n v="60.255299999999998"/>
    <n v="0.49"/>
    <n v="0"/>
  </r>
  <r>
    <n v="7587"/>
    <s v="CA-2014-163223"/>
    <d v="2014-03-21T00:00:00"/>
    <x v="2"/>
    <s v="Q1"/>
    <x v="34"/>
    <d v="2014-03-25T00:00:00"/>
    <s v="Standard Class"/>
    <x v="120"/>
    <x v="120"/>
    <s v="Corporate"/>
    <s v="United States"/>
    <s v="Springfield"/>
    <x v="17"/>
    <n v="22153"/>
    <x v="0"/>
    <x v="372"/>
    <x v="1"/>
    <x v="6"/>
    <x v="373"/>
    <n v="9.32"/>
    <s v="Low"/>
    <n v="4"/>
    <n v="0"/>
    <x v="0"/>
    <x v="0"/>
    <n v="2.7027999999999999"/>
    <n v="0.28999999999999998"/>
    <n v="0"/>
  </r>
  <r>
    <n v="7588"/>
    <s v="CA-2014-163223"/>
    <d v="2014-03-21T00:00:00"/>
    <x v="2"/>
    <s v="Q1"/>
    <x v="34"/>
    <d v="2014-03-25T00:00:00"/>
    <s v="Standard Class"/>
    <x v="120"/>
    <x v="120"/>
    <s v="Corporate"/>
    <s v="United States"/>
    <s v="Springfield"/>
    <x v="17"/>
    <n v="22153"/>
    <x v="0"/>
    <x v="800"/>
    <x v="1"/>
    <x v="8"/>
    <x v="798"/>
    <n v="122.94"/>
    <s v="Medium"/>
    <n v="3"/>
    <n v="0"/>
    <x v="0"/>
    <x v="0"/>
    <n v="59.011200000000002"/>
    <n v="0.48000000000000004"/>
    <n v="0"/>
  </r>
  <r>
    <n v="7589"/>
    <s v="CA-2017-122945"/>
    <d v="2017-11-16T00:00:00"/>
    <x v="3"/>
    <s v="Q4"/>
    <x v="23"/>
    <d v="2017-11-22T00:00:00"/>
    <s v="Standard Class"/>
    <x v="469"/>
    <x v="469"/>
    <s v="Consumer"/>
    <s v="United States"/>
    <s v="Roseville"/>
    <x v="1"/>
    <n v="95661"/>
    <x v="1"/>
    <x v="1137"/>
    <x v="0"/>
    <x v="5"/>
    <x v="1125"/>
    <n v="17.309999999999999"/>
    <s v="Low"/>
    <n v="3"/>
    <n v="0"/>
    <x v="0"/>
    <x v="0"/>
    <n v="5.1929999999999996"/>
    <n v="0.3"/>
    <n v="0"/>
  </r>
  <r>
    <n v="7590"/>
    <s v="CA-2015-139738"/>
    <d v="2015-09-25T00:00:00"/>
    <x v="1"/>
    <s v="Q3"/>
    <x v="11"/>
    <d v="2015-09-29T00:00:00"/>
    <s v="Standard Class"/>
    <x v="729"/>
    <x v="729"/>
    <s v="Consumer"/>
    <s v="United States"/>
    <s v="Rockford"/>
    <x v="10"/>
    <n v="61107"/>
    <x v="2"/>
    <x v="1243"/>
    <x v="1"/>
    <x v="6"/>
    <x v="1226"/>
    <n v="128.744"/>
    <s v="High"/>
    <n v="7"/>
    <n v="0.2"/>
    <x v="2"/>
    <x v="2"/>
    <n v="12.8744"/>
    <n v="9.9999999999999992E-2"/>
    <n v="0"/>
  </r>
  <r>
    <n v="7591"/>
    <s v="CA-2016-158778"/>
    <d v="2016-09-05T00:00:00"/>
    <x v="0"/>
    <s v="Q3"/>
    <x v="21"/>
    <d v="2016-09-09T00:00:00"/>
    <s v="Standard Class"/>
    <x v="203"/>
    <x v="203"/>
    <s v="Consumer"/>
    <s v="United States"/>
    <s v="Philadelphia"/>
    <x v="9"/>
    <n v="19134"/>
    <x v="3"/>
    <x v="74"/>
    <x v="0"/>
    <x v="5"/>
    <x v="74"/>
    <n v="58.247999999999998"/>
    <s v="Medium"/>
    <n v="9"/>
    <n v="0.2"/>
    <x v="2"/>
    <x v="2"/>
    <n v="11.6496"/>
    <n v="0.2"/>
    <n v="0"/>
  </r>
  <r>
    <n v="7592"/>
    <s v="CA-2016-158778"/>
    <d v="2016-09-05T00:00:00"/>
    <x v="0"/>
    <s v="Q3"/>
    <x v="21"/>
    <d v="2016-09-09T00:00:00"/>
    <s v="Standard Class"/>
    <x v="203"/>
    <x v="203"/>
    <s v="Consumer"/>
    <s v="United States"/>
    <s v="Philadelphia"/>
    <x v="9"/>
    <n v="19134"/>
    <x v="3"/>
    <x v="64"/>
    <x v="0"/>
    <x v="1"/>
    <x v="124"/>
    <n v="71.245999999999995"/>
    <s v="Medium"/>
    <n v="2"/>
    <n v="0.3"/>
    <x v="1"/>
    <x v="4"/>
    <n v="-19.338200000000001"/>
    <n v="-0.27142857142857146"/>
    <n v="1"/>
  </r>
  <r>
    <n v="7593"/>
    <s v="CA-2016-158778"/>
    <d v="2016-09-05T00:00:00"/>
    <x v="0"/>
    <s v="Q3"/>
    <x v="21"/>
    <d v="2016-09-09T00:00:00"/>
    <s v="Standard Class"/>
    <x v="203"/>
    <x v="203"/>
    <s v="Consumer"/>
    <s v="United States"/>
    <s v="Philadelphia"/>
    <x v="9"/>
    <n v="19134"/>
    <x v="3"/>
    <x v="965"/>
    <x v="1"/>
    <x v="6"/>
    <x v="958"/>
    <n v="7.8719999999999999"/>
    <s v="Low"/>
    <n v="3"/>
    <n v="0.2"/>
    <x v="2"/>
    <x v="2"/>
    <n v="0.59040000000000004"/>
    <n v="7.5000000000000011E-2"/>
    <n v="0"/>
  </r>
  <r>
    <n v="7594"/>
    <s v="CA-2016-158778"/>
    <d v="2016-09-05T00:00:00"/>
    <x v="0"/>
    <s v="Q3"/>
    <x v="21"/>
    <d v="2016-09-09T00:00:00"/>
    <s v="Standard Class"/>
    <x v="203"/>
    <x v="203"/>
    <s v="Consumer"/>
    <s v="United States"/>
    <s v="Philadelphia"/>
    <x v="9"/>
    <n v="19134"/>
    <x v="3"/>
    <x v="774"/>
    <x v="0"/>
    <x v="1"/>
    <x v="773"/>
    <n v="887.27099999999996"/>
    <s v="High"/>
    <n v="3"/>
    <n v="0.3"/>
    <x v="1"/>
    <x v="4"/>
    <n v="-63.3765"/>
    <n v="-7.1428571428571438E-2"/>
    <n v="1"/>
  </r>
  <r>
    <n v="7595"/>
    <s v="CA-2017-119655"/>
    <d v="2017-04-20T00:00:00"/>
    <x v="3"/>
    <s v="Q2"/>
    <x v="4"/>
    <d v="2017-04-24T00:00:00"/>
    <s v="Standard Class"/>
    <x v="610"/>
    <x v="610"/>
    <s v="Consumer"/>
    <s v="United States"/>
    <s v="Detroit"/>
    <x v="12"/>
    <n v="48234"/>
    <x v="2"/>
    <x v="542"/>
    <x v="1"/>
    <x v="8"/>
    <x v="542"/>
    <n v="146.86000000000001"/>
    <s v="High"/>
    <n v="7"/>
    <n v="0"/>
    <x v="0"/>
    <x v="0"/>
    <n v="70.492800000000003"/>
    <n v="0.48"/>
    <n v="0"/>
  </r>
  <r>
    <n v="7596"/>
    <s v="CA-2017-119655"/>
    <d v="2017-04-20T00:00:00"/>
    <x v="3"/>
    <s v="Q2"/>
    <x v="4"/>
    <d v="2017-04-24T00:00:00"/>
    <s v="Standard Class"/>
    <x v="610"/>
    <x v="610"/>
    <s v="Consumer"/>
    <s v="United States"/>
    <s v="Detroit"/>
    <x v="12"/>
    <n v="48234"/>
    <x v="2"/>
    <x v="624"/>
    <x v="1"/>
    <x v="8"/>
    <x v="624"/>
    <n v="36.56"/>
    <s v="Medium"/>
    <n v="4"/>
    <n v="0"/>
    <x v="0"/>
    <x v="0"/>
    <n v="18.28"/>
    <n v="0.5"/>
    <n v="0"/>
  </r>
  <r>
    <n v="7597"/>
    <s v="CA-2015-164567"/>
    <d v="2015-06-15T00:00:00"/>
    <x v="1"/>
    <s v="Q2"/>
    <x v="40"/>
    <d v="2015-06-19T00:00:00"/>
    <s v="Standard Class"/>
    <x v="136"/>
    <x v="136"/>
    <s v="Corporate"/>
    <s v="United States"/>
    <s v="Los Angeles"/>
    <x v="1"/>
    <n v="90004"/>
    <x v="1"/>
    <x v="539"/>
    <x v="2"/>
    <x v="7"/>
    <x v="539"/>
    <n v="225.57599999999999"/>
    <s v="High"/>
    <n v="3"/>
    <n v="0.2"/>
    <x v="2"/>
    <x v="2"/>
    <n v="22.557600000000001"/>
    <n v="0.1"/>
    <n v="0"/>
  </r>
  <r>
    <n v="7598"/>
    <s v="CA-2014-131947"/>
    <d v="2014-09-17T00:00:00"/>
    <x v="2"/>
    <s v="Q3"/>
    <x v="30"/>
    <d v="2014-09-22T00:00:00"/>
    <s v="Standard Class"/>
    <x v="350"/>
    <x v="350"/>
    <s v="Consumer"/>
    <s v="United States"/>
    <s v="Springfield"/>
    <x v="21"/>
    <n v="97477"/>
    <x v="1"/>
    <x v="1355"/>
    <x v="1"/>
    <x v="6"/>
    <x v="1341"/>
    <n v="5.2480000000000002"/>
    <s v="Low"/>
    <n v="2"/>
    <n v="0.2"/>
    <x v="2"/>
    <x v="2"/>
    <n v="0.4592"/>
    <n v="8.7499999999999994E-2"/>
    <n v="0"/>
  </r>
  <r>
    <n v="7599"/>
    <s v="CA-2014-131947"/>
    <d v="2014-09-17T00:00:00"/>
    <x v="2"/>
    <s v="Q3"/>
    <x v="30"/>
    <d v="2014-09-22T00:00:00"/>
    <s v="Standard Class"/>
    <x v="350"/>
    <x v="350"/>
    <s v="Consumer"/>
    <s v="United States"/>
    <s v="Springfield"/>
    <x v="21"/>
    <n v="97477"/>
    <x v="1"/>
    <x v="947"/>
    <x v="1"/>
    <x v="6"/>
    <x v="940"/>
    <n v="38.256"/>
    <s v="Medium"/>
    <n v="3"/>
    <n v="0.2"/>
    <x v="2"/>
    <x v="2"/>
    <n v="4.782"/>
    <n v="0.125"/>
    <n v="0"/>
  </r>
  <r>
    <n v="7600"/>
    <s v="CA-2014-131947"/>
    <d v="2014-09-17T00:00:00"/>
    <x v="2"/>
    <s v="Q3"/>
    <x v="30"/>
    <d v="2014-09-22T00:00:00"/>
    <s v="Standard Class"/>
    <x v="350"/>
    <x v="350"/>
    <s v="Consumer"/>
    <s v="United States"/>
    <s v="Springfield"/>
    <x v="21"/>
    <n v="97477"/>
    <x v="1"/>
    <x v="1603"/>
    <x v="1"/>
    <x v="10"/>
    <x v="1595"/>
    <n v="40.24"/>
    <s v="Medium"/>
    <n v="5"/>
    <n v="0.2"/>
    <x v="2"/>
    <x v="2"/>
    <n v="13.077999999999999"/>
    <n v="0.32499999999999996"/>
    <n v="0"/>
  </r>
  <r>
    <n v="7601"/>
    <s v="CA-2014-131947"/>
    <d v="2014-09-17T00:00:00"/>
    <x v="2"/>
    <s v="Q3"/>
    <x v="30"/>
    <d v="2014-09-22T00:00:00"/>
    <s v="Standard Class"/>
    <x v="350"/>
    <x v="350"/>
    <s v="Consumer"/>
    <s v="United States"/>
    <s v="Springfield"/>
    <x v="21"/>
    <n v="97477"/>
    <x v="1"/>
    <x v="1821"/>
    <x v="2"/>
    <x v="15"/>
    <x v="1809"/>
    <n v="29.925000000000001"/>
    <s v="Medium"/>
    <n v="5"/>
    <n v="0.7"/>
    <x v="1"/>
    <x v="5"/>
    <n v="-21.945"/>
    <n v="-0.73333333333333328"/>
    <n v="1"/>
  </r>
  <r>
    <n v="7602"/>
    <s v="CA-2014-131947"/>
    <d v="2014-09-17T00:00:00"/>
    <x v="2"/>
    <s v="Q3"/>
    <x v="30"/>
    <d v="2014-09-22T00:00:00"/>
    <s v="Standard Class"/>
    <x v="350"/>
    <x v="350"/>
    <s v="Consumer"/>
    <s v="United States"/>
    <s v="Springfield"/>
    <x v="21"/>
    <n v="97477"/>
    <x v="1"/>
    <x v="334"/>
    <x v="1"/>
    <x v="10"/>
    <x v="334"/>
    <n v="148.70400000000001"/>
    <s v="High"/>
    <n v="6"/>
    <n v="0.2"/>
    <x v="2"/>
    <x v="2"/>
    <n v="46.47"/>
    <n v="0.3125"/>
    <n v="0"/>
  </r>
  <r>
    <n v="7603"/>
    <s v="CA-2014-131947"/>
    <d v="2014-09-17T00:00:00"/>
    <x v="2"/>
    <s v="Q3"/>
    <x v="30"/>
    <d v="2014-09-22T00:00:00"/>
    <s v="Standard Class"/>
    <x v="350"/>
    <x v="350"/>
    <s v="Consumer"/>
    <s v="United States"/>
    <s v="Springfield"/>
    <x v="21"/>
    <n v="97477"/>
    <x v="1"/>
    <x v="60"/>
    <x v="2"/>
    <x v="11"/>
    <x v="60"/>
    <n v="55.92"/>
    <s v="Medium"/>
    <n v="10"/>
    <n v="0.2"/>
    <x v="2"/>
    <x v="2"/>
    <n v="16.776"/>
    <n v="0.3"/>
    <n v="0"/>
  </r>
  <r>
    <n v="7604"/>
    <s v="CA-2016-152520"/>
    <d v="2016-07-08T00:00:00"/>
    <x v="0"/>
    <s v="Q3"/>
    <x v="16"/>
    <d v="2016-07-12T00:00:00"/>
    <s v="Standard Class"/>
    <x v="764"/>
    <x v="764"/>
    <s v="Corporate"/>
    <s v="United States"/>
    <s v="Providence"/>
    <x v="34"/>
    <n v="2908"/>
    <x v="3"/>
    <x v="730"/>
    <x v="1"/>
    <x v="10"/>
    <x v="729"/>
    <n v="12.96"/>
    <s v="Low"/>
    <n v="2"/>
    <n v="0"/>
    <x v="0"/>
    <x v="0"/>
    <n v="6.2207999999999997"/>
    <n v="0.47999999999999993"/>
    <n v="0"/>
  </r>
  <r>
    <n v="7605"/>
    <s v="CA-2016-101791"/>
    <d v="2016-05-27T00:00:00"/>
    <x v="0"/>
    <s v="Q2"/>
    <x v="35"/>
    <d v="2016-05-31T00:00:00"/>
    <s v="Standard Class"/>
    <x v="574"/>
    <x v="574"/>
    <s v="Consumer"/>
    <s v="United States"/>
    <s v="Chicago"/>
    <x v="10"/>
    <n v="60623"/>
    <x v="2"/>
    <x v="1478"/>
    <x v="0"/>
    <x v="5"/>
    <x v="1465"/>
    <n v="25.175999999999998"/>
    <s v="Medium"/>
    <n v="3"/>
    <n v="0.6"/>
    <x v="1"/>
    <x v="6"/>
    <n v="-33.358199999999997"/>
    <n v="-1.325"/>
    <n v="1"/>
  </r>
  <r>
    <n v="7606"/>
    <s v="CA-2016-101791"/>
    <d v="2016-05-27T00:00:00"/>
    <x v="0"/>
    <s v="Q2"/>
    <x v="35"/>
    <d v="2016-05-31T00:00:00"/>
    <s v="Standard Class"/>
    <x v="574"/>
    <x v="574"/>
    <s v="Consumer"/>
    <s v="United States"/>
    <s v="Chicago"/>
    <x v="10"/>
    <n v="60623"/>
    <x v="2"/>
    <x v="770"/>
    <x v="0"/>
    <x v="5"/>
    <x v="769"/>
    <n v="5.5839999999999996"/>
    <s v="Low"/>
    <n v="2"/>
    <n v="0.6"/>
    <x v="1"/>
    <x v="6"/>
    <n v="-1.6752"/>
    <n v="-0.30000000000000004"/>
    <n v="1"/>
  </r>
  <r>
    <n v="7607"/>
    <s v="CA-2016-101791"/>
    <d v="2016-05-27T00:00:00"/>
    <x v="0"/>
    <s v="Q2"/>
    <x v="35"/>
    <d v="2016-05-31T00:00:00"/>
    <s v="Standard Class"/>
    <x v="574"/>
    <x v="574"/>
    <s v="Consumer"/>
    <s v="United States"/>
    <s v="Chicago"/>
    <x v="10"/>
    <n v="60623"/>
    <x v="2"/>
    <x v="734"/>
    <x v="1"/>
    <x v="4"/>
    <x v="733"/>
    <n v="1297.3679999999999"/>
    <s v="High"/>
    <n v="9"/>
    <n v="0.2"/>
    <x v="2"/>
    <x v="2"/>
    <n v="97.302599999999998"/>
    <n v="7.4999999999999997E-2"/>
    <n v="0"/>
  </r>
  <r>
    <n v="7608"/>
    <s v="CA-2017-121195"/>
    <d v="2017-12-24T00:00:00"/>
    <x v="3"/>
    <s v="Q4"/>
    <x v="22"/>
    <d v="2017-12-27T00:00:00"/>
    <s v="First Class"/>
    <x v="515"/>
    <x v="515"/>
    <s v="Consumer"/>
    <s v="United States"/>
    <s v="Dallas"/>
    <x v="5"/>
    <n v="75220"/>
    <x v="2"/>
    <x v="546"/>
    <x v="1"/>
    <x v="4"/>
    <x v="546"/>
    <n v="264.32"/>
    <s v="High"/>
    <n v="2"/>
    <n v="0.2"/>
    <x v="2"/>
    <x v="2"/>
    <n v="19.824000000000002"/>
    <n v="7.5000000000000011E-2"/>
    <n v="0"/>
  </r>
  <r>
    <n v="7609"/>
    <s v="CA-2017-163209"/>
    <d v="2017-05-03T00:00:00"/>
    <x v="3"/>
    <s v="Q2"/>
    <x v="24"/>
    <d v="2017-05-07T00:00:00"/>
    <s v="Standard Class"/>
    <x v="177"/>
    <x v="177"/>
    <s v="Consumer"/>
    <s v="United States"/>
    <s v="San Francisco"/>
    <x v="1"/>
    <n v="94122"/>
    <x v="1"/>
    <x v="778"/>
    <x v="1"/>
    <x v="10"/>
    <x v="777"/>
    <n v="25.92"/>
    <s v="Medium"/>
    <n v="4"/>
    <n v="0"/>
    <x v="0"/>
    <x v="0"/>
    <n v="12.441599999999999"/>
    <n v="0.47999999999999993"/>
    <n v="0"/>
  </r>
  <r>
    <n v="7610"/>
    <s v="CA-2017-163209"/>
    <d v="2017-05-03T00:00:00"/>
    <x v="3"/>
    <s v="Q2"/>
    <x v="24"/>
    <d v="2017-05-07T00:00:00"/>
    <s v="Standard Class"/>
    <x v="177"/>
    <x v="177"/>
    <s v="Consumer"/>
    <s v="United States"/>
    <s v="San Francisco"/>
    <x v="1"/>
    <n v="94122"/>
    <x v="1"/>
    <x v="279"/>
    <x v="1"/>
    <x v="6"/>
    <x v="279"/>
    <n v="22.96"/>
    <s v="Low"/>
    <n v="7"/>
    <n v="0"/>
    <x v="0"/>
    <x v="0"/>
    <n v="6.6584000000000003"/>
    <n v="0.28999999999999998"/>
    <n v="0"/>
  </r>
  <r>
    <n v="7611"/>
    <s v="CA-2014-133354"/>
    <d v="2014-02-22T00:00:00"/>
    <x v="2"/>
    <s v="Q1"/>
    <x v="45"/>
    <d v="2014-02-24T00:00:00"/>
    <s v="First Class"/>
    <x v="193"/>
    <x v="193"/>
    <s v="Consumer"/>
    <s v="United States"/>
    <s v="Moreno Valley"/>
    <x v="1"/>
    <n v="92553"/>
    <x v="1"/>
    <x v="585"/>
    <x v="1"/>
    <x v="10"/>
    <x v="585"/>
    <n v="19.440000000000001"/>
    <s v="Low"/>
    <n v="3"/>
    <n v="0"/>
    <x v="0"/>
    <x v="0"/>
    <n v="9.3312000000000008"/>
    <n v="0.48000000000000004"/>
    <n v="0"/>
  </r>
  <r>
    <n v="7612"/>
    <s v="US-2015-130491"/>
    <d v="2015-02-08T00:00:00"/>
    <x v="1"/>
    <s v="Q1"/>
    <x v="36"/>
    <d v="2015-02-11T00:00:00"/>
    <s v="First Class"/>
    <x v="3"/>
    <x v="3"/>
    <s v="Consumer"/>
    <s v="United States"/>
    <s v="Garden City"/>
    <x v="41"/>
    <n v="67846"/>
    <x v="2"/>
    <x v="1446"/>
    <x v="1"/>
    <x v="10"/>
    <x v="1433"/>
    <n v="9.5399999999999991"/>
    <s v="Low"/>
    <n v="2"/>
    <n v="0"/>
    <x v="0"/>
    <x v="0"/>
    <n v="4.2930000000000001"/>
    <n v="0.45000000000000007"/>
    <n v="0"/>
  </r>
  <r>
    <n v="7613"/>
    <s v="US-2015-130491"/>
    <d v="2015-02-08T00:00:00"/>
    <x v="1"/>
    <s v="Q1"/>
    <x v="36"/>
    <d v="2015-02-11T00:00:00"/>
    <s v="First Class"/>
    <x v="3"/>
    <x v="3"/>
    <s v="Consumer"/>
    <s v="United States"/>
    <s v="Garden City"/>
    <x v="41"/>
    <n v="67846"/>
    <x v="2"/>
    <x v="195"/>
    <x v="1"/>
    <x v="13"/>
    <x v="196"/>
    <n v="5.81"/>
    <s v="Low"/>
    <n v="1"/>
    <n v="0"/>
    <x v="0"/>
    <x v="0"/>
    <n v="1.8010999999999999"/>
    <n v="0.31"/>
    <n v="0"/>
  </r>
  <r>
    <n v="7614"/>
    <s v="US-2015-130491"/>
    <d v="2015-02-08T00:00:00"/>
    <x v="1"/>
    <s v="Q1"/>
    <x v="36"/>
    <d v="2015-02-11T00:00:00"/>
    <s v="First Class"/>
    <x v="3"/>
    <x v="3"/>
    <s v="Consumer"/>
    <s v="United States"/>
    <s v="Garden City"/>
    <x v="41"/>
    <n v="67846"/>
    <x v="2"/>
    <x v="130"/>
    <x v="1"/>
    <x v="6"/>
    <x v="131"/>
    <n v="5.76"/>
    <s v="Low"/>
    <n v="2"/>
    <n v="0"/>
    <x v="0"/>
    <x v="0"/>
    <n v="1.728"/>
    <n v="0.3"/>
    <n v="0"/>
  </r>
  <r>
    <n v="7615"/>
    <s v="CA-2015-113740"/>
    <d v="2015-08-24T00:00:00"/>
    <x v="1"/>
    <s v="Q3"/>
    <x v="37"/>
    <d v="2015-08-28T00:00:00"/>
    <s v="Second Class"/>
    <x v="618"/>
    <x v="618"/>
    <s v="Consumer"/>
    <s v="United States"/>
    <s v="New York City"/>
    <x v="15"/>
    <n v="10035"/>
    <x v="3"/>
    <x v="527"/>
    <x v="0"/>
    <x v="5"/>
    <x v="527"/>
    <n v="14.91"/>
    <s v="Low"/>
    <n v="3"/>
    <n v="0"/>
    <x v="0"/>
    <x v="0"/>
    <n v="4.6220999999999997"/>
    <n v="0.31"/>
    <n v="0"/>
  </r>
  <r>
    <n v="7616"/>
    <s v="CA-2014-148425"/>
    <d v="2014-11-30T00:00:00"/>
    <x v="2"/>
    <s v="Q4"/>
    <x v="7"/>
    <d v="2014-12-04T00:00:00"/>
    <s v="Standard Class"/>
    <x v="575"/>
    <x v="575"/>
    <s v="Corporate"/>
    <s v="United States"/>
    <s v="Orlando"/>
    <x v="2"/>
    <n v="32839"/>
    <x v="0"/>
    <x v="1699"/>
    <x v="1"/>
    <x v="8"/>
    <x v="1687"/>
    <n v="6.6420000000000003"/>
    <s v="Low"/>
    <n v="9"/>
    <n v="0.7"/>
    <x v="1"/>
    <x v="5"/>
    <n v="-4.4279999999999999"/>
    <n v="-0.66666666666666663"/>
    <n v="1"/>
  </r>
  <r>
    <n v="7617"/>
    <s v="CA-2016-144309"/>
    <d v="2016-12-10T00:00:00"/>
    <x v="0"/>
    <s v="Q4"/>
    <x v="5"/>
    <d v="2016-12-16T00:00:00"/>
    <s v="Standard Class"/>
    <x v="632"/>
    <x v="632"/>
    <s v="Consumer"/>
    <s v="United States"/>
    <s v="Watertown"/>
    <x v="15"/>
    <n v="13601"/>
    <x v="3"/>
    <x v="1286"/>
    <x v="1"/>
    <x v="10"/>
    <x v="1272"/>
    <n v="18.54"/>
    <s v="Low"/>
    <n v="2"/>
    <n v="0"/>
    <x v="0"/>
    <x v="0"/>
    <n v="8.7138000000000009"/>
    <n v="0.47000000000000008"/>
    <n v="0"/>
  </r>
  <r>
    <n v="7618"/>
    <s v="CA-2016-144309"/>
    <d v="2016-12-10T00:00:00"/>
    <x v="0"/>
    <s v="Q4"/>
    <x v="5"/>
    <d v="2016-12-16T00:00:00"/>
    <s v="Standard Class"/>
    <x v="632"/>
    <x v="632"/>
    <s v="Consumer"/>
    <s v="United States"/>
    <s v="Watertown"/>
    <x v="15"/>
    <n v="13601"/>
    <x v="3"/>
    <x v="13"/>
    <x v="1"/>
    <x v="8"/>
    <x v="13"/>
    <n v="679.96"/>
    <s v="High"/>
    <n v="5"/>
    <n v="0.2"/>
    <x v="2"/>
    <x v="2"/>
    <n v="220.98699999999999"/>
    <n v="0.32499999999999996"/>
    <n v="0"/>
  </r>
  <r>
    <n v="7619"/>
    <s v="CA-2017-151225"/>
    <d v="2017-10-27T00:00:00"/>
    <x v="3"/>
    <s v="Q4"/>
    <x v="13"/>
    <d v="2017-10-29T00:00:00"/>
    <s v="First Class"/>
    <x v="487"/>
    <x v="487"/>
    <s v="Corporate"/>
    <s v="United States"/>
    <s v="Los Angeles"/>
    <x v="1"/>
    <n v="90032"/>
    <x v="1"/>
    <x v="10"/>
    <x v="0"/>
    <x v="3"/>
    <x v="10"/>
    <n v="189.57599999999999"/>
    <s v="High"/>
    <n v="1"/>
    <n v="0.2"/>
    <x v="2"/>
    <x v="2"/>
    <n v="9.4787999999999997"/>
    <n v="0.05"/>
    <n v="0"/>
  </r>
  <r>
    <n v="7620"/>
    <s v="CA-2017-151225"/>
    <d v="2017-10-27T00:00:00"/>
    <x v="3"/>
    <s v="Q4"/>
    <x v="13"/>
    <d v="2017-10-29T00:00:00"/>
    <s v="First Class"/>
    <x v="487"/>
    <x v="487"/>
    <s v="Corporate"/>
    <s v="United States"/>
    <s v="Los Angeles"/>
    <x v="1"/>
    <n v="90032"/>
    <x v="1"/>
    <x v="1763"/>
    <x v="2"/>
    <x v="7"/>
    <x v="1752"/>
    <n v="71.959999999999994"/>
    <s v="Medium"/>
    <n v="5"/>
    <n v="0.2"/>
    <x v="2"/>
    <x v="2"/>
    <n v="7.1959999999999997"/>
    <n v="0.1"/>
    <n v="0"/>
  </r>
  <r>
    <n v="7621"/>
    <s v="US-2014-144078"/>
    <d v="2014-11-25T00:00:00"/>
    <x v="2"/>
    <s v="Q4"/>
    <x v="7"/>
    <d v="2014-11-29T00:00:00"/>
    <s v="Standard Class"/>
    <x v="579"/>
    <x v="579"/>
    <s v="Consumer"/>
    <s v="United States"/>
    <s v="Los Angeles"/>
    <x v="1"/>
    <n v="90004"/>
    <x v="1"/>
    <x v="233"/>
    <x v="2"/>
    <x v="7"/>
    <x v="234"/>
    <n v="539.91999999999996"/>
    <s v="High"/>
    <n v="5"/>
    <n v="0.2"/>
    <x v="2"/>
    <x v="2"/>
    <n v="47.243000000000002"/>
    <n v="8.7500000000000008E-2"/>
    <n v="0"/>
  </r>
  <r>
    <n v="7622"/>
    <s v="US-2014-144078"/>
    <d v="2014-11-25T00:00:00"/>
    <x v="2"/>
    <s v="Q4"/>
    <x v="7"/>
    <d v="2014-11-29T00:00:00"/>
    <s v="Standard Class"/>
    <x v="579"/>
    <x v="579"/>
    <s v="Consumer"/>
    <s v="United States"/>
    <s v="Los Angeles"/>
    <x v="1"/>
    <n v="90004"/>
    <x v="1"/>
    <x v="629"/>
    <x v="0"/>
    <x v="1"/>
    <x v="629"/>
    <n v="725.34400000000005"/>
    <s v="High"/>
    <n v="4"/>
    <n v="0.2"/>
    <x v="2"/>
    <x v="2"/>
    <n v="54.400799999999997"/>
    <n v="7.4999999999999983E-2"/>
    <n v="0"/>
  </r>
  <r>
    <n v="7623"/>
    <s v="US-2014-144078"/>
    <d v="2014-11-25T00:00:00"/>
    <x v="2"/>
    <s v="Q4"/>
    <x v="7"/>
    <d v="2014-11-29T00:00:00"/>
    <s v="Standard Class"/>
    <x v="579"/>
    <x v="579"/>
    <s v="Consumer"/>
    <s v="United States"/>
    <s v="Los Angeles"/>
    <x v="1"/>
    <n v="90004"/>
    <x v="1"/>
    <x v="1820"/>
    <x v="1"/>
    <x v="6"/>
    <x v="772"/>
    <n v="7.44"/>
    <s v="Low"/>
    <n v="3"/>
    <n v="0"/>
    <x v="0"/>
    <x v="0"/>
    <n v="2.6040000000000001"/>
    <n v="0.35"/>
    <n v="0"/>
  </r>
  <r>
    <n v="7624"/>
    <s v="CA-2014-124464"/>
    <d v="2014-07-14T00:00:00"/>
    <x v="2"/>
    <s v="Q3"/>
    <x v="39"/>
    <d v="2014-07-20T00:00:00"/>
    <s v="Standard Class"/>
    <x v="776"/>
    <x v="776"/>
    <s v="Home Office"/>
    <s v="United States"/>
    <s v="Newark"/>
    <x v="13"/>
    <n v="19711"/>
    <x v="3"/>
    <x v="643"/>
    <x v="1"/>
    <x v="9"/>
    <x v="643"/>
    <n v="39.479999999999997"/>
    <s v="Medium"/>
    <n v="1"/>
    <n v="0"/>
    <x v="0"/>
    <x v="0"/>
    <n v="11.054399999999999"/>
    <n v="0.28000000000000003"/>
    <n v="0"/>
  </r>
  <r>
    <n v="7625"/>
    <s v="CA-2015-136805"/>
    <d v="2015-05-23T00:00:00"/>
    <x v="1"/>
    <s v="Q2"/>
    <x v="33"/>
    <d v="2015-05-27T00:00:00"/>
    <s v="Second Class"/>
    <x v="134"/>
    <x v="134"/>
    <s v="Home Office"/>
    <s v="United States"/>
    <s v="Detroit"/>
    <x v="12"/>
    <n v="48234"/>
    <x v="2"/>
    <x v="1141"/>
    <x v="1"/>
    <x v="9"/>
    <x v="1129"/>
    <n v="850.5"/>
    <s v="High"/>
    <n v="5"/>
    <n v="0.1"/>
    <x v="3"/>
    <x v="8"/>
    <n v="245.7"/>
    <n v="0.28888888888888886"/>
    <n v="0"/>
  </r>
  <r>
    <n v="7626"/>
    <s v="CA-2015-136805"/>
    <d v="2015-05-23T00:00:00"/>
    <x v="1"/>
    <s v="Q2"/>
    <x v="33"/>
    <d v="2015-05-27T00:00:00"/>
    <s v="Second Class"/>
    <x v="134"/>
    <x v="134"/>
    <s v="Home Office"/>
    <s v="United States"/>
    <s v="Detroit"/>
    <x v="12"/>
    <n v="48234"/>
    <x v="2"/>
    <x v="904"/>
    <x v="0"/>
    <x v="5"/>
    <x v="896"/>
    <n v="75.33"/>
    <s v="Medium"/>
    <n v="9"/>
    <n v="0"/>
    <x v="0"/>
    <x v="0"/>
    <n v="19.585799999999999"/>
    <n v="0.26"/>
    <n v="0"/>
  </r>
  <r>
    <n v="7627"/>
    <s v="US-2015-159499"/>
    <d v="2015-11-21T00:00:00"/>
    <x v="1"/>
    <s v="Q4"/>
    <x v="6"/>
    <d v="2015-11-23T00:00:00"/>
    <s v="Second Class"/>
    <x v="313"/>
    <x v="313"/>
    <s v="Corporate"/>
    <s v="United States"/>
    <s v="Phoenix"/>
    <x v="16"/>
    <n v="85023"/>
    <x v="1"/>
    <x v="1527"/>
    <x v="1"/>
    <x v="9"/>
    <x v="1514"/>
    <n v="325.63200000000001"/>
    <s v="High"/>
    <n v="6"/>
    <n v="0.2"/>
    <x v="2"/>
    <x v="2"/>
    <n v="28.492799999999999"/>
    <n v="8.7499999999999994E-2"/>
    <n v="0"/>
  </r>
  <r>
    <n v="7628"/>
    <s v="US-2015-159499"/>
    <d v="2015-11-21T00:00:00"/>
    <x v="1"/>
    <s v="Q4"/>
    <x v="6"/>
    <d v="2015-11-23T00:00:00"/>
    <s v="Second Class"/>
    <x v="313"/>
    <x v="313"/>
    <s v="Corporate"/>
    <s v="United States"/>
    <s v="Phoenix"/>
    <x v="16"/>
    <n v="85023"/>
    <x v="1"/>
    <x v="1207"/>
    <x v="2"/>
    <x v="11"/>
    <x v="1192"/>
    <n v="23.344000000000001"/>
    <s v="Low"/>
    <n v="2"/>
    <n v="0.2"/>
    <x v="2"/>
    <x v="2"/>
    <n v="-1.4590000000000001"/>
    <n v="-6.25E-2"/>
    <n v="1"/>
  </r>
  <r>
    <n v="7629"/>
    <s v="US-2015-159499"/>
    <d v="2015-11-21T00:00:00"/>
    <x v="1"/>
    <s v="Q4"/>
    <x v="6"/>
    <d v="2015-11-23T00:00:00"/>
    <s v="Second Class"/>
    <x v="313"/>
    <x v="313"/>
    <s v="Corporate"/>
    <s v="United States"/>
    <s v="Phoenix"/>
    <x v="16"/>
    <n v="85023"/>
    <x v="1"/>
    <x v="1008"/>
    <x v="1"/>
    <x v="2"/>
    <x v="1000"/>
    <n v="16.52"/>
    <s v="Low"/>
    <n v="5"/>
    <n v="0.2"/>
    <x v="2"/>
    <x v="2"/>
    <n v="5.3689999999999998"/>
    <n v="0.32500000000000001"/>
    <n v="0"/>
  </r>
  <r>
    <n v="7630"/>
    <s v="CA-2014-162089"/>
    <d v="2014-03-30T00:00:00"/>
    <x v="2"/>
    <s v="Q1"/>
    <x v="34"/>
    <d v="2014-04-01T00:00:00"/>
    <s v="First Class"/>
    <x v="88"/>
    <x v="88"/>
    <s v="Home Office"/>
    <s v="United States"/>
    <s v="Brownsville"/>
    <x v="5"/>
    <n v="78521"/>
    <x v="2"/>
    <x v="556"/>
    <x v="1"/>
    <x v="12"/>
    <x v="555"/>
    <n v="335.72"/>
    <s v="High"/>
    <n v="5"/>
    <n v="0.2"/>
    <x v="2"/>
    <x v="2"/>
    <n v="113.30549999999999"/>
    <n v="0.33749999999999997"/>
    <n v="0"/>
  </r>
  <r>
    <n v="7631"/>
    <s v="CA-2014-162089"/>
    <d v="2014-03-30T00:00:00"/>
    <x v="2"/>
    <s v="Q1"/>
    <x v="34"/>
    <d v="2014-04-01T00:00:00"/>
    <s v="First Class"/>
    <x v="88"/>
    <x v="88"/>
    <s v="Home Office"/>
    <s v="United States"/>
    <s v="Brownsville"/>
    <x v="5"/>
    <n v="78521"/>
    <x v="2"/>
    <x v="817"/>
    <x v="2"/>
    <x v="7"/>
    <x v="813"/>
    <n v="251.94399999999999"/>
    <s v="High"/>
    <n v="7"/>
    <n v="0.2"/>
    <x v="2"/>
    <x v="2"/>
    <n v="88.180400000000006"/>
    <n v="0.35000000000000003"/>
    <n v="0"/>
  </r>
  <r>
    <n v="7632"/>
    <s v="CA-2014-162089"/>
    <d v="2014-03-30T00:00:00"/>
    <x v="2"/>
    <s v="Q1"/>
    <x v="34"/>
    <d v="2014-04-01T00:00:00"/>
    <s v="First Class"/>
    <x v="88"/>
    <x v="88"/>
    <s v="Home Office"/>
    <s v="United States"/>
    <s v="Brownsville"/>
    <x v="5"/>
    <n v="78521"/>
    <x v="2"/>
    <x v="792"/>
    <x v="0"/>
    <x v="1"/>
    <x v="790"/>
    <n v="127.30200000000001"/>
    <s v="High"/>
    <n v="7"/>
    <n v="0.3"/>
    <x v="1"/>
    <x v="4"/>
    <n v="-9.093"/>
    <n v="-7.1428571428571425E-2"/>
    <n v="1"/>
  </r>
  <r>
    <n v="7633"/>
    <s v="US-2017-158526"/>
    <d v="2017-12-29T00:00:00"/>
    <x v="3"/>
    <s v="Q4"/>
    <x v="22"/>
    <d v="2018-01-01T00:00:00"/>
    <s v="Second Class"/>
    <x v="347"/>
    <x v="347"/>
    <s v="Consumer"/>
    <s v="United States"/>
    <s v="Louisville"/>
    <x v="0"/>
    <n v="40214"/>
    <x v="0"/>
    <x v="291"/>
    <x v="0"/>
    <x v="1"/>
    <x v="291"/>
    <n v="1207.8399999999999"/>
    <s v="High"/>
    <n v="8"/>
    <n v="0"/>
    <x v="0"/>
    <x v="0"/>
    <n v="314.03840000000002"/>
    <n v="0.26000000000000006"/>
    <n v="0"/>
  </r>
  <r>
    <n v="7634"/>
    <s v="US-2017-158526"/>
    <d v="2017-12-29T00:00:00"/>
    <x v="3"/>
    <s v="Q4"/>
    <x v="22"/>
    <d v="2018-01-01T00:00:00"/>
    <s v="Second Class"/>
    <x v="347"/>
    <x v="347"/>
    <s v="Consumer"/>
    <s v="United States"/>
    <s v="Louisville"/>
    <x v="0"/>
    <n v="40214"/>
    <x v="0"/>
    <x v="1095"/>
    <x v="1"/>
    <x v="8"/>
    <x v="1085"/>
    <n v="12.53"/>
    <s v="Low"/>
    <n v="1"/>
    <n v="0"/>
    <x v="0"/>
    <x v="0"/>
    <n v="5.8891"/>
    <n v="0.47000000000000003"/>
    <n v="0"/>
  </r>
  <r>
    <n v="7635"/>
    <s v="US-2017-158526"/>
    <d v="2017-12-29T00:00:00"/>
    <x v="3"/>
    <s v="Q4"/>
    <x v="22"/>
    <d v="2018-01-01T00:00:00"/>
    <s v="Second Class"/>
    <x v="347"/>
    <x v="347"/>
    <s v="Consumer"/>
    <s v="United States"/>
    <s v="Louisville"/>
    <x v="0"/>
    <n v="40214"/>
    <x v="0"/>
    <x v="1261"/>
    <x v="1"/>
    <x v="6"/>
    <x v="1245"/>
    <n v="34.58"/>
    <s v="Medium"/>
    <n v="1"/>
    <n v="0"/>
    <x v="0"/>
    <x v="0"/>
    <n v="10.0282"/>
    <n v="0.29000000000000004"/>
    <n v="0"/>
  </r>
  <r>
    <n v="7636"/>
    <s v="US-2017-158526"/>
    <d v="2017-12-29T00:00:00"/>
    <x v="3"/>
    <s v="Q4"/>
    <x v="22"/>
    <d v="2018-01-01T00:00:00"/>
    <s v="Second Class"/>
    <x v="347"/>
    <x v="347"/>
    <s v="Consumer"/>
    <s v="United States"/>
    <s v="Louisville"/>
    <x v="0"/>
    <n v="40214"/>
    <x v="0"/>
    <x v="1496"/>
    <x v="0"/>
    <x v="1"/>
    <x v="1484"/>
    <n v="300.98"/>
    <s v="High"/>
    <n v="1"/>
    <n v="0"/>
    <x v="0"/>
    <x v="0"/>
    <n v="87.284199999999998"/>
    <n v="0.28999999999999998"/>
    <n v="0"/>
  </r>
  <r>
    <n v="7637"/>
    <s v="US-2017-158526"/>
    <d v="2017-12-29T00:00:00"/>
    <x v="3"/>
    <s v="Q4"/>
    <x v="22"/>
    <d v="2018-01-01T00:00:00"/>
    <s v="Second Class"/>
    <x v="347"/>
    <x v="347"/>
    <s v="Consumer"/>
    <s v="United States"/>
    <s v="Louisville"/>
    <x v="0"/>
    <n v="40214"/>
    <x v="0"/>
    <x v="866"/>
    <x v="0"/>
    <x v="1"/>
    <x v="860"/>
    <n v="258.75"/>
    <s v="High"/>
    <n v="3"/>
    <n v="0"/>
    <x v="0"/>
    <x v="0"/>
    <n v="77.625"/>
    <n v="0.3"/>
    <n v="0"/>
  </r>
  <r>
    <n v="7638"/>
    <s v="CA-2017-104885"/>
    <d v="2017-03-02T00:00:00"/>
    <x v="3"/>
    <s v="Q1"/>
    <x v="42"/>
    <d v="2017-03-08T00:00:00"/>
    <s v="Standard Class"/>
    <x v="587"/>
    <x v="587"/>
    <s v="Corporate"/>
    <s v="United States"/>
    <s v="Newark"/>
    <x v="13"/>
    <n v="19711"/>
    <x v="3"/>
    <x v="1500"/>
    <x v="1"/>
    <x v="6"/>
    <x v="1488"/>
    <n v="59.52"/>
    <s v="Medium"/>
    <n v="3"/>
    <n v="0"/>
    <x v="0"/>
    <x v="0"/>
    <n v="15.475199999999999"/>
    <n v="0.25999999999999995"/>
    <n v="0"/>
  </r>
  <r>
    <n v="7639"/>
    <s v="CA-2017-104885"/>
    <d v="2017-03-02T00:00:00"/>
    <x v="3"/>
    <s v="Q1"/>
    <x v="42"/>
    <d v="2017-03-08T00:00:00"/>
    <s v="Standard Class"/>
    <x v="587"/>
    <x v="587"/>
    <s v="Corporate"/>
    <s v="United States"/>
    <s v="Newark"/>
    <x v="13"/>
    <n v="19711"/>
    <x v="3"/>
    <x v="1451"/>
    <x v="1"/>
    <x v="12"/>
    <x v="153"/>
    <n v="57.96"/>
    <s v="Medium"/>
    <n v="7"/>
    <n v="0"/>
    <x v="0"/>
    <x v="0"/>
    <n v="27.241199999999999"/>
    <n v="0.47"/>
    <n v="0"/>
  </r>
  <r>
    <n v="7640"/>
    <s v="CA-2017-104885"/>
    <d v="2017-03-02T00:00:00"/>
    <x v="3"/>
    <s v="Q1"/>
    <x v="42"/>
    <d v="2017-03-08T00:00:00"/>
    <s v="Standard Class"/>
    <x v="587"/>
    <x v="587"/>
    <s v="Corporate"/>
    <s v="United States"/>
    <s v="Newark"/>
    <x v="13"/>
    <n v="19711"/>
    <x v="3"/>
    <x v="1487"/>
    <x v="0"/>
    <x v="0"/>
    <x v="1474"/>
    <n v="441.96"/>
    <s v="High"/>
    <n v="2"/>
    <n v="0"/>
    <x v="0"/>
    <x v="0"/>
    <n v="101.6508"/>
    <n v="0.23"/>
    <n v="0"/>
  </r>
  <r>
    <n v="7641"/>
    <s v="CA-2017-104885"/>
    <d v="2017-03-02T00:00:00"/>
    <x v="3"/>
    <s v="Q1"/>
    <x v="42"/>
    <d v="2017-03-08T00:00:00"/>
    <s v="Standard Class"/>
    <x v="587"/>
    <x v="587"/>
    <s v="Corporate"/>
    <s v="United States"/>
    <s v="Newark"/>
    <x v="13"/>
    <n v="19711"/>
    <x v="3"/>
    <x v="1713"/>
    <x v="1"/>
    <x v="10"/>
    <x v="33"/>
    <n v="68.040000000000006"/>
    <s v="Medium"/>
    <n v="6"/>
    <n v="0"/>
    <x v="0"/>
    <x v="0"/>
    <n v="33.339599999999997"/>
    <n v="0.48999999999999994"/>
    <n v="0"/>
  </r>
  <r>
    <n v="7642"/>
    <s v="US-2016-157490"/>
    <d v="2016-10-06T00:00:00"/>
    <x v="0"/>
    <s v="Q4"/>
    <x v="32"/>
    <d v="2016-10-07T00:00:00"/>
    <s v="First Class"/>
    <x v="697"/>
    <x v="697"/>
    <s v="Home Office"/>
    <s v="United States"/>
    <s v="Pueblo"/>
    <x v="22"/>
    <n v="81001"/>
    <x v="1"/>
    <x v="1822"/>
    <x v="2"/>
    <x v="15"/>
    <x v="1810"/>
    <n v="703.71"/>
    <s v="High"/>
    <n v="6"/>
    <n v="0.7"/>
    <x v="1"/>
    <x v="5"/>
    <n v="-938.28"/>
    <n v="-1.3333333333333333"/>
    <n v="1"/>
  </r>
  <r>
    <n v="7643"/>
    <s v="US-2016-157490"/>
    <d v="2016-10-06T00:00:00"/>
    <x v="0"/>
    <s v="Q4"/>
    <x v="32"/>
    <d v="2016-10-07T00:00:00"/>
    <s v="First Class"/>
    <x v="697"/>
    <x v="697"/>
    <s v="Home Office"/>
    <s v="United States"/>
    <s v="Pueblo"/>
    <x v="22"/>
    <n v="81001"/>
    <x v="1"/>
    <x v="528"/>
    <x v="1"/>
    <x v="8"/>
    <x v="528"/>
    <n v="17.904"/>
    <s v="Low"/>
    <n v="4"/>
    <n v="0.7"/>
    <x v="1"/>
    <x v="5"/>
    <n v="-14.92"/>
    <n v="-0.83333333333333337"/>
    <n v="1"/>
  </r>
  <r>
    <n v="7644"/>
    <s v="US-2016-157490"/>
    <d v="2016-10-06T00:00:00"/>
    <x v="0"/>
    <s v="Q4"/>
    <x v="32"/>
    <d v="2016-10-07T00:00:00"/>
    <s v="First Class"/>
    <x v="697"/>
    <x v="697"/>
    <s v="Home Office"/>
    <s v="United States"/>
    <s v="Pueblo"/>
    <x v="22"/>
    <n v="81001"/>
    <x v="1"/>
    <x v="1230"/>
    <x v="1"/>
    <x v="8"/>
    <x v="1213"/>
    <n v="11.976000000000001"/>
    <s v="Low"/>
    <n v="4"/>
    <n v="0.7"/>
    <x v="1"/>
    <x v="5"/>
    <n v="-9.1815999999999995"/>
    <n v="-0.76666666666666661"/>
    <n v="1"/>
  </r>
  <r>
    <n v="7645"/>
    <s v="US-2016-157490"/>
    <d v="2016-10-06T00:00:00"/>
    <x v="0"/>
    <s v="Q4"/>
    <x v="32"/>
    <d v="2016-10-07T00:00:00"/>
    <s v="First Class"/>
    <x v="697"/>
    <x v="697"/>
    <s v="Home Office"/>
    <s v="United States"/>
    <s v="Pueblo"/>
    <x v="22"/>
    <n v="81001"/>
    <x v="1"/>
    <x v="1617"/>
    <x v="2"/>
    <x v="11"/>
    <x v="1608"/>
    <n v="67.959999999999994"/>
    <s v="Medium"/>
    <n v="5"/>
    <n v="0.2"/>
    <x v="2"/>
    <x v="2"/>
    <n v="0.84950000000000003"/>
    <n v="1.2500000000000002E-2"/>
    <n v="0"/>
  </r>
  <r>
    <n v="7646"/>
    <s v="CA-2015-161452"/>
    <d v="2015-04-05T00:00:00"/>
    <x v="1"/>
    <s v="Q2"/>
    <x v="19"/>
    <d v="2015-04-11T00:00:00"/>
    <s v="Standard Class"/>
    <x v="662"/>
    <x v="662"/>
    <s v="Corporate"/>
    <s v="United States"/>
    <s v="Los Angeles"/>
    <x v="1"/>
    <n v="90036"/>
    <x v="1"/>
    <x v="873"/>
    <x v="0"/>
    <x v="1"/>
    <x v="867"/>
    <n v="892.22400000000005"/>
    <s v="High"/>
    <n v="3"/>
    <n v="0.2"/>
    <x v="2"/>
    <x v="2"/>
    <n v="89.222399999999993"/>
    <n v="9.9999999999999992E-2"/>
    <n v="0"/>
  </r>
  <r>
    <n v="7647"/>
    <s v="US-2014-115196"/>
    <d v="2014-09-09T00:00:00"/>
    <x v="2"/>
    <s v="Q3"/>
    <x v="30"/>
    <d v="2014-09-13T00:00:00"/>
    <s v="Standard Class"/>
    <x v="351"/>
    <x v="351"/>
    <s v="Consumer"/>
    <s v="United States"/>
    <s v="Greenville"/>
    <x v="3"/>
    <n v="27834"/>
    <x v="0"/>
    <x v="1782"/>
    <x v="2"/>
    <x v="15"/>
    <x v="1772"/>
    <n v="1299.99"/>
    <s v="High"/>
    <n v="2"/>
    <n v="0.5"/>
    <x v="1"/>
    <x v="1"/>
    <n v="-571.99559999999997"/>
    <n v="-0.43999999999999995"/>
    <n v="1"/>
  </r>
  <r>
    <n v="7648"/>
    <s v="CA-2016-138968"/>
    <d v="2016-03-15T00:00:00"/>
    <x v="0"/>
    <s v="Q1"/>
    <x v="17"/>
    <d v="2016-03-16T00:00:00"/>
    <s v="First Class"/>
    <x v="712"/>
    <x v="712"/>
    <s v="Corporate"/>
    <s v="United States"/>
    <s v="San Francisco"/>
    <x v="1"/>
    <n v="94110"/>
    <x v="1"/>
    <x v="798"/>
    <x v="1"/>
    <x v="8"/>
    <x v="796"/>
    <n v="4.5439999999999996"/>
    <s v="Low"/>
    <n v="2"/>
    <n v="0.2"/>
    <x v="2"/>
    <x v="2"/>
    <n v="1.6472"/>
    <n v="0.36250000000000004"/>
    <n v="0"/>
  </r>
  <r>
    <n v="7649"/>
    <s v="CA-2016-138968"/>
    <d v="2016-03-15T00:00:00"/>
    <x v="0"/>
    <s v="Q1"/>
    <x v="17"/>
    <d v="2016-03-16T00:00:00"/>
    <s v="First Class"/>
    <x v="712"/>
    <x v="712"/>
    <s v="Corporate"/>
    <s v="United States"/>
    <s v="San Francisco"/>
    <x v="1"/>
    <n v="94110"/>
    <x v="1"/>
    <x v="774"/>
    <x v="0"/>
    <x v="1"/>
    <x v="773"/>
    <n v="1352.0319999999999"/>
    <s v="High"/>
    <n v="4"/>
    <n v="0.2"/>
    <x v="2"/>
    <x v="2"/>
    <n v="84.501999999999995"/>
    <n v="6.25E-2"/>
    <n v="0"/>
  </r>
  <r>
    <n v="7650"/>
    <s v="CA-2015-101889"/>
    <d v="2015-12-27T00:00:00"/>
    <x v="1"/>
    <s v="Q4"/>
    <x v="14"/>
    <d v="2015-12-31T00:00:00"/>
    <s v="Standard Class"/>
    <x v="106"/>
    <x v="106"/>
    <s v="Corporate"/>
    <s v="United States"/>
    <s v="Marion"/>
    <x v="24"/>
    <n v="43302"/>
    <x v="3"/>
    <x v="738"/>
    <x v="0"/>
    <x v="3"/>
    <x v="737"/>
    <n v="1548.99"/>
    <s v="High"/>
    <n v="9"/>
    <n v="0.4"/>
    <x v="1"/>
    <x v="7"/>
    <n v="-464.697"/>
    <n v="-0.3"/>
    <n v="1"/>
  </r>
  <r>
    <n v="7651"/>
    <s v="CA-2015-101889"/>
    <d v="2015-12-27T00:00:00"/>
    <x v="1"/>
    <s v="Q4"/>
    <x v="14"/>
    <d v="2015-12-31T00:00:00"/>
    <s v="Standard Class"/>
    <x v="106"/>
    <x v="106"/>
    <s v="Corporate"/>
    <s v="United States"/>
    <s v="Marion"/>
    <x v="24"/>
    <n v="43302"/>
    <x v="3"/>
    <x v="1451"/>
    <x v="1"/>
    <x v="12"/>
    <x v="153"/>
    <n v="19.872"/>
    <s v="Low"/>
    <n v="3"/>
    <n v="0.2"/>
    <x v="2"/>
    <x v="2"/>
    <n v="6.7068000000000003"/>
    <n v="0.33750000000000002"/>
    <n v="0"/>
  </r>
  <r>
    <n v="7652"/>
    <s v="CA-2017-110821"/>
    <d v="2017-08-07T00:00:00"/>
    <x v="3"/>
    <s v="Q3"/>
    <x v="43"/>
    <d v="2017-08-08T00:00:00"/>
    <s v="First Class"/>
    <x v="237"/>
    <x v="237"/>
    <s v="Consumer"/>
    <s v="United States"/>
    <s v="Dallas"/>
    <x v="5"/>
    <n v="75081"/>
    <x v="2"/>
    <x v="100"/>
    <x v="2"/>
    <x v="11"/>
    <x v="100"/>
    <n v="119.44799999999999"/>
    <s v="Medium"/>
    <n v="3"/>
    <n v="0.2"/>
    <x v="2"/>
    <x v="2"/>
    <n v="-13.437900000000001"/>
    <n v="-0.11250000000000002"/>
    <n v="1"/>
  </r>
  <r>
    <n v="7653"/>
    <s v="CA-2017-110821"/>
    <d v="2017-08-07T00:00:00"/>
    <x v="3"/>
    <s v="Q3"/>
    <x v="43"/>
    <d v="2017-08-08T00:00:00"/>
    <s v="First Class"/>
    <x v="237"/>
    <x v="237"/>
    <s v="Consumer"/>
    <s v="United States"/>
    <s v="Dallas"/>
    <x v="5"/>
    <n v="75081"/>
    <x v="2"/>
    <x v="235"/>
    <x v="1"/>
    <x v="4"/>
    <x v="236"/>
    <n v="118.16"/>
    <s v="Medium"/>
    <n v="2"/>
    <n v="0.2"/>
    <x v="2"/>
    <x v="2"/>
    <n v="-25.109000000000002"/>
    <n v="-0.21250000000000002"/>
    <n v="1"/>
  </r>
  <r>
    <n v="7654"/>
    <s v="CA-2015-121552"/>
    <d v="2015-03-22T00:00:00"/>
    <x v="1"/>
    <s v="Q1"/>
    <x v="29"/>
    <d v="2015-03-27T00:00:00"/>
    <s v="Standard Class"/>
    <x v="783"/>
    <x v="783"/>
    <s v="Corporate"/>
    <s v="United States"/>
    <s v="Huntsville"/>
    <x v="19"/>
    <n v="35810"/>
    <x v="0"/>
    <x v="1661"/>
    <x v="1"/>
    <x v="6"/>
    <x v="1649"/>
    <n v="19.559999999999999"/>
    <s v="Low"/>
    <n v="4"/>
    <n v="0"/>
    <x v="0"/>
    <x v="0"/>
    <n v="5.4767999999999999"/>
    <n v="0.28000000000000003"/>
    <n v="0"/>
  </r>
  <r>
    <n v="7655"/>
    <s v="CA-2015-107685"/>
    <d v="2015-11-30T00:00:00"/>
    <x v="1"/>
    <s v="Q4"/>
    <x v="6"/>
    <d v="2015-12-02T00:00:00"/>
    <s v="Second Class"/>
    <x v="622"/>
    <x v="622"/>
    <s v="Consumer"/>
    <s v="United States"/>
    <s v="Las Vegas"/>
    <x v="33"/>
    <n v="89115"/>
    <x v="1"/>
    <x v="1702"/>
    <x v="0"/>
    <x v="5"/>
    <x v="1691"/>
    <n v="80.959999999999994"/>
    <s v="Medium"/>
    <n v="4"/>
    <n v="0"/>
    <x v="0"/>
    <x v="0"/>
    <n v="29.145600000000002"/>
    <n v="0.36000000000000004"/>
    <n v="0"/>
  </r>
  <r>
    <n v="7656"/>
    <s v="CA-2015-107685"/>
    <d v="2015-11-30T00:00:00"/>
    <x v="1"/>
    <s v="Q4"/>
    <x v="6"/>
    <d v="2015-12-02T00:00:00"/>
    <s v="Second Class"/>
    <x v="622"/>
    <x v="622"/>
    <s v="Consumer"/>
    <s v="United States"/>
    <s v="Las Vegas"/>
    <x v="33"/>
    <n v="89115"/>
    <x v="1"/>
    <x v="1465"/>
    <x v="1"/>
    <x v="10"/>
    <x v="1451"/>
    <n v="25.92"/>
    <s v="Medium"/>
    <n v="4"/>
    <n v="0"/>
    <x v="0"/>
    <x v="0"/>
    <n v="12.441599999999999"/>
    <n v="0.47999999999999993"/>
    <n v="0"/>
  </r>
  <r>
    <n v="7657"/>
    <s v="US-2014-120740"/>
    <d v="2014-04-15T00:00:00"/>
    <x v="2"/>
    <s v="Q2"/>
    <x v="41"/>
    <d v="2014-04-15T00:00:00"/>
    <s v="Same Day"/>
    <x v="28"/>
    <x v="28"/>
    <s v="Home Office"/>
    <s v="United States"/>
    <s v="Los Angeles"/>
    <x v="1"/>
    <n v="90049"/>
    <x v="1"/>
    <x v="650"/>
    <x v="1"/>
    <x v="9"/>
    <x v="650"/>
    <n v="106.96"/>
    <s v="Medium"/>
    <n v="2"/>
    <n v="0"/>
    <x v="0"/>
    <x v="0"/>
    <n v="31.0184"/>
    <n v="0.29000000000000004"/>
    <n v="0"/>
  </r>
  <r>
    <n v="7658"/>
    <s v="US-2014-120740"/>
    <d v="2014-04-15T00:00:00"/>
    <x v="2"/>
    <s v="Q2"/>
    <x v="41"/>
    <d v="2014-04-15T00:00:00"/>
    <s v="Same Day"/>
    <x v="28"/>
    <x v="28"/>
    <s v="Home Office"/>
    <s v="United States"/>
    <s v="Los Angeles"/>
    <x v="1"/>
    <n v="90049"/>
    <x v="1"/>
    <x v="267"/>
    <x v="0"/>
    <x v="5"/>
    <x v="267"/>
    <n v="187.76"/>
    <s v="High"/>
    <n v="4"/>
    <n v="0"/>
    <x v="0"/>
    <x v="0"/>
    <n v="76.9816"/>
    <n v="0.41000000000000003"/>
    <n v="0"/>
  </r>
  <r>
    <n v="7659"/>
    <s v="CA-2017-155740"/>
    <d v="2017-07-30T00:00:00"/>
    <x v="3"/>
    <s v="Q3"/>
    <x v="10"/>
    <d v="2017-08-02T00:00:00"/>
    <s v="First Class"/>
    <x v="679"/>
    <x v="679"/>
    <s v="Home Office"/>
    <s v="United States"/>
    <s v="Lakewood"/>
    <x v="24"/>
    <n v="44107"/>
    <x v="3"/>
    <x v="669"/>
    <x v="1"/>
    <x v="8"/>
    <x v="669"/>
    <n v="76.775999999999996"/>
    <s v="Medium"/>
    <n v="4"/>
    <n v="0.7"/>
    <x v="1"/>
    <x v="5"/>
    <n v="-53.743200000000002"/>
    <n v="-0.70000000000000007"/>
    <n v="1"/>
  </r>
  <r>
    <n v="7660"/>
    <s v="CA-2017-146493"/>
    <d v="2017-06-01T00:00:00"/>
    <x v="3"/>
    <s v="Q2"/>
    <x v="27"/>
    <d v="2017-06-05T00:00:00"/>
    <s v="Standard Class"/>
    <x v="51"/>
    <x v="51"/>
    <s v="Corporate"/>
    <s v="United States"/>
    <s v="Fremont"/>
    <x v="8"/>
    <n v="68025"/>
    <x v="2"/>
    <x v="828"/>
    <x v="1"/>
    <x v="8"/>
    <x v="824"/>
    <n v="53.9"/>
    <s v="Medium"/>
    <n v="5"/>
    <n v="0"/>
    <x v="0"/>
    <x v="0"/>
    <n v="25.872"/>
    <n v="0.48000000000000004"/>
    <n v="0"/>
  </r>
  <r>
    <n v="7661"/>
    <s v="CA-2014-105417"/>
    <d v="2014-01-07T00:00:00"/>
    <x v="2"/>
    <s v="Q1"/>
    <x v="46"/>
    <d v="2014-01-12T00:00:00"/>
    <s v="Standard Class"/>
    <x v="745"/>
    <x v="745"/>
    <s v="Consumer"/>
    <s v="United States"/>
    <s v="Huntsville"/>
    <x v="5"/>
    <n v="77340"/>
    <x v="2"/>
    <x v="441"/>
    <x v="0"/>
    <x v="5"/>
    <x v="441"/>
    <n v="76.727999999999994"/>
    <s v="Medium"/>
    <n v="3"/>
    <n v="0.6"/>
    <x v="1"/>
    <x v="6"/>
    <n v="-53.709600000000002"/>
    <n v="-0.70000000000000007"/>
    <n v="1"/>
  </r>
  <r>
    <n v="7662"/>
    <s v="CA-2014-105417"/>
    <d v="2014-01-07T00:00:00"/>
    <x v="2"/>
    <s v="Q1"/>
    <x v="46"/>
    <d v="2014-01-12T00:00:00"/>
    <s v="Standard Class"/>
    <x v="745"/>
    <x v="745"/>
    <s v="Consumer"/>
    <s v="United States"/>
    <s v="Huntsville"/>
    <x v="5"/>
    <n v="77340"/>
    <x v="2"/>
    <x v="985"/>
    <x v="1"/>
    <x v="8"/>
    <x v="978"/>
    <n v="10.43"/>
    <s v="Low"/>
    <n v="7"/>
    <n v="0.8"/>
    <x v="1"/>
    <x v="3"/>
    <n v="-18.252500000000001"/>
    <n v="-1.7500000000000002"/>
    <n v="1"/>
  </r>
  <r>
    <n v="7663"/>
    <s v="US-2017-141509"/>
    <d v="2017-09-29T00:00:00"/>
    <x v="3"/>
    <s v="Q3"/>
    <x v="15"/>
    <d v="2017-10-01T00:00:00"/>
    <s v="First Class"/>
    <x v="623"/>
    <x v="623"/>
    <s v="Consumer"/>
    <s v="United States"/>
    <s v="Los Angeles"/>
    <x v="1"/>
    <n v="90036"/>
    <x v="1"/>
    <x v="1167"/>
    <x v="1"/>
    <x v="6"/>
    <x v="1154"/>
    <n v="99.2"/>
    <s v="Medium"/>
    <n v="5"/>
    <n v="0"/>
    <x v="0"/>
    <x v="0"/>
    <n v="25.792000000000002"/>
    <n v="0.26"/>
    <n v="0"/>
  </r>
  <r>
    <n v="7664"/>
    <s v="CA-2017-139493"/>
    <d v="2017-09-13T00:00:00"/>
    <x v="3"/>
    <s v="Q3"/>
    <x v="15"/>
    <d v="2017-09-19T00:00:00"/>
    <s v="Standard Class"/>
    <x v="611"/>
    <x v="611"/>
    <s v="Consumer"/>
    <s v="United States"/>
    <s v="Asheville"/>
    <x v="3"/>
    <n v="28806"/>
    <x v="0"/>
    <x v="703"/>
    <x v="1"/>
    <x v="6"/>
    <x v="703"/>
    <n v="15.92"/>
    <s v="Low"/>
    <n v="5"/>
    <n v="0.2"/>
    <x v="2"/>
    <x v="2"/>
    <n v="2.786"/>
    <n v="0.17500000000000002"/>
    <n v="0"/>
  </r>
  <r>
    <n v="7665"/>
    <s v="CA-2014-151967"/>
    <d v="2014-10-22T00:00:00"/>
    <x v="2"/>
    <s v="Q4"/>
    <x v="18"/>
    <d v="2014-10-26T00:00:00"/>
    <s v="Standard Class"/>
    <x v="630"/>
    <x v="630"/>
    <s v="Corporate"/>
    <s v="United States"/>
    <s v="Bossier City"/>
    <x v="28"/>
    <n v="71111"/>
    <x v="0"/>
    <x v="1525"/>
    <x v="0"/>
    <x v="5"/>
    <x v="1512"/>
    <n v="129.91999999999999"/>
    <s v="High"/>
    <n v="4"/>
    <n v="0"/>
    <x v="0"/>
    <x v="0"/>
    <n v="10.393599999999999"/>
    <n v="0.08"/>
    <n v="0"/>
  </r>
  <r>
    <n v="7666"/>
    <s v="US-2016-140158"/>
    <d v="2016-10-04T00:00:00"/>
    <x v="0"/>
    <s v="Q4"/>
    <x v="32"/>
    <d v="2016-10-08T00:00:00"/>
    <s v="Standard Class"/>
    <x v="660"/>
    <x v="660"/>
    <s v="Home Office"/>
    <s v="United States"/>
    <s v="Providence"/>
    <x v="34"/>
    <n v="2908"/>
    <x v="3"/>
    <x v="999"/>
    <x v="1"/>
    <x v="8"/>
    <x v="991"/>
    <n v="30.4"/>
    <s v="Medium"/>
    <n v="1"/>
    <n v="0"/>
    <x v="0"/>
    <x v="0"/>
    <n v="13.984"/>
    <n v="0.46"/>
    <n v="0"/>
  </r>
  <r>
    <n v="7667"/>
    <s v="US-2016-140158"/>
    <d v="2016-10-04T00:00:00"/>
    <x v="0"/>
    <s v="Q4"/>
    <x v="32"/>
    <d v="2016-10-08T00:00:00"/>
    <s v="Standard Class"/>
    <x v="660"/>
    <x v="660"/>
    <s v="Home Office"/>
    <s v="United States"/>
    <s v="Providence"/>
    <x v="34"/>
    <n v="2908"/>
    <x v="3"/>
    <x v="306"/>
    <x v="2"/>
    <x v="16"/>
    <x v="306"/>
    <n v="5399.91"/>
    <s v="High"/>
    <n v="9"/>
    <n v="0"/>
    <x v="0"/>
    <x v="0"/>
    <n v="2591.9567999999999"/>
    <n v="0.48"/>
    <n v="0"/>
  </r>
  <r>
    <n v="7668"/>
    <s v="US-2016-140158"/>
    <d v="2016-10-04T00:00:00"/>
    <x v="0"/>
    <s v="Q4"/>
    <x v="32"/>
    <d v="2016-10-08T00:00:00"/>
    <s v="Standard Class"/>
    <x v="660"/>
    <x v="660"/>
    <s v="Home Office"/>
    <s v="United States"/>
    <s v="Providence"/>
    <x v="34"/>
    <n v="2908"/>
    <x v="3"/>
    <x v="1716"/>
    <x v="1"/>
    <x v="4"/>
    <x v="1703"/>
    <n v="119.1"/>
    <s v="Medium"/>
    <n v="3"/>
    <n v="0"/>
    <x v="0"/>
    <x v="0"/>
    <n v="34.539000000000001"/>
    <n v="0.29000000000000004"/>
    <n v="0"/>
  </r>
  <r>
    <n v="7669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578"/>
    <x v="1"/>
    <x v="10"/>
    <x v="578"/>
    <n v="40.08"/>
    <s v="Medium"/>
    <n v="6"/>
    <n v="0"/>
    <x v="0"/>
    <x v="0"/>
    <n v="19.238399999999999"/>
    <n v="0.48"/>
    <n v="0"/>
  </r>
  <r>
    <n v="7670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681"/>
    <x v="1"/>
    <x v="10"/>
    <x v="681"/>
    <n v="59.94"/>
    <s v="Medium"/>
    <n v="3"/>
    <n v="0"/>
    <x v="0"/>
    <x v="0"/>
    <n v="28.171800000000001"/>
    <n v="0.47000000000000003"/>
    <n v="0"/>
  </r>
  <r>
    <n v="7671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1301"/>
    <x v="2"/>
    <x v="11"/>
    <x v="1286"/>
    <n v="259.98"/>
    <s v="High"/>
    <n v="2"/>
    <n v="0"/>
    <x v="0"/>
    <x v="0"/>
    <n v="88.393199999999993"/>
    <n v="0.33999999999999997"/>
    <n v="0"/>
  </r>
  <r>
    <n v="7672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1528"/>
    <x v="0"/>
    <x v="0"/>
    <x v="1515"/>
    <n v="170.98"/>
    <s v="High"/>
    <n v="1"/>
    <n v="0"/>
    <x v="0"/>
    <x v="0"/>
    <n v="32.486199999999997"/>
    <n v="0.19"/>
    <n v="0"/>
  </r>
  <r>
    <n v="7673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1823"/>
    <x v="0"/>
    <x v="5"/>
    <x v="1811"/>
    <n v="38.97"/>
    <s v="Medium"/>
    <n v="3"/>
    <n v="0"/>
    <x v="0"/>
    <x v="0"/>
    <n v="4.6764000000000001"/>
    <n v="0.12000000000000001"/>
    <n v="0"/>
  </r>
  <r>
    <n v="7674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1019"/>
    <x v="1"/>
    <x v="10"/>
    <x v="1010"/>
    <n v="154.9"/>
    <s v="High"/>
    <n v="5"/>
    <n v="0"/>
    <x v="0"/>
    <x v="0"/>
    <n v="69.704999999999998"/>
    <n v="0.44999999999999996"/>
    <n v="0"/>
  </r>
  <r>
    <n v="7675"/>
    <s v="CA-2015-130974"/>
    <d v="2015-11-27T00:00:00"/>
    <x v="1"/>
    <s v="Q4"/>
    <x v="6"/>
    <d v="2015-11-29T00:00:00"/>
    <s v="Second Class"/>
    <x v="15"/>
    <x v="15"/>
    <s v="Home Office"/>
    <s v="United States"/>
    <s v="Everett"/>
    <x v="31"/>
    <n v="2149"/>
    <x v="3"/>
    <x v="898"/>
    <x v="0"/>
    <x v="3"/>
    <x v="891"/>
    <n v="446.06799999999998"/>
    <s v="High"/>
    <n v="4"/>
    <n v="0.3"/>
    <x v="1"/>
    <x v="4"/>
    <n v="0"/>
    <n v="0"/>
    <n v="0"/>
  </r>
  <r>
    <n v="7676"/>
    <s v="CA-2017-133487"/>
    <d v="2017-05-06T00:00:00"/>
    <x v="3"/>
    <s v="Q2"/>
    <x v="24"/>
    <d v="2017-05-09T00:00:00"/>
    <s v="Second Class"/>
    <x v="772"/>
    <x v="772"/>
    <s v="Consumer"/>
    <s v="United States"/>
    <s v="Rancho Cucamonga"/>
    <x v="1"/>
    <n v="91730"/>
    <x v="1"/>
    <x v="473"/>
    <x v="1"/>
    <x v="9"/>
    <x v="474"/>
    <n v="152.94"/>
    <s v="High"/>
    <n v="3"/>
    <n v="0"/>
    <x v="0"/>
    <x v="0"/>
    <n v="41.293799999999997"/>
    <n v="0.26999999999999996"/>
    <n v="0"/>
  </r>
  <r>
    <n v="7677"/>
    <s v="CA-2014-142951"/>
    <d v="2014-10-08T00:00:00"/>
    <x v="2"/>
    <s v="Q4"/>
    <x v="18"/>
    <d v="2014-10-08T00:00:00"/>
    <s v="Same Day"/>
    <x v="161"/>
    <x v="161"/>
    <s v="Consumer"/>
    <s v="United States"/>
    <s v="Charlotte"/>
    <x v="3"/>
    <n v="28205"/>
    <x v="0"/>
    <x v="1599"/>
    <x v="2"/>
    <x v="11"/>
    <x v="1591"/>
    <n v="23.472000000000001"/>
    <s v="Low"/>
    <n v="3"/>
    <n v="0.2"/>
    <x v="2"/>
    <x v="2"/>
    <n v="4.9878"/>
    <n v="0.21249999999999999"/>
    <n v="0"/>
  </r>
  <r>
    <n v="7678"/>
    <s v="CA-2014-133592"/>
    <d v="2014-12-31T00:00:00"/>
    <x v="2"/>
    <s v="Q4"/>
    <x v="20"/>
    <d v="2015-01-07T00:00:00"/>
    <s v="Standard Class"/>
    <x v="454"/>
    <x v="454"/>
    <s v="Home Office"/>
    <s v="United States"/>
    <s v="Providence"/>
    <x v="34"/>
    <n v="2908"/>
    <x v="3"/>
    <x v="1689"/>
    <x v="1"/>
    <x v="10"/>
    <x v="1677"/>
    <n v="195.64"/>
    <s v="High"/>
    <n v="4"/>
    <n v="0"/>
    <x v="0"/>
    <x v="0"/>
    <n v="91.950800000000001"/>
    <n v="0.47000000000000003"/>
    <n v="0"/>
  </r>
  <r>
    <n v="7679"/>
    <s v="CA-2014-133592"/>
    <d v="2014-12-31T00:00:00"/>
    <x v="2"/>
    <s v="Q4"/>
    <x v="20"/>
    <d v="2015-01-07T00:00:00"/>
    <s v="Standard Class"/>
    <x v="454"/>
    <x v="454"/>
    <s v="Home Office"/>
    <s v="United States"/>
    <s v="Providence"/>
    <x v="34"/>
    <n v="2908"/>
    <x v="3"/>
    <x v="1025"/>
    <x v="1"/>
    <x v="10"/>
    <x v="1016"/>
    <n v="14.94"/>
    <s v="Low"/>
    <n v="3"/>
    <n v="0"/>
    <x v="0"/>
    <x v="0"/>
    <n v="7.0217999999999998"/>
    <n v="0.47000000000000003"/>
    <n v="0"/>
  </r>
  <r>
    <n v="7680"/>
    <s v="CA-2014-133592"/>
    <d v="2014-12-31T00:00:00"/>
    <x v="2"/>
    <s v="Q4"/>
    <x v="20"/>
    <d v="2015-01-07T00:00:00"/>
    <s v="Standard Class"/>
    <x v="454"/>
    <x v="454"/>
    <s v="Home Office"/>
    <s v="United States"/>
    <s v="Providence"/>
    <x v="34"/>
    <n v="2908"/>
    <x v="3"/>
    <x v="695"/>
    <x v="2"/>
    <x v="11"/>
    <x v="1062"/>
    <n v="1687.8"/>
    <s v="High"/>
    <n v="4"/>
    <n v="0"/>
    <x v="0"/>
    <x v="0"/>
    <n v="742.63199999999995"/>
    <n v="0.44"/>
    <n v="0"/>
  </r>
  <r>
    <n v="7681"/>
    <s v="CA-2014-133592"/>
    <d v="2014-12-31T00:00:00"/>
    <x v="2"/>
    <s v="Q4"/>
    <x v="20"/>
    <d v="2015-01-07T00:00:00"/>
    <s v="Standard Class"/>
    <x v="454"/>
    <x v="454"/>
    <s v="Home Office"/>
    <s v="United States"/>
    <s v="Providence"/>
    <x v="34"/>
    <n v="2908"/>
    <x v="3"/>
    <x v="1057"/>
    <x v="0"/>
    <x v="0"/>
    <x v="1046"/>
    <n v="341.96"/>
    <s v="High"/>
    <n v="2"/>
    <n v="0"/>
    <x v="0"/>
    <x v="0"/>
    <n v="78.650800000000004"/>
    <n v="0.23000000000000004"/>
    <n v="0"/>
  </r>
  <r>
    <n v="7682"/>
    <s v="CA-2014-133592"/>
    <d v="2014-12-31T00:00:00"/>
    <x v="2"/>
    <s v="Q4"/>
    <x v="20"/>
    <d v="2015-01-07T00:00:00"/>
    <s v="Standard Class"/>
    <x v="454"/>
    <x v="454"/>
    <s v="Home Office"/>
    <s v="United States"/>
    <s v="Providence"/>
    <x v="34"/>
    <n v="2908"/>
    <x v="3"/>
    <x v="38"/>
    <x v="0"/>
    <x v="1"/>
    <x v="38"/>
    <n v="605.88"/>
    <s v="High"/>
    <n v="6"/>
    <n v="0"/>
    <x v="0"/>
    <x v="0"/>
    <n v="151.47"/>
    <n v="0.25"/>
    <n v="0"/>
  </r>
  <r>
    <n v="7683"/>
    <s v="CA-2015-120782"/>
    <d v="2015-04-28T00:00:00"/>
    <x v="1"/>
    <s v="Q2"/>
    <x v="19"/>
    <d v="2015-05-01T00:00:00"/>
    <s v="First Class"/>
    <x v="174"/>
    <x v="174"/>
    <s v="Home Office"/>
    <s v="United States"/>
    <s v="Midland"/>
    <x v="12"/>
    <n v="48640"/>
    <x v="2"/>
    <x v="1470"/>
    <x v="1"/>
    <x v="9"/>
    <x v="1457"/>
    <n v="186.732"/>
    <s v="High"/>
    <n v="1"/>
    <n v="0.1"/>
    <x v="3"/>
    <x v="8"/>
    <n v="41.496000000000002"/>
    <n v="0.22222222222222224"/>
    <n v="0"/>
  </r>
  <r>
    <n v="7684"/>
    <s v="CA-2015-120782"/>
    <d v="2015-04-28T00:00:00"/>
    <x v="1"/>
    <s v="Q2"/>
    <x v="19"/>
    <d v="2015-05-01T00:00:00"/>
    <s v="First Class"/>
    <x v="174"/>
    <x v="174"/>
    <s v="Home Office"/>
    <s v="United States"/>
    <s v="Midland"/>
    <x v="12"/>
    <n v="48640"/>
    <x v="2"/>
    <x v="450"/>
    <x v="1"/>
    <x v="8"/>
    <x v="451"/>
    <n v="3812.97"/>
    <s v="High"/>
    <n v="3"/>
    <n v="0"/>
    <x v="0"/>
    <x v="0"/>
    <n v="1906.4849999999999"/>
    <n v="0.5"/>
    <n v="0"/>
  </r>
  <r>
    <n v="7685"/>
    <s v="CA-2015-116876"/>
    <d v="2015-02-14T00:00:00"/>
    <x v="1"/>
    <s v="Q1"/>
    <x v="36"/>
    <d v="2015-02-21T00:00:00"/>
    <s v="Standard Class"/>
    <x v="74"/>
    <x v="74"/>
    <s v="Consumer"/>
    <s v="United States"/>
    <s v="Rochester"/>
    <x v="15"/>
    <n v="14609"/>
    <x v="3"/>
    <x v="1812"/>
    <x v="1"/>
    <x v="8"/>
    <x v="1802"/>
    <n v="26.423999999999999"/>
    <s v="Medium"/>
    <n v="9"/>
    <n v="0.2"/>
    <x v="2"/>
    <x v="2"/>
    <n v="9.5786999999999995"/>
    <n v="0.36249999999999999"/>
    <n v="0"/>
  </r>
  <r>
    <n v="7686"/>
    <s v="CA-2015-116876"/>
    <d v="2015-02-14T00:00:00"/>
    <x v="1"/>
    <s v="Q1"/>
    <x v="36"/>
    <d v="2015-02-21T00:00:00"/>
    <s v="Standard Class"/>
    <x v="74"/>
    <x v="74"/>
    <s v="Consumer"/>
    <s v="United States"/>
    <s v="Rochester"/>
    <x v="15"/>
    <n v="14609"/>
    <x v="3"/>
    <x v="1718"/>
    <x v="2"/>
    <x v="7"/>
    <x v="1705"/>
    <n v="625.99"/>
    <s v="High"/>
    <n v="1"/>
    <n v="0"/>
    <x v="0"/>
    <x v="0"/>
    <n v="187.797"/>
    <n v="0.3"/>
    <n v="0"/>
  </r>
  <r>
    <n v="7687"/>
    <s v="CA-2016-169838"/>
    <d v="2016-11-25T00:00:00"/>
    <x v="0"/>
    <s v="Q4"/>
    <x v="0"/>
    <d v="2016-11-29T00:00:00"/>
    <s v="Standard Class"/>
    <x v="179"/>
    <x v="179"/>
    <s v="Corporate"/>
    <s v="United States"/>
    <s v="Jackson"/>
    <x v="12"/>
    <n v="49201"/>
    <x v="2"/>
    <x v="616"/>
    <x v="0"/>
    <x v="3"/>
    <x v="616"/>
    <n v="1568.61"/>
    <s v="High"/>
    <n v="9"/>
    <n v="0"/>
    <x v="0"/>
    <x v="0"/>
    <n v="329.40809999999999"/>
    <n v="0.21000000000000002"/>
    <n v="0"/>
  </r>
  <r>
    <n v="7688"/>
    <s v="CA-2016-169838"/>
    <d v="2016-11-25T00:00:00"/>
    <x v="0"/>
    <s v="Q4"/>
    <x v="0"/>
    <d v="2016-11-29T00:00:00"/>
    <s v="Standard Class"/>
    <x v="179"/>
    <x v="179"/>
    <s v="Corporate"/>
    <s v="United States"/>
    <s v="Jackson"/>
    <x v="12"/>
    <n v="49201"/>
    <x v="2"/>
    <x v="153"/>
    <x v="1"/>
    <x v="8"/>
    <x v="154"/>
    <n v="17.3"/>
    <s v="Low"/>
    <n v="1"/>
    <n v="0"/>
    <x v="0"/>
    <x v="0"/>
    <n v="8.3040000000000003"/>
    <n v="0.48"/>
    <n v="0"/>
  </r>
  <r>
    <n v="7689"/>
    <s v="CA-2016-169838"/>
    <d v="2016-11-25T00:00:00"/>
    <x v="0"/>
    <s v="Q4"/>
    <x v="0"/>
    <d v="2016-11-29T00:00:00"/>
    <s v="Standard Class"/>
    <x v="179"/>
    <x v="179"/>
    <s v="Corporate"/>
    <s v="United States"/>
    <s v="Jackson"/>
    <x v="12"/>
    <n v="49201"/>
    <x v="2"/>
    <x v="1824"/>
    <x v="2"/>
    <x v="11"/>
    <x v="1812"/>
    <n v="160"/>
    <s v="High"/>
    <n v="8"/>
    <n v="0"/>
    <x v="0"/>
    <x v="0"/>
    <n v="62.4"/>
    <n v="0.39"/>
    <n v="0"/>
  </r>
  <r>
    <n v="7690"/>
    <s v="US-2017-128951"/>
    <d v="2017-07-15T00:00:00"/>
    <x v="3"/>
    <s v="Q3"/>
    <x v="10"/>
    <d v="2017-07-17T00:00:00"/>
    <s v="First Class"/>
    <x v="602"/>
    <x v="602"/>
    <s v="Corporate"/>
    <s v="United States"/>
    <s v="Suffolk"/>
    <x v="17"/>
    <n v="23434"/>
    <x v="0"/>
    <x v="810"/>
    <x v="1"/>
    <x v="9"/>
    <x v="808"/>
    <n v="179.94"/>
    <s v="High"/>
    <n v="3"/>
    <n v="0"/>
    <x v="0"/>
    <x v="0"/>
    <n v="50.383200000000002"/>
    <n v="0.28000000000000003"/>
    <n v="0"/>
  </r>
  <r>
    <n v="7691"/>
    <s v="US-2017-128951"/>
    <d v="2017-07-15T00:00:00"/>
    <x v="3"/>
    <s v="Q3"/>
    <x v="10"/>
    <d v="2017-07-17T00:00:00"/>
    <s v="First Class"/>
    <x v="602"/>
    <x v="602"/>
    <s v="Corporate"/>
    <s v="United States"/>
    <s v="Suffolk"/>
    <x v="17"/>
    <n v="23434"/>
    <x v="0"/>
    <x v="309"/>
    <x v="0"/>
    <x v="3"/>
    <x v="309"/>
    <n v="872.94"/>
    <s v="High"/>
    <n v="3"/>
    <n v="0"/>
    <x v="0"/>
    <x v="0"/>
    <n v="157.1292"/>
    <n v="0.18"/>
    <n v="0"/>
  </r>
  <r>
    <n v="7692"/>
    <s v="US-2017-128951"/>
    <d v="2017-07-15T00:00:00"/>
    <x v="3"/>
    <s v="Q3"/>
    <x v="10"/>
    <d v="2017-07-17T00:00:00"/>
    <s v="First Class"/>
    <x v="602"/>
    <x v="602"/>
    <s v="Corporate"/>
    <s v="United States"/>
    <s v="Suffolk"/>
    <x v="17"/>
    <n v="23434"/>
    <x v="0"/>
    <x v="89"/>
    <x v="1"/>
    <x v="10"/>
    <x v="89"/>
    <n v="12.96"/>
    <s v="Low"/>
    <n v="2"/>
    <n v="0"/>
    <x v="0"/>
    <x v="0"/>
    <n v="6.2207999999999997"/>
    <n v="0.47999999999999993"/>
    <n v="0"/>
  </r>
  <r>
    <n v="7693"/>
    <s v="CA-2014-102330"/>
    <d v="2014-12-29T00:00:00"/>
    <x v="2"/>
    <s v="Q4"/>
    <x v="20"/>
    <d v="2015-01-03T00:00:00"/>
    <s v="Standard Class"/>
    <x v="482"/>
    <x v="482"/>
    <s v="Consumer"/>
    <s v="United States"/>
    <s v="Brentwood"/>
    <x v="1"/>
    <n v="94513"/>
    <x v="1"/>
    <x v="429"/>
    <x v="1"/>
    <x v="2"/>
    <x v="429"/>
    <n v="88.8"/>
    <s v="Medium"/>
    <n v="6"/>
    <n v="0"/>
    <x v="0"/>
    <x v="0"/>
    <n v="44.4"/>
    <n v="0.5"/>
    <n v="0"/>
  </r>
  <r>
    <n v="7694"/>
    <s v="CA-2014-102330"/>
    <d v="2014-12-29T00:00:00"/>
    <x v="2"/>
    <s v="Q4"/>
    <x v="20"/>
    <d v="2015-01-03T00:00:00"/>
    <s v="Standard Class"/>
    <x v="482"/>
    <x v="482"/>
    <s v="Consumer"/>
    <s v="United States"/>
    <s v="Brentwood"/>
    <x v="1"/>
    <n v="94513"/>
    <x v="1"/>
    <x v="1278"/>
    <x v="2"/>
    <x v="7"/>
    <x v="1263"/>
    <n v="319.96800000000002"/>
    <s v="High"/>
    <n v="4"/>
    <n v="0.2"/>
    <x v="2"/>
    <x v="2"/>
    <n v="35.996400000000001"/>
    <n v="0.1125"/>
    <n v="0"/>
  </r>
  <r>
    <n v="7695"/>
    <s v="CA-2016-118899"/>
    <d v="2016-03-22T00:00:00"/>
    <x v="0"/>
    <s v="Q1"/>
    <x v="17"/>
    <d v="2016-03-22T00:00:00"/>
    <s v="Same Day"/>
    <x v="507"/>
    <x v="507"/>
    <s v="Consumer"/>
    <s v="United States"/>
    <s v="Seattle"/>
    <x v="4"/>
    <n v="98103"/>
    <x v="1"/>
    <x v="1144"/>
    <x v="0"/>
    <x v="1"/>
    <x v="1132"/>
    <n v="167.88800000000001"/>
    <s v="High"/>
    <n v="7"/>
    <n v="0.2"/>
    <x v="2"/>
    <x v="2"/>
    <n v="14.690200000000001"/>
    <n v="8.7500000000000008E-2"/>
    <n v="0"/>
  </r>
  <r>
    <n v="7696"/>
    <s v="CA-2017-107958"/>
    <d v="2017-07-02T00:00:00"/>
    <x v="3"/>
    <s v="Q3"/>
    <x v="10"/>
    <d v="2017-07-05T00:00:00"/>
    <s v="First Class"/>
    <x v="571"/>
    <x v="571"/>
    <s v="Home Office"/>
    <s v="United States"/>
    <s v="Houston"/>
    <x v="5"/>
    <n v="77036"/>
    <x v="2"/>
    <x v="447"/>
    <x v="1"/>
    <x v="10"/>
    <x v="447"/>
    <n v="163.96"/>
    <s v="High"/>
    <n v="5"/>
    <n v="0.2"/>
    <x v="2"/>
    <x v="2"/>
    <n v="59.435499999999998"/>
    <n v="0.36249999999999999"/>
    <n v="0"/>
  </r>
  <r>
    <n v="7697"/>
    <s v="CA-2017-107958"/>
    <d v="2017-07-02T00:00:00"/>
    <x v="3"/>
    <s v="Q3"/>
    <x v="10"/>
    <d v="2017-07-05T00:00:00"/>
    <s v="First Class"/>
    <x v="571"/>
    <x v="571"/>
    <s v="Home Office"/>
    <s v="United States"/>
    <s v="Houston"/>
    <x v="5"/>
    <n v="77036"/>
    <x v="2"/>
    <x v="1504"/>
    <x v="1"/>
    <x v="8"/>
    <x v="1491"/>
    <n v="5.2320000000000002"/>
    <s v="Low"/>
    <n v="4"/>
    <n v="0.8"/>
    <x v="1"/>
    <x v="3"/>
    <n v="-8.1096000000000004"/>
    <n v="-1.55"/>
    <n v="1"/>
  </r>
  <r>
    <n v="7698"/>
    <s v="CA-2017-151799"/>
    <d v="2017-12-14T00:00:00"/>
    <x v="3"/>
    <s v="Q4"/>
    <x v="22"/>
    <d v="2017-12-18T00:00:00"/>
    <s v="Standard Class"/>
    <x v="408"/>
    <x v="408"/>
    <s v="Home Office"/>
    <s v="United States"/>
    <s v="Lawrence"/>
    <x v="31"/>
    <n v="1841"/>
    <x v="3"/>
    <x v="349"/>
    <x v="2"/>
    <x v="16"/>
    <x v="349"/>
    <n v="1199.98"/>
    <s v="High"/>
    <n v="2"/>
    <n v="0"/>
    <x v="0"/>
    <x v="0"/>
    <n v="467.99220000000003"/>
    <n v="0.39"/>
    <n v="0"/>
  </r>
  <r>
    <n v="7699"/>
    <s v="CA-2017-151799"/>
    <d v="2017-12-14T00:00:00"/>
    <x v="3"/>
    <s v="Q4"/>
    <x v="22"/>
    <d v="2017-12-18T00:00:00"/>
    <s v="Standard Class"/>
    <x v="408"/>
    <x v="408"/>
    <s v="Home Office"/>
    <s v="United States"/>
    <s v="Lawrence"/>
    <x v="31"/>
    <n v="1841"/>
    <x v="3"/>
    <x v="235"/>
    <x v="1"/>
    <x v="4"/>
    <x v="236"/>
    <n v="73.849999999999994"/>
    <s v="Medium"/>
    <n v="1"/>
    <n v="0"/>
    <x v="0"/>
    <x v="0"/>
    <n v="2.2155"/>
    <n v="3.0000000000000002E-2"/>
    <n v="0"/>
  </r>
  <r>
    <n v="7700"/>
    <s v="CA-2017-151799"/>
    <d v="2017-12-14T00:00:00"/>
    <x v="3"/>
    <s v="Q4"/>
    <x v="22"/>
    <d v="2017-12-18T00:00:00"/>
    <s v="Standard Class"/>
    <x v="408"/>
    <x v="408"/>
    <s v="Home Office"/>
    <s v="United States"/>
    <s v="Lawrence"/>
    <x v="31"/>
    <n v="1841"/>
    <x v="3"/>
    <x v="1257"/>
    <x v="1"/>
    <x v="14"/>
    <x v="1241"/>
    <n v="25.71"/>
    <s v="Medium"/>
    <n v="3"/>
    <n v="0"/>
    <x v="0"/>
    <x v="0"/>
    <n v="6.6845999999999997"/>
    <n v="0.25999999999999995"/>
    <n v="0"/>
  </r>
  <r>
    <n v="7701"/>
    <s v="CA-2017-151799"/>
    <d v="2017-12-14T00:00:00"/>
    <x v="3"/>
    <s v="Q4"/>
    <x v="22"/>
    <d v="2017-12-18T00:00:00"/>
    <s v="Standard Class"/>
    <x v="408"/>
    <x v="408"/>
    <s v="Home Office"/>
    <s v="United States"/>
    <s v="Lawrence"/>
    <x v="31"/>
    <n v="1841"/>
    <x v="3"/>
    <x v="1579"/>
    <x v="1"/>
    <x v="13"/>
    <x v="1570"/>
    <n v="17.28"/>
    <s v="Low"/>
    <n v="6"/>
    <n v="0"/>
    <x v="0"/>
    <x v="0"/>
    <n v="8.1216000000000008"/>
    <n v="0.47000000000000003"/>
    <n v="0"/>
  </r>
  <r>
    <n v="7702"/>
    <s v="CA-2017-151799"/>
    <d v="2017-12-14T00:00:00"/>
    <x v="3"/>
    <s v="Q4"/>
    <x v="22"/>
    <d v="2017-12-18T00:00:00"/>
    <s v="Standard Class"/>
    <x v="408"/>
    <x v="408"/>
    <s v="Home Office"/>
    <s v="United States"/>
    <s v="Lawrence"/>
    <x v="31"/>
    <n v="1841"/>
    <x v="3"/>
    <x v="215"/>
    <x v="0"/>
    <x v="3"/>
    <x v="216"/>
    <n v="526.58199999999999"/>
    <s v="High"/>
    <n v="2"/>
    <n v="0.3"/>
    <x v="1"/>
    <x v="4"/>
    <n v="-52.658200000000001"/>
    <n v="-0.1"/>
    <n v="1"/>
  </r>
  <r>
    <n v="7703"/>
    <s v="CA-2016-114601"/>
    <d v="2016-08-26T00:00:00"/>
    <x v="0"/>
    <s v="Q3"/>
    <x v="28"/>
    <d v="2016-09-02T00:00:00"/>
    <s v="Standard Class"/>
    <x v="4"/>
    <x v="4"/>
    <s v="Consumer"/>
    <s v="United States"/>
    <s v="Detroit"/>
    <x v="12"/>
    <n v="48234"/>
    <x v="2"/>
    <x v="820"/>
    <x v="1"/>
    <x v="10"/>
    <x v="816"/>
    <n v="11.56"/>
    <s v="Low"/>
    <n v="2"/>
    <n v="0"/>
    <x v="0"/>
    <x v="0"/>
    <n v="5.6643999999999997"/>
    <n v="0.48999999999999994"/>
    <n v="0"/>
  </r>
  <r>
    <n v="7704"/>
    <s v="CA-2016-114601"/>
    <d v="2016-08-26T00:00:00"/>
    <x v="0"/>
    <s v="Q3"/>
    <x v="28"/>
    <d v="2016-09-02T00:00:00"/>
    <s v="Standard Class"/>
    <x v="4"/>
    <x v="4"/>
    <s v="Consumer"/>
    <s v="United States"/>
    <s v="Detroit"/>
    <x v="12"/>
    <n v="48234"/>
    <x v="2"/>
    <x v="599"/>
    <x v="2"/>
    <x v="7"/>
    <x v="599"/>
    <n v="209.97"/>
    <s v="High"/>
    <n v="3"/>
    <n v="0"/>
    <x v="0"/>
    <x v="0"/>
    <n v="58.791600000000003"/>
    <n v="0.28000000000000003"/>
    <n v="0"/>
  </r>
  <r>
    <n v="7705"/>
    <s v="CA-2016-114601"/>
    <d v="2016-08-26T00:00:00"/>
    <x v="0"/>
    <s v="Q3"/>
    <x v="28"/>
    <d v="2016-09-02T00:00:00"/>
    <s v="Standard Class"/>
    <x v="4"/>
    <x v="4"/>
    <s v="Consumer"/>
    <s v="United States"/>
    <s v="Detroit"/>
    <x v="12"/>
    <n v="48234"/>
    <x v="2"/>
    <x v="823"/>
    <x v="0"/>
    <x v="3"/>
    <x v="819"/>
    <n v="447.84"/>
    <s v="High"/>
    <n v="4"/>
    <n v="0"/>
    <x v="0"/>
    <x v="0"/>
    <n v="98.524799999999999"/>
    <n v="0.22"/>
    <n v="0"/>
  </r>
  <r>
    <n v="7706"/>
    <s v="CA-2016-114601"/>
    <d v="2016-08-26T00:00:00"/>
    <x v="0"/>
    <s v="Q3"/>
    <x v="28"/>
    <d v="2016-09-02T00:00:00"/>
    <s v="Standard Class"/>
    <x v="4"/>
    <x v="4"/>
    <s v="Consumer"/>
    <s v="United States"/>
    <s v="Detroit"/>
    <x v="12"/>
    <n v="48234"/>
    <x v="2"/>
    <x v="331"/>
    <x v="2"/>
    <x v="11"/>
    <x v="331"/>
    <n v="479.97"/>
    <s v="High"/>
    <n v="3"/>
    <n v="0"/>
    <x v="0"/>
    <x v="0"/>
    <n v="163.18979999999999"/>
    <n v="0.33999999999999997"/>
    <n v="0"/>
  </r>
  <r>
    <n v="7707"/>
    <s v="CA-2016-114601"/>
    <d v="2016-08-26T00:00:00"/>
    <x v="0"/>
    <s v="Q3"/>
    <x v="28"/>
    <d v="2016-09-02T00:00:00"/>
    <s v="Standard Class"/>
    <x v="4"/>
    <x v="4"/>
    <s v="Consumer"/>
    <s v="United States"/>
    <s v="Detroit"/>
    <x v="12"/>
    <n v="48234"/>
    <x v="2"/>
    <x v="671"/>
    <x v="1"/>
    <x v="6"/>
    <x v="671"/>
    <n v="8.64"/>
    <s v="Low"/>
    <n v="3"/>
    <n v="0"/>
    <x v="0"/>
    <x v="0"/>
    <n v="2.5055999999999998"/>
    <n v="0.28999999999999998"/>
    <n v="0"/>
  </r>
  <r>
    <n v="7708"/>
    <s v="CA-2017-100237"/>
    <d v="2017-10-15T00:00:00"/>
    <x v="3"/>
    <s v="Q4"/>
    <x v="13"/>
    <d v="2017-10-19T00:00:00"/>
    <s v="Standard Class"/>
    <x v="458"/>
    <x v="458"/>
    <s v="Corporate"/>
    <s v="United States"/>
    <s v="Orem"/>
    <x v="7"/>
    <n v="84057"/>
    <x v="1"/>
    <x v="1663"/>
    <x v="1"/>
    <x v="6"/>
    <x v="1651"/>
    <n v="11.68"/>
    <s v="Low"/>
    <n v="2"/>
    <n v="0"/>
    <x v="0"/>
    <x v="0"/>
    <n v="4.2047999999999996"/>
    <n v="0.36"/>
    <n v="0"/>
  </r>
  <r>
    <n v="7709"/>
    <s v="CA-2014-139542"/>
    <d v="2014-10-25T00:00:00"/>
    <x v="2"/>
    <s v="Q4"/>
    <x v="18"/>
    <d v="2014-10-29T00:00:00"/>
    <s v="Standard Class"/>
    <x v="699"/>
    <x v="699"/>
    <s v="Consumer"/>
    <s v="United States"/>
    <s v="Philadelphia"/>
    <x v="9"/>
    <n v="19120"/>
    <x v="3"/>
    <x v="1617"/>
    <x v="2"/>
    <x v="11"/>
    <x v="1608"/>
    <n v="40.776000000000003"/>
    <s v="Medium"/>
    <n v="3"/>
    <n v="0.2"/>
    <x v="2"/>
    <x v="2"/>
    <n v="0.50970000000000004"/>
    <n v="1.2500000000000001E-2"/>
    <n v="0"/>
  </r>
  <r>
    <n v="7710"/>
    <s v="CA-2014-139542"/>
    <d v="2014-10-25T00:00:00"/>
    <x v="2"/>
    <s v="Q4"/>
    <x v="18"/>
    <d v="2014-10-29T00:00:00"/>
    <s v="Standard Class"/>
    <x v="699"/>
    <x v="699"/>
    <s v="Consumer"/>
    <s v="United States"/>
    <s v="Philadelphia"/>
    <x v="9"/>
    <n v="19120"/>
    <x v="3"/>
    <x v="338"/>
    <x v="1"/>
    <x v="8"/>
    <x v="338"/>
    <n v="13.698"/>
    <s v="Low"/>
    <n v="3"/>
    <n v="0.7"/>
    <x v="1"/>
    <x v="5"/>
    <n v="-9.5885999999999996"/>
    <n v="-0.7"/>
    <n v="1"/>
  </r>
  <r>
    <n v="7711"/>
    <s v="US-2015-142811"/>
    <d v="2015-04-02T00:00:00"/>
    <x v="1"/>
    <s v="Q2"/>
    <x v="19"/>
    <d v="2015-04-07T00:00:00"/>
    <s v="Standard Class"/>
    <x v="139"/>
    <x v="139"/>
    <s v="Consumer"/>
    <s v="United States"/>
    <s v="Mesa"/>
    <x v="16"/>
    <n v="85204"/>
    <x v="1"/>
    <x v="1513"/>
    <x v="2"/>
    <x v="7"/>
    <x v="1500"/>
    <n v="87.8"/>
    <s v="Medium"/>
    <n v="5"/>
    <n v="0.2"/>
    <x v="2"/>
    <x v="2"/>
    <n v="32.924999999999997"/>
    <n v="0.375"/>
    <n v="0"/>
  </r>
  <r>
    <n v="7712"/>
    <s v="CA-2017-139353"/>
    <d v="2017-10-28T00:00:00"/>
    <x v="3"/>
    <s v="Q4"/>
    <x v="13"/>
    <d v="2017-10-30T00:00:00"/>
    <s v="Second Class"/>
    <x v="49"/>
    <x v="49"/>
    <s v="Consumer"/>
    <s v="United States"/>
    <s v="Fayetteville"/>
    <x v="3"/>
    <n v="28314"/>
    <x v="0"/>
    <x v="1416"/>
    <x v="0"/>
    <x v="5"/>
    <x v="1403"/>
    <n v="77.951999999999998"/>
    <s v="Medium"/>
    <n v="3"/>
    <n v="0.2"/>
    <x v="2"/>
    <x v="2"/>
    <n v="15.590400000000001"/>
    <n v="0.2"/>
    <n v="0"/>
  </r>
  <r>
    <n v="7713"/>
    <s v="CA-2017-139353"/>
    <d v="2017-10-28T00:00:00"/>
    <x v="3"/>
    <s v="Q4"/>
    <x v="13"/>
    <d v="2017-10-30T00:00:00"/>
    <s v="Second Class"/>
    <x v="49"/>
    <x v="49"/>
    <s v="Consumer"/>
    <s v="United States"/>
    <s v="Fayetteville"/>
    <x v="3"/>
    <n v="28314"/>
    <x v="0"/>
    <x v="196"/>
    <x v="1"/>
    <x v="4"/>
    <x v="197"/>
    <n v="147.184"/>
    <s v="High"/>
    <n v="2"/>
    <n v="0.2"/>
    <x v="2"/>
    <x v="2"/>
    <n v="-29.436800000000002"/>
    <n v="-0.2"/>
    <n v="1"/>
  </r>
  <r>
    <n v="7714"/>
    <s v="CA-2017-139353"/>
    <d v="2017-10-28T00:00:00"/>
    <x v="3"/>
    <s v="Q4"/>
    <x v="13"/>
    <d v="2017-10-30T00:00:00"/>
    <s v="Second Class"/>
    <x v="49"/>
    <x v="49"/>
    <s v="Consumer"/>
    <s v="United States"/>
    <s v="Fayetteville"/>
    <x v="3"/>
    <n v="28314"/>
    <x v="0"/>
    <x v="1785"/>
    <x v="1"/>
    <x v="10"/>
    <x v="1775"/>
    <n v="47.951999999999998"/>
    <s v="Medium"/>
    <n v="3"/>
    <n v="0.2"/>
    <x v="2"/>
    <x v="2"/>
    <n v="16.183800000000002"/>
    <n v="0.33750000000000002"/>
    <n v="0"/>
  </r>
  <r>
    <n v="7715"/>
    <s v="CA-2014-150203"/>
    <d v="2014-12-05T00:00:00"/>
    <x v="2"/>
    <s v="Q4"/>
    <x v="20"/>
    <d v="2014-12-07T00:00:00"/>
    <s v="First Class"/>
    <x v="102"/>
    <x v="102"/>
    <s v="Consumer"/>
    <s v="United States"/>
    <s v="Los Angeles"/>
    <x v="1"/>
    <n v="90032"/>
    <x v="1"/>
    <x v="586"/>
    <x v="1"/>
    <x v="9"/>
    <x v="586"/>
    <n v="250.26"/>
    <s v="High"/>
    <n v="6"/>
    <n v="0"/>
    <x v="0"/>
    <x v="0"/>
    <n v="72.575400000000002"/>
    <n v="0.29000000000000004"/>
    <n v="0"/>
  </r>
  <r>
    <n v="7716"/>
    <s v="US-2017-101518"/>
    <d v="2017-11-03T00:00:00"/>
    <x v="3"/>
    <s v="Q4"/>
    <x v="23"/>
    <d v="2017-11-08T00:00:00"/>
    <s v="Standard Class"/>
    <x v="287"/>
    <x v="287"/>
    <s v="Consumer"/>
    <s v="United States"/>
    <s v="Philadelphia"/>
    <x v="9"/>
    <n v="19140"/>
    <x v="3"/>
    <x v="1617"/>
    <x v="2"/>
    <x v="11"/>
    <x v="1608"/>
    <n v="40.776000000000003"/>
    <s v="Medium"/>
    <n v="3"/>
    <n v="0.2"/>
    <x v="2"/>
    <x v="2"/>
    <n v="0.50970000000000004"/>
    <n v="1.2500000000000001E-2"/>
    <n v="0"/>
  </r>
  <r>
    <n v="7717"/>
    <s v="CA-2015-149636"/>
    <d v="2015-01-06T00:00:00"/>
    <x v="1"/>
    <s v="Q1"/>
    <x v="26"/>
    <d v="2015-01-12T00:00:00"/>
    <s v="Standard Class"/>
    <x v="407"/>
    <x v="407"/>
    <s v="Corporate"/>
    <s v="United States"/>
    <s v="Colorado Springs"/>
    <x v="22"/>
    <n v="80906"/>
    <x v="1"/>
    <x v="956"/>
    <x v="1"/>
    <x v="10"/>
    <x v="949"/>
    <n v="29.6"/>
    <s v="Medium"/>
    <n v="5"/>
    <n v="0.2"/>
    <x v="2"/>
    <x v="2"/>
    <n v="9.25"/>
    <n v="0.3125"/>
    <n v="0"/>
  </r>
  <r>
    <n v="7718"/>
    <s v="CA-2015-149636"/>
    <d v="2015-01-06T00:00:00"/>
    <x v="1"/>
    <s v="Q1"/>
    <x v="26"/>
    <d v="2015-01-12T00:00:00"/>
    <s v="Standard Class"/>
    <x v="407"/>
    <x v="407"/>
    <s v="Corporate"/>
    <s v="United States"/>
    <s v="Colorado Springs"/>
    <x v="22"/>
    <n v="80906"/>
    <x v="1"/>
    <x v="507"/>
    <x v="1"/>
    <x v="8"/>
    <x v="507"/>
    <n v="1.9379999999999999"/>
    <s v="Low"/>
    <n v="2"/>
    <n v="0.7"/>
    <x v="1"/>
    <x v="5"/>
    <n v="-1.3566"/>
    <n v="-0.70000000000000007"/>
    <n v="1"/>
  </r>
  <r>
    <n v="7719"/>
    <s v="US-2017-146213"/>
    <d v="2017-09-09T00:00:00"/>
    <x v="3"/>
    <s v="Q3"/>
    <x v="15"/>
    <d v="2017-09-14T00:00:00"/>
    <s v="Standard Class"/>
    <x v="204"/>
    <x v="204"/>
    <s v="Corporate"/>
    <s v="United States"/>
    <s v="Los Angeles"/>
    <x v="1"/>
    <n v="90032"/>
    <x v="1"/>
    <x v="1227"/>
    <x v="2"/>
    <x v="11"/>
    <x v="1211"/>
    <n v="159.96"/>
    <s v="High"/>
    <n v="4"/>
    <n v="0"/>
    <x v="0"/>
    <x v="0"/>
    <n v="51.187199999999997"/>
    <n v="0.31999999999999995"/>
    <n v="0"/>
  </r>
  <r>
    <n v="7720"/>
    <s v="CA-2015-108588"/>
    <d v="2015-01-05T00:00:00"/>
    <x v="1"/>
    <s v="Q1"/>
    <x v="26"/>
    <d v="2015-01-10T00:00:00"/>
    <s v="Standard Class"/>
    <x v="410"/>
    <x v="410"/>
    <s v="Corporate"/>
    <s v="United States"/>
    <s v="New York City"/>
    <x v="15"/>
    <n v="10009"/>
    <x v="3"/>
    <x v="1500"/>
    <x v="1"/>
    <x v="6"/>
    <x v="1488"/>
    <n v="59.52"/>
    <s v="Medium"/>
    <n v="3"/>
    <n v="0"/>
    <x v="0"/>
    <x v="0"/>
    <n v="15.475199999999999"/>
    <n v="0.25999999999999995"/>
    <n v="0"/>
  </r>
  <r>
    <n v="7721"/>
    <s v="CA-2015-108588"/>
    <d v="2015-01-05T00:00:00"/>
    <x v="1"/>
    <s v="Q1"/>
    <x v="26"/>
    <d v="2015-01-10T00:00:00"/>
    <s v="Standard Class"/>
    <x v="410"/>
    <x v="410"/>
    <s v="Corporate"/>
    <s v="United States"/>
    <s v="New York City"/>
    <x v="15"/>
    <n v="10009"/>
    <x v="3"/>
    <x v="755"/>
    <x v="1"/>
    <x v="12"/>
    <x v="753"/>
    <n v="17.48"/>
    <s v="Low"/>
    <n v="2"/>
    <n v="0"/>
    <x v="0"/>
    <x v="0"/>
    <n v="8.2156000000000002"/>
    <n v="0.47000000000000003"/>
    <n v="0"/>
  </r>
  <r>
    <n v="7722"/>
    <s v="CA-2015-108588"/>
    <d v="2015-01-05T00:00:00"/>
    <x v="1"/>
    <s v="Q1"/>
    <x v="26"/>
    <d v="2015-01-10T00:00:00"/>
    <s v="Standard Class"/>
    <x v="410"/>
    <x v="410"/>
    <s v="Corporate"/>
    <s v="United States"/>
    <s v="New York City"/>
    <x v="15"/>
    <n v="10009"/>
    <x v="3"/>
    <x v="1263"/>
    <x v="1"/>
    <x v="8"/>
    <x v="1247"/>
    <n v="13.167999999999999"/>
    <s v="Low"/>
    <n v="2"/>
    <n v="0.2"/>
    <x v="2"/>
    <x v="2"/>
    <n v="4.6087999999999996"/>
    <n v="0.35"/>
    <n v="0"/>
  </r>
  <r>
    <n v="7723"/>
    <s v="US-2017-138086"/>
    <d v="2017-04-16T00:00:00"/>
    <x v="3"/>
    <s v="Q2"/>
    <x v="4"/>
    <d v="2017-04-20T00:00:00"/>
    <s v="Standard Class"/>
    <x v="270"/>
    <x v="270"/>
    <s v="Home Office"/>
    <s v="United States"/>
    <s v="San Francisco"/>
    <x v="1"/>
    <n v="94109"/>
    <x v="1"/>
    <x v="1825"/>
    <x v="1"/>
    <x v="9"/>
    <x v="1813"/>
    <n v="40.74"/>
    <s v="Medium"/>
    <n v="3"/>
    <n v="0"/>
    <x v="0"/>
    <x v="0"/>
    <n v="12.222"/>
    <n v="0.3"/>
    <n v="0"/>
  </r>
  <r>
    <n v="7724"/>
    <s v="CA-2015-139374"/>
    <d v="2015-09-10T00:00:00"/>
    <x v="1"/>
    <s v="Q3"/>
    <x v="11"/>
    <d v="2015-09-14T00:00:00"/>
    <s v="Standard Class"/>
    <x v="753"/>
    <x v="753"/>
    <s v="Corporate"/>
    <s v="United States"/>
    <s v="Austin"/>
    <x v="5"/>
    <n v="78745"/>
    <x v="2"/>
    <x v="1189"/>
    <x v="0"/>
    <x v="1"/>
    <x v="1175"/>
    <n v="179.886"/>
    <s v="High"/>
    <n v="1"/>
    <n v="0.3"/>
    <x v="1"/>
    <x v="4"/>
    <n v="-2.5697999999999999"/>
    <n v="-1.4285714285714285E-2"/>
    <n v="1"/>
  </r>
  <r>
    <n v="7725"/>
    <s v="CA-2016-113978"/>
    <d v="2016-09-25T00:00:00"/>
    <x v="0"/>
    <s v="Q3"/>
    <x v="21"/>
    <d v="2016-09-29T00:00:00"/>
    <s v="Standard Class"/>
    <x v="700"/>
    <x v="700"/>
    <s v="Consumer"/>
    <s v="United States"/>
    <s v="Cleveland"/>
    <x v="24"/>
    <n v="44105"/>
    <x v="3"/>
    <x v="847"/>
    <x v="1"/>
    <x v="9"/>
    <x v="841"/>
    <n v="286.25599999999997"/>
    <s v="High"/>
    <n v="1"/>
    <n v="0.2"/>
    <x v="2"/>
    <x v="2"/>
    <n v="17.890999999999998"/>
    <n v="6.25E-2"/>
    <n v="0"/>
  </r>
  <r>
    <n v="7726"/>
    <s v="CA-2016-113978"/>
    <d v="2016-09-25T00:00:00"/>
    <x v="0"/>
    <s v="Q3"/>
    <x v="21"/>
    <d v="2016-09-29T00:00:00"/>
    <s v="Standard Class"/>
    <x v="700"/>
    <x v="700"/>
    <s v="Consumer"/>
    <s v="United States"/>
    <s v="Cleveland"/>
    <x v="24"/>
    <n v="44105"/>
    <x v="3"/>
    <x v="464"/>
    <x v="1"/>
    <x v="4"/>
    <x v="465"/>
    <n v="24.224"/>
    <s v="Low"/>
    <n v="2"/>
    <n v="0.2"/>
    <x v="2"/>
    <x v="2"/>
    <n v="-4.8448000000000002"/>
    <n v="-0.2"/>
    <n v="1"/>
  </r>
  <r>
    <n v="7727"/>
    <s v="CA-2016-113978"/>
    <d v="2016-09-25T00:00:00"/>
    <x v="0"/>
    <s v="Q3"/>
    <x v="21"/>
    <d v="2016-09-29T00:00:00"/>
    <s v="Standard Class"/>
    <x v="700"/>
    <x v="700"/>
    <s v="Consumer"/>
    <s v="United States"/>
    <s v="Cleveland"/>
    <x v="24"/>
    <n v="44105"/>
    <x v="3"/>
    <x v="942"/>
    <x v="1"/>
    <x v="4"/>
    <x v="935"/>
    <n v="331.536"/>
    <s v="High"/>
    <n v="3"/>
    <n v="0.2"/>
    <x v="2"/>
    <x v="2"/>
    <n v="-82.884"/>
    <n v="-0.25"/>
    <n v="1"/>
  </r>
  <r>
    <n v="7728"/>
    <s v="US-2015-150231"/>
    <d v="2015-03-16T00:00:00"/>
    <x v="1"/>
    <s v="Q1"/>
    <x v="29"/>
    <d v="2015-03-20T00:00:00"/>
    <s v="Second Class"/>
    <x v="82"/>
    <x v="82"/>
    <s v="Home Office"/>
    <s v="United States"/>
    <s v="New York City"/>
    <x v="15"/>
    <n v="10009"/>
    <x v="3"/>
    <x v="1663"/>
    <x v="1"/>
    <x v="6"/>
    <x v="1651"/>
    <n v="17.52"/>
    <s v="Low"/>
    <n v="3"/>
    <n v="0"/>
    <x v="0"/>
    <x v="0"/>
    <n v="6.3071999999999999"/>
    <n v="0.36"/>
    <n v="0"/>
  </r>
  <r>
    <n v="7729"/>
    <s v="CA-2016-106915"/>
    <d v="2016-11-26T00:00:00"/>
    <x v="0"/>
    <s v="Q4"/>
    <x v="0"/>
    <d v="2016-12-02T00:00:00"/>
    <s v="Standard Class"/>
    <x v="654"/>
    <x v="654"/>
    <s v="Consumer"/>
    <s v="United States"/>
    <s v="El Paso"/>
    <x v="5"/>
    <n v="79907"/>
    <x v="2"/>
    <x v="796"/>
    <x v="1"/>
    <x v="6"/>
    <x v="794"/>
    <n v="17.856000000000002"/>
    <s v="Low"/>
    <n v="4"/>
    <n v="0.2"/>
    <x v="2"/>
    <x v="2"/>
    <n v="4.2408000000000001"/>
    <n v="0.23749999999999999"/>
    <n v="0"/>
  </r>
  <r>
    <n v="7730"/>
    <s v="US-2016-109260"/>
    <d v="2016-09-26T00:00:00"/>
    <x v="0"/>
    <s v="Q3"/>
    <x v="21"/>
    <d v="2016-10-01T00:00:00"/>
    <s v="Standard Class"/>
    <x v="184"/>
    <x v="184"/>
    <s v="Home Office"/>
    <s v="United States"/>
    <s v="Tallahassee"/>
    <x v="2"/>
    <n v="32303"/>
    <x v="0"/>
    <x v="1332"/>
    <x v="2"/>
    <x v="11"/>
    <x v="1317"/>
    <n v="431.976"/>
    <s v="High"/>
    <n v="3"/>
    <n v="0.2"/>
    <x v="2"/>
    <x v="2"/>
    <n v="-75.595799999999997"/>
    <n v="-0.17499999999999999"/>
    <n v="1"/>
  </r>
  <r>
    <n v="7731"/>
    <s v="CA-2017-104850"/>
    <d v="2017-06-13T00:00:00"/>
    <x v="3"/>
    <s v="Q2"/>
    <x v="27"/>
    <d v="2017-06-19T00:00:00"/>
    <s v="Standard Class"/>
    <x v="69"/>
    <x v="69"/>
    <s v="Home Office"/>
    <s v="United States"/>
    <s v="Seattle"/>
    <x v="4"/>
    <n v="98103"/>
    <x v="1"/>
    <x v="1209"/>
    <x v="0"/>
    <x v="1"/>
    <x v="1194"/>
    <n v="291.13600000000002"/>
    <s v="High"/>
    <n v="4"/>
    <n v="0.2"/>
    <x v="2"/>
    <x v="2"/>
    <n v="-25.474399999999999"/>
    <n v="-8.7499999999999994E-2"/>
    <n v="1"/>
  </r>
  <r>
    <n v="7732"/>
    <s v="CA-2017-140508"/>
    <d v="2017-09-18T00:00:00"/>
    <x v="3"/>
    <s v="Q3"/>
    <x v="15"/>
    <d v="2017-09-21T00:00:00"/>
    <s v="First Class"/>
    <x v="50"/>
    <x v="50"/>
    <s v="Home Office"/>
    <s v="United States"/>
    <s v="Dallas"/>
    <x v="5"/>
    <n v="75220"/>
    <x v="2"/>
    <x v="81"/>
    <x v="1"/>
    <x v="12"/>
    <x v="81"/>
    <n v="114.848"/>
    <s v="Medium"/>
    <n v="4"/>
    <n v="0.2"/>
    <x v="2"/>
    <x v="2"/>
    <n v="35.89"/>
    <n v="0.3125"/>
    <n v="0"/>
  </r>
  <r>
    <n v="7733"/>
    <s v="CA-2017-143294"/>
    <d v="2017-06-02T00:00:00"/>
    <x v="3"/>
    <s v="Q2"/>
    <x v="27"/>
    <d v="2017-06-08T00:00:00"/>
    <s v="Standard Class"/>
    <x v="479"/>
    <x v="479"/>
    <s v="Consumer"/>
    <s v="United States"/>
    <s v="Houston"/>
    <x v="5"/>
    <n v="77070"/>
    <x v="2"/>
    <x v="578"/>
    <x v="1"/>
    <x v="10"/>
    <x v="578"/>
    <n v="10.688000000000001"/>
    <s v="Low"/>
    <n v="2"/>
    <n v="0.2"/>
    <x v="2"/>
    <x v="2"/>
    <n v="3.7408000000000001"/>
    <n v="0.35"/>
    <n v="0"/>
  </r>
  <r>
    <n v="7734"/>
    <s v="CA-2016-165673"/>
    <d v="2016-05-15T00:00:00"/>
    <x v="0"/>
    <s v="Q2"/>
    <x v="35"/>
    <d v="2016-05-19T00:00:00"/>
    <s v="Second Class"/>
    <x v="438"/>
    <x v="438"/>
    <s v="Consumer"/>
    <s v="United States"/>
    <s v="Springfield"/>
    <x v="24"/>
    <n v="45503"/>
    <x v="3"/>
    <x v="1393"/>
    <x v="1"/>
    <x v="10"/>
    <x v="1379"/>
    <n v="15.231999999999999"/>
    <s v="Low"/>
    <n v="4"/>
    <n v="0.2"/>
    <x v="2"/>
    <x v="2"/>
    <n v="5.5216000000000003"/>
    <n v="0.36250000000000004"/>
    <n v="0"/>
  </r>
  <r>
    <n v="7735"/>
    <s v="CA-2017-134418"/>
    <d v="2017-09-15T00:00:00"/>
    <x v="3"/>
    <s v="Q3"/>
    <x v="15"/>
    <d v="2017-09-20T00:00:00"/>
    <s v="Standard Class"/>
    <x v="421"/>
    <x v="421"/>
    <s v="Consumer"/>
    <s v="United States"/>
    <s v="Seattle"/>
    <x v="4"/>
    <n v="98103"/>
    <x v="1"/>
    <x v="154"/>
    <x v="1"/>
    <x v="6"/>
    <x v="155"/>
    <n v="12.42"/>
    <s v="Low"/>
    <n v="3"/>
    <n v="0"/>
    <x v="0"/>
    <x v="0"/>
    <n v="5.2164000000000001"/>
    <n v="0.42000000000000004"/>
    <n v="0"/>
  </r>
  <r>
    <n v="7736"/>
    <s v="US-2016-106313"/>
    <d v="2016-08-22T00:00:00"/>
    <x v="0"/>
    <s v="Q3"/>
    <x v="28"/>
    <d v="2016-08-26T00:00:00"/>
    <s v="Standard Class"/>
    <x v="375"/>
    <x v="375"/>
    <s v="Corporate"/>
    <s v="United States"/>
    <s v="Seattle"/>
    <x v="4"/>
    <n v="98105"/>
    <x v="1"/>
    <x v="680"/>
    <x v="1"/>
    <x v="10"/>
    <x v="680"/>
    <n v="19.440000000000001"/>
    <s v="Low"/>
    <n v="3"/>
    <n v="0"/>
    <x v="0"/>
    <x v="0"/>
    <n v="9.3312000000000008"/>
    <n v="0.48000000000000004"/>
    <n v="0"/>
  </r>
  <r>
    <n v="7737"/>
    <s v="CA-2014-105872"/>
    <d v="2014-05-30T00:00:00"/>
    <x v="2"/>
    <s v="Q2"/>
    <x v="8"/>
    <d v="2014-06-06T00:00:00"/>
    <s v="Standard Class"/>
    <x v="506"/>
    <x v="506"/>
    <s v="Consumer"/>
    <s v="United States"/>
    <s v="New York City"/>
    <x v="15"/>
    <n v="10024"/>
    <x v="3"/>
    <x v="715"/>
    <x v="1"/>
    <x v="8"/>
    <x v="714"/>
    <n v="70.367999999999995"/>
    <s v="Medium"/>
    <n v="4"/>
    <n v="0.2"/>
    <x v="2"/>
    <x v="2"/>
    <n v="26.388000000000002"/>
    <n v="0.37500000000000006"/>
    <n v="0"/>
  </r>
  <r>
    <n v="7738"/>
    <s v="CA-2017-108287"/>
    <d v="2017-12-18T00:00:00"/>
    <x v="3"/>
    <s v="Q4"/>
    <x v="22"/>
    <d v="2017-12-20T00:00:00"/>
    <s v="First Class"/>
    <x v="743"/>
    <x v="743"/>
    <s v="Consumer"/>
    <s v="United States"/>
    <s v="Charlotte"/>
    <x v="3"/>
    <n v="28205"/>
    <x v="0"/>
    <x v="1039"/>
    <x v="1"/>
    <x v="6"/>
    <x v="1029"/>
    <n v="12.672000000000001"/>
    <s v="Low"/>
    <n v="9"/>
    <n v="0.2"/>
    <x v="2"/>
    <x v="2"/>
    <n v="1.4256"/>
    <n v="0.11249999999999999"/>
    <n v="0"/>
  </r>
  <r>
    <n v="7739"/>
    <s v="CA-2017-141103"/>
    <d v="2017-07-30T00:00:00"/>
    <x v="3"/>
    <s v="Q3"/>
    <x v="10"/>
    <d v="2017-08-06T00:00:00"/>
    <s v="Standard Class"/>
    <x v="282"/>
    <x v="282"/>
    <s v="Consumer"/>
    <s v="United States"/>
    <s v="Baltimore"/>
    <x v="39"/>
    <n v="21215"/>
    <x v="3"/>
    <x v="831"/>
    <x v="2"/>
    <x v="7"/>
    <x v="826"/>
    <n v="89.95"/>
    <s v="Medium"/>
    <n v="5"/>
    <n v="0"/>
    <x v="0"/>
    <x v="0"/>
    <n v="43.176000000000002"/>
    <n v="0.48"/>
    <n v="0"/>
  </r>
  <r>
    <n v="7740"/>
    <s v="CA-2014-154781"/>
    <d v="2014-11-21T00:00:00"/>
    <x v="2"/>
    <s v="Q4"/>
    <x v="7"/>
    <d v="2014-11-26T00:00:00"/>
    <s v="Standard Class"/>
    <x v="649"/>
    <x v="649"/>
    <s v="Home Office"/>
    <s v="United States"/>
    <s v="San Francisco"/>
    <x v="1"/>
    <n v="94110"/>
    <x v="1"/>
    <x v="1128"/>
    <x v="1"/>
    <x v="10"/>
    <x v="1116"/>
    <n v="6.58"/>
    <s v="Low"/>
    <n v="2"/>
    <n v="0"/>
    <x v="0"/>
    <x v="0"/>
    <n v="3.0268000000000002"/>
    <n v="0.46"/>
    <n v="0"/>
  </r>
  <r>
    <n v="7741"/>
    <s v="CA-2014-154781"/>
    <d v="2014-11-21T00:00:00"/>
    <x v="2"/>
    <s v="Q4"/>
    <x v="7"/>
    <d v="2014-11-26T00:00:00"/>
    <s v="Standard Class"/>
    <x v="649"/>
    <x v="649"/>
    <s v="Home Office"/>
    <s v="United States"/>
    <s v="San Francisco"/>
    <x v="1"/>
    <n v="94110"/>
    <x v="1"/>
    <x v="1523"/>
    <x v="2"/>
    <x v="11"/>
    <x v="1510"/>
    <n v="94.99"/>
    <s v="Medium"/>
    <n v="1"/>
    <n v="0"/>
    <x v="0"/>
    <x v="0"/>
    <n v="28.497"/>
    <n v="0.3"/>
    <n v="0"/>
  </r>
  <r>
    <n v="7742"/>
    <s v="CA-2015-147816"/>
    <d v="2015-09-24T00:00:00"/>
    <x v="1"/>
    <s v="Q3"/>
    <x v="11"/>
    <d v="2015-09-26T00:00:00"/>
    <s v="Second Class"/>
    <x v="619"/>
    <x v="619"/>
    <s v="Consumer"/>
    <s v="United States"/>
    <s v="Tucson"/>
    <x v="16"/>
    <n v="85705"/>
    <x v="1"/>
    <x v="1513"/>
    <x v="2"/>
    <x v="7"/>
    <x v="1500"/>
    <n v="35.119999999999997"/>
    <s v="Medium"/>
    <n v="2"/>
    <n v="0.2"/>
    <x v="2"/>
    <x v="2"/>
    <n v="13.17"/>
    <n v="0.375"/>
    <n v="0"/>
  </r>
  <r>
    <n v="7743"/>
    <s v="CA-2017-105326"/>
    <d v="2017-08-20T00:00:00"/>
    <x v="3"/>
    <s v="Q3"/>
    <x v="43"/>
    <d v="2017-08-27T00:00:00"/>
    <s v="Standard Class"/>
    <x v="409"/>
    <x v="409"/>
    <s v="Consumer"/>
    <s v="United States"/>
    <s v="Los Angeles"/>
    <x v="1"/>
    <n v="90036"/>
    <x v="1"/>
    <x v="988"/>
    <x v="1"/>
    <x v="10"/>
    <x v="981"/>
    <n v="25.92"/>
    <s v="Medium"/>
    <n v="4"/>
    <n v="0"/>
    <x v="0"/>
    <x v="0"/>
    <n v="12.441599999999999"/>
    <n v="0.47999999999999993"/>
    <n v="0"/>
  </r>
  <r>
    <n v="7744"/>
    <s v="CA-2016-133613"/>
    <d v="2016-06-17T00:00:00"/>
    <x v="0"/>
    <s v="Q2"/>
    <x v="1"/>
    <d v="2016-06-22T00:00:00"/>
    <s v="Standard Class"/>
    <x v="291"/>
    <x v="291"/>
    <s v="Corporate"/>
    <s v="United States"/>
    <s v="Waterbury"/>
    <x v="29"/>
    <n v="6708"/>
    <x v="3"/>
    <x v="1406"/>
    <x v="1"/>
    <x v="8"/>
    <x v="1393"/>
    <n v="7.96"/>
    <s v="Low"/>
    <n v="2"/>
    <n v="0"/>
    <x v="0"/>
    <x v="0"/>
    <n v="3.7412000000000001"/>
    <n v="0.47000000000000003"/>
    <n v="0"/>
  </r>
  <r>
    <n v="7745"/>
    <s v="CA-2016-133613"/>
    <d v="2016-06-17T00:00:00"/>
    <x v="0"/>
    <s v="Q2"/>
    <x v="1"/>
    <d v="2016-06-22T00:00:00"/>
    <s v="Standard Class"/>
    <x v="291"/>
    <x v="291"/>
    <s v="Corporate"/>
    <s v="United States"/>
    <s v="Waterbury"/>
    <x v="29"/>
    <n v="6708"/>
    <x v="3"/>
    <x v="867"/>
    <x v="2"/>
    <x v="7"/>
    <x v="861"/>
    <n v="566.97"/>
    <s v="High"/>
    <n v="3"/>
    <n v="0"/>
    <x v="0"/>
    <x v="0"/>
    <n v="153.08189999999999"/>
    <n v="0.26999999999999996"/>
    <n v="0"/>
  </r>
  <r>
    <n v="7746"/>
    <s v="CA-2016-133613"/>
    <d v="2016-06-17T00:00:00"/>
    <x v="0"/>
    <s v="Q2"/>
    <x v="1"/>
    <d v="2016-06-22T00:00:00"/>
    <s v="Standard Class"/>
    <x v="291"/>
    <x v="291"/>
    <s v="Corporate"/>
    <s v="United States"/>
    <s v="Waterbury"/>
    <x v="29"/>
    <n v="6708"/>
    <x v="3"/>
    <x v="950"/>
    <x v="1"/>
    <x v="6"/>
    <x v="943"/>
    <n v="9.84"/>
    <s v="Low"/>
    <n v="3"/>
    <n v="0"/>
    <x v="0"/>
    <x v="0"/>
    <n v="2.8536000000000001"/>
    <n v="0.29000000000000004"/>
    <n v="0"/>
  </r>
  <r>
    <n v="7747"/>
    <s v="CA-2015-109113"/>
    <d v="2015-12-19T00:00:00"/>
    <x v="1"/>
    <s v="Q4"/>
    <x v="14"/>
    <d v="2015-12-23T00:00:00"/>
    <s v="Standard Class"/>
    <x v="735"/>
    <x v="735"/>
    <s v="Home Office"/>
    <s v="United States"/>
    <s v="Chicago"/>
    <x v="10"/>
    <n v="60610"/>
    <x v="2"/>
    <x v="788"/>
    <x v="2"/>
    <x v="11"/>
    <x v="786"/>
    <n v="25.488"/>
    <s v="Medium"/>
    <n v="2"/>
    <n v="0.2"/>
    <x v="2"/>
    <x v="2"/>
    <n v="4.7789999999999999"/>
    <n v="0.1875"/>
    <n v="0"/>
  </r>
  <r>
    <n v="7748"/>
    <s v="CA-2015-156153"/>
    <d v="2015-05-31T00:00:00"/>
    <x v="1"/>
    <s v="Q2"/>
    <x v="33"/>
    <d v="2015-06-02T00:00:00"/>
    <s v="Second Class"/>
    <x v="194"/>
    <x v="194"/>
    <s v="Home Office"/>
    <s v="United States"/>
    <s v="Long Beach"/>
    <x v="15"/>
    <n v="11561"/>
    <x v="3"/>
    <x v="242"/>
    <x v="1"/>
    <x v="13"/>
    <x v="243"/>
    <n v="7.56"/>
    <s v="Low"/>
    <n v="6"/>
    <n v="0"/>
    <x v="0"/>
    <x v="0"/>
    <n v="0.3024"/>
    <n v="0.04"/>
    <n v="0"/>
  </r>
  <r>
    <n v="7749"/>
    <s v="CA-2015-133242"/>
    <d v="2015-06-18T00:00:00"/>
    <x v="1"/>
    <s v="Q2"/>
    <x v="40"/>
    <d v="2015-06-24T00:00:00"/>
    <s v="Standard Class"/>
    <x v="168"/>
    <x v="168"/>
    <s v="Consumer"/>
    <s v="United States"/>
    <s v="Arlington"/>
    <x v="17"/>
    <n v="22204"/>
    <x v="0"/>
    <x v="1492"/>
    <x v="0"/>
    <x v="5"/>
    <x v="1479"/>
    <n v="60.84"/>
    <s v="Medium"/>
    <n v="3"/>
    <n v="0"/>
    <x v="0"/>
    <x v="0"/>
    <n v="19.468800000000002"/>
    <n v="0.32"/>
    <n v="0"/>
  </r>
  <r>
    <n v="7750"/>
    <s v="CA-2015-133242"/>
    <d v="2015-06-18T00:00:00"/>
    <x v="1"/>
    <s v="Q2"/>
    <x v="40"/>
    <d v="2015-06-24T00:00:00"/>
    <s v="Standard Class"/>
    <x v="168"/>
    <x v="168"/>
    <s v="Consumer"/>
    <s v="United States"/>
    <s v="Arlington"/>
    <x v="17"/>
    <n v="22204"/>
    <x v="0"/>
    <x v="906"/>
    <x v="1"/>
    <x v="4"/>
    <x v="898"/>
    <n v="450.04"/>
    <s v="High"/>
    <n v="2"/>
    <n v="0"/>
    <x v="0"/>
    <x v="0"/>
    <n v="58.505200000000002"/>
    <n v="0.13"/>
    <n v="0"/>
  </r>
  <r>
    <n v="7751"/>
    <s v="CA-2015-133242"/>
    <d v="2015-06-18T00:00:00"/>
    <x v="1"/>
    <s v="Q2"/>
    <x v="40"/>
    <d v="2015-06-24T00:00:00"/>
    <s v="Standard Class"/>
    <x v="168"/>
    <x v="168"/>
    <s v="Consumer"/>
    <s v="United States"/>
    <s v="Arlington"/>
    <x v="17"/>
    <n v="22204"/>
    <x v="0"/>
    <x v="153"/>
    <x v="1"/>
    <x v="8"/>
    <x v="154"/>
    <n v="34.6"/>
    <s v="Medium"/>
    <n v="2"/>
    <n v="0"/>
    <x v="0"/>
    <x v="0"/>
    <n v="16.608000000000001"/>
    <n v="0.48"/>
    <n v="0"/>
  </r>
  <r>
    <n v="7752"/>
    <s v="CA-2015-133242"/>
    <d v="2015-06-18T00:00:00"/>
    <x v="1"/>
    <s v="Q2"/>
    <x v="40"/>
    <d v="2015-06-24T00:00:00"/>
    <s v="Standard Class"/>
    <x v="168"/>
    <x v="168"/>
    <s v="Consumer"/>
    <s v="United States"/>
    <s v="Arlington"/>
    <x v="17"/>
    <n v="22204"/>
    <x v="0"/>
    <x v="495"/>
    <x v="2"/>
    <x v="7"/>
    <x v="495"/>
    <n v="467.97"/>
    <s v="High"/>
    <n v="3"/>
    <n v="0"/>
    <x v="0"/>
    <x v="0"/>
    <n v="140.39099999999999"/>
    <n v="0.3"/>
    <n v="0"/>
  </r>
  <r>
    <n v="7753"/>
    <s v="CA-2015-133242"/>
    <d v="2015-06-18T00:00:00"/>
    <x v="1"/>
    <s v="Q2"/>
    <x v="40"/>
    <d v="2015-06-24T00:00:00"/>
    <s v="Standard Class"/>
    <x v="168"/>
    <x v="168"/>
    <s v="Consumer"/>
    <s v="United States"/>
    <s v="Arlington"/>
    <x v="17"/>
    <n v="22204"/>
    <x v="0"/>
    <x v="729"/>
    <x v="1"/>
    <x v="8"/>
    <x v="728"/>
    <n v="33.020000000000003"/>
    <s v="Medium"/>
    <n v="2"/>
    <n v="0"/>
    <x v="0"/>
    <x v="0"/>
    <n v="15.849600000000001"/>
    <n v="0.48"/>
    <n v="0"/>
  </r>
  <r>
    <n v="7754"/>
    <s v="CA-2015-158323"/>
    <d v="2015-11-30T00:00:00"/>
    <x v="1"/>
    <s v="Q4"/>
    <x v="6"/>
    <d v="2015-12-03T00:00:00"/>
    <s v="First Class"/>
    <x v="448"/>
    <x v="448"/>
    <s v="Corporate"/>
    <s v="United States"/>
    <s v="Jacksonville"/>
    <x v="3"/>
    <n v="28540"/>
    <x v="0"/>
    <x v="1445"/>
    <x v="0"/>
    <x v="5"/>
    <x v="1432"/>
    <n v="17.088000000000001"/>
    <s v="Low"/>
    <n v="2"/>
    <n v="0.2"/>
    <x v="2"/>
    <x v="2"/>
    <n v="1.0680000000000001"/>
    <n v="6.25E-2"/>
    <n v="0"/>
  </r>
  <r>
    <n v="7755"/>
    <s v="CA-2015-161795"/>
    <d v="2015-12-21T00:00:00"/>
    <x v="1"/>
    <s v="Q4"/>
    <x v="14"/>
    <d v="2015-12-23T00:00:00"/>
    <s v="Second Class"/>
    <x v="340"/>
    <x v="340"/>
    <s v="Corporate"/>
    <s v="United States"/>
    <s v="Columbus"/>
    <x v="24"/>
    <n v="43229"/>
    <x v="3"/>
    <x v="868"/>
    <x v="1"/>
    <x v="6"/>
    <x v="862"/>
    <n v="3.008"/>
    <s v="Low"/>
    <n v="2"/>
    <n v="0.2"/>
    <x v="2"/>
    <x v="2"/>
    <n v="0.33839999999999998"/>
    <n v="0.11249999999999999"/>
    <n v="0"/>
  </r>
  <r>
    <n v="7756"/>
    <s v="CA-2017-100902"/>
    <d v="2017-11-17T00:00:00"/>
    <x v="3"/>
    <s v="Q4"/>
    <x v="23"/>
    <d v="2017-11-21T00:00:00"/>
    <s v="Standard Class"/>
    <x v="242"/>
    <x v="242"/>
    <s v="Consumer"/>
    <s v="United States"/>
    <s v="Charlotte"/>
    <x v="3"/>
    <n v="28205"/>
    <x v="0"/>
    <x v="1826"/>
    <x v="1"/>
    <x v="10"/>
    <x v="1814"/>
    <n v="268.24"/>
    <s v="High"/>
    <n v="7"/>
    <n v="0.2"/>
    <x v="2"/>
    <x v="2"/>
    <n v="93.884"/>
    <n v="0.35"/>
    <n v="0"/>
  </r>
  <r>
    <n v="7757"/>
    <s v="CA-2017-100902"/>
    <d v="2017-11-17T00:00:00"/>
    <x v="3"/>
    <s v="Q4"/>
    <x v="23"/>
    <d v="2017-11-21T00:00:00"/>
    <s v="Standard Class"/>
    <x v="242"/>
    <x v="242"/>
    <s v="Consumer"/>
    <s v="United States"/>
    <s v="Charlotte"/>
    <x v="3"/>
    <n v="28205"/>
    <x v="0"/>
    <x v="619"/>
    <x v="2"/>
    <x v="11"/>
    <x v="619"/>
    <n v="431.16"/>
    <s v="High"/>
    <n v="5"/>
    <n v="0.2"/>
    <x v="2"/>
    <x v="2"/>
    <n v="107.79"/>
    <n v="0.25"/>
    <n v="0"/>
  </r>
  <r>
    <n v="7758"/>
    <s v="CA-2017-112844"/>
    <d v="2017-11-13T00:00:00"/>
    <x v="3"/>
    <s v="Q4"/>
    <x v="23"/>
    <d v="2017-11-16T00:00:00"/>
    <s v="Second Class"/>
    <x v="407"/>
    <x v="407"/>
    <s v="Corporate"/>
    <s v="United States"/>
    <s v="Buffalo"/>
    <x v="15"/>
    <n v="14215"/>
    <x v="3"/>
    <x v="47"/>
    <x v="2"/>
    <x v="7"/>
    <x v="47"/>
    <n v="43.6"/>
    <s v="Medium"/>
    <n v="4"/>
    <n v="0"/>
    <x v="0"/>
    <x v="0"/>
    <n v="12.208"/>
    <n v="0.27999999999999997"/>
    <n v="0"/>
  </r>
  <r>
    <n v="7759"/>
    <s v="CA-2017-112844"/>
    <d v="2017-11-13T00:00:00"/>
    <x v="3"/>
    <s v="Q4"/>
    <x v="23"/>
    <d v="2017-11-16T00:00:00"/>
    <s v="Second Class"/>
    <x v="407"/>
    <x v="407"/>
    <s v="Corporate"/>
    <s v="United States"/>
    <s v="Buffalo"/>
    <x v="15"/>
    <n v="14215"/>
    <x v="3"/>
    <x v="1704"/>
    <x v="0"/>
    <x v="5"/>
    <x v="1693"/>
    <n v="154.94999999999999"/>
    <s v="High"/>
    <n v="3"/>
    <n v="0"/>
    <x v="0"/>
    <x v="0"/>
    <n v="30.99"/>
    <n v="0.2"/>
    <n v="0"/>
  </r>
  <r>
    <n v="7760"/>
    <s v="CA-2016-158925"/>
    <d v="2016-10-24T00:00:00"/>
    <x v="0"/>
    <s v="Q4"/>
    <x v="32"/>
    <d v="2016-10-28T00:00:00"/>
    <s v="Standard Class"/>
    <x v="687"/>
    <x v="687"/>
    <s v="Corporate"/>
    <s v="United States"/>
    <s v="Houston"/>
    <x v="5"/>
    <n v="77041"/>
    <x v="2"/>
    <x v="934"/>
    <x v="1"/>
    <x v="10"/>
    <x v="927"/>
    <n v="15.552"/>
    <s v="Low"/>
    <n v="3"/>
    <n v="0.2"/>
    <x v="2"/>
    <x v="2"/>
    <n v="5.4432"/>
    <n v="0.35000000000000003"/>
    <n v="0"/>
  </r>
  <r>
    <n v="7761"/>
    <s v="CA-2014-155390"/>
    <d v="2014-12-06T00:00:00"/>
    <x v="2"/>
    <s v="Q4"/>
    <x v="20"/>
    <d v="2014-12-11T00:00:00"/>
    <s v="Standard Class"/>
    <x v="767"/>
    <x v="767"/>
    <s v="Consumer"/>
    <s v="United States"/>
    <s v="Memphis"/>
    <x v="18"/>
    <n v="38109"/>
    <x v="0"/>
    <x v="954"/>
    <x v="1"/>
    <x v="10"/>
    <x v="947"/>
    <n v="42.207999999999998"/>
    <s v="Medium"/>
    <n v="2"/>
    <n v="0.2"/>
    <x v="2"/>
    <x v="2"/>
    <n v="13.717599999999999"/>
    <n v="0.32500000000000001"/>
    <n v="0"/>
  </r>
  <r>
    <n v="7762"/>
    <s v="CA-2017-123071"/>
    <d v="2017-12-03T00:00:00"/>
    <x v="3"/>
    <s v="Q4"/>
    <x v="22"/>
    <d v="2017-12-06T00:00:00"/>
    <s v="First Class"/>
    <x v="142"/>
    <x v="142"/>
    <s v="Consumer"/>
    <s v="United States"/>
    <s v="Plano"/>
    <x v="5"/>
    <n v="75023"/>
    <x v="2"/>
    <x v="1151"/>
    <x v="1"/>
    <x v="10"/>
    <x v="1139"/>
    <n v="10.368"/>
    <s v="Low"/>
    <n v="2"/>
    <n v="0.2"/>
    <x v="2"/>
    <x v="2"/>
    <n v="3.6288"/>
    <n v="0.35"/>
    <n v="0"/>
  </r>
  <r>
    <n v="7763"/>
    <s v="CA-2017-156391"/>
    <d v="2017-09-26T00:00:00"/>
    <x v="3"/>
    <s v="Q3"/>
    <x v="15"/>
    <d v="2017-09-28T00:00:00"/>
    <s v="First Class"/>
    <x v="359"/>
    <x v="359"/>
    <s v="Home Office"/>
    <s v="United States"/>
    <s v="Salem"/>
    <x v="21"/>
    <n v="97301"/>
    <x v="1"/>
    <x v="1061"/>
    <x v="1"/>
    <x v="6"/>
    <x v="1050"/>
    <n v="2.2240000000000002"/>
    <s v="Low"/>
    <n v="1"/>
    <n v="0.2"/>
    <x v="2"/>
    <x v="2"/>
    <n v="0.55600000000000005"/>
    <n v="0.25"/>
    <n v="0"/>
  </r>
  <r>
    <n v="7764"/>
    <s v="CA-2015-103093"/>
    <d v="2015-02-03T00:00:00"/>
    <x v="1"/>
    <s v="Q1"/>
    <x v="36"/>
    <d v="2015-02-07T00:00:00"/>
    <s v="Standard Class"/>
    <x v="383"/>
    <x v="383"/>
    <s v="Consumer"/>
    <s v="United States"/>
    <s v="Columbus"/>
    <x v="32"/>
    <n v="31907"/>
    <x v="0"/>
    <x v="1451"/>
    <x v="1"/>
    <x v="12"/>
    <x v="153"/>
    <n v="74.52"/>
    <s v="Medium"/>
    <n v="9"/>
    <n v="0"/>
    <x v="0"/>
    <x v="0"/>
    <n v="35.0244"/>
    <n v="0.47000000000000003"/>
    <n v="0"/>
  </r>
  <r>
    <n v="7765"/>
    <s v="US-2017-118941"/>
    <d v="2017-08-12T00:00:00"/>
    <x v="3"/>
    <s v="Q3"/>
    <x v="43"/>
    <d v="2017-08-12T00:00:00"/>
    <s v="Same Day"/>
    <x v="179"/>
    <x v="179"/>
    <s v="Corporate"/>
    <s v="United States"/>
    <s v="Columbia"/>
    <x v="39"/>
    <n v="21044"/>
    <x v="3"/>
    <x v="512"/>
    <x v="1"/>
    <x v="6"/>
    <x v="512"/>
    <n v="17.52"/>
    <s v="Low"/>
    <n v="3"/>
    <n v="0"/>
    <x v="0"/>
    <x v="0"/>
    <n v="5.2560000000000002"/>
    <n v="0.30000000000000004"/>
    <n v="0"/>
  </r>
  <r>
    <n v="7766"/>
    <s v="US-2017-118941"/>
    <d v="2017-08-12T00:00:00"/>
    <x v="3"/>
    <s v="Q3"/>
    <x v="43"/>
    <d v="2017-08-12T00:00:00"/>
    <s v="Same Day"/>
    <x v="179"/>
    <x v="179"/>
    <s v="Corporate"/>
    <s v="United States"/>
    <s v="Columbia"/>
    <x v="39"/>
    <n v="21044"/>
    <x v="3"/>
    <x v="406"/>
    <x v="0"/>
    <x v="1"/>
    <x v="407"/>
    <n v="1779.9"/>
    <s v="High"/>
    <n v="5"/>
    <n v="0"/>
    <x v="0"/>
    <x v="0"/>
    <n v="373.779"/>
    <n v="0.21"/>
    <n v="0"/>
  </r>
  <r>
    <n v="7767"/>
    <s v="US-2017-118941"/>
    <d v="2017-08-12T00:00:00"/>
    <x v="3"/>
    <s v="Q3"/>
    <x v="43"/>
    <d v="2017-08-12T00:00:00"/>
    <s v="Same Day"/>
    <x v="179"/>
    <x v="179"/>
    <s v="Corporate"/>
    <s v="United States"/>
    <s v="Columbia"/>
    <x v="39"/>
    <n v="21044"/>
    <x v="3"/>
    <x v="399"/>
    <x v="1"/>
    <x v="6"/>
    <x v="400"/>
    <n v="219.9"/>
    <s v="High"/>
    <n v="5"/>
    <n v="0"/>
    <x v="0"/>
    <x v="0"/>
    <n v="59.372999999999998"/>
    <n v="0.26999999999999996"/>
    <n v="0"/>
  </r>
  <r>
    <n v="7768"/>
    <s v="CA-2015-169299"/>
    <d v="2015-08-24T00:00:00"/>
    <x v="1"/>
    <s v="Q3"/>
    <x v="37"/>
    <d v="2015-08-26T00:00:00"/>
    <s v="First Class"/>
    <x v="157"/>
    <x v="157"/>
    <s v="Consumer"/>
    <s v="United States"/>
    <s v="Portland"/>
    <x v="21"/>
    <n v="97206"/>
    <x v="1"/>
    <x v="79"/>
    <x v="1"/>
    <x v="6"/>
    <x v="79"/>
    <n v="7.1520000000000001"/>
    <s v="Low"/>
    <n v="3"/>
    <n v="0.2"/>
    <x v="2"/>
    <x v="2"/>
    <n v="0.71519999999999995"/>
    <n v="9.9999999999999992E-2"/>
    <n v="0"/>
  </r>
  <r>
    <n v="7769"/>
    <s v="CA-2017-154088"/>
    <d v="2017-11-12T00:00:00"/>
    <x v="3"/>
    <s v="Q4"/>
    <x v="23"/>
    <d v="2017-11-17T00:00:00"/>
    <s v="Standard Class"/>
    <x v="445"/>
    <x v="445"/>
    <s v="Consumer"/>
    <s v="United States"/>
    <s v="Tallahassee"/>
    <x v="2"/>
    <n v="32303"/>
    <x v="0"/>
    <x v="652"/>
    <x v="1"/>
    <x v="10"/>
    <x v="652"/>
    <n v="26.72"/>
    <s v="Medium"/>
    <n v="5"/>
    <n v="0.2"/>
    <x v="2"/>
    <x v="2"/>
    <n v="9.3520000000000003"/>
    <n v="0.35000000000000003"/>
    <n v="0"/>
  </r>
  <r>
    <n v="7770"/>
    <s v="CA-2016-155978"/>
    <d v="2016-08-01T00:00:00"/>
    <x v="0"/>
    <s v="Q3"/>
    <x v="28"/>
    <d v="2016-08-01T00:00:00"/>
    <s v="Same Day"/>
    <x v="131"/>
    <x v="131"/>
    <s v="Corporate"/>
    <s v="United States"/>
    <s v="Riverside"/>
    <x v="1"/>
    <n v="92503"/>
    <x v="1"/>
    <x v="1148"/>
    <x v="2"/>
    <x v="7"/>
    <x v="1136"/>
    <n v="1039.7280000000001"/>
    <s v="High"/>
    <n v="2"/>
    <n v="0.2"/>
    <x v="2"/>
    <x v="2"/>
    <n v="90.976200000000006"/>
    <n v="8.7499999999999994E-2"/>
    <n v="0"/>
  </r>
  <r>
    <n v="7771"/>
    <s v="CA-2016-155978"/>
    <d v="2016-08-01T00:00:00"/>
    <x v="0"/>
    <s v="Q3"/>
    <x v="28"/>
    <d v="2016-08-01T00:00:00"/>
    <s v="Same Day"/>
    <x v="131"/>
    <x v="131"/>
    <s v="Corporate"/>
    <s v="United States"/>
    <s v="Riverside"/>
    <x v="1"/>
    <n v="92503"/>
    <x v="1"/>
    <x v="9"/>
    <x v="1"/>
    <x v="9"/>
    <x v="9"/>
    <n v="45.96"/>
    <s v="Medium"/>
    <n v="2"/>
    <n v="0"/>
    <x v="0"/>
    <x v="0"/>
    <n v="13.788"/>
    <n v="0.3"/>
    <n v="0"/>
  </r>
  <r>
    <n v="7772"/>
    <s v="CA-2016-108196"/>
    <d v="2016-11-25T00:00:00"/>
    <x v="0"/>
    <s v="Q4"/>
    <x v="0"/>
    <d v="2016-12-02T00:00:00"/>
    <s v="Standard Class"/>
    <x v="473"/>
    <x v="473"/>
    <s v="Consumer"/>
    <s v="United States"/>
    <s v="Lancaster"/>
    <x v="24"/>
    <n v="43130"/>
    <x v="3"/>
    <x v="692"/>
    <x v="1"/>
    <x v="8"/>
    <x v="692"/>
    <n v="456.58800000000002"/>
    <s v="High"/>
    <n v="2"/>
    <n v="0.7"/>
    <x v="1"/>
    <x v="5"/>
    <n v="-304.392"/>
    <n v="-0.66666666666666663"/>
    <n v="1"/>
  </r>
  <r>
    <n v="7773"/>
    <s v="CA-2016-108196"/>
    <d v="2016-11-25T00:00:00"/>
    <x v="0"/>
    <s v="Q4"/>
    <x v="0"/>
    <d v="2016-12-02T00:00:00"/>
    <s v="Standard Class"/>
    <x v="473"/>
    <x v="473"/>
    <s v="Consumer"/>
    <s v="United States"/>
    <s v="Lancaster"/>
    <x v="24"/>
    <n v="43130"/>
    <x v="3"/>
    <x v="1497"/>
    <x v="2"/>
    <x v="15"/>
    <x v="1485"/>
    <n v="4499.9849999999997"/>
    <s v="High"/>
    <n v="5"/>
    <n v="0.7"/>
    <x v="1"/>
    <x v="5"/>
    <n v="-6599.9780000000001"/>
    <n v="-1.4666666666666668"/>
    <n v="1"/>
  </r>
  <r>
    <n v="7774"/>
    <s v="CA-2016-108196"/>
    <d v="2016-11-25T00:00:00"/>
    <x v="0"/>
    <s v="Q4"/>
    <x v="0"/>
    <d v="2016-12-02T00:00:00"/>
    <s v="Standard Class"/>
    <x v="473"/>
    <x v="473"/>
    <s v="Consumer"/>
    <s v="United States"/>
    <s v="Lancaster"/>
    <x v="24"/>
    <n v="43130"/>
    <x v="3"/>
    <x v="1827"/>
    <x v="2"/>
    <x v="11"/>
    <x v="1815"/>
    <n v="59.975999999999999"/>
    <s v="Medium"/>
    <n v="3"/>
    <n v="0.2"/>
    <x v="2"/>
    <x v="2"/>
    <n v="11.995200000000001"/>
    <n v="0.2"/>
    <n v="0"/>
  </r>
  <r>
    <n v="7775"/>
    <s v="CA-2016-152800"/>
    <d v="2016-04-13T00:00:00"/>
    <x v="0"/>
    <s v="Q2"/>
    <x v="25"/>
    <d v="2016-04-15T00:00:00"/>
    <s v="First Class"/>
    <x v="727"/>
    <x v="727"/>
    <s v="Consumer"/>
    <s v="United States"/>
    <s v="San Francisco"/>
    <x v="1"/>
    <n v="94109"/>
    <x v="1"/>
    <x v="29"/>
    <x v="1"/>
    <x v="12"/>
    <x v="29"/>
    <n v="6.12"/>
    <s v="Low"/>
    <n v="3"/>
    <n v="0"/>
    <x v="0"/>
    <x v="0"/>
    <n v="2.8763999999999998"/>
    <n v="0.47"/>
    <n v="0"/>
  </r>
  <r>
    <n v="7776"/>
    <s v="CA-2014-166961"/>
    <d v="2014-12-27T00:00:00"/>
    <x v="2"/>
    <s v="Q4"/>
    <x v="20"/>
    <d v="2014-12-31T00:00:00"/>
    <s v="Standard Class"/>
    <x v="522"/>
    <x v="522"/>
    <s v="Home Office"/>
    <s v="United States"/>
    <s v="Moreno Valley"/>
    <x v="1"/>
    <n v="92553"/>
    <x v="1"/>
    <x v="1644"/>
    <x v="1"/>
    <x v="9"/>
    <x v="360"/>
    <n v="10.98"/>
    <s v="Low"/>
    <n v="1"/>
    <n v="0"/>
    <x v="0"/>
    <x v="0"/>
    <n v="2.9645999999999999"/>
    <n v="0.26999999999999996"/>
    <n v="0"/>
  </r>
  <r>
    <n v="7777"/>
    <s v="CA-2014-166961"/>
    <d v="2014-12-27T00:00:00"/>
    <x v="2"/>
    <s v="Q4"/>
    <x v="20"/>
    <d v="2014-12-31T00:00:00"/>
    <s v="Standard Class"/>
    <x v="522"/>
    <x v="522"/>
    <s v="Home Office"/>
    <s v="United States"/>
    <s v="Moreno Valley"/>
    <x v="1"/>
    <n v="92553"/>
    <x v="1"/>
    <x v="1711"/>
    <x v="1"/>
    <x v="13"/>
    <x v="128"/>
    <n v="7.86"/>
    <s v="Low"/>
    <n v="3"/>
    <n v="0"/>
    <x v="0"/>
    <x v="0"/>
    <n v="3.6156000000000001"/>
    <n v="0.46"/>
    <n v="0"/>
  </r>
  <r>
    <n v="7778"/>
    <s v="CA-2014-166961"/>
    <d v="2014-12-27T00:00:00"/>
    <x v="2"/>
    <s v="Q4"/>
    <x v="20"/>
    <d v="2014-12-31T00:00:00"/>
    <s v="Standard Class"/>
    <x v="522"/>
    <x v="522"/>
    <s v="Home Office"/>
    <s v="United States"/>
    <s v="Moreno Valley"/>
    <x v="1"/>
    <n v="92553"/>
    <x v="1"/>
    <x v="456"/>
    <x v="1"/>
    <x v="4"/>
    <x v="457"/>
    <n v="51.45"/>
    <s v="Medium"/>
    <n v="3"/>
    <n v="0"/>
    <x v="0"/>
    <x v="0"/>
    <n v="13.891500000000001"/>
    <n v="0.27"/>
    <n v="0"/>
  </r>
  <r>
    <n v="7779"/>
    <s v="CA-2014-166961"/>
    <d v="2014-12-27T00:00:00"/>
    <x v="2"/>
    <s v="Q4"/>
    <x v="20"/>
    <d v="2014-12-31T00:00:00"/>
    <s v="Standard Class"/>
    <x v="522"/>
    <x v="522"/>
    <s v="Home Office"/>
    <s v="United States"/>
    <s v="Moreno Valley"/>
    <x v="1"/>
    <n v="92553"/>
    <x v="1"/>
    <x v="1087"/>
    <x v="1"/>
    <x v="8"/>
    <x v="1077"/>
    <n v="37.055999999999997"/>
    <s v="Medium"/>
    <n v="3"/>
    <n v="0.2"/>
    <x v="2"/>
    <x v="2"/>
    <n v="13.896000000000001"/>
    <n v="0.37500000000000006"/>
    <n v="0"/>
  </r>
  <r>
    <n v="7780"/>
    <s v="CA-2016-139381"/>
    <d v="2016-04-18T00:00:00"/>
    <x v="0"/>
    <s v="Q2"/>
    <x v="25"/>
    <d v="2016-04-22T00:00:00"/>
    <s v="Standard Class"/>
    <x v="167"/>
    <x v="167"/>
    <s v="Consumer"/>
    <s v="United States"/>
    <s v="Chesapeake"/>
    <x v="17"/>
    <n v="23320"/>
    <x v="0"/>
    <x v="473"/>
    <x v="1"/>
    <x v="9"/>
    <x v="474"/>
    <n v="203.92"/>
    <s v="High"/>
    <n v="4"/>
    <n v="0"/>
    <x v="0"/>
    <x v="0"/>
    <n v="55.058399999999999"/>
    <n v="0.27"/>
    <n v="0"/>
  </r>
  <r>
    <n v="7781"/>
    <s v="CA-2016-139381"/>
    <d v="2016-04-18T00:00:00"/>
    <x v="0"/>
    <s v="Q2"/>
    <x v="25"/>
    <d v="2016-04-22T00:00:00"/>
    <s v="Standard Class"/>
    <x v="167"/>
    <x v="167"/>
    <s v="Consumer"/>
    <s v="United States"/>
    <s v="Chesapeake"/>
    <x v="17"/>
    <n v="23320"/>
    <x v="0"/>
    <x v="1179"/>
    <x v="2"/>
    <x v="7"/>
    <x v="1165"/>
    <n v="29.56"/>
    <s v="Medium"/>
    <n v="4"/>
    <n v="0"/>
    <x v="0"/>
    <x v="0"/>
    <n v="7.9812000000000003"/>
    <n v="0.27"/>
    <n v="0"/>
  </r>
  <r>
    <n v="7782"/>
    <s v="CA-2015-132136"/>
    <d v="2015-03-08T00:00:00"/>
    <x v="1"/>
    <s v="Q1"/>
    <x v="29"/>
    <d v="2015-03-12T00:00:00"/>
    <s v="Standard Class"/>
    <x v="383"/>
    <x v="383"/>
    <s v="Consumer"/>
    <s v="United States"/>
    <s v="Chicago"/>
    <x v="10"/>
    <n v="60623"/>
    <x v="2"/>
    <x v="276"/>
    <x v="1"/>
    <x v="8"/>
    <x v="276"/>
    <n v="8.5679999999999996"/>
    <s v="Low"/>
    <n v="3"/>
    <n v="0.8"/>
    <x v="1"/>
    <x v="3"/>
    <n v="-14.5656"/>
    <n v="-1.7"/>
    <n v="1"/>
  </r>
  <r>
    <n v="7783"/>
    <s v="CA-2016-162236"/>
    <d v="2016-11-04T00:00:00"/>
    <x v="0"/>
    <s v="Q4"/>
    <x v="0"/>
    <d v="2016-11-06T00:00:00"/>
    <s v="Second Class"/>
    <x v="45"/>
    <x v="45"/>
    <s v="Corporate"/>
    <s v="United States"/>
    <s v="Charlotte"/>
    <x v="3"/>
    <n v="28205"/>
    <x v="0"/>
    <x v="86"/>
    <x v="1"/>
    <x v="4"/>
    <x v="86"/>
    <n v="45.247999999999998"/>
    <s v="Medium"/>
    <n v="2"/>
    <n v="0.2"/>
    <x v="2"/>
    <x v="2"/>
    <n v="3.9592000000000001"/>
    <n v="8.7500000000000008E-2"/>
    <n v="0"/>
  </r>
  <r>
    <n v="7784"/>
    <s v="CA-2016-162236"/>
    <d v="2016-11-04T00:00:00"/>
    <x v="0"/>
    <s v="Q4"/>
    <x v="0"/>
    <d v="2016-11-06T00:00:00"/>
    <s v="Second Class"/>
    <x v="45"/>
    <x v="45"/>
    <s v="Corporate"/>
    <s v="United States"/>
    <s v="Charlotte"/>
    <x v="3"/>
    <n v="28205"/>
    <x v="0"/>
    <x v="277"/>
    <x v="0"/>
    <x v="3"/>
    <x v="277"/>
    <n v="876.3"/>
    <s v="High"/>
    <n v="10"/>
    <n v="0.4"/>
    <x v="1"/>
    <x v="7"/>
    <n v="-292.10000000000002"/>
    <n v="-0.33333333333333337"/>
    <n v="1"/>
  </r>
  <r>
    <n v="7785"/>
    <s v="CA-2016-162236"/>
    <d v="2016-11-04T00:00:00"/>
    <x v="0"/>
    <s v="Q4"/>
    <x v="0"/>
    <d v="2016-11-06T00:00:00"/>
    <s v="Second Class"/>
    <x v="45"/>
    <x v="45"/>
    <s v="Corporate"/>
    <s v="United States"/>
    <s v="Charlotte"/>
    <x v="3"/>
    <n v="28205"/>
    <x v="0"/>
    <x v="413"/>
    <x v="1"/>
    <x v="14"/>
    <x v="413"/>
    <n v="185.376"/>
    <s v="High"/>
    <n v="2"/>
    <n v="0.2"/>
    <x v="2"/>
    <x v="2"/>
    <n v="-34.758000000000003"/>
    <n v="-0.1875"/>
    <n v="1"/>
  </r>
  <r>
    <n v="7786"/>
    <s v="US-2014-111353"/>
    <d v="2014-11-29T00:00:00"/>
    <x v="2"/>
    <s v="Q4"/>
    <x v="7"/>
    <d v="2014-12-06T00:00:00"/>
    <s v="Standard Class"/>
    <x v="171"/>
    <x v="171"/>
    <s v="Consumer"/>
    <s v="United States"/>
    <s v="New York City"/>
    <x v="15"/>
    <n v="10009"/>
    <x v="3"/>
    <x v="49"/>
    <x v="1"/>
    <x v="2"/>
    <x v="49"/>
    <n v="25.06"/>
    <s v="Medium"/>
    <n v="2"/>
    <n v="0"/>
    <x v="0"/>
    <x v="0"/>
    <n v="11.7782"/>
    <n v="0.47000000000000003"/>
    <n v="0"/>
  </r>
  <r>
    <n v="7787"/>
    <s v="US-2016-117037"/>
    <d v="2016-05-17T00:00:00"/>
    <x v="0"/>
    <s v="Q2"/>
    <x v="35"/>
    <d v="2016-05-20T00:00:00"/>
    <s v="First Class"/>
    <x v="560"/>
    <x v="560"/>
    <s v="Consumer"/>
    <s v="United States"/>
    <s v="Chicago"/>
    <x v="10"/>
    <n v="60653"/>
    <x v="2"/>
    <x v="1784"/>
    <x v="1"/>
    <x v="8"/>
    <x v="1774"/>
    <n v="2.89"/>
    <s v="Low"/>
    <n v="1"/>
    <n v="0.8"/>
    <x v="1"/>
    <x v="3"/>
    <n v="-4.7685000000000004"/>
    <n v="-1.6500000000000001"/>
    <n v="1"/>
  </r>
  <r>
    <n v="7788"/>
    <s v="US-2016-117037"/>
    <d v="2016-05-17T00:00:00"/>
    <x v="0"/>
    <s v="Q2"/>
    <x v="35"/>
    <d v="2016-05-20T00:00:00"/>
    <s v="First Class"/>
    <x v="560"/>
    <x v="560"/>
    <s v="Consumer"/>
    <s v="United States"/>
    <s v="Chicago"/>
    <x v="10"/>
    <n v="60653"/>
    <x v="2"/>
    <x v="1321"/>
    <x v="1"/>
    <x v="13"/>
    <x v="1307"/>
    <n v="7.8959999999999999"/>
    <s v="Low"/>
    <n v="3"/>
    <n v="0.2"/>
    <x v="2"/>
    <x v="2"/>
    <n v="2.4674999999999998"/>
    <n v="0.3125"/>
    <n v="0"/>
  </r>
  <r>
    <n v="7789"/>
    <s v="US-2016-117037"/>
    <d v="2016-05-17T00:00:00"/>
    <x v="0"/>
    <s v="Q2"/>
    <x v="35"/>
    <d v="2016-05-20T00:00:00"/>
    <s v="First Class"/>
    <x v="560"/>
    <x v="560"/>
    <s v="Consumer"/>
    <s v="United States"/>
    <s v="Chicago"/>
    <x v="10"/>
    <n v="60653"/>
    <x v="2"/>
    <x v="1155"/>
    <x v="0"/>
    <x v="5"/>
    <x v="1143"/>
    <n v="22.608000000000001"/>
    <s v="Low"/>
    <n v="3"/>
    <n v="0.6"/>
    <x v="1"/>
    <x v="6"/>
    <n v="-10.1736"/>
    <n v="-0.45"/>
    <n v="1"/>
  </r>
  <r>
    <n v="7790"/>
    <s v="US-2016-117037"/>
    <d v="2016-05-17T00:00:00"/>
    <x v="0"/>
    <s v="Q2"/>
    <x v="35"/>
    <d v="2016-05-20T00:00:00"/>
    <s v="First Class"/>
    <x v="560"/>
    <x v="560"/>
    <s v="Consumer"/>
    <s v="United States"/>
    <s v="Chicago"/>
    <x v="10"/>
    <n v="60653"/>
    <x v="2"/>
    <x v="1446"/>
    <x v="1"/>
    <x v="10"/>
    <x v="1433"/>
    <n v="30.527999999999999"/>
    <s v="Medium"/>
    <n v="8"/>
    <n v="0.2"/>
    <x v="2"/>
    <x v="2"/>
    <n v="9.5399999999999991"/>
    <n v="0.3125"/>
    <n v="0"/>
  </r>
  <r>
    <n v="7791"/>
    <s v="CA-2017-160801"/>
    <d v="2017-09-19T00:00:00"/>
    <x v="3"/>
    <s v="Q3"/>
    <x v="15"/>
    <d v="2017-09-19T00:00:00"/>
    <s v="Same Day"/>
    <x v="435"/>
    <x v="435"/>
    <s v="Home Office"/>
    <s v="United States"/>
    <s v="Philadelphia"/>
    <x v="9"/>
    <n v="19120"/>
    <x v="3"/>
    <x v="636"/>
    <x v="1"/>
    <x v="8"/>
    <x v="636"/>
    <n v="4.8419999999999996"/>
    <s v="Low"/>
    <n v="3"/>
    <n v="0.7"/>
    <x v="1"/>
    <x v="5"/>
    <n v="-3.3894000000000002"/>
    <n v="-0.70000000000000007"/>
    <n v="1"/>
  </r>
  <r>
    <n v="7792"/>
    <s v="CA-2016-108364"/>
    <d v="2016-12-19T00:00:00"/>
    <x v="0"/>
    <s v="Q4"/>
    <x v="5"/>
    <d v="2016-12-24T00:00:00"/>
    <s v="Standard Class"/>
    <x v="771"/>
    <x v="771"/>
    <s v="Corporate"/>
    <s v="United States"/>
    <s v="Chicago"/>
    <x v="10"/>
    <n v="60623"/>
    <x v="2"/>
    <x v="751"/>
    <x v="1"/>
    <x v="8"/>
    <x v="749"/>
    <n v="1.8"/>
    <s v="Low"/>
    <n v="5"/>
    <n v="0.8"/>
    <x v="1"/>
    <x v="3"/>
    <n v="-2.88"/>
    <n v="-1.5999999999999999"/>
    <n v="1"/>
  </r>
  <r>
    <n v="7793"/>
    <s v="CA-2017-169362"/>
    <d v="2017-10-12T00:00:00"/>
    <x v="3"/>
    <s v="Q4"/>
    <x v="13"/>
    <d v="2017-10-15T00:00:00"/>
    <s v="First Class"/>
    <x v="133"/>
    <x v="133"/>
    <s v="Corporate"/>
    <s v="United States"/>
    <s v="Dallas"/>
    <x v="5"/>
    <n v="75217"/>
    <x v="2"/>
    <x v="606"/>
    <x v="2"/>
    <x v="11"/>
    <x v="606"/>
    <n v="39.984000000000002"/>
    <s v="Medium"/>
    <n v="2"/>
    <n v="0.2"/>
    <x v="2"/>
    <x v="2"/>
    <n v="-1.4994000000000001"/>
    <n v="-3.7499999999999999E-2"/>
    <n v="1"/>
  </r>
  <r>
    <n v="7794"/>
    <s v="CA-2015-127481"/>
    <d v="2015-12-12T00:00:00"/>
    <x v="1"/>
    <s v="Q4"/>
    <x v="14"/>
    <d v="2015-12-15T00:00:00"/>
    <s v="Second Class"/>
    <x v="63"/>
    <x v="63"/>
    <s v="Corporate"/>
    <s v="United States"/>
    <s v="Las Vegas"/>
    <x v="33"/>
    <n v="89115"/>
    <x v="1"/>
    <x v="329"/>
    <x v="1"/>
    <x v="10"/>
    <x v="329"/>
    <n v="32.4"/>
    <s v="Medium"/>
    <n v="5"/>
    <n v="0"/>
    <x v="0"/>
    <x v="0"/>
    <n v="15.875999999999999"/>
    <n v="0.49"/>
    <n v="0"/>
  </r>
  <r>
    <n v="7795"/>
    <s v="CA-2015-127481"/>
    <d v="2015-12-12T00:00:00"/>
    <x v="1"/>
    <s v="Q4"/>
    <x v="14"/>
    <d v="2015-12-15T00:00:00"/>
    <s v="Second Class"/>
    <x v="63"/>
    <x v="63"/>
    <s v="Corporate"/>
    <s v="United States"/>
    <s v="Las Vegas"/>
    <x v="33"/>
    <n v="89115"/>
    <x v="1"/>
    <x v="126"/>
    <x v="1"/>
    <x v="10"/>
    <x v="127"/>
    <n v="97.88"/>
    <s v="Medium"/>
    <n v="2"/>
    <n v="0"/>
    <x v="0"/>
    <x v="0"/>
    <n v="48.94"/>
    <n v="0.5"/>
    <n v="0"/>
  </r>
  <r>
    <n v="7796"/>
    <s v="CA-2015-112711"/>
    <d v="2015-07-12T00:00:00"/>
    <x v="1"/>
    <s v="Q3"/>
    <x v="38"/>
    <d v="2015-07-18T00:00:00"/>
    <s v="Standard Class"/>
    <x v="248"/>
    <x v="248"/>
    <s v="Consumer"/>
    <s v="United States"/>
    <s v="Amarillo"/>
    <x v="5"/>
    <n v="79109"/>
    <x v="2"/>
    <x v="1485"/>
    <x v="2"/>
    <x v="7"/>
    <x v="1472"/>
    <n v="307.16800000000001"/>
    <s v="High"/>
    <n v="4"/>
    <n v="0.2"/>
    <x v="2"/>
    <x v="2"/>
    <n v="30.716799999999999"/>
    <n v="9.9999999999999992E-2"/>
    <n v="0"/>
  </r>
  <r>
    <n v="7797"/>
    <s v="US-2015-145121"/>
    <d v="2015-10-02T00:00:00"/>
    <x v="1"/>
    <s v="Q4"/>
    <x v="2"/>
    <d v="2015-10-06T00:00:00"/>
    <s v="Standard Class"/>
    <x v="172"/>
    <x v="172"/>
    <s v="Corporate"/>
    <s v="United States"/>
    <s v="Middletown"/>
    <x v="29"/>
    <n v="6457"/>
    <x v="3"/>
    <x v="61"/>
    <x v="1"/>
    <x v="8"/>
    <x v="61"/>
    <n v="26.9"/>
    <s v="Medium"/>
    <n v="5"/>
    <n v="0"/>
    <x v="0"/>
    <x v="0"/>
    <n v="13.180999999999999"/>
    <n v="0.49"/>
    <n v="0"/>
  </r>
  <r>
    <n v="7798"/>
    <s v="CA-2017-166184"/>
    <d v="2017-03-24T00:00:00"/>
    <x v="3"/>
    <s v="Q1"/>
    <x v="42"/>
    <d v="2017-03-27T00:00:00"/>
    <s v="First Class"/>
    <x v="403"/>
    <x v="403"/>
    <s v="Corporate"/>
    <s v="United States"/>
    <s v="New York City"/>
    <x v="15"/>
    <n v="10035"/>
    <x v="3"/>
    <x v="1358"/>
    <x v="1"/>
    <x v="12"/>
    <x v="1344"/>
    <n v="47.01"/>
    <s v="Medium"/>
    <n v="3"/>
    <n v="0"/>
    <x v="0"/>
    <x v="0"/>
    <n v="22.0947"/>
    <n v="0.47000000000000003"/>
    <n v="0"/>
  </r>
  <r>
    <n v="7799"/>
    <s v="CA-2017-166184"/>
    <d v="2017-03-24T00:00:00"/>
    <x v="3"/>
    <s v="Q1"/>
    <x v="42"/>
    <d v="2017-03-27T00:00:00"/>
    <s v="First Class"/>
    <x v="403"/>
    <x v="403"/>
    <s v="Corporate"/>
    <s v="United States"/>
    <s v="New York City"/>
    <x v="15"/>
    <n v="10035"/>
    <x v="3"/>
    <x v="1147"/>
    <x v="2"/>
    <x v="7"/>
    <x v="1135"/>
    <n v="469.99"/>
    <s v="High"/>
    <n v="1"/>
    <n v="0"/>
    <x v="0"/>
    <x v="0"/>
    <n v="136.2971"/>
    <n v="0.28999999999999998"/>
    <n v="0"/>
  </r>
  <r>
    <n v="7800"/>
    <s v="CA-2017-166184"/>
    <d v="2017-03-24T00:00:00"/>
    <x v="3"/>
    <s v="Q1"/>
    <x v="42"/>
    <d v="2017-03-27T00:00:00"/>
    <s v="First Class"/>
    <x v="403"/>
    <x v="403"/>
    <s v="Corporate"/>
    <s v="United States"/>
    <s v="New York City"/>
    <x v="15"/>
    <n v="10035"/>
    <x v="3"/>
    <x v="389"/>
    <x v="0"/>
    <x v="1"/>
    <x v="390"/>
    <n v="207.846"/>
    <s v="High"/>
    <n v="3"/>
    <n v="0.1"/>
    <x v="3"/>
    <x v="8"/>
    <n v="2.3094000000000001"/>
    <n v="1.1111111111111112E-2"/>
    <n v="0"/>
  </r>
  <r>
    <n v="7801"/>
    <s v="CA-2017-157413"/>
    <d v="2017-06-01T00:00:00"/>
    <x v="3"/>
    <s v="Q2"/>
    <x v="27"/>
    <d v="2017-06-06T00:00:00"/>
    <s v="Standard Class"/>
    <x v="768"/>
    <x v="768"/>
    <s v="Consumer"/>
    <s v="United States"/>
    <s v="Philadelphia"/>
    <x v="9"/>
    <n v="19120"/>
    <x v="3"/>
    <x v="273"/>
    <x v="1"/>
    <x v="4"/>
    <x v="273"/>
    <n v="324.74400000000003"/>
    <s v="High"/>
    <n v="3"/>
    <n v="0.2"/>
    <x v="2"/>
    <x v="2"/>
    <n v="-77.1267"/>
    <n v="-0.23749999999999999"/>
    <n v="1"/>
  </r>
  <r>
    <n v="7802"/>
    <s v="CA-2014-143637"/>
    <d v="2014-03-24T00:00:00"/>
    <x v="2"/>
    <s v="Q1"/>
    <x v="34"/>
    <d v="2014-03-29T00:00:00"/>
    <s v="Second Class"/>
    <x v="384"/>
    <x v="384"/>
    <s v="Consumer"/>
    <s v="United States"/>
    <s v="Fresno"/>
    <x v="1"/>
    <n v="93727"/>
    <x v="1"/>
    <x v="1702"/>
    <x v="0"/>
    <x v="5"/>
    <x v="1691"/>
    <n v="40.479999999999997"/>
    <s v="Medium"/>
    <n v="2"/>
    <n v="0"/>
    <x v="0"/>
    <x v="0"/>
    <n v="14.572800000000001"/>
    <n v="0.36000000000000004"/>
    <n v="0"/>
  </r>
  <r>
    <n v="7803"/>
    <s v="CA-2015-102260"/>
    <d v="2015-09-22T00:00:00"/>
    <x v="1"/>
    <s v="Q3"/>
    <x v="11"/>
    <d v="2015-09-26T00:00:00"/>
    <s v="Standard Class"/>
    <x v="319"/>
    <x v="319"/>
    <s v="Home Office"/>
    <s v="United States"/>
    <s v="Franklin"/>
    <x v="18"/>
    <n v="37064"/>
    <x v="0"/>
    <x v="1171"/>
    <x v="1"/>
    <x v="2"/>
    <x v="1157"/>
    <n v="12"/>
    <s v="Low"/>
    <n v="4"/>
    <n v="0.2"/>
    <x v="2"/>
    <x v="2"/>
    <n v="4.2"/>
    <n v="0.35000000000000003"/>
    <n v="0"/>
  </r>
  <r>
    <n v="7804"/>
    <s v="CA-2015-102260"/>
    <d v="2015-09-22T00:00:00"/>
    <x v="1"/>
    <s v="Q3"/>
    <x v="11"/>
    <d v="2015-09-26T00:00:00"/>
    <s v="Standard Class"/>
    <x v="319"/>
    <x v="319"/>
    <s v="Home Office"/>
    <s v="United States"/>
    <s v="Franklin"/>
    <x v="18"/>
    <n v="37064"/>
    <x v="0"/>
    <x v="906"/>
    <x v="1"/>
    <x v="4"/>
    <x v="898"/>
    <n v="720.06399999999996"/>
    <s v="High"/>
    <n v="4"/>
    <n v="0.2"/>
    <x v="2"/>
    <x v="2"/>
    <n v="-63.005600000000001"/>
    <n v="-8.7500000000000008E-2"/>
    <n v="1"/>
  </r>
  <r>
    <n v="7805"/>
    <s v="CA-2015-102260"/>
    <d v="2015-09-22T00:00:00"/>
    <x v="1"/>
    <s v="Q3"/>
    <x v="11"/>
    <d v="2015-09-26T00:00:00"/>
    <s v="Standard Class"/>
    <x v="319"/>
    <x v="319"/>
    <s v="Home Office"/>
    <s v="United States"/>
    <s v="Franklin"/>
    <x v="18"/>
    <n v="37064"/>
    <x v="0"/>
    <x v="967"/>
    <x v="1"/>
    <x v="4"/>
    <x v="960"/>
    <n v="25.423999999999999"/>
    <s v="Medium"/>
    <n v="1"/>
    <n v="0.2"/>
    <x v="2"/>
    <x v="2"/>
    <n v="-4.7670000000000003"/>
    <n v="-0.18750000000000003"/>
    <n v="1"/>
  </r>
  <r>
    <n v="7806"/>
    <s v="CA-2015-102260"/>
    <d v="2015-09-22T00:00:00"/>
    <x v="1"/>
    <s v="Q3"/>
    <x v="11"/>
    <d v="2015-09-26T00:00:00"/>
    <s v="Standard Class"/>
    <x v="319"/>
    <x v="319"/>
    <s v="Home Office"/>
    <s v="United States"/>
    <s v="Franklin"/>
    <x v="18"/>
    <n v="37064"/>
    <x v="0"/>
    <x v="1039"/>
    <x v="1"/>
    <x v="6"/>
    <x v="1029"/>
    <n v="2.8159999999999998"/>
    <s v="Low"/>
    <n v="2"/>
    <n v="0.2"/>
    <x v="2"/>
    <x v="2"/>
    <n v="0.31680000000000003"/>
    <n v="0.11250000000000002"/>
    <n v="0"/>
  </r>
  <r>
    <n v="7807"/>
    <s v="CA-2015-102260"/>
    <d v="2015-09-22T00:00:00"/>
    <x v="1"/>
    <s v="Q3"/>
    <x v="11"/>
    <d v="2015-09-26T00:00:00"/>
    <s v="Standard Class"/>
    <x v="319"/>
    <x v="319"/>
    <s v="Home Office"/>
    <s v="United States"/>
    <s v="Franklin"/>
    <x v="18"/>
    <n v="37064"/>
    <x v="0"/>
    <x v="961"/>
    <x v="1"/>
    <x v="8"/>
    <x v="954"/>
    <n v="3.2040000000000002"/>
    <s v="Low"/>
    <n v="2"/>
    <n v="0.7"/>
    <x v="1"/>
    <x v="5"/>
    <n v="-2.5632000000000001"/>
    <n v="-0.8"/>
    <n v="1"/>
  </r>
  <r>
    <n v="7808"/>
    <s v="US-2016-137295"/>
    <d v="2016-01-08T00:00:00"/>
    <x v="0"/>
    <s v="Q1"/>
    <x v="12"/>
    <d v="2016-01-13T00:00:00"/>
    <s v="Standard Class"/>
    <x v="745"/>
    <x v="745"/>
    <s v="Consumer"/>
    <s v="United States"/>
    <s v="Raleigh"/>
    <x v="3"/>
    <n v="27604"/>
    <x v="0"/>
    <x v="908"/>
    <x v="1"/>
    <x v="8"/>
    <x v="900"/>
    <n v="30.827999999999999"/>
    <s v="Medium"/>
    <n v="7"/>
    <n v="0.7"/>
    <x v="1"/>
    <x v="5"/>
    <n v="-24.662400000000002"/>
    <n v="-0.8"/>
    <n v="1"/>
  </r>
  <r>
    <n v="7809"/>
    <s v="US-2016-137295"/>
    <d v="2016-01-08T00:00:00"/>
    <x v="0"/>
    <s v="Q1"/>
    <x v="12"/>
    <d v="2016-01-13T00:00:00"/>
    <s v="Standard Class"/>
    <x v="745"/>
    <x v="745"/>
    <s v="Consumer"/>
    <s v="United States"/>
    <s v="Raleigh"/>
    <x v="3"/>
    <n v="27604"/>
    <x v="0"/>
    <x v="1041"/>
    <x v="1"/>
    <x v="6"/>
    <x v="1030"/>
    <n v="47.616"/>
    <s v="Medium"/>
    <n v="3"/>
    <n v="0.2"/>
    <x v="2"/>
    <x v="2"/>
    <n v="5.952"/>
    <n v="0.125"/>
    <n v="0"/>
  </r>
  <r>
    <n v="7810"/>
    <s v="US-2016-137295"/>
    <d v="2016-01-08T00:00:00"/>
    <x v="0"/>
    <s v="Q1"/>
    <x v="12"/>
    <d v="2016-01-13T00:00:00"/>
    <s v="Standard Class"/>
    <x v="745"/>
    <x v="745"/>
    <s v="Consumer"/>
    <s v="United States"/>
    <s v="Raleigh"/>
    <x v="3"/>
    <n v="27604"/>
    <x v="0"/>
    <x v="1787"/>
    <x v="2"/>
    <x v="7"/>
    <x v="1777"/>
    <n v="108.78400000000001"/>
    <s v="Medium"/>
    <n v="2"/>
    <n v="0.2"/>
    <x v="2"/>
    <x v="2"/>
    <n v="10.878399999999999"/>
    <n v="9.9999999999999992E-2"/>
    <n v="0"/>
  </r>
  <r>
    <n v="7811"/>
    <s v="CA-2016-134334"/>
    <d v="2016-02-14T00:00:00"/>
    <x v="0"/>
    <s v="Q1"/>
    <x v="47"/>
    <d v="2016-02-15T00:00:00"/>
    <s v="First Class"/>
    <x v="54"/>
    <x v="54"/>
    <s v="Consumer"/>
    <s v="United States"/>
    <s v="Clinton"/>
    <x v="39"/>
    <n v="20735"/>
    <x v="3"/>
    <x v="1446"/>
    <x v="1"/>
    <x v="10"/>
    <x v="1433"/>
    <n v="4.7699999999999996"/>
    <s v="Low"/>
    <n v="1"/>
    <n v="0"/>
    <x v="0"/>
    <x v="0"/>
    <n v="2.1465000000000001"/>
    <n v="0.45000000000000007"/>
    <n v="0"/>
  </r>
  <r>
    <n v="7812"/>
    <s v="CA-2016-134334"/>
    <d v="2016-02-14T00:00:00"/>
    <x v="0"/>
    <s v="Q1"/>
    <x v="47"/>
    <d v="2016-02-15T00:00:00"/>
    <s v="First Class"/>
    <x v="54"/>
    <x v="54"/>
    <s v="Consumer"/>
    <s v="United States"/>
    <s v="Clinton"/>
    <x v="39"/>
    <n v="20735"/>
    <x v="3"/>
    <x v="1596"/>
    <x v="1"/>
    <x v="6"/>
    <x v="1588"/>
    <n v="7.98"/>
    <s v="Low"/>
    <n v="3"/>
    <n v="0"/>
    <x v="0"/>
    <x v="0"/>
    <n v="2.0748000000000002"/>
    <n v="0.26"/>
    <n v="0"/>
  </r>
  <r>
    <n v="7813"/>
    <s v="CA-2016-134334"/>
    <d v="2016-02-14T00:00:00"/>
    <x v="0"/>
    <s v="Q1"/>
    <x v="47"/>
    <d v="2016-02-15T00:00:00"/>
    <s v="First Class"/>
    <x v="54"/>
    <x v="54"/>
    <s v="Consumer"/>
    <s v="United States"/>
    <s v="Clinton"/>
    <x v="39"/>
    <n v="20735"/>
    <x v="3"/>
    <x v="736"/>
    <x v="0"/>
    <x v="3"/>
    <x v="735"/>
    <n v="550.43100000000004"/>
    <s v="High"/>
    <n v="3"/>
    <n v="0.3"/>
    <x v="1"/>
    <x v="4"/>
    <n v="-47.1798"/>
    <n v="-8.5714285714285715E-2"/>
    <n v="1"/>
  </r>
  <r>
    <n v="7814"/>
    <s v="CA-2016-134334"/>
    <d v="2016-02-14T00:00:00"/>
    <x v="0"/>
    <s v="Q1"/>
    <x v="47"/>
    <d v="2016-02-15T00:00:00"/>
    <s v="First Class"/>
    <x v="54"/>
    <x v="54"/>
    <s v="Consumer"/>
    <s v="United States"/>
    <s v="Clinton"/>
    <x v="39"/>
    <n v="20735"/>
    <x v="3"/>
    <x v="247"/>
    <x v="0"/>
    <x v="5"/>
    <x v="248"/>
    <n v="10.56"/>
    <s v="Low"/>
    <n v="6"/>
    <n v="0"/>
    <x v="0"/>
    <x v="0"/>
    <n v="4.6463999999999999"/>
    <n v="0.43999999999999995"/>
    <n v="0"/>
  </r>
  <r>
    <n v="7815"/>
    <s v="US-2017-109316"/>
    <d v="2017-06-08T00:00:00"/>
    <x v="3"/>
    <s v="Q2"/>
    <x v="27"/>
    <d v="2017-06-10T00:00:00"/>
    <s v="First Class"/>
    <x v="67"/>
    <x v="67"/>
    <s v="Home Office"/>
    <s v="United States"/>
    <s v="Los Angeles"/>
    <x v="1"/>
    <n v="90049"/>
    <x v="1"/>
    <x v="26"/>
    <x v="0"/>
    <x v="0"/>
    <x v="26"/>
    <n v="1497.6659999999999"/>
    <s v="High"/>
    <n v="2"/>
    <n v="0.15"/>
    <x v="2"/>
    <x v="2"/>
    <n v="140.95679999999999"/>
    <n v="9.4117647058823528E-2"/>
    <n v="0"/>
  </r>
  <r>
    <n v="7816"/>
    <s v="US-2017-109316"/>
    <d v="2017-06-08T00:00:00"/>
    <x v="3"/>
    <s v="Q2"/>
    <x v="27"/>
    <d v="2017-06-10T00:00:00"/>
    <s v="First Class"/>
    <x v="67"/>
    <x v="67"/>
    <s v="Home Office"/>
    <s v="United States"/>
    <s v="Los Angeles"/>
    <x v="1"/>
    <n v="90049"/>
    <x v="1"/>
    <x v="850"/>
    <x v="2"/>
    <x v="7"/>
    <x v="843"/>
    <n v="17.52"/>
    <s v="Low"/>
    <n v="2"/>
    <n v="0.2"/>
    <x v="2"/>
    <x v="2"/>
    <n v="-3.504"/>
    <n v="-0.2"/>
    <n v="1"/>
  </r>
  <r>
    <n v="7817"/>
    <s v="CA-2016-138478"/>
    <d v="2016-10-21T00:00:00"/>
    <x v="0"/>
    <s v="Q4"/>
    <x v="32"/>
    <d v="2016-10-26T00:00:00"/>
    <s v="Second Class"/>
    <x v="503"/>
    <x v="503"/>
    <s v="Home Office"/>
    <s v="United States"/>
    <s v="North Las Vegas"/>
    <x v="33"/>
    <n v="89031"/>
    <x v="1"/>
    <x v="978"/>
    <x v="1"/>
    <x v="6"/>
    <x v="971"/>
    <n v="113.22"/>
    <s v="Medium"/>
    <n v="3"/>
    <n v="0"/>
    <x v="0"/>
    <x v="0"/>
    <n v="29.437200000000001"/>
    <n v="0.26"/>
    <n v="0"/>
  </r>
  <r>
    <n v="7818"/>
    <s v="CA-2016-138478"/>
    <d v="2016-10-21T00:00:00"/>
    <x v="0"/>
    <s v="Q4"/>
    <x v="32"/>
    <d v="2016-10-26T00:00:00"/>
    <s v="Second Class"/>
    <x v="503"/>
    <x v="503"/>
    <s v="Home Office"/>
    <s v="United States"/>
    <s v="North Las Vegas"/>
    <x v="33"/>
    <n v="89031"/>
    <x v="1"/>
    <x v="1776"/>
    <x v="1"/>
    <x v="10"/>
    <x v="1766"/>
    <n v="35.880000000000003"/>
    <s v="Medium"/>
    <n v="6"/>
    <n v="0"/>
    <x v="0"/>
    <x v="0"/>
    <n v="17.581199999999999"/>
    <n v="0.48999999999999994"/>
    <n v="0"/>
  </r>
  <r>
    <n v="7819"/>
    <s v="CA-2016-138478"/>
    <d v="2016-10-21T00:00:00"/>
    <x v="0"/>
    <s v="Q4"/>
    <x v="32"/>
    <d v="2016-10-26T00:00:00"/>
    <s v="Second Class"/>
    <x v="503"/>
    <x v="503"/>
    <s v="Home Office"/>
    <s v="United States"/>
    <s v="North Las Vegas"/>
    <x v="33"/>
    <n v="89031"/>
    <x v="1"/>
    <x v="1625"/>
    <x v="1"/>
    <x v="8"/>
    <x v="1615"/>
    <n v="4535.9759999999997"/>
    <s v="High"/>
    <n v="3"/>
    <n v="0.2"/>
    <x v="2"/>
    <x v="2"/>
    <n v="1644.2913000000001"/>
    <n v="0.36250000000000004"/>
    <n v="0"/>
  </r>
  <r>
    <n v="7820"/>
    <s v="CA-2017-150469"/>
    <d v="2017-01-26T00:00:00"/>
    <x v="3"/>
    <s v="Q1"/>
    <x v="44"/>
    <d v="2017-01-30T00:00:00"/>
    <s v="Standard Class"/>
    <x v="170"/>
    <x v="170"/>
    <s v="Consumer"/>
    <s v="United States"/>
    <s v="San Francisco"/>
    <x v="1"/>
    <n v="94109"/>
    <x v="1"/>
    <x v="1084"/>
    <x v="1"/>
    <x v="13"/>
    <x v="1074"/>
    <n v="11.84"/>
    <s v="Low"/>
    <n v="8"/>
    <n v="0"/>
    <x v="0"/>
    <x v="0"/>
    <n v="5.6832000000000003"/>
    <n v="0.48000000000000004"/>
    <n v="0"/>
  </r>
  <r>
    <n v="7821"/>
    <s v="CA-2017-152436"/>
    <d v="2017-12-08T00:00:00"/>
    <x v="3"/>
    <s v="Q4"/>
    <x v="22"/>
    <d v="2017-12-10T00:00:00"/>
    <s v="Second Class"/>
    <x v="194"/>
    <x v="194"/>
    <s v="Home Office"/>
    <s v="United States"/>
    <s v="Cranston"/>
    <x v="34"/>
    <n v="2920"/>
    <x v="3"/>
    <x v="595"/>
    <x v="1"/>
    <x v="4"/>
    <x v="595"/>
    <n v="592.74"/>
    <s v="High"/>
    <n v="6"/>
    <n v="0"/>
    <x v="0"/>
    <x v="0"/>
    <n v="160.03980000000001"/>
    <n v="0.27"/>
    <n v="0"/>
  </r>
  <r>
    <n v="7822"/>
    <s v="CA-2016-169334"/>
    <d v="2016-10-21T00:00:00"/>
    <x v="0"/>
    <s v="Q4"/>
    <x v="32"/>
    <d v="2016-10-24T00:00:00"/>
    <s v="Second Class"/>
    <x v="543"/>
    <x v="543"/>
    <s v="Consumer"/>
    <s v="United States"/>
    <s v="Jackson"/>
    <x v="18"/>
    <n v="38301"/>
    <x v="0"/>
    <x v="1018"/>
    <x v="1"/>
    <x v="4"/>
    <x v="1519"/>
    <n v="111.672"/>
    <s v="Medium"/>
    <n v="9"/>
    <n v="0.2"/>
    <x v="2"/>
    <x v="2"/>
    <n v="6.9794999999999998"/>
    <n v="6.25E-2"/>
    <n v="0"/>
  </r>
  <r>
    <n v="7823"/>
    <s v="US-2014-115413"/>
    <d v="2014-08-26T00:00:00"/>
    <x v="2"/>
    <s v="Q3"/>
    <x v="9"/>
    <d v="2014-09-01T00:00:00"/>
    <s v="Standard Class"/>
    <x v="452"/>
    <x v="452"/>
    <s v="Home Office"/>
    <s v="United States"/>
    <s v="Newark"/>
    <x v="13"/>
    <n v="19711"/>
    <x v="3"/>
    <x v="1007"/>
    <x v="1"/>
    <x v="6"/>
    <x v="999"/>
    <n v="8.64"/>
    <s v="Low"/>
    <n v="3"/>
    <n v="0"/>
    <x v="0"/>
    <x v="0"/>
    <n v="2.5055999999999998"/>
    <n v="0.28999999999999998"/>
    <n v="0"/>
  </r>
  <r>
    <n v="7824"/>
    <s v="US-2014-115413"/>
    <d v="2014-08-26T00:00:00"/>
    <x v="2"/>
    <s v="Q3"/>
    <x v="9"/>
    <d v="2014-09-01T00:00:00"/>
    <s v="Standard Class"/>
    <x v="452"/>
    <x v="452"/>
    <s v="Home Office"/>
    <s v="United States"/>
    <s v="Newark"/>
    <x v="13"/>
    <n v="19711"/>
    <x v="3"/>
    <x v="1233"/>
    <x v="2"/>
    <x v="11"/>
    <x v="1216"/>
    <n v="149.97"/>
    <s v="High"/>
    <n v="3"/>
    <n v="0"/>
    <x v="0"/>
    <x v="0"/>
    <n v="52.4895"/>
    <n v="0.35"/>
    <n v="0"/>
  </r>
  <r>
    <n v="7825"/>
    <s v="CA-2014-125150"/>
    <d v="2014-05-16T00:00:00"/>
    <x v="2"/>
    <s v="Q2"/>
    <x v="8"/>
    <d v="2014-05-23T00:00:00"/>
    <s v="Standard Class"/>
    <x v="463"/>
    <x v="463"/>
    <s v="Corporate"/>
    <s v="United States"/>
    <s v="Los Angeles"/>
    <x v="1"/>
    <n v="90036"/>
    <x v="1"/>
    <x v="1340"/>
    <x v="0"/>
    <x v="1"/>
    <x v="1325"/>
    <n v="232.88"/>
    <s v="High"/>
    <n v="5"/>
    <n v="0.2"/>
    <x v="2"/>
    <x v="2"/>
    <n v="17.466000000000001"/>
    <n v="7.5000000000000011E-2"/>
    <n v="0"/>
  </r>
  <r>
    <n v="7826"/>
    <s v="CA-2015-127327"/>
    <d v="2015-02-03T00:00:00"/>
    <x v="1"/>
    <s v="Q1"/>
    <x v="36"/>
    <d v="2015-02-07T00:00:00"/>
    <s v="Standard Class"/>
    <x v="463"/>
    <x v="463"/>
    <s v="Corporate"/>
    <s v="United States"/>
    <s v="Rome"/>
    <x v="15"/>
    <n v="13440"/>
    <x v="3"/>
    <x v="38"/>
    <x v="0"/>
    <x v="1"/>
    <x v="38"/>
    <n v="90.882000000000005"/>
    <s v="Medium"/>
    <n v="1"/>
    <n v="0.1"/>
    <x v="3"/>
    <x v="8"/>
    <n v="15.147"/>
    <n v="0.16666666666666666"/>
    <n v="0"/>
  </r>
  <r>
    <n v="7827"/>
    <s v="CA-2017-117114"/>
    <d v="2017-10-31T00:00:00"/>
    <x v="3"/>
    <s v="Q4"/>
    <x v="13"/>
    <d v="2017-11-05T00:00:00"/>
    <s v="Standard Class"/>
    <x v="388"/>
    <x v="388"/>
    <s v="Corporate"/>
    <s v="United States"/>
    <s v="Chicago"/>
    <x v="10"/>
    <n v="60610"/>
    <x v="2"/>
    <x v="559"/>
    <x v="2"/>
    <x v="7"/>
    <x v="558"/>
    <n v="508.76799999999997"/>
    <s v="High"/>
    <n v="4"/>
    <n v="0.2"/>
    <x v="2"/>
    <x v="2"/>
    <n v="38.157600000000002"/>
    <n v="7.5000000000000011E-2"/>
    <n v="0"/>
  </r>
  <r>
    <n v="7828"/>
    <s v="CA-2017-117114"/>
    <d v="2017-10-31T00:00:00"/>
    <x v="3"/>
    <s v="Q4"/>
    <x v="13"/>
    <d v="2017-11-05T00:00:00"/>
    <s v="Standard Class"/>
    <x v="388"/>
    <x v="388"/>
    <s v="Corporate"/>
    <s v="United States"/>
    <s v="Chicago"/>
    <x v="10"/>
    <n v="60610"/>
    <x v="2"/>
    <x v="318"/>
    <x v="1"/>
    <x v="12"/>
    <x v="318"/>
    <n v="9.9120000000000008"/>
    <s v="Low"/>
    <n v="3"/>
    <n v="0.2"/>
    <x v="2"/>
    <x v="2"/>
    <n v="3.2214"/>
    <n v="0.32499999999999996"/>
    <n v="0"/>
  </r>
  <r>
    <n v="7829"/>
    <s v="CA-2015-137302"/>
    <d v="2015-04-26T00:00:00"/>
    <x v="1"/>
    <s v="Q2"/>
    <x v="19"/>
    <d v="2015-05-01T00:00:00"/>
    <s v="Standard Class"/>
    <x v="308"/>
    <x v="308"/>
    <s v="Corporate"/>
    <s v="United States"/>
    <s v="San Diego"/>
    <x v="1"/>
    <n v="92105"/>
    <x v="1"/>
    <x v="1391"/>
    <x v="0"/>
    <x v="1"/>
    <x v="1377"/>
    <n v="63.936"/>
    <s v="Medium"/>
    <n v="3"/>
    <n v="0.2"/>
    <x v="2"/>
    <x v="2"/>
    <n v="6.3936000000000002"/>
    <n v="0.1"/>
    <n v="0"/>
  </r>
  <r>
    <n v="7830"/>
    <s v="CA-2015-137302"/>
    <d v="2015-04-26T00:00:00"/>
    <x v="1"/>
    <s v="Q2"/>
    <x v="19"/>
    <d v="2015-05-01T00:00:00"/>
    <s v="Standard Class"/>
    <x v="308"/>
    <x v="308"/>
    <s v="Corporate"/>
    <s v="United States"/>
    <s v="San Diego"/>
    <x v="1"/>
    <n v="92105"/>
    <x v="1"/>
    <x v="397"/>
    <x v="1"/>
    <x v="6"/>
    <x v="398"/>
    <n v="59.52"/>
    <s v="Medium"/>
    <n v="3"/>
    <n v="0"/>
    <x v="0"/>
    <x v="0"/>
    <n v="15.475199999999999"/>
    <n v="0.25999999999999995"/>
    <n v="0"/>
  </r>
  <r>
    <n v="7831"/>
    <s v="CA-2015-137302"/>
    <d v="2015-04-26T00:00:00"/>
    <x v="1"/>
    <s v="Q2"/>
    <x v="19"/>
    <d v="2015-05-01T00:00:00"/>
    <s v="Standard Class"/>
    <x v="308"/>
    <x v="308"/>
    <s v="Corporate"/>
    <s v="United States"/>
    <s v="San Diego"/>
    <x v="1"/>
    <n v="92105"/>
    <x v="1"/>
    <x v="1765"/>
    <x v="2"/>
    <x v="7"/>
    <x v="1754"/>
    <n v="311.976"/>
    <s v="High"/>
    <n v="3"/>
    <n v="0.2"/>
    <x v="2"/>
    <x v="2"/>
    <n v="38.997"/>
    <n v="0.125"/>
    <n v="0"/>
  </r>
  <r>
    <n v="7832"/>
    <s v="CA-2015-137302"/>
    <d v="2015-04-26T00:00:00"/>
    <x v="1"/>
    <s v="Q2"/>
    <x v="19"/>
    <d v="2015-05-01T00:00:00"/>
    <s v="Standard Class"/>
    <x v="308"/>
    <x v="308"/>
    <s v="Corporate"/>
    <s v="United States"/>
    <s v="San Diego"/>
    <x v="1"/>
    <n v="92105"/>
    <x v="1"/>
    <x v="301"/>
    <x v="1"/>
    <x v="8"/>
    <x v="301"/>
    <n v="50.351999999999997"/>
    <s v="Medium"/>
    <n v="3"/>
    <n v="0.2"/>
    <x v="2"/>
    <x v="2"/>
    <n v="17.623200000000001"/>
    <n v="0.35000000000000003"/>
    <n v="0"/>
  </r>
  <r>
    <n v="7833"/>
    <s v="CA-2016-112382"/>
    <d v="2016-05-09T00:00:00"/>
    <x v="0"/>
    <s v="Q2"/>
    <x v="35"/>
    <d v="2016-05-13T00:00:00"/>
    <s v="Standard Class"/>
    <x v="469"/>
    <x v="469"/>
    <s v="Consumer"/>
    <s v="United States"/>
    <s v="Houston"/>
    <x v="5"/>
    <n v="77036"/>
    <x v="2"/>
    <x v="179"/>
    <x v="2"/>
    <x v="7"/>
    <x v="180"/>
    <n v="19.135999999999999"/>
    <s v="Low"/>
    <n v="2"/>
    <n v="0.2"/>
    <x v="2"/>
    <x v="2"/>
    <n v="1.9136"/>
    <n v="0.1"/>
    <n v="0"/>
  </r>
  <r>
    <n v="7834"/>
    <s v="CA-2015-128958"/>
    <d v="2015-01-24T00:00:00"/>
    <x v="1"/>
    <s v="Q1"/>
    <x v="26"/>
    <d v="2015-01-28T00:00:00"/>
    <s v="Standard Class"/>
    <x v="736"/>
    <x v="736"/>
    <s v="Home Office"/>
    <s v="United States"/>
    <s v="West Palm Beach"/>
    <x v="2"/>
    <n v="33407"/>
    <x v="0"/>
    <x v="346"/>
    <x v="1"/>
    <x v="6"/>
    <x v="346"/>
    <n v="13.12"/>
    <s v="Low"/>
    <n v="5"/>
    <n v="0.2"/>
    <x v="2"/>
    <x v="2"/>
    <n v="2.1320000000000001"/>
    <n v="0.16250000000000001"/>
    <n v="0"/>
  </r>
  <r>
    <n v="7835"/>
    <s v="CA-2015-106257"/>
    <d v="2015-04-13T00:00:00"/>
    <x v="1"/>
    <s v="Q2"/>
    <x v="19"/>
    <d v="2015-04-17T00:00:00"/>
    <s v="Second Class"/>
    <x v="686"/>
    <x v="686"/>
    <s v="Consumer"/>
    <s v="United States"/>
    <s v="Los Angeles"/>
    <x v="1"/>
    <n v="90045"/>
    <x v="1"/>
    <x v="1000"/>
    <x v="0"/>
    <x v="3"/>
    <x v="992"/>
    <n v="241.56800000000001"/>
    <s v="High"/>
    <n v="2"/>
    <n v="0.2"/>
    <x v="2"/>
    <x v="2"/>
    <n v="-15.098000000000001"/>
    <n v="-6.25E-2"/>
    <n v="1"/>
  </r>
  <r>
    <n v="7836"/>
    <s v="CA-2015-106257"/>
    <d v="2015-04-13T00:00:00"/>
    <x v="1"/>
    <s v="Q2"/>
    <x v="19"/>
    <d v="2015-04-17T00:00:00"/>
    <s v="Second Class"/>
    <x v="686"/>
    <x v="686"/>
    <s v="Consumer"/>
    <s v="United States"/>
    <s v="Los Angeles"/>
    <x v="1"/>
    <n v="90045"/>
    <x v="1"/>
    <x v="716"/>
    <x v="2"/>
    <x v="7"/>
    <x v="715"/>
    <n v="479.92"/>
    <s v="High"/>
    <n v="2"/>
    <n v="0.2"/>
    <x v="2"/>
    <x v="2"/>
    <n v="41.993000000000002"/>
    <n v="8.7500000000000008E-2"/>
    <n v="0"/>
  </r>
  <r>
    <n v="7837"/>
    <s v="CA-2015-149083"/>
    <d v="2015-09-25T00:00:00"/>
    <x v="1"/>
    <s v="Q3"/>
    <x v="11"/>
    <d v="2015-09-30T00:00:00"/>
    <s v="Standard Class"/>
    <x v="64"/>
    <x v="64"/>
    <s v="Corporate"/>
    <s v="United States"/>
    <s v="Seattle"/>
    <x v="4"/>
    <n v="98103"/>
    <x v="1"/>
    <x v="992"/>
    <x v="0"/>
    <x v="1"/>
    <x v="984"/>
    <n v="307.13600000000002"/>
    <s v="High"/>
    <n v="4"/>
    <n v="0.2"/>
    <x v="2"/>
    <x v="2"/>
    <n v="-11.5176"/>
    <n v="-3.7499999999999999E-2"/>
    <n v="1"/>
  </r>
  <r>
    <n v="7838"/>
    <s v="CA-2015-149083"/>
    <d v="2015-09-25T00:00:00"/>
    <x v="1"/>
    <s v="Q3"/>
    <x v="11"/>
    <d v="2015-09-30T00:00:00"/>
    <s v="Standard Class"/>
    <x v="64"/>
    <x v="64"/>
    <s v="Corporate"/>
    <s v="United States"/>
    <s v="Seattle"/>
    <x v="4"/>
    <n v="98103"/>
    <x v="1"/>
    <x v="1621"/>
    <x v="1"/>
    <x v="2"/>
    <x v="1612"/>
    <n v="12.6"/>
    <s v="Low"/>
    <n v="2"/>
    <n v="0"/>
    <x v="0"/>
    <x v="0"/>
    <n v="5.7960000000000003"/>
    <n v="0.46"/>
    <n v="0"/>
  </r>
  <r>
    <n v="7839"/>
    <s v="CA-2015-149083"/>
    <d v="2015-09-25T00:00:00"/>
    <x v="1"/>
    <s v="Q3"/>
    <x v="11"/>
    <d v="2015-09-30T00:00:00"/>
    <s v="Standard Class"/>
    <x v="64"/>
    <x v="64"/>
    <s v="Corporate"/>
    <s v="United States"/>
    <s v="Seattle"/>
    <x v="4"/>
    <n v="98103"/>
    <x v="1"/>
    <x v="428"/>
    <x v="2"/>
    <x v="11"/>
    <x v="428"/>
    <n v="159.97999999999999"/>
    <s v="High"/>
    <n v="2"/>
    <n v="0"/>
    <x v="0"/>
    <x v="0"/>
    <n v="57.592799999999997"/>
    <n v="0.36"/>
    <n v="0"/>
  </r>
  <r>
    <n v="7840"/>
    <s v="US-2014-137869"/>
    <d v="2014-03-28T00:00:00"/>
    <x v="2"/>
    <s v="Q1"/>
    <x v="34"/>
    <d v="2014-04-02T00:00:00"/>
    <s v="Standard Class"/>
    <x v="610"/>
    <x v="610"/>
    <s v="Consumer"/>
    <s v="United States"/>
    <s v="Des Moines"/>
    <x v="23"/>
    <n v="50315"/>
    <x v="2"/>
    <x v="29"/>
    <x v="1"/>
    <x v="12"/>
    <x v="29"/>
    <n v="6.12"/>
    <s v="Low"/>
    <n v="3"/>
    <n v="0"/>
    <x v="0"/>
    <x v="0"/>
    <n v="2.8763999999999998"/>
    <n v="0.47"/>
    <n v="0"/>
  </r>
  <r>
    <n v="7841"/>
    <s v="US-2014-137869"/>
    <d v="2014-03-28T00:00:00"/>
    <x v="2"/>
    <s v="Q1"/>
    <x v="34"/>
    <d v="2014-04-02T00:00:00"/>
    <s v="Standard Class"/>
    <x v="610"/>
    <x v="610"/>
    <s v="Consumer"/>
    <s v="United States"/>
    <s v="Des Moines"/>
    <x v="23"/>
    <n v="50315"/>
    <x v="2"/>
    <x v="1234"/>
    <x v="0"/>
    <x v="3"/>
    <x v="1217"/>
    <n v="1184.72"/>
    <s v="High"/>
    <n v="4"/>
    <n v="0"/>
    <x v="0"/>
    <x v="0"/>
    <n v="106.62479999999999"/>
    <n v="0.09"/>
    <n v="0"/>
  </r>
  <r>
    <n v="7842"/>
    <s v="CA-2016-116603"/>
    <d v="2016-07-17T00:00:00"/>
    <x v="0"/>
    <s v="Q3"/>
    <x v="16"/>
    <d v="2016-07-22T00:00:00"/>
    <s v="Standard Class"/>
    <x v="247"/>
    <x v="247"/>
    <s v="Consumer"/>
    <s v="United States"/>
    <s v="New York City"/>
    <x v="15"/>
    <n v="10024"/>
    <x v="3"/>
    <x v="9"/>
    <x v="1"/>
    <x v="9"/>
    <x v="9"/>
    <n v="45.96"/>
    <s v="Medium"/>
    <n v="2"/>
    <n v="0"/>
    <x v="0"/>
    <x v="0"/>
    <n v="13.788"/>
    <n v="0.3"/>
    <n v="0"/>
  </r>
  <r>
    <n v="7843"/>
    <s v="CA-2014-158470"/>
    <d v="2014-04-19T00:00:00"/>
    <x v="2"/>
    <s v="Q2"/>
    <x v="41"/>
    <d v="2014-04-23T00:00:00"/>
    <s v="Second Class"/>
    <x v="369"/>
    <x v="369"/>
    <s v="Consumer"/>
    <s v="United States"/>
    <s v="Arlington"/>
    <x v="17"/>
    <n v="22204"/>
    <x v="0"/>
    <x v="612"/>
    <x v="1"/>
    <x v="8"/>
    <x v="612"/>
    <n v="58.05"/>
    <s v="Medium"/>
    <n v="3"/>
    <n v="0"/>
    <x v="0"/>
    <x v="0"/>
    <n v="26.702999999999999"/>
    <n v="0.46"/>
    <n v="0"/>
  </r>
  <r>
    <n v="7844"/>
    <s v="CA-2014-158470"/>
    <d v="2014-04-19T00:00:00"/>
    <x v="2"/>
    <s v="Q2"/>
    <x v="41"/>
    <d v="2014-04-23T00:00:00"/>
    <s v="Second Class"/>
    <x v="369"/>
    <x v="369"/>
    <s v="Consumer"/>
    <s v="United States"/>
    <s v="Arlington"/>
    <x v="17"/>
    <n v="22204"/>
    <x v="0"/>
    <x v="55"/>
    <x v="1"/>
    <x v="10"/>
    <x v="55"/>
    <n v="71.28"/>
    <s v="Medium"/>
    <n v="11"/>
    <n v="0"/>
    <x v="0"/>
    <x v="0"/>
    <n v="34.214399999999998"/>
    <n v="0.48"/>
    <n v="0"/>
  </r>
  <r>
    <n v="7845"/>
    <s v="US-2017-123834"/>
    <d v="2017-07-21T00:00:00"/>
    <x v="3"/>
    <s v="Q3"/>
    <x v="10"/>
    <d v="2017-07-25T00:00:00"/>
    <s v="Standard Class"/>
    <x v="421"/>
    <x v="421"/>
    <s v="Consumer"/>
    <s v="United States"/>
    <s v="Pharr"/>
    <x v="5"/>
    <n v="78577"/>
    <x v="2"/>
    <x v="972"/>
    <x v="0"/>
    <x v="3"/>
    <x v="966"/>
    <n v="124.404"/>
    <s v="High"/>
    <n v="4"/>
    <n v="0.3"/>
    <x v="1"/>
    <x v="4"/>
    <n v="-21.3264"/>
    <n v="-0.17142857142857143"/>
    <n v="1"/>
  </r>
  <r>
    <n v="7846"/>
    <s v="CA-2015-125976"/>
    <d v="2015-09-27T00:00:00"/>
    <x v="1"/>
    <s v="Q3"/>
    <x v="11"/>
    <d v="2015-10-02T00:00:00"/>
    <s v="Standard Class"/>
    <x v="523"/>
    <x v="523"/>
    <s v="Consumer"/>
    <s v="United States"/>
    <s v="Arlington"/>
    <x v="17"/>
    <n v="22204"/>
    <x v="0"/>
    <x v="1030"/>
    <x v="1"/>
    <x v="10"/>
    <x v="1021"/>
    <n v="154.9"/>
    <s v="High"/>
    <n v="5"/>
    <n v="0"/>
    <x v="0"/>
    <x v="0"/>
    <n v="69.704999999999998"/>
    <n v="0.44999999999999996"/>
    <n v="0"/>
  </r>
  <r>
    <n v="7847"/>
    <s v="CA-2015-125976"/>
    <d v="2015-09-27T00:00:00"/>
    <x v="1"/>
    <s v="Q3"/>
    <x v="11"/>
    <d v="2015-10-02T00:00:00"/>
    <s v="Standard Class"/>
    <x v="523"/>
    <x v="523"/>
    <s v="Consumer"/>
    <s v="United States"/>
    <s v="Arlington"/>
    <x v="17"/>
    <n v="22204"/>
    <x v="0"/>
    <x v="495"/>
    <x v="2"/>
    <x v="7"/>
    <x v="495"/>
    <n v="1871.88"/>
    <s v="High"/>
    <n v="12"/>
    <n v="0"/>
    <x v="0"/>
    <x v="0"/>
    <n v="561.56399999999996"/>
    <n v="0.3"/>
    <n v="0"/>
  </r>
  <r>
    <n v="7848"/>
    <s v="CA-2016-128706"/>
    <d v="2016-02-27T00:00:00"/>
    <x v="0"/>
    <s v="Q1"/>
    <x v="47"/>
    <d v="2016-03-02T00:00:00"/>
    <s v="Standard Class"/>
    <x v="386"/>
    <x v="386"/>
    <s v="Consumer"/>
    <s v="United States"/>
    <s v="Houston"/>
    <x v="5"/>
    <n v="77070"/>
    <x v="2"/>
    <x v="1653"/>
    <x v="0"/>
    <x v="5"/>
    <x v="1642"/>
    <n v="16.192"/>
    <s v="Low"/>
    <n v="2"/>
    <n v="0.6"/>
    <x v="1"/>
    <x v="6"/>
    <n v="-6.8815999999999997"/>
    <n v="-0.42499999999999999"/>
    <n v="1"/>
  </r>
  <r>
    <n v="7849"/>
    <s v="CA-2016-104311"/>
    <d v="2016-05-02T00:00:00"/>
    <x v="0"/>
    <s v="Q2"/>
    <x v="35"/>
    <d v="2016-05-06T00:00:00"/>
    <s v="Standard Class"/>
    <x v="548"/>
    <x v="548"/>
    <s v="Consumer"/>
    <s v="United States"/>
    <s v="Irving"/>
    <x v="5"/>
    <n v="75061"/>
    <x v="2"/>
    <x v="1555"/>
    <x v="1"/>
    <x v="4"/>
    <x v="1543"/>
    <n v="18.936"/>
    <s v="Low"/>
    <n v="3"/>
    <n v="0.2"/>
    <x v="2"/>
    <x v="2"/>
    <n v="-3.7871999999999999"/>
    <n v="-0.19999999999999998"/>
    <n v="1"/>
  </r>
  <r>
    <n v="7850"/>
    <s v="CA-2016-104311"/>
    <d v="2016-05-02T00:00:00"/>
    <x v="0"/>
    <s v="Q2"/>
    <x v="35"/>
    <d v="2016-05-06T00:00:00"/>
    <s v="Standard Class"/>
    <x v="548"/>
    <x v="548"/>
    <s v="Consumer"/>
    <s v="United States"/>
    <s v="Irving"/>
    <x v="5"/>
    <n v="75061"/>
    <x v="2"/>
    <x v="1505"/>
    <x v="1"/>
    <x v="4"/>
    <x v="1492"/>
    <n v="12.672000000000001"/>
    <s v="Low"/>
    <n v="3"/>
    <n v="0.2"/>
    <x v="2"/>
    <x v="2"/>
    <n v="-3.1680000000000001"/>
    <n v="-0.25"/>
    <n v="1"/>
  </r>
  <r>
    <n v="7851"/>
    <s v="CA-2016-104311"/>
    <d v="2016-05-02T00:00:00"/>
    <x v="0"/>
    <s v="Q2"/>
    <x v="35"/>
    <d v="2016-05-06T00:00:00"/>
    <s v="Standard Class"/>
    <x v="548"/>
    <x v="548"/>
    <s v="Consumer"/>
    <s v="United States"/>
    <s v="Irving"/>
    <x v="5"/>
    <n v="75061"/>
    <x v="2"/>
    <x v="840"/>
    <x v="1"/>
    <x v="2"/>
    <x v="834"/>
    <n v="5.04"/>
    <s v="Low"/>
    <n v="2"/>
    <n v="0.2"/>
    <x v="2"/>
    <x v="2"/>
    <n v="1.764"/>
    <n v="0.35"/>
    <n v="0"/>
  </r>
  <r>
    <n v="7852"/>
    <s v="CA-2014-169649"/>
    <d v="2014-12-09T00:00:00"/>
    <x v="2"/>
    <s v="Q4"/>
    <x v="20"/>
    <d v="2014-12-15T00:00:00"/>
    <s v="Standard Class"/>
    <x v="131"/>
    <x v="131"/>
    <s v="Corporate"/>
    <s v="United States"/>
    <s v="Chicago"/>
    <x v="10"/>
    <n v="60653"/>
    <x v="2"/>
    <x v="1714"/>
    <x v="1"/>
    <x v="10"/>
    <x v="1701"/>
    <n v="8.4480000000000004"/>
    <s v="Low"/>
    <n v="2"/>
    <n v="0.2"/>
    <x v="2"/>
    <x v="2"/>
    <n v="2.9567999999999999"/>
    <n v="0.35"/>
    <n v="0"/>
  </r>
  <r>
    <n v="7853"/>
    <s v="CA-2014-169649"/>
    <d v="2014-12-09T00:00:00"/>
    <x v="2"/>
    <s v="Q4"/>
    <x v="20"/>
    <d v="2014-12-15T00:00:00"/>
    <s v="Standard Class"/>
    <x v="131"/>
    <x v="131"/>
    <s v="Corporate"/>
    <s v="United States"/>
    <s v="Chicago"/>
    <x v="10"/>
    <n v="60653"/>
    <x v="2"/>
    <x v="543"/>
    <x v="1"/>
    <x v="9"/>
    <x v="543"/>
    <n v="20.388000000000002"/>
    <s v="Low"/>
    <n v="2"/>
    <n v="0.8"/>
    <x v="1"/>
    <x v="3"/>
    <n v="-53.008800000000001"/>
    <n v="-2.5999999999999996"/>
    <n v="1"/>
  </r>
  <r>
    <n v="7854"/>
    <s v="CA-2015-144890"/>
    <d v="2015-12-25T00:00:00"/>
    <x v="1"/>
    <s v="Q4"/>
    <x v="14"/>
    <d v="2015-12-29T00:00:00"/>
    <s v="Standard Class"/>
    <x v="598"/>
    <x v="598"/>
    <s v="Home Office"/>
    <s v="United States"/>
    <s v="Los Angeles"/>
    <x v="1"/>
    <n v="90049"/>
    <x v="1"/>
    <x v="1050"/>
    <x v="1"/>
    <x v="10"/>
    <x v="1039"/>
    <n v="9.9600000000000009"/>
    <s v="Low"/>
    <n v="2"/>
    <n v="0"/>
    <x v="0"/>
    <x v="0"/>
    <n v="4.8803999999999998"/>
    <n v="0.48999999999999994"/>
    <n v="0"/>
  </r>
  <r>
    <n v="7855"/>
    <s v="CA-2017-135587"/>
    <d v="2017-12-07T00:00:00"/>
    <x v="3"/>
    <s v="Q4"/>
    <x v="22"/>
    <d v="2017-12-12T00:00:00"/>
    <s v="Standard Class"/>
    <x v="3"/>
    <x v="3"/>
    <s v="Consumer"/>
    <s v="United States"/>
    <s v="Hattiesburg"/>
    <x v="35"/>
    <n v="39401"/>
    <x v="0"/>
    <x v="1317"/>
    <x v="1"/>
    <x v="9"/>
    <x v="1303"/>
    <n v="320.64"/>
    <s v="High"/>
    <n v="4"/>
    <n v="0"/>
    <x v="0"/>
    <x v="0"/>
    <n v="89.779200000000003"/>
    <n v="0.28000000000000003"/>
    <n v="0"/>
  </r>
  <r>
    <n v="7856"/>
    <s v="CA-2017-135587"/>
    <d v="2017-12-07T00:00:00"/>
    <x v="3"/>
    <s v="Q4"/>
    <x v="22"/>
    <d v="2017-12-12T00:00:00"/>
    <s v="Standard Class"/>
    <x v="3"/>
    <x v="3"/>
    <s v="Consumer"/>
    <s v="United States"/>
    <s v="Hattiesburg"/>
    <x v="35"/>
    <n v="39401"/>
    <x v="0"/>
    <x v="197"/>
    <x v="2"/>
    <x v="11"/>
    <x v="198"/>
    <n v="52"/>
    <s v="Medium"/>
    <n v="4"/>
    <n v="0"/>
    <x v="0"/>
    <x v="0"/>
    <n v="23.4"/>
    <n v="0.44999999999999996"/>
    <n v="0"/>
  </r>
  <r>
    <n v="7857"/>
    <s v="CA-2014-103429"/>
    <d v="2014-05-30T00:00:00"/>
    <x v="2"/>
    <s v="Q2"/>
    <x v="8"/>
    <d v="2014-06-01T00:00:00"/>
    <s v="First Class"/>
    <x v="429"/>
    <x v="429"/>
    <s v="Corporate"/>
    <s v="United States"/>
    <s v="New York City"/>
    <x v="15"/>
    <n v="10024"/>
    <x v="3"/>
    <x v="1399"/>
    <x v="1"/>
    <x v="8"/>
    <x v="1386"/>
    <n v="25.584"/>
    <s v="Medium"/>
    <n v="2"/>
    <n v="0.2"/>
    <x v="2"/>
    <x v="2"/>
    <n v="8.9543999999999997"/>
    <n v="0.35"/>
    <n v="0"/>
  </r>
  <r>
    <n v="7858"/>
    <s v="CA-2014-103429"/>
    <d v="2014-05-30T00:00:00"/>
    <x v="2"/>
    <s v="Q2"/>
    <x v="8"/>
    <d v="2014-06-01T00:00:00"/>
    <s v="First Class"/>
    <x v="429"/>
    <x v="429"/>
    <s v="Corporate"/>
    <s v="United States"/>
    <s v="New York City"/>
    <x v="15"/>
    <n v="10024"/>
    <x v="3"/>
    <x v="918"/>
    <x v="2"/>
    <x v="7"/>
    <x v="910"/>
    <n v="464"/>
    <s v="High"/>
    <n v="5"/>
    <n v="0"/>
    <x v="0"/>
    <x v="0"/>
    <n v="134.56"/>
    <n v="0.28999999999999998"/>
    <n v="0"/>
  </r>
  <r>
    <n v="7859"/>
    <s v="CA-2014-103429"/>
    <d v="2014-05-30T00:00:00"/>
    <x v="2"/>
    <s v="Q2"/>
    <x v="8"/>
    <d v="2014-06-01T00:00:00"/>
    <s v="First Class"/>
    <x v="429"/>
    <x v="429"/>
    <s v="Corporate"/>
    <s v="United States"/>
    <s v="New York City"/>
    <x v="15"/>
    <n v="10024"/>
    <x v="3"/>
    <x v="1152"/>
    <x v="1"/>
    <x v="9"/>
    <x v="1140"/>
    <n v="235.95"/>
    <s v="High"/>
    <n v="3"/>
    <n v="0"/>
    <x v="0"/>
    <x v="0"/>
    <n v="77.863500000000002"/>
    <n v="0.33"/>
    <n v="0"/>
  </r>
  <r>
    <n v="7860"/>
    <s v="CA-2014-103429"/>
    <d v="2014-05-30T00:00:00"/>
    <x v="2"/>
    <s v="Q2"/>
    <x v="8"/>
    <d v="2014-06-01T00:00:00"/>
    <s v="First Class"/>
    <x v="429"/>
    <x v="429"/>
    <s v="Corporate"/>
    <s v="United States"/>
    <s v="New York City"/>
    <x v="15"/>
    <n v="10024"/>
    <x v="3"/>
    <x v="991"/>
    <x v="1"/>
    <x v="10"/>
    <x v="983"/>
    <n v="39.96"/>
    <s v="Medium"/>
    <n v="4"/>
    <n v="0"/>
    <x v="0"/>
    <x v="0"/>
    <n v="17.981999999999999"/>
    <n v="0.44999999999999996"/>
    <n v="0"/>
  </r>
  <r>
    <n v="7861"/>
    <s v="CA-2017-152261"/>
    <d v="2017-03-02T00:00:00"/>
    <x v="3"/>
    <s v="Q1"/>
    <x v="42"/>
    <d v="2017-03-06T00:00:00"/>
    <s v="Standard Class"/>
    <x v="350"/>
    <x v="350"/>
    <s v="Consumer"/>
    <s v="United States"/>
    <s v="Cuyahoga Falls"/>
    <x v="24"/>
    <n v="44221"/>
    <x v="3"/>
    <x v="1087"/>
    <x v="1"/>
    <x v="8"/>
    <x v="1077"/>
    <n v="18.527999999999999"/>
    <s v="Low"/>
    <n v="4"/>
    <n v="0.7"/>
    <x v="1"/>
    <x v="5"/>
    <n v="-12.352"/>
    <n v="-0.66666666666666674"/>
    <n v="1"/>
  </r>
  <r>
    <n v="7862"/>
    <s v="CA-2015-142993"/>
    <d v="2015-10-12T00:00:00"/>
    <x v="1"/>
    <s v="Q4"/>
    <x v="2"/>
    <d v="2015-10-17T00:00:00"/>
    <s v="Standard Class"/>
    <x v="567"/>
    <x v="567"/>
    <s v="Consumer"/>
    <s v="United States"/>
    <s v="Seattle"/>
    <x v="4"/>
    <n v="98103"/>
    <x v="1"/>
    <x v="1044"/>
    <x v="2"/>
    <x v="11"/>
    <x v="1033"/>
    <n v="17.899999999999999"/>
    <s v="Low"/>
    <n v="2"/>
    <n v="0"/>
    <x v="0"/>
    <x v="0"/>
    <n v="3.4009999999999998"/>
    <n v="0.19"/>
    <n v="0"/>
  </r>
  <r>
    <n v="7863"/>
    <s v="CA-2015-142993"/>
    <d v="2015-10-12T00:00:00"/>
    <x v="1"/>
    <s v="Q4"/>
    <x v="2"/>
    <d v="2015-10-17T00:00:00"/>
    <s v="Standard Class"/>
    <x v="567"/>
    <x v="567"/>
    <s v="Consumer"/>
    <s v="United States"/>
    <s v="Seattle"/>
    <x v="4"/>
    <n v="98103"/>
    <x v="1"/>
    <x v="356"/>
    <x v="1"/>
    <x v="4"/>
    <x v="356"/>
    <n v="81.96"/>
    <s v="Medium"/>
    <n v="2"/>
    <n v="0"/>
    <x v="0"/>
    <x v="0"/>
    <n v="0"/>
    <n v="0"/>
    <n v="0"/>
  </r>
  <r>
    <n v="7864"/>
    <s v="CA-2015-143364"/>
    <d v="2015-07-14T00:00:00"/>
    <x v="1"/>
    <s v="Q3"/>
    <x v="38"/>
    <d v="2015-07-19T00:00:00"/>
    <s v="Second Class"/>
    <x v="592"/>
    <x v="592"/>
    <s v="Consumer"/>
    <s v="United States"/>
    <s v="Mesa"/>
    <x v="16"/>
    <n v="85204"/>
    <x v="1"/>
    <x v="418"/>
    <x v="1"/>
    <x v="4"/>
    <x v="418"/>
    <n v="272.73599999999999"/>
    <s v="High"/>
    <n v="3"/>
    <n v="0.2"/>
    <x v="2"/>
    <x v="2"/>
    <n v="-64.774799999999999"/>
    <n v="-0.23750000000000002"/>
    <n v="1"/>
  </r>
  <r>
    <n v="7865"/>
    <s v="CA-2015-143364"/>
    <d v="2015-07-14T00:00:00"/>
    <x v="1"/>
    <s v="Q3"/>
    <x v="38"/>
    <d v="2015-07-19T00:00:00"/>
    <s v="Second Class"/>
    <x v="592"/>
    <x v="592"/>
    <s v="Consumer"/>
    <s v="United States"/>
    <s v="Mesa"/>
    <x v="16"/>
    <n v="85204"/>
    <x v="1"/>
    <x v="1828"/>
    <x v="1"/>
    <x v="10"/>
    <x v="1816"/>
    <n v="18.495999999999999"/>
    <s v="Low"/>
    <n v="4"/>
    <n v="0.2"/>
    <x v="2"/>
    <x v="2"/>
    <n v="6.7047999999999996"/>
    <n v="0.36249999999999999"/>
    <n v="0"/>
  </r>
  <r>
    <n v="7866"/>
    <s v="CA-2015-143364"/>
    <d v="2015-07-14T00:00:00"/>
    <x v="1"/>
    <s v="Q3"/>
    <x v="38"/>
    <d v="2015-07-19T00:00:00"/>
    <s v="Second Class"/>
    <x v="592"/>
    <x v="592"/>
    <s v="Consumer"/>
    <s v="United States"/>
    <s v="Mesa"/>
    <x v="16"/>
    <n v="85204"/>
    <x v="1"/>
    <x v="157"/>
    <x v="0"/>
    <x v="1"/>
    <x v="158"/>
    <n v="441.92"/>
    <s v="High"/>
    <n v="2"/>
    <n v="0.2"/>
    <x v="2"/>
    <x v="2"/>
    <n v="49.716000000000001"/>
    <n v="0.1125"/>
    <n v="0"/>
  </r>
  <r>
    <n v="7867"/>
    <s v="CA-2015-143364"/>
    <d v="2015-07-14T00:00:00"/>
    <x v="1"/>
    <s v="Q3"/>
    <x v="38"/>
    <d v="2015-07-19T00:00:00"/>
    <s v="Second Class"/>
    <x v="592"/>
    <x v="592"/>
    <s v="Consumer"/>
    <s v="United States"/>
    <s v="Mesa"/>
    <x v="16"/>
    <n v="85204"/>
    <x v="1"/>
    <x v="1544"/>
    <x v="0"/>
    <x v="0"/>
    <x v="1532"/>
    <n v="127.764"/>
    <s v="High"/>
    <n v="6"/>
    <n v="0.7"/>
    <x v="1"/>
    <x v="5"/>
    <n v="-191.64599999999999"/>
    <n v="-1.5"/>
    <n v="1"/>
  </r>
  <r>
    <n v="7868"/>
    <s v="CA-2014-100972"/>
    <d v="2014-11-19T00:00:00"/>
    <x v="2"/>
    <s v="Q4"/>
    <x v="7"/>
    <d v="2014-11-24T00:00:00"/>
    <s v="Second Class"/>
    <x v="748"/>
    <x v="748"/>
    <s v="Home Office"/>
    <s v="United States"/>
    <s v="Salt Lake City"/>
    <x v="7"/>
    <n v="84106"/>
    <x v="1"/>
    <x v="447"/>
    <x v="1"/>
    <x v="10"/>
    <x v="1228"/>
    <n v="166.44"/>
    <s v="High"/>
    <n v="3"/>
    <n v="0"/>
    <x v="0"/>
    <x v="0"/>
    <n v="79.891199999999998"/>
    <n v="0.48"/>
    <n v="0"/>
  </r>
  <r>
    <n v="7869"/>
    <s v="CA-2016-136994"/>
    <d v="2016-05-27T00:00:00"/>
    <x v="0"/>
    <s v="Q2"/>
    <x v="35"/>
    <d v="2016-06-02T00:00:00"/>
    <s v="Standard Class"/>
    <x v="201"/>
    <x v="201"/>
    <s v="Consumer"/>
    <s v="United States"/>
    <s v="Los Angeles"/>
    <x v="1"/>
    <n v="90045"/>
    <x v="1"/>
    <x v="1070"/>
    <x v="1"/>
    <x v="10"/>
    <x v="1059"/>
    <n v="13.38"/>
    <s v="Low"/>
    <n v="2"/>
    <n v="0"/>
    <x v="0"/>
    <x v="0"/>
    <n v="6.1547999999999998"/>
    <n v="0.45999999999999996"/>
    <n v="0"/>
  </r>
  <r>
    <n v="7870"/>
    <s v="US-2017-166233"/>
    <d v="2017-07-03T00:00:00"/>
    <x v="3"/>
    <s v="Q3"/>
    <x v="10"/>
    <d v="2017-07-09T00:00:00"/>
    <s v="Standard Class"/>
    <x v="657"/>
    <x v="657"/>
    <s v="Consumer"/>
    <s v="United States"/>
    <s v="Jacksonville"/>
    <x v="3"/>
    <n v="28540"/>
    <x v="0"/>
    <x v="46"/>
    <x v="2"/>
    <x v="11"/>
    <x v="46"/>
    <n v="24"/>
    <s v="Low"/>
    <n v="2"/>
    <n v="0.2"/>
    <x v="2"/>
    <x v="2"/>
    <n v="-2.7"/>
    <n v="-0.1125"/>
    <n v="1"/>
  </r>
  <r>
    <n v="7871"/>
    <s v="CA-2017-122112"/>
    <d v="2017-09-25T00:00:00"/>
    <x v="3"/>
    <s v="Q3"/>
    <x v="15"/>
    <d v="2017-09-29T00:00:00"/>
    <s v="Standard Class"/>
    <x v="662"/>
    <x v="662"/>
    <s v="Corporate"/>
    <s v="United States"/>
    <s v="Lakewood"/>
    <x v="24"/>
    <n v="44107"/>
    <x v="3"/>
    <x v="661"/>
    <x v="1"/>
    <x v="12"/>
    <x v="661"/>
    <n v="24.448"/>
    <s v="Low"/>
    <n v="4"/>
    <n v="0.2"/>
    <x v="2"/>
    <x v="2"/>
    <n v="8.8623999999999992"/>
    <n v="0.36249999999999993"/>
    <n v="0"/>
  </r>
  <r>
    <n v="7872"/>
    <s v="CA-2016-101672"/>
    <d v="2016-10-03T00:00:00"/>
    <x v="0"/>
    <s v="Q4"/>
    <x v="32"/>
    <d v="2016-10-07T00:00:00"/>
    <s v="Standard Class"/>
    <x v="626"/>
    <x v="626"/>
    <s v="Home Office"/>
    <s v="United States"/>
    <s v="Lake Forest"/>
    <x v="1"/>
    <n v="92630"/>
    <x v="1"/>
    <x v="641"/>
    <x v="1"/>
    <x v="2"/>
    <x v="641"/>
    <n v="6.16"/>
    <s v="Low"/>
    <n v="2"/>
    <n v="0"/>
    <x v="0"/>
    <x v="0"/>
    <n v="2.9567999999999999"/>
    <n v="0.48"/>
    <n v="0"/>
  </r>
  <r>
    <n v="7873"/>
    <s v="CA-2016-101672"/>
    <d v="2016-10-03T00:00:00"/>
    <x v="0"/>
    <s v="Q4"/>
    <x v="32"/>
    <d v="2016-10-07T00:00:00"/>
    <s v="Standard Class"/>
    <x v="626"/>
    <x v="626"/>
    <s v="Home Office"/>
    <s v="United States"/>
    <s v="Lake Forest"/>
    <x v="1"/>
    <n v="92630"/>
    <x v="1"/>
    <x v="120"/>
    <x v="0"/>
    <x v="1"/>
    <x v="120"/>
    <n v="915.13599999999997"/>
    <s v="High"/>
    <n v="4"/>
    <n v="0.2"/>
    <x v="2"/>
    <x v="2"/>
    <n v="102.9528"/>
    <n v="0.1125"/>
    <n v="0"/>
  </r>
  <r>
    <n v="7874"/>
    <s v="CA-2016-101672"/>
    <d v="2016-10-03T00:00:00"/>
    <x v="0"/>
    <s v="Q4"/>
    <x v="32"/>
    <d v="2016-10-07T00:00:00"/>
    <s v="Standard Class"/>
    <x v="626"/>
    <x v="626"/>
    <s v="Home Office"/>
    <s v="United States"/>
    <s v="Lake Forest"/>
    <x v="1"/>
    <n v="92630"/>
    <x v="1"/>
    <x v="1532"/>
    <x v="1"/>
    <x v="10"/>
    <x v="1520"/>
    <n v="8.56"/>
    <s v="Low"/>
    <n v="2"/>
    <n v="0"/>
    <x v="0"/>
    <x v="0"/>
    <n v="3.8519999999999999"/>
    <n v="0.44999999999999996"/>
    <n v="0"/>
  </r>
  <r>
    <n v="7875"/>
    <s v="CA-2016-101672"/>
    <d v="2016-10-03T00:00:00"/>
    <x v="0"/>
    <s v="Q4"/>
    <x v="32"/>
    <d v="2016-10-07T00:00:00"/>
    <s v="Standard Class"/>
    <x v="626"/>
    <x v="626"/>
    <s v="Home Office"/>
    <s v="United States"/>
    <s v="Lake Forest"/>
    <x v="1"/>
    <n v="92630"/>
    <x v="1"/>
    <x v="1184"/>
    <x v="1"/>
    <x v="10"/>
    <x v="1170"/>
    <n v="97.82"/>
    <s v="Medium"/>
    <n v="2"/>
    <n v="0"/>
    <x v="0"/>
    <x v="0"/>
    <n v="45.9754"/>
    <n v="0.47000000000000003"/>
    <n v="0"/>
  </r>
  <r>
    <n v="7876"/>
    <s v="CA-2017-168403"/>
    <d v="2017-09-09T00:00:00"/>
    <x v="3"/>
    <s v="Q3"/>
    <x v="15"/>
    <d v="2017-09-15T00:00:00"/>
    <s v="Standard Class"/>
    <x v="460"/>
    <x v="460"/>
    <s v="Corporate"/>
    <s v="United States"/>
    <s v="Portland"/>
    <x v="21"/>
    <n v="97206"/>
    <x v="1"/>
    <x v="329"/>
    <x v="1"/>
    <x v="10"/>
    <x v="329"/>
    <n v="31.103999999999999"/>
    <s v="Medium"/>
    <n v="6"/>
    <n v="0.2"/>
    <x v="2"/>
    <x v="2"/>
    <n v="11.2752"/>
    <n v="0.36249999999999999"/>
    <n v="0"/>
  </r>
  <r>
    <n v="7877"/>
    <s v="CA-2017-168403"/>
    <d v="2017-09-09T00:00:00"/>
    <x v="3"/>
    <s v="Q3"/>
    <x v="15"/>
    <d v="2017-09-15T00:00:00"/>
    <s v="Standard Class"/>
    <x v="460"/>
    <x v="460"/>
    <s v="Corporate"/>
    <s v="United States"/>
    <s v="Portland"/>
    <x v="21"/>
    <n v="97206"/>
    <x v="1"/>
    <x v="1803"/>
    <x v="1"/>
    <x v="9"/>
    <x v="1793"/>
    <n v="11.176"/>
    <s v="Low"/>
    <n v="1"/>
    <n v="0.2"/>
    <x v="2"/>
    <x v="2"/>
    <n v="0.83819999999999995"/>
    <n v="7.4999999999999997E-2"/>
    <n v="0"/>
  </r>
  <r>
    <n v="7878"/>
    <s v="CA-2015-148705"/>
    <d v="2015-03-12T00:00:00"/>
    <x v="1"/>
    <s v="Q1"/>
    <x v="29"/>
    <d v="2015-03-18T00:00:00"/>
    <s v="Standard Class"/>
    <x v="432"/>
    <x v="432"/>
    <s v="Consumer"/>
    <s v="United States"/>
    <s v="Charlotte"/>
    <x v="3"/>
    <n v="28205"/>
    <x v="0"/>
    <x v="1042"/>
    <x v="1"/>
    <x v="2"/>
    <x v="1031"/>
    <n v="5.04"/>
    <s v="Low"/>
    <n v="2"/>
    <n v="0.2"/>
    <x v="2"/>
    <x v="2"/>
    <n v="1.764"/>
    <n v="0.35"/>
    <n v="0"/>
  </r>
  <r>
    <n v="7879"/>
    <s v="CA-2016-160241"/>
    <d v="2016-11-29T00:00:00"/>
    <x v="0"/>
    <s v="Q4"/>
    <x v="0"/>
    <d v="2016-12-04T00:00:00"/>
    <s v="Second Class"/>
    <x v="660"/>
    <x v="660"/>
    <s v="Home Office"/>
    <s v="United States"/>
    <s v="Aurora"/>
    <x v="10"/>
    <n v="60505"/>
    <x v="2"/>
    <x v="1814"/>
    <x v="0"/>
    <x v="5"/>
    <x v="1804"/>
    <n v="242.17599999999999"/>
    <s v="High"/>
    <n v="4"/>
    <n v="0.6"/>
    <x v="1"/>
    <x v="6"/>
    <n v="-302.72000000000003"/>
    <n v="-1.2500000000000002"/>
    <n v="1"/>
  </r>
  <r>
    <n v="7880"/>
    <s v="CA-2016-155747"/>
    <d v="2016-06-14T00:00:00"/>
    <x v="0"/>
    <s v="Q2"/>
    <x v="1"/>
    <d v="2016-06-21T00:00:00"/>
    <s v="Standard Class"/>
    <x v="40"/>
    <x v="40"/>
    <s v="Corporate"/>
    <s v="United States"/>
    <s v="Philadelphia"/>
    <x v="9"/>
    <n v="19140"/>
    <x v="3"/>
    <x v="1660"/>
    <x v="0"/>
    <x v="3"/>
    <x v="1648"/>
    <n v="337.17599999999999"/>
    <s v="High"/>
    <n v="2"/>
    <n v="0.4"/>
    <x v="1"/>
    <x v="7"/>
    <n v="-118.0116"/>
    <n v="-0.35000000000000003"/>
    <n v="1"/>
  </r>
  <r>
    <n v="7881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449"/>
    <x v="1"/>
    <x v="6"/>
    <x v="449"/>
    <n v="13.343999999999999"/>
    <s v="Low"/>
    <n v="6"/>
    <n v="0.2"/>
    <x v="2"/>
    <x v="2"/>
    <n v="1.0007999999999999"/>
    <n v="7.4999999999999997E-2"/>
    <n v="0"/>
  </r>
  <r>
    <n v="7882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1097"/>
    <x v="2"/>
    <x v="11"/>
    <x v="1087"/>
    <n v="76.751999999999995"/>
    <s v="Medium"/>
    <n v="6"/>
    <n v="0.2"/>
    <x v="2"/>
    <x v="2"/>
    <n v="10.5534"/>
    <n v="0.13750000000000001"/>
    <n v="0"/>
  </r>
  <r>
    <n v="7883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1097"/>
    <x v="2"/>
    <x v="11"/>
    <x v="1087"/>
    <n v="102.336"/>
    <s v="Medium"/>
    <n v="8"/>
    <n v="0.2"/>
    <x v="2"/>
    <x v="2"/>
    <n v="14.071199999999999"/>
    <n v="0.13749999999999998"/>
    <n v="0"/>
  </r>
  <r>
    <n v="7884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1408"/>
    <x v="1"/>
    <x v="10"/>
    <x v="1395"/>
    <n v="10.32"/>
    <s v="Low"/>
    <n v="2"/>
    <n v="0.2"/>
    <x v="2"/>
    <x v="2"/>
    <n v="3.7410000000000001"/>
    <n v="0.36249999999999999"/>
    <n v="0"/>
  </r>
  <r>
    <n v="7885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1566"/>
    <x v="1"/>
    <x v="14"/>
    <x v="1557"/>
    <n v="47.32"/>
    <s v="Medium"/>
    <n v="7"/>
    <n v="0.2"/>
    <x v="2"/>
    <x v="2"/>
    <n v="5.915"/>
    <n v="0.125"/>
    <n v="0"/>
  </r>
  <r>
    <n v="7886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221"/>
    <x v="0"/>
    <x v="5"/>
    <x v="222"/>
    <n v="23.376000000000001"/>
    <s v="Low"/>
    <n v="3"/>
    <n v="0.2"/>
    <x v="2"/>
    <x v="2"/>
    <n v="7.0128000000000004"/>
    <n v="0.3"/>
    <n v="0"/>
  </r>
  <r>
    <n v="7887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1006"/>
    <x v="0"/>
    <x v="5"/>
    <x v="998"/>
    <n v="16.72"/>
    <s v="Low"/>
    <n v="5"/>
    <n v="0.2"/>
    <x v="2"/>
    <x v="2"/>
    <n v="3.3439999999999999"/>
    <n v="0.2"/>
    <n v="0"/>
  </r>
  <r>
    <n v="7888"/>
    <s v="CA-2017-118017"/>
    <d v="2017-12-03T00:00:00"/>
    <x v="3"/>
    <s v="Q4"/>
    <x v="22"/>
    <d v="2017-12-06T00:00:00"/>
    <s v="Second Class"/>
    <x v="48"/>
    <x v="48"/>
    <s v="Consumer"/>
    <s v="United States"/>
    <s v="Thornton"/>
    <x v="22"/>
    <n v="80229"/>
    <x v="1"/>
    <x v="1653"/>
    <x v="0"/>
    <x v="5"/>
    <x v="1642"/>
    <n v="16.192"/>
    <s v="Low"/>
    <n v="1"/>
    <n v="0.2"/>
    <x v="2"/>
    <x v="2"/>
    <n v="4.6551999999999998"/>
    <n v="0.28749999999999998"/>
    <n v="0"/>
  </r>
  <r>
    <n v="7889"/>
    <s v="CA-2016-113117"/>
    <d v="2016-08-16T00:00:00"/>
    <x v="0"/>
    <s v="Q3"/>
    <x v="28"/>
    <d v="2016-08-22T00:00:00"/>
    <s v="Standard Class"/>
    <x v="187"/>
    <x v="187"/>
    <s v="Consumer"/>
    <s v="United States"/>
    <s v="Davis"/>
    <x v="1"/>
    <n v="95616"/>
    <x v="1"/>
    <x v="712"/>
    <x v="1"/>
    <x v="10"/>
    <x v="711"/>
    <n v="32.4"/>
    <s v="Medium"/>
    <n v="5"/>
    <n v="0"/>
    <x v="0"/>
    <x v="0"/>
    <n v="15.552"/>
    <n v="0.48"/>
    <n v="0"/>
  </r>
  <r>
    <n v="7890"/>
    <s v="CA-2016-148684"/>
    <d v="2016-12-25T00:00:00"/>
    <x v="0"/>
    <s v="Q4"/>
    <x v="5"/>
    <d v="2016-12-29T00:00:00"/>
    <s v="Standard Class"/>
    <x v="772"/>
    <x v="772"/>
    <s v="Consumer"/>
    <s v="United States"/>
    <s v="Fayetteville"/>
    <x v="36"/>
    <n v="72701"/>
    <x v="0"/>
    <x v="453"/>
    <x v="1"/>
    <x v="6"/>
    <x v="454"/>
    <n v="19.89"/>
    <s v="Low"/>
    <n v="9"/>
    <n v="0"/>
    <x v="0"/>
    <x v="0"/>
    <n v="5.3703000000000003"/>
    <n v="0.27"/>
    <n v="0"/>
  </r>
  <r>
    <n v="7891"/>
    <s v="CA-2016-148684"/>
    <d v="2016-12-25T00:00:00"/>
    <x v="0"/>
    <s v="Q4"/>
    <x v="5"/>
    <d v="2016-12-29T00:00:00"/>
    <s v="Standard Class"/>
    <x v="772"/>
    <x v="772"/>
    <s v="Consumer"/>
    <s v="United States"/>
    <s v="Fayetteville"/>
    <x v="36"/>
    <n v="72701"/>
    <x v="0"/>
    <x v="651"/>
    <x v="2"/>
    <x v="11"/>
    <x v="651"/>
    <n v="399.98"/>
    <s v="High"/>
    <n v="2"/>
    <n v="0"/>
    <x v="0"/>
    <x v="0"/>
    <n v="171.9914"/>
    <n v="0.43"/>
    <n v="0"/>
  </r>
  <r>
    <n v="7892"/>
    <s v="CA-2016-148684"/>
    <d v="2016-12-25T00:00:00"/>
    <x v="0"/>
    <s v="Q4"/>
    <x v="5"/>
    <d v="2016-12-29T00:00:00"/>
    <s v="Standard Class"/>
    <x v="772"/>
    <x v="772"/>
    <s v="Consumer"/>
    <s v="United States"/>
    <s v="Fayetteville"/>
    <x v="36"/>
    <n v="72701"/>
    <x v="0"/>
    <x v="568"/>
    <x v="0"/>
    <x v="5"/>
    <x v="568"/>
    <n v="343.85"/>
    <s v="High"/>
    <n v="5"/>
    <n v="0"/>
    <x v="0"/>
    <x v="0"/>
    <n v="137.54"/>
    <n v="0.39999999999999997"/>
    <n v="0"/>
  </r>
  <r>
    <n v="7893"/>
    <s v="CA-2016-148684"/>
    <d v="2016-12-25T00:00:00"/>
    <x v="0"/>
    <s v="Q4"/>
    <x v="5"/>
    <d v="2016-12-29T00:00:00"/>
    <s v="Standard Class"/>
    <x v="772"/>
    <x v="772"/>
    <s v="Consumer"/>
    <s v="United States"/>
    <s v="Fayetteville"/>
    <x v="36"/>
    <n v="72701"/>
    <x v="0"/>
    <x v="1733"/>
    <x v="1"/>
    <x v="10"/>
    <x v="1721"/>
    <n v="106.32"/>
    <s v="Medium"/>
    <n v="3"/>
    <n v="0"/>
    <x v="0"/>
    <x v="0"/>
    <n v="49.970399999999998"/>
    <n v="0.47000000000000003"/>
    <n v="0"/>
  </r>
  <r>
    <n v="7894"/>
    <s v="CA-2017-125367"/>
    <d v="2017-07-23T00:00:00"/>
    <x v="3"/>
    <s v="Q3"/>
    <x v="10"/>
    <d v="2017-07-30T00:00:00"/>
    <s v="Standard Class"/>
    <x v="134"/>
    <x v="134"/>
    <s v="Home Office"/>
    <s v="United States"/>
    <s v="New York City"/>
    <x v="15"/>
    <n v="10011"/>
    <x v="3"/>
    <x v="326"/>
    <x v="1"/>
    <x v="8"/>
    <x v="326"/>
    <n v="13.92"/>
    <s v="Low"/>
    <n v="3"/>
    <n v="0.2"/>
    <x v="2"/>
    <x v="2"/>
    <n v="4.3499999999999996"/>
    <n v="0.3125"/>
    <n v="0"/>
  </r>
  <r>
    <n v="7895"/>
    <s v="CA-2017-124744"/>
    <d v="2017-06-21T00:00:00"/>
    <x v="3"/>
    <s v="Q2"/>
    <x v="27"/>
    <d v="2017-06-25T00:00:00"/>
    <s v="Standard Class"/>
    <x v="258"/>
    <x v="258"/>
    <s v="Home Office"/>
    <s v="United States"/>
    <s v="Wheeling"/>
    <x v="48"/>
    <n v="26003"/>
    <x v="3"/>
    <x v="91"/>
    <x v="1"/>
    <x v="8"/>
    <x v="91"/>
    <n v="82.4"/>
    <s v="Medium"/>
    <n v="5"/>
    <n v="0"/>
    <x v="0"/>
    <x v="0"/>
    <n v="40.375999999999998"/>
    <n v="0.48999999999999994"/>
    <n v="0"/>
  </r>
  <r>
    <n v="7896"/>
    <s v="CA-2017-124744"/>
    <d v="2017-06-21T00:00:00"/>
    <x v="3"/>
    <s v="Q2"/>
    <x v="27"/>
    <d v="2017-06-25T00:00:00"/>
    <s v="Standard Class"/>
    <x v="258"/>
    <x v="258"/>
    <s v="Home Office"/>
    <s v="United States"/>
    <s v="Wheeling"/>
    <x v="48"/>
    <n v="26003"/>
    <x v="3"/>
    <x v="744"/>
    <x v="1"/>
    <x v="8"/>
    <x v="742"/>
    <n v="6.24"/>
    <s v="Low"/>
    <n v="2"/>
    <n v="0"/>
    <x v="0"/>
    <x v="0"/>
    <n v="3.0575999999999999"/>
    <n v="0.48999999999999994"/>
    <n v="0"/>
  </r>
  <r>
    <n v="7897"/>
    <s v="CA-2017-124744"/>
    <d v="2017-06-21T00:00:00"/>
    <x v="3"/>
    <s v="Q2"/>
    <x v="27"/>
    <d v="2017-06-25T00:00:00"/>
    <s v="Standard Class"/>
    <x v="258"/>
    <x v="258"/>
    <s v="Home Office"/>
    <s v="United States"/>
    <s v="Wheeling"/>
    <x v="48"/>
    <n v="26003"/>
    <x v="3"/>
    <x v="314"/>
    <x v="1"/>
    <x v="10"/>
    <x v="366"/>
    <n v="447.84"/>
    <s v="High"/>
    <n v="8"/>
    <n v="0"/>
    <x v="0"/>
    <x v="0"/>
    <n v="219.44159999999999"/>
    <n v="0.49"/>
    <n v="0"/>
  </r>
  <r>
    <n v="7898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535"/>
    <x v="1"/>
    <x v="9"/>
    <x v="535"/>
    <n v="272.048"/>
    <s v="High"/>
    <n v="7"/>
    <n v="0.2"/>
    <x v="2"/>
    <x v="2"/>
    <n v="30.605399999999999"/>
    <n v="0.1125"/>
    <n v="0"/>
  </r>
  <r>
    <n v="7899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1176"/>
    <x v="1"/>
    <x v="8"/>
    <x v="1162"/>
    <n v="1614.5820000000001"/>
    <s v="High"/>
    <n v="6"/>
    <n v="0.7"/>
    <x v="1"/>
    <x v="5"/>
    <n v="-1237.8462"/>
    <n v="-0.76666666666666661"/>
    <n v="1"/>
  </r>
  <r>
    <n v="7900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829"/>
    <x v="1"/>
    <x v="13"/>
    <x v="128"/>
    <n v="24.32"/>
    <s v="Low"/>
    <n v="5"/>
    <n v="0.2"/>
    <x v="2"/>
    <x v="2"/>
    <n v="9.1199999999999992"/>
    <n v="0.37499999999999994"/>
    <n v="0"/>
  </r>
  <r>
    <n v="7901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1425"/>
    <x v="2"/>
    <x v="11"/>
    <x v="1413"/>
    <n v="1.5840000000000001"/>
    <s v="Low"/>
    <n v="2"/>
    <n v="0.2"/>
    <x v="2"/>
    <x v="2"/>
    <n v="0.47520000000000001"/>
    <n v="0.3"/>
    <n v="0"/>
  </r>
  <r>
    <n v="7902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892"/>
    <x v="0"/>
    <x v="5"/>
    <x v="885"/>
    <n v="31.984000000000002"/>
    <s v="Medium"/>
    <n v="1"/>
    <n v="0.2"/>
    <x v="2"/>
    <x v="2"/>
    <n v="0"/>
    <n v="0"/>
    <n v="0"/>
  </r>
  <r>
    <n v="7903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436"/>
    <x v="1"/>
    <x v="12"/>
    <x v="436"/>
    <n v="14.76"/>
    <s v="Low"/>
    <n v="5"/>
    <n v="0.2"/>
    <x v="2"/>
    <x v="2"/>
    <n v="4.7969999999999997"/>
    <n v="0.32500000000000001"/>
    <n v="0"/>
  </r>
  <r>
    <n v="7904"/>
    <s v="CA-2017-128363"/>
    <d v="2017-08-13T00:00:00"/>
    <x v="3"/>
    <s v="Q3"/>
    <x v="43"/>
    <d v="2017-08-18T00:00:00"/>
    <s v="Standard Class"/>
    <x v="419"/>
    <x v="419"/>
    <s v="Consumer"/>
    <s v="United States"/>
    <s v="Memphis"/>
    <x v="18"/>
    <n v="38109"/>
    <x v="0"/>
    <x v="1802"/>
    <x v="0"/>
    <x v="1"/>
    <x v="1792"/>
    <n v="423.64800000000002"/>
    <s v="High"/>
    <n v="2"/>
    <n v="0.2"/>
    <x v="2"/>
    <x v="2"/>
    <n v="47.660400000000003"/>
    <n v="0.1125"/>
    <n v="0"/>
  </r>
  <r>
    <n v="7905"/>
    <s v="CA-2015-126669"/>
    <d v="2015-11-07T00:00:00"/>
    <x v="1"/>
    <s v="Q4"/>
    <x v="6"/>
    <d v="2015-11-13T00:00:00"/>
    <s v="Standard Class"/>
    <x v="770"/>
    <x v="770"/>
    <s v="Consumer"/>
    <s v="United States"/>
    <s v="Houston"/>
    <x v="5"/>
    <n v="77036"/>
    <x v="2"/>
    <x v="1052"/>
    <x v="1"/>
    <x v="10"/>
    <x v="1041"/>
    <n v="76.64"/>
    <s v="Medium"/>
    <n v="2"/>
    <n v="0.2"/>
    <x v="2"/>
    <x v="2"/>
    <n v="26.824000000000002"/>
    <n v="0.35000000000000003"/>
    <n v="0"/>
  </r>
  <r>
    <n v="7906"/>
    <s v="US-2015-118766"/>
    <d v="2015-10-15T00:00:00"/>
    <x v="1"/>
    <s v="Q4"/>
    <x v="2"/>
    <d v="2015-10-22T00:00:00"/>
    <s v="Standard Class"/>
    <x v="60"/>
    <x v="60"/>
    <s v="Home Office"/>
    <s v="United States"/>
    <s v="Dallas"/>
    <x v="5"/>
    <n v="75217"/>
    <x v="2"/>
    <x v="407"/>
    <x v="1"/>
    <x v="12"/>
    <x v="153"/>
    <n v="4.4640000000000004"/>
    <s v="Low"/>
    <n v="1"/>
    <n v="0.2"/>
    <x v="2"/>
    <x v="2"/>
    <n v="1.6739999999999999"/>
    <n v="0.37499999999999994"/>
    <n v="0"/>
  </r>
  <r>
    <n v="7907"/>
    <s v="US-2015-118766"/>
    <d v="2015-10-15T00:00:00"/>
    <x v="1"/>
    <s v="Q4"/>
    <x v="2"/>
    <d v="2015-10-22T00:00:00"/>
    <s v="Standard Class"/>
    <x v="60"/>
    <x v="60"/>
    <s v="Home Office"/>
    <s v="United States"/>
    <s v="Dallas"/>
    <x v="5"/>
    <n v="75217"/>
    <x v="2"/>
    <x v="922"/>
    <x v="1"/>
    <x v="8"/>
    <x v="914"/>
    <n v="3.96"/>
    <s v="Low"/>
    <n v="10"/>
    <n v="0.8"/>
    <x v="1"/>
    <x v="3"/>
    <n v="-6.93"/>
    <n v="-1.75"/>
    <n v="1"/>
  </r>
  <r>
    <n v="7908"/>
    <s v="CA-2016-112585"/>
    <d v="2016-07-30T00:00:00"/>
    <x v="0"/>
    <s v="Q3"/>
    <x v="16"/>
    <d v="2016-08-02T00:00:00"/>
    <s v="First Class"/>
    <x v="338"/>
    <x v="338"/>
    <s v="Corporate"/>
    <s v="United States"/>
    <s v="San Francisco"/>
    <x v="1"/>
    <n v="94122"/>
    <x v="1"/>
    <x v="847"/>
    <x v="1"/>
    <x v="9"/>
    <x v="841"/>
    <n v="715.64"/>
    <s v="High"/>
    <n v="2"/>
    <n v="0"/>
    <x v="0"/>
    <x v="0"/>
    <n v="178.91"/>
    <n v="0.25"/>
    <n v="0"/>
  </r>
  <r>
    <n v="7909"/>
    <s v="CA-2016-149762"/>
    <d v="2016-12-03T00:00:00"/>
    <x v="0"/>
    <s v="Q4"/>
    <x v="5"/>
    <d v="2016-12-07T00:00:00"/>
    <s v="Standard Class"/>
    <x v="742"/>
    <x v="742"/>
    <s v="Consumer"/>
    <s v="United States"/>
    <s v="Morgan Hill"/>
    <x v="1"/>
    <n v="95037"/>
    <x v="1"/>
    <x v="823"/>
    <x v="0"/>
    <x v="3"/>
    <x v="819"/>
    <n v="268.70400000000001"/>
    <s v="High"/>
    <n v="3"/>
    <n v="0.2"/>
    <x v="2"/>
    <x v="2"/>
    <n v="6.7176"/>
    <n v="2.4999999999999998E-2"/>
    <n v="0"/>
  </r>
  <r>
    <n v="7910"/>
    <s v="CA-2016-149762"/>
    <d v="2016-12-03T00:00:00"/>
    <x v="0"/>
    <s v="Q4"/>
    <x v="5"/>
    <d v="2016-12-07T00:00:00"/>
    <s v="Standard Class"/>
    <x v="742"/>
    <x v="742"/>
    <s v="Consumer"/>
    <s v="United States"/>
    <s v="Morgan Hill"/>
    <x v="1"/>
    <n v="95037"/>
    <x v="1"/>
    <x v="448"/>
    <x v="1"/>
    <x v="6"/>
    <x v="448"/>
    <n v="21.92"/>
    <s v="Low"/>
    <n v="8"/>
    <n v="0"/>
    <x v="0"/>
    <x v="0"/>
    <n v="5.9184000000000001"/>
    <n v="0.26999999999999996"/>
    <n v="0"/>
  </r>
  <r>
    <n v="7911"/>
    <s v="CA-2016-149762"/>
    <d v="2016-12-03T00:00:00"/>
    <x v="0"/>
    <s v="Q4"/>
    <x v="5"/>
    <d v="2016-12-07T00:00:00"/>
    <s v="Standard Class"/>
    <x v="742"/>
    <x v="742"/>
    <s v="Consumer"/>
    <s v="United States"/>
    <s v="Morgan Hill"/>
    <x v="1"/>
    <n v="95037"/>
    <x v="1"/>
    <x v="720"/>
    <x v="1"/>
    <x v="4"/>
    <x v="719"/>
    <n v="48.72"/>
    <s v="Medium"/>
    <n v="3"/>
    <n v="0"/>
    <x v="0"/>
    <x v="0"/>
    <n v="7.3079999999999998"/>
    <n v="0.15"/>
    <n v="0"/>
  </r>
  <r>
    <n v="7912"/>
    <s v="CA-2016-149762"/>
    <d v="2016-12-03T00:00:00"/>
    <x v="0"/>
    <s v="Q4"/>
    <x v="5"/>
    <d v="2016-12-07T00:00:00"/>
    <s v="Standard Class"/>
    <x v="742"/>
    <x v="742"/>
    <s v="Consumer"/>
    <s v="United States"/>
    <s v="Morgan Hill"/>
    <x v="1"/>
    <n v="95037"/>
    <x v="1"/>
    <x v="430"/>
    <x v="0"/>
    <x v="0"/>
    <x v="430"/>
    <n v="205.666"/>
    <s v="High"/>
    <n v="2"/>
    <n v="0.15"/>
    <x v="2"/>
    <x v="2"/>
    <n v="-12.098000000000001"/>
    <n v="-5.8823529411764712E-2"/>
    <n v="1"/>
  </r>
  <r>
    <n v="7913"/>
    <s v="CA-2016-167605"/>
    <d v="2016-04-28T00:00:00"/>
    <x v="0"/>
    <s v="Q2"/>
    <x v="25"/>
    <d v="2016-04-30T00:00:00"/>
    <s v="Second Class"/>
    <x v="262"/>
    <x v="262"/>
    <s v="Consumer"/>
    <s v="United States"/>
    <s v="Saint Charles"/>
    <x v="10"/>
    <n v="60174"/>
    <x v="2"/>
    <x v="767"/>
    <x v="0"/>
    <x v="5"/>
    <x v="766"/>
    <n v="30.344000000000001"/>
    <s v="Medium"/>
    <n v="2"/>
    <n v="0.6"/>
    <x v="1"/>
    <x v="6"/>
    <n v="-31.8612"/>
    <n v="-1.05"/>
    <n v="1"/>
  </r>
  <r>
    <n v="7914"/>
    <s v="US-2017-105697"/>
    <d v="2017-08-25T00:00:00"/>
    <x v="3"/>
    <s v="Q3"/>
    <x v="43"/>
    <d v="2017-08-27T00:00:00"/>
    <s v="First Class"/>
    <x v="555"/>
    <x v="555"/>
    <s v="Consumer"/>
    <s v="United States"/>
    <s v="Cleveland"/>
    <x v="24"/>
    <n v="44105"/>
    <x v="3"/>
    <x v="1229"/>
    <x v="1"/>
    <x v="4"/>
    <x v="1212"/>
    <n v="25.696000000000002"/>
    <s v="Medium"/>
    <n v="2"/>
    <n v="0.2"/>
    <x v="2"/>
    <x v="2"/>
    <n v="1.9272"/>
    <n v="7.4999999999999997E-2"/>
    <n v="0"/>
  </r>
  <r>
    <n v="7915"/>
    <s v="CA-2017-165323"/>
    <d v="2017-06-17T00:00:00"/>
    <x v="3"/>
    <s v="Q2"/>
    <x v="27"/>
    <d v="2017-06-21T00:00:00"/>
    <s v="Standard Class"/>
    <x v="256"/>
    <x v="256"/>
    <s v="Home Office"/>
    <s v="United States"/>
    <s v="New York City"/>
    <x v="15"/>
    <n v="10024"/>
    <x v="3"/>
    <x v="1829"/>
    <x v="2"/>
    <x v="15"/>
    <x v="1817"/>
    <n v="3404.5"/>
    <s v="High"/>
    <n v="5"/>
    <n v="0"/>
    <x v="0"/>
    <x v="0"/>
    <n v="1668.2049999999999"/>
    <n v="0.49"/>
    <n v="0"/>
  </r>
  <r>
    <n v="7916"/>
    <s v="CA-2017-165323"/>
    <d v="2017-06-17T00:00:00"/>
    <x v="3"/>
    <s v="Q2"/>
    <x v="27"/>
    <d v="2017-06-21T00:00:00"/>
    <s v="Standard Class"/>
    <x v="256"/>
    <x v="256"/>
    <s v="Home Office"/>
    <s v="United States"/>
    <s v="New York City"/>
    <x v="15"/>
    <n v="10024"/>
    <x v="3"/>
    <x v="1735"/>
    <x v="2"/>
    <x v="11"/>
    <x v="1724"/>
    <n v="101.34"/>
    <s v="Medium"/>
    <n v="3"/>
    <n v="0"/>
    <x v="0"/>
    <x v="0"/>
    <n v="8.1072000000000006"/>
    <n v="0.08"/>
    <n v="0"/>
  </r>
  <r>
    <n v="7917"/>
    <s v="CA-2015-110891"/>
    <d v="2015-11-20T00:00:00"/>
    <x v="1"/>
    <s v="Q4"/>
    <x v="6"/>
    <d v="2015-11-24T00:00:00"/>
    <s v="Standard Class"/>
    <x v="285"/>
    <x v="285"/>
    <s v="Home Office"/>
    <s v="United States"/>
    <s v="Philadelphia"/>
    <x v="9"/>
    <n v="19140"/>
    <x v="3"/>
    <x v="812"/>
    <x v="0"/>
    <x v="1"/>
    <x v="809"/>
    <n v="344.37200000000001"/>
    <s v="High"/>
    <n v="4"/>
    <n v="0.3"/>
    <x v="1"/>
    <x v="4"/>
    <n v="-93.472399999999993"/>
    <n v="-0.27142857142857141"/>
    <n v="1"/>
  </r>
  <r>
    <n v="7918"/>
    <s v="CA-2017-100783"/>
    <d v="2017-09-04T00:00:00"/>
    <x v="3"/>
    <s v="Q3"/>
    <x v="15"/>
    <d v="2017-09-08T00:00:00"/>
    <s v="Second Class"/>
    <x v="451"/>
    <x v="451"/>
    <s v="Home Office"/>
    <s v="United States"/>
    <s v="Garland"/>
    <x v="5"/>
    <n v="75043"/>
    <x v="2"/>
    <x v="108"/>
    <x v="1"/>
    <x v="6"/>
    <x v="108"/>
    <n v="30.384"/>
    <s v="Medium"/>
    <n v="1"/>
    <n v="0.2"/>
    <x v="2"/>
    <x v="2"/>
    <n v="3.798"/>
    <n v="0.125"/>
    <n v="0"/>
  </r>
  <r>
    <n v="7919"/>
    <s v="CA-2015-152513"/>
    <d v="2015-07-04T00:00:00"/>
    <x v="1"/>
    <s v="Q3"/>
    <x v="38"/>
    <d v="2015-07-08T00:00:00"/>
    <s v="Second Class"/>
    <x v="655"/>
    <x v="655"/>
    <s v="Home Office"/>
    <s v="United States"/>
    <s v="San Diego"/>
    <x v="1"/>
    <n v="92024"/>
    <x v="1"/>
    <x v="276"/>
    <x v="1"/>
    <x v="8"/>
    <x v="276"/>
    <n v="22.847999999999999"/>
    <s v="Low"/>
    <n v="2"/>
    <n v="0.2"/>
    <x v="2"/>
    <x v="2"/>
    <n v="7.4256000000000002"/>
    <n v="0.32500000000000001"/>
    <n v="0"/>
  </r>
  <r>
    <n v="7920"/>
    <s v="CA-2017-139822"/>
    <d v="2017-09-15T00:00:00"/>
    <x v="3"/>
    <s v="Q3"/>
    <x v="15"/>
    <d v="2017-09-21T00:00:00"/>
    <s v="Standard Class"/>
    <x v="656"/>
    <x v="656"/>
    <s v="Home Office"/>
    <s v="United States"/>
    <s v="Waterbury"/>
    <x v="29"/>
    <n v="6708"/>
    <x v="3"/>
    <x v="1220"/>
    <x v="1"/>
    <x v="4"/>
    <x v="1204"/>
    <n v="38.619999999999997"/>
    <s v="Medium"/>
    <n v="2"/>
    <n v="0"/>
    <x v="0"/>
    <x v="0"/>
    <n v="10.813599999999999"/>
    <n v="0.27999999999999997"/>
    <n v="0"/>
  </r>
  <r>
    <n v="7921"/>
    <s v="CA-2017-139822"/>
    <d v="2017-09-15T00:00:00"/>
    <x v="3"/>
    <s v="Q3"/>
    <x v="15"/>
    <d v="2017-09-21T00:00:00"/>
    <s v="Standard Class"/>
    <x v="656"/>
    <x v="656"/>
    <s v="Home Office"/>
    <s v="United States"/>
    <s v="Waterbury"/>
    <x v="29"/>
    <n v="6708"/>
    <x v="3"/>
    <x v="1600"/>
    <x v="2"/>
    <x v="11"/>
    <x v="1592"/>
    <n v="59.98"/>
    <s v="Medium"/>
    <n v="2"/>
    <n v="0"/>
    <x v="0"/>
    <x v="0"/>
    <n v="10.7964"/>
    <n v="0.18000000000000002"/>
    <n v="0"/>
  </r>
  <r>
    <n v="7922"/>
    <s v="CA-2017-107713"/>
    <d v="2017-03-13T00:00:00"/>
    <x v="3"/>
    <s v="Q1"/>
    <x v="42"/>
    <d v="2017-03-17T00:00:00"/>
    <s v="Standard Class"/>
    <x v="677"/>
    <x v="677"/>
    <s v="Consumer"/>
    <s v="United States"/>
    <s v="Columbia"/>
    <x v="39"/>
    <n v="21044"/>
    <x v="3"/>
    <x v="920"/>
    <x v="1"/>
    <x v="8"/>
    <x v="912"/>
    <n v="174.3"/>
    <s v="High"/>
    <n v="3"/>
    <n v="0"/>
    <x v="0"/>
    <x v="0"/>
    <n v="81.921000000000006"/>
    <n v="0.47000000000000003"/>
    <n v="0"/>
  </r>
  <r>
    <n v="7923"/>
    <s v="CA-2017-134096"/>
    <d v="2017-09-24T00:00:00"/>
    <x v="3"/>
    <s v="Q3"/>
    <x v="15"/>
    <d v="2017-09-29T00:00:00"/>
    <s v="Standard Class"/>
    <x v="452"/>
    <x v="452"/>
    <s v="Home Office"/>
    <s v="United States"/>
    <s v="Hollywood"/>
    <x v="2"/>
    <n v="33021"/>
    <x v="0"/>
    <x v="1485"/>
    <x v="2"/>
    <x v="7"/>
    <x v="1472"/>
    <n v="383.96"/>
    <s v="High"/>
    <n v="5"/>
    <n v="0.2"/>
    <x v="2"/>
    <x v="2"/>
    <n v="38.396000000000001"/>
    <n v="0.1"/>
    <n v="0"/>
  </r>
  <r>
    <n v="7924"/>
    <s v="CA-2017-134096"/>
    <d v="2017-09-24T00:00:00"/>
    <x v="3"/>
    <s v="Q3"/>
    <x v="15"/>
    <d v="2017-09-29T00:00:00"/>
    <s v="Standard Class"/>
    <x v="452"/>
    <x v="452"/>
    <s v="Home Office"/>
    <s v="United States"/>
    <s v="Hollywood"/>
    <x v="2"/>
    <n v="33021"/>
    <x v="0"/>
    <x v="153"/>
    <x v="1"/>
    <x v="8"/>
    <x v="154"/>
    <n v="15.57"/>
    <s v="Low"/>
    <n v="3"/>
    <n v="0.7"/>
    <x v="1"/>
    <x v="5"/>
    <n v="-11.417999999999999"/>
    <n v="-0.73333333333333328"/>
    <n v="1"/>
  </r>
  <r>
    <n v="7925"/>
    <s v="CA-2016-125843"/>
    <d v="2016-08-13T00:00:00"/>
    <x v="0"/>
    <s v="Q3"/>
    <x v="28"/>
    <d v="2016-08-16T00:00:00"/>
    <s v="First Class"/>
    <x v="167"/>
    <x v="167"/>
    <s v="Consumer"/>
    <s v="United States"/>
    <s v="Springfield"/>
    <x v="17"/>
    <n v="22153"/>
    <x v="0"/>
    <x v="78"/>
    <x v="1"/>
    <x v="8"/>
    <x v="78"/>
    <n v="22.32"/>
    <s v="Low"/>
    <n v="4"/>
    <n v="0"/>
    <x v="0"/>
    <x v="0"/>
    <n v="10.7136"/>
    <n v="0.48"/>
    <n v="0"/>
  </r>
  <r>
    <n v="7926"/>
    <s v="CA-2016-125843"/>
    <d v="2016-08-13T00:00:00"/>
    <x v="0"/>
    <s v="Q3"/>
    <x v="28"/>
    <d v="2016-08-16T00:00:00"/>
    <s v="First Class"/>
    <x v="167"/>
    <x v="167"/>
    <s v="Consumer"/>
    <s v="United States"/>
    <s v="Springfield"/>
    <x v="17"/>
    <n v="22153"/>
    <x v="0"/>
    <x v="429"/>
    <x v="1"/>
    <x v="2"/>
    <x v="429"/>
    <n v="103.6"/>
    <s v="Medium"/>
    <n v="7"/>
    <n v="0"/>
    <x v="0"/>
    <x v="0"/>
    <n v="51.8"/>
    <n v="0.5"/>
    <n v="0"/>
  </r>
  <r>
    <n v="7927"/>
    <s v="CA-2017-120404"/>
    <d v="2017-11-20T00:00:00"/>
    <x v="3"/>
    <s v="Q4"/>
    <x v="23"/>
    <d v="2017-11-24T00:00:00"/>
    <s v="Second Class"/>
    <x v="542"/>
    <x v="542"/>
    <s v="Corporate"/>
    <s v="United States"/>
    <s v="New York City"/>
    <x v="15"/>
    <n v="10035"/>
    <x v="3"/>
    <x v="1430"/>
    <x v="2"/>
    <x v="11"/>
    <x v="1418"/>
    <n v="2.97"/>
    <s v="Low"/>
    <n v="3"/>
    <n v="0"/>
    <x v="0"/>
    <x v="0"/>
    <n v="1.3365"/>
    <n v="0.44999999999999996"/>
    <n v="0"/>
  </r>
  <r>
    <n v="7928"/>
    <s v="CA-2017-120404"/>
    <d v="2017-11-20T00:00:00"/>
    <x v="3"/>
    <s v="Q4"/>
    <x v="23"/>
    <d v="2017-11-24T00:00:00"/>
    <s v="Second Class"/>
    <x v="542"/>
    <x v="542"/>
    <s v="Corporate"/>
    <s v="United States"/>
    <s v="New York City"/>
    <x v="15"/>
    <n v="10035"/>
    <x v="3"/>
    <x v="432"/>
    <x v="2"/>
    <x v="7"/>
    <x v="432"/>
    <n v="569.99"/>
    <s v="High"/>
    <n v="1"/>
    <n v="0"/>
    <x v="0"/>
    <x v="0"/>
    <n v="170.99700000000001"/>
    <n v="0.30000000000000004"/>
    <n v="0"/>
  </r>
  <r>
    <n v="7929"/>
    <s v="CA-2017-120404"/>
    <d v="2017-11-20T00:00:00"/>
    <x v="3"/>
    <s v="Q4"/>
    <x v="23"/>
    <d v="2017-11-24T00:00:00"/>
    <s v="Second Class"/>
    <x v="542"/>
    <x v="542"/>
    <s v="Corporate"/>
    <s v="United States"/>
    <s v="New York City"/>
    <x v="15"/>
    <n v="10035"/>
    <x v="3"/>
    <x v="1793"/>
    <x v="0"/>
    <x v="5"/>
    <x v="1783"/>
    <n v="50.97"/>
    <s v="Medium"/>
    <n v="3"/>
    <n v="0"/>
    <x v="0"/>
    <x v="0"/>
    <n v="9.1745999999999999"/>
    <n v="0.18"/>
    <n v="0"/>
  </r>
  <r>
    <n v="7930"/>
    <s v="CA-2017-167549"/>
    <d v="2017-07-25T00:00:00"/>
    <x v="3"/>
    <s v="Q3"/>
    <x v="10"/>
    <d v="2017-07-27T00:00:00"/>
    <s v="First Class"/>
    <x v="773"/>
    <x v="773"/>
    <s v="Home Office"/>
    <s v="United States"/>
    <s v="Dallas"/>
    <x v="5"/>
    <n v="75217"/>
    <x v="2"/>
    <x v="1169"/>
    <x v="0"/>
    <x v="3"/>
    <x v="1156"/>
    <n v="298.11599999999999"/>
    <s v="High"/>
    <n v="6"/>
    <n v="0.3"/>
    <x v="1"/>
    <x v="4"/>
    <n v="-4.2587999999999999"/>
    <n v="-1.4285714285714287E-2"/>
    <n v="1"/>
  </r>
  <r>
    <n v="7931"/>
    <s v="CA-2016-120082"/>
    <d v="2016-03-25T00:00:00"/>
    <x v="0"/>
    <s v="Q1"/>
    <x v="17"/>
    <d v="2016-03-27T00:00:00"/>
    <s v="Second Class"/>
    <x v="460"/>
    <x v="460"/>
    <s v="Corporate"/>
    <s v="United States"/>
    <s v="New York City"/>
    <x v="15"/>
    <n v="10024"/>
    <x v="3"/>
    <x v="1041"/>
    <x v="1"/>
    <x v="6"/>
    <x v="1030"/>
    <n v="59.52"/>
    <s v="Medium"/>
    <n v="3"/>
    <n v="0"/>
    <x v="0"/>
    <x v="0"/>
    <n v="17.856000000000002"/>
    <n v="0.3"/>
    <n v="0"/>
  </r>
  <r>
    <n v="7932"/>
    <s v="US-2016-168095"/>
    <d v="2016-07-15T00:00:00"/>
    <x v="0"/>
    <s v="Q3"/>
    <x v="16"/>
    <d v="2016-07-20T00:00:00"/>
    <s v="Standard Class"/>
    <x v="466"/>
    <x v="466"/>
    <s v="Corporate"/>
    <s v="United States"/>
    <s v="Portland"/>
    <x v="21"/>
    <n v="97206"/>
    <x v="1"/>
    <x v="370"/>
    <x v="0"/>
    <x v="1"/>
    <x v="371"/>
    <n v="230.28"/>
    <s v="High"/>
    <n v="3"/>
    <n v="0.2"/>
    <x v="2"/>
    <x v="2"/>
    <n v="23.027999999999999"/>
    <n v="9.9999999999999992E-2"/>
    <n v="0"/>
  </r>
  <r>
    <n v="7933"/>
    <s v="US-2016-168095"/>
    <d v="2016-07-15T00:00:00"/>
    <x v="0"/>
    <s v="Q3"/>
    <x v="16"/>
    <d v="2016-07-20T00:00:00"/>
    <s v="Standard Class"/>
    <x v="466"/>
    <x v="466"/>
    <s v="Corporate"/>
    <s v="United States"/>
    <s v="Portland"/>
    <x v="21"/>
    <n v="97206"/>
    <x v="1"/>
    <x v="954"/>
    <x v="1"/>
    <x v="10"/>
    <x v="947"/>
    <n v="105.52"/>
    <s v="Medium"/>
    <n v="5"/>
    <n v="0.2"/>
    <x v="2"/>
    <x v="2"/>
    <n v="34.293999999999997"/>
    <n v="0.32499999999999996"/>
    <n v="0"/>
  </r>
  <r>
    <n v="7934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1040"/>
    <x v="1"/>
    <x v="12"/>
    <x v="153"/>
    <n v="23.36"/>
    <s v="Low"/>
    <n v="2"/>
    <n v="0"/>
    <x v="0"/>
    <x v="0"/>
    <n v="11.68"/>
    <n v="0.5"/>
    <n v="0"/>
  </r>
  <r>
    <n v="7935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993"/>
    <x v="2"/>
    <x v="7"/>
    <x v="985"/>
    <n v="71.975999999999999"/>
    <s v="Medium"/>
    <n v="3"/>
    <n v="0.2"/>
    <x v="2"/>
    <x v="2"/>
    <n v="8.9969999999999999"/>
    <n v="0.125"/>
    <n v="0"/>
  </r>
  <r>
    <n v="7936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1117"/>
    <x v="1"/>
    <x v="10"/>
    <x v="1105"/>
    <n v="8.56"/>
    <s v="Low"/>
    <n v="2"/>
    <n v="0"/>
    <x v="0"/>
    <x v="0"/>
    <n v="3.8519999999999999"/>
    <n v="0.44999999999999996"/>
    <n v="0"/>
  </r>
  <r>
    <n v="7937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1458"/>
    <x v="1"/>
    <x v="8"/>
    <x v="1444"/>
    <n v="13.92"/>
    <s v="Low"/>
    <n v="3"/>
    <n v="0.2"/>
    <x v="2"/>
    <x v="2"/>
    <n v="4.8719999999999999"/>
    <n v="0.35"/>
    <n v="0"/>
  </r>
  <r>
    <n v="7938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137"/>
    <x v="1"/>
    <x v="9"/>
    <x v="138"/>
    <n v="2518.29"/>
    <s v="High"/>
    <n v="9"/>
    <n v="0"/>
    <x v="0"/>
    <x v="0"/>
    <n v="654.75540000000001"/>
    <n v="0.26"/>
    <n v="0"/>
  </r>
  <r>
    <n v="7939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734"/>
    <x v="1"/>
    <x v="4"/>
    <x v="733"/>
    <n v="540.57000000000005"/>
    <s v="High"/>
    <n v="3"/>
    <n v="0"/>
    <x v="0"/>
    <x v="0"/>
    <n v="140.54820000000001"/>
    <n v="0.26"/>
    <n v="0"/>
  </r>
  <r>
    <n v="7940"/>
    <s v="CA-2017-166093"/>
    <d v="2017-08-17T00:00:00"/>
    <x v="3"/>
    <s v="Q3"/>
    <x v="43"/>
    <d v="2017-08-24T00:00:00"/>
    <s v="Standard Class"/>
    <x v="459"/>
    <x v="459"/>
    <s v="Corporate"/>
    <s v="United States"/>
    <s v="Brentwood"/>
    <x v="1"/>
    <n v="94513"/>
    <x v="1"/>
    <x v="655"/>
    <x v="1"/>
    <x v="8"/>
    <x v="655"/>
    <n v="221.05600000000001"/>
    <s v="High"/>
    <n v="8"/>
    <n v="0.2"/>
    <x v="2"/>
    <x v="2"/>
    <n v="77.369600000000005"/>
    <n v="0.35000000000000003"/>
    <n v="0"/>
  </r>
  <r>
    <n v="7941"/>
    <s v="CA-2016-146325"/>
    <d v="2016-12-14T00:00:00"/>
    <x v="0"/>
    <s v="Q4"/>
    <x v="5"/>
    <d v="2016-12-17T00:00:00"/>
    <s v="First Class"/>
    <x v="103"/>
    <x v="103"/>
    <s v="Corporate"/>
    <s v="United States"/>
    <s v="San Diego"/>
    <x v="1"/>
    <n v="92037"/>
    <x v="1"/>
    <x v="64"/>
    <x v="0"/>
    <x v="1"/>
    <x v="124"/>
    <n v="81.424000000000007"/>
    <s v="Medium"/>
    <n v="2"/>
    <n v="0.2"/>
    <x v="2"/>
    <x v="2"/>
    <n v="-9.1601999999999997"/>
    <n v="-0.11249999999999999"/>
    <n v="1"/>
  </r>
  <r>
    <n v="7942"/>
    <s v="CA-2016-146325"/>
    <d v="2016-12-14T00:00:00"/>
    <x v="0"/>
    <s v="Q4"/>
    <x v="5"/>
    <d v="2016-12-17T00:00:00"/>
    <s v="First Class"/>
    <x v="103"/>
    <x v="103"/>
    <s v="Corporate"/>
    <s v="United States"/>
    <s v="San Diego"/>
    <x v="1"/>
    <n v="92037"/>
    <x v="1"/>
    <x v="146"/>
    <x v="1"/>
    <x v="4"/>
    <x v="147"/>
    <n v="134.80000000000001"/>
    <s v="High"/>
    <n v="10"/>
    <n v="0"/>
    <x v="0"/>
    <x v="0"/>
    <n v="35.048000000000002"/>
    <n v="0.26"/>
    <n v="0"/>
  </r>
  <r>
    <n v="7943"/>
    <s v="CA-2017-134194"/>
    <d v="2017-12-25T00:00:00"/>
    <x v="3"/>
    <s v="Q4"/>
    <x v="22"/>
    <d v="2018-01-01T00:00:00"/>
    <s v="Standard Class"/>
    <x v="315"/>
    <x v="315"/>
    <s v="Consumer"/>
    <s v="United States"/>
    <s v="Dallas"/>
    <x v="5"/>
    <n v="75081"/>
    <x v="2"/>
    <x v="715"/>
    <x v="1"/>
    <x v="8"/>
    <x v="714"/>
    <n v="39.582000000000001"/>
    <s v="Medium"/>
    <n v="9"/>
    <n v="0.8"/>
    <x v="1"/>
    <x v="3"/>
    <n v="-59.372999999999998"/>
    <n v="-1.5"/>
    <n v="1"/>
  </r>
  <r>
    <n v="7944"/>
    <s v="CA-2017-134194"/>
    <d v="2017-12-25T00:00:00"/>
    <x v="3"/>
    <s v="Q4"/>
    <x v="22"/>
    <d v="2018-01-01T00:00:00"/>
    <s v="Standard Class"/>
    <x v="315"/>
    <x v="315"/>
    <s v="Consumer"/>
    <s v="United States"/>
    <s v="Dallas"/>
    <x v="5"/>
    <n v="75081"/>
    <x v="2"/>
    <x v="1444"/>
    <x v="1"/>
    <x v="14"/>
    <x v="327"/>
    <n v="44.688000000000002"/>
    <s v="Medium"/>
    <n v="7"/>
    <n v="0.2"/>
    <x v="2"/>
    <x v="2"/>
    <n v="5.0274000000000001"/>
    <n v="0.1125"/>
    <n v="0"/>
  </r>
  <r>
    <n v="7945"/>
    <s v="CA-2017-134194"/>
    <d v="2017-12-25T00:00:00"/>
    <x v="3"/>
    <s v="Q4"/>
    <x v="22"/>
    <d v="2018-01-01T00:00:00"/>
    <s v="Standard Class"/>
    <x v="315"/>
    <x v="315"/>
    <s v="Consumer"/>
    <s v="United States"/>
    <s v="Dallas"/>
    <x v="5"/>
    <n v="75081"/>
    <x v="2"/>
    <x v="1500"/>
    <x v="1"/>
    <x v="6"/>
    <x v="1488"/>
    <n v="31.744"/>
    <s v="Medium"/>
    <n v="2"/>
    <n v="0.2"/>
    <x v="2"/>
    <x v="2"/>
    <n v="2.3807999999999998"/>
    <n v="7.4999999999999997E-2"/>
    <n v="0"/>
  </r>
  <r>
    <n v="7946"/>
    <s v="CA-2017-134194"/>
    <d v="2017-12-25T00:00:00"/>
    <x v="3"/>
    <s v="Q4"/>
    <x v="22"/>
    <d v="2018-01-01T00:00:00"/>
    <s v="Standard Class"/>
    <x v="315"/>
    <x v="315"/>
    <s v="Consumer"/>
    <s v="United States"/>
    <s v="Dallas"/>
    <x v="5"/>
    <n v="75081"/>
    <x v="2"/>
    <x v="800"/>
    <x v="1"/>
    <x v="8"/>
    <x v="798"/>
    <n v="40.98"/>
    <s v="Medium"/>
    <n v="5"/>
    <n v="0.8"/>
    <x v="1"/>
    <x v="3"/>
    <n v="-65.567999999999998"/>
    <n v="-1.6"/>
    <n v="1"/>
  </r>
  <r>
    <n v="7947"/>
    <s v="CA-2017-134194"/>
    <d v="2017-12-25T00:00:00"/>
    <x v="3"/>
    <s v="Q4"/>
    <x v="22"/>
    <d v="2018-01-01T00:00:00"/>
    <s v="Standard Class"/>
    <x v="315"/>
    <x v="315"/>
    <s v="Consumer"/>
    <s v="United States"/>
    <s v="Dallas"/>
    <x v="5"/>
    <n v="75081"/>
    <x v="2"/>
    <x v="1085"/>
    <x v="1"/>
    <x v="8"/>
    <x v="1075"/>
    <n v="3.1680000000000001"/>
    <s v="Low"/>
    <n v="3"/>
    <n v="0.8"/>
    <x v="1"/>
    <x v="3"/>
    <n v="-5.0688000000000004"/>
    <n v="-1.6"/>
    <n v="1"/>
  </r>
  <r>
    <n v="7948"/>
    <s v="CA-2014-131009"/>
    <d v="2014-03-01T00:00:00"/>
    <x v="2"/>
    <s v="Q1"/>
    <x v="34"/>
    <d v="2014-03-05T00:00:00"/>
    <s v="Standard Class"/>
    <x v="618"/>
    <x v="618"/>
    <s v="Consumer"/>
    <s v="United States"/>
    <s v="El Paso"/>
    <x v="5"/>
    <n v="79907"/>
    <x v="2"/>
    <x v="1217"/>
    <x v="1"/>
    <x v="13"/>
    <x v="1201"/>
    <n v="18.84"/>
    <s v="Low"/>
    <n v="5"/>
    <n v="0.2"/>
    <x v="2"/>
    <x v="2"/>
    <n v="-3.5325000000000002"/>
    <n v="-0.1875"/>
    <n v="1"/>
  </r>
  <r>
    <n v="7949"/>
    <s v="CA-2014-131009"/>
    <d v="2014-03-01T00:00:00"/>
    <x v="2"/>
    <s v="Q1"/>
    <x v="34"/>
    <d v="2014-03-05T00:00:00"/>
    <s v="Standard Class"/>
    <x v="618"/>
    <x v="618"/>
    <s v="Consumer"/>
    <s v="United States"/>
    <s v="El Paso"/>
    <x v="5"/>
    <n v="79907"/>
    <x v="2"/>
    <x v="866"/>
    <x v="0"/>
    <x v="1"/>
    <x v="860"/>
    <n v="362.25"/>
    <s v="High"/>
    <n v="6"/>
    <n v="0.3"/>
    <x v="1"/>
    <x v="4"/>
    <n v="0"/>
    <n v="0"/>
    <n v="0"/>
  </r>
  <r>
    <n v="7950"/>
    <s v="CA-2014-131009"/>
    <d v="2014-03-01T00:00:00"/>
    <x v="2"/>
    <s v="Q1"/>
    <x v="34"/>
    <d v="2014-03-05T00:00:00"/>
    <s v="Standard Class"/>
    <x v="618"/>
    <x v="618"/>
    <s v="Consumer"/>
    <s v="United States"/>
    <s v="El Paso"/>
    <x v="5"/>
    <n v="79907"/>
    <x v="2"/>
    <x v="750"/>
    <x v="0"/>
    <x v="5"/>
    <x v="748"/>
    <n v="63.552"/>
    <s v="Medium"/>
    <n v="6"/>
    <n v="0.6"/>
    <x v="1"/>
    <x v="6"/>
    <n v="-34.953600000000002"/>
    <n v="-0.55000000000000004"/>
    <n v="1"/>
  </r>
  <r>
    <n v="7951"/>
    <s v="CA-2014-131009"/>
    <d v="2014-03-01T00:00:00"/>
    <x v="2"/>
    <s v="Q1"/>
    <x v="34"/>
    <d v="2014-03-05T00:00:00"/>
    <s v="Standard Class"/>
    <x v="618"/>
    <x v="618"/>
    <s v="Consumer"/>
    <s v="United States"/>
    <s v="El Paso"/>
    <x v="5"/>
    <n v="79907"/>
    <x v="2"/>
    <x v="398"/>
    <x v="1"/>
    <x v="4"/>
    <x v="399"/>
    <n v="129.55199999999999"/>
    <s v="High"/>
    <n v="3"/>
    <n v="0.2"/>
    <x v="2"/>
    <x v="2"/>
    <n v="-22.671600000000002"/>
    <n v="-0.17500000000000002"/>
    <n v="1"/>
  </r>
  <r>
    <n v="7952"/>
    <s v="CA-2015-145814"/>
    <d v="2015-11-19T00:00:00"/>
    <x v="1"/>
    <s v="Q4"/>
    <x v="6"/>
    <d v="2015-11-24T00:00:00"/>
    <s v="Standard Class"/>
    <x v="44"/>
    <x v="44"/>
    <s v="Consumer"/>
    <s v="United States"/>
    <s v="New York City"/>
    <x v="15"/>
    <n v="10035"/>
    <x v="3"/>
    <x v="1390"/>
    <x v="1"/>
    <x v="8"/>
    <x v="1376"/>
    <n v="5.984"/>
    <s v="Low"/>
    <n v="2"/>
    <n v="0.2"/>
    <x v="2"/>
    <x v="2"/>
    <n v="2.2440000000000002"/>
    <n v="0.37500000000000006"/>
    <n v="0"/>
  </r>
  <r>
    <n v="7953"/>
    <s v="CA-2015-145814"/>
    <d v="2015-11-19T00:00:00"/>
    <x v="1"/>
    <s v="Q4"/>
    <x v="6"/>
    <d v="2015-11-24T00:00:00"/>
    <s v="Standard Class"/>
    <x v="44"/>
    <x v="44"/>
    <s v="Consumer"/>
    <s v="United States"/>
    <s v="New York City"/>
    <x v="15"/>
    <n v="10035"/>
    <x v="3"/>
    <x v="883"/>
    <x v="2"/>
    <x v="7"/>
    <x v="1480"/>
    <n v="861.76"/>
    <s v="High"/>
    <n v="4"/>
    <n v="0"/>
    <x v="0"/>
    <x v="0"/>
    <n v="249.91040000000001"/>
    <n v="0.29000000000000004"/>
    <n v="0"/>
  </r>
  <r>
    <n v="7954"/>
    <s v="CA-2014-138359"/>
    <d v="2014-04-01T00:00:00"/>
    <x v="2"/>
    <s v="Q2"/>
    <x v="41"/>
    <d v="2014-04-06T00:00:00"/>
    <s v="Standard Class"/>
    <x v="542"/>
    <x v="542"/>
    <s v="Corporate"/>
    <s v="United States"/>
    <s v="Revere"/>
    <x v="31"/>
    <n v="2151"/>
    <x v="3"/>
    <x v="1764"/>
    <x v="1"/>
    <x v="4"/>
    <x v="1753"/>
    <n v="66.959999999999994"/>
    <s v="Medium"/>
    <n v="4"/>
    <n v="0"/>
    <x v="0"/>
    <x v="0"/>
    <n v="2.6783999999999999"/>
    <n v="0.04"/>
    <n v="0"/>
  </r>
  <r>
    <n v="7955"/>
    <s v="CA-2014-138359"/>
    <d v="2014-04-01T00:00:00"/>
    <x v="2"/>
    <s v="Q2"/>
    <x v="41"/>
    <d v="2014-04-06T00:00:00"/>
    <s v="Standard Class"/>
    <x v="542"/>
    <x v="542"/>
    <s v="Corporate"/>
    <s v="United States"/>
    <s v="Revere"/>
    <x v="31"/>
    <n v="2151"/>
    <x v="3"/>
    <x v="744"/>
    <x v="1"/>
    <x v="8"/>
    <x v="742"/>
    <n v="6.24"/>
    <s v="Low"/>
    <n v="2"/>
    <n v="0"/>
    <x v="0"/>
    <x v="0"/>
    <n v="3.0575999999999999"/>
    <n v="0.48999999999999994"/>
    <n v="0"/>
  </r>
  <r>
    <n v="7956"/>
    <s v="CA-2017-131807"/>
    <d v="2017-10-05T00:00:00"/>
    <x v="3"/>
    <s v="Q4"/>
    <x v="13"/>
    <d v="2017-10-10T00:00:00"/>
    <s v="Standard Class"/>
    <x v="55"/>
    <x v="55"/>
    <s v="Corporate"/>
    <s v="United States"/>
    <s v="Chico"/>
    <x v="1"/>
    <n v="95928"/>
    <x v="1"/>
    <x v="1349"/>
    <x v="0"/>
    <x v="1"/>
    <x v="1335"/>
    <n v="435.16800000000001"/>
    <s v="High"/>
    <n v="4"/>
    <n v="0.2"/>
    <x v="2"/>
    <x v="2"/>
    <n v="-59.835599999999999"/>
    <n v="-0.13749999999999998"/>
    <n v="1"/>
  </r>
  <r>
    <n v="7957"/>
    <s v="CA-2017-131807"/>
    <d v="2017-10-05T00:00:00"/>
    <x v="3"/>
    <s v="Q4"/>
    <x v="13"/>
    <d v="2017-10-10T00:00:00"/>
    <s v="Standard Class"/>
    <x v="55"/>
    <x v="55"/>
    <s v="Corporate"/>
    <s v="United States"/>
    <s v="Chico"/>
    <x v="1"/>
    <n v="95928"/>
    <x v="1"/>
    <x v="127"/>
    <x v="1"/>
    <x v="13"/>
    <x v="128"/>
    <n v="14.9"/>
    <s v="Low"/>
    <n v="5"/>
    <n v="0"/>
    <x v="0"/>
    <x v="0"/>
    <n v="6.8540000000000001"/>
    <n v="0.46"/>
    <n v="0"/>
  </r>
  <r>
    <n v="7958"/>
    <s v="CA-2017-131807"/>
    <d v="2017-10-05T00:00:00"/>
    <x v="3"/>
    <s v="Q4"/>
    <x v="13"/>
    <d v="2017-10-10T00:00:00"/>
    <s v="Standard Class"/>
    <x v="55"/>
    <x v="55"/>
    <s v="Corporate"/>
    <s v="United States"/>
    <s v="Chico"/>
    <x v="1"/>
    <n v="95928"/>
    <x v="1"/>
    <x v="1683"/>
    <x v="1"/>
    <x v="9"/>
    <x v="1671"/>
    <n v="15.8"/>
    <s v="Low"/>
    <n v="4"/>
    <n v="0"/>
    <x v="0"/>
    <x v="0"/>
    <n v="4.1079999999999997"/>
    <n v="0.25999999999999995"/>
    <n v="0"/>
  </r>
  <r>
    <n v="7959"/>
    <s v="CA-2017-131807"/>
    <d v="2017-10-05T00:00:00"/>
    <x v="3"/>
    <s v="Q4"/>
    <x v="13"/>
    <d v="2017-10-10T00:00:00"/>
    <s v="Standard Class"/>
    <x v="55"/>
    <x v="55"/>
    <s v="Corporate"/>
    <s v="United States"/>
    <s v="Chico"/>
    <x v="1"/>
    <n v="95928"/>
    <x v="1"/>
    <x v="1474"/>
    <x v="0"/>
    <x v="5"/>
    <x v="1461"/>
    <n v="72.900000000000006"/>
    <s v="Medium"/>
    <n v="5"/>
    <n v="0"/>
    <x v="0"/>
    <x v="0"/>
    <n v="26.972999999999999"/>
    <n v="0.36999999999999994"/>
    <n v="0"/>
  </r>
  <r>
    <n v="7960"/>
    <s v="CA-2017-131807"/>
    <d v="2017-10-05T00:00:00"/>
    <x v="3"/>
    <s v="Q4"/>
    <x v="13"/>
    <d v="2017-10-10T00:00:00"/>
    <s v="Standard Class"/>
    <x v="55"/>
    <x v="55"/>
    <s v="Corporate"/>
    <s v="United States"/>
    <s v="Chico"/>
    <x v="1"/>
    <n v="95928"/>
    <x v="1"/>
    <x v="838"/>
    <x v="0"/>
    <x v="3"/>
    <x v="832"/>
    <n v="206.352"/>
    <s v="High"/>
    <n v="3"/>
    <n v="0.2"/>
    <x v="2"/>
    <x v="2"/>
    <n v="5.1588000000000003"/>
    <n v="2.5000000000000001E-2"/>
    <n v="0"/>
  </r>
  <r>
    <n v="7961"/>
    <s v="CA-2017-131807"/>
    <d v="2017-10-05T00:00:00"/>
    <x v="3"/>
    <s v="Q4"/>
    <x v="13"/>
    <d v="2017-10-10T00:00:00"/>
    <s v="Standard Class"/>
    <x v="55"/>
    <x v="55"/>
    <s v="Corporate"/>
    <s v="United States"/>
    <s v="Chico"/>
    <x v="1"/>
    <n v="95928"/>
    <x v="1"/>
    <x v="312"/>
    <x v="2"/>
    <x v="7"/>
    <x v="312"/>
    <n v="7.992"/>
    <s v="Low"/>
    <n v="1"/>
    <n v="0.2"/>
    <x v="2"/>
    <x v="2"/>
    <n v="2.6972999999999998"/>
    <n v="0.33749999999999997"/>
    <n v="0"/>
  </r>
  <r>
    <n v="7962"/>
    <s v="CA-2017-104864"/>
    <d v="2017-11-18T00:00:00"/>
    <x v="3"/>
    <s v="Q4"/>
    <x v="23"/>
    <d v="2017-11-23T00:00:00"/>
    <s v="Second Class"/>
    <x v="40"/>
    <x v="40"/>
    <s v="Corporate"/>
    <s v="United States"/>
    <s v="Miramar"/>
    <x v="2"/>
    <n v="33023"/>
    <x v="0"/>
    <x v="1512"/>
    <x v="1"/>
    <x v="4"/>
    <x v="1499"/>
    <n v="81.36"/>
    <s v="Medium"/>
    <n v="5"/>
    <n v="0.2"/>
    <x v="2"/>
    <x v="2"/>
    <n v="-19.323"/>
    <n v="-0.23750000000000002"/>
    <n v="1"/>
  </r>
  <r>
    <n v="7963"/>
    <s v="CA-2017-104864"/>
    <d v="2017-11-18T00:00:00"/>
    <x v="3"/>
    <s v="Q4"/>
    <x v="23"/>
    <d v="2017-11-23T00:00:00"/>
    <s v="Second Class"/>
    <x v="40"/>
    <x v="40"/>
    <s v="Corporate"/>
    <s v="United States"/>
    <s v="Miramar"/>
    <x v="2"/>
    <n v="33023"/>
    <x v="0"/>
    <x v="674"/>
    <x v="1"/>
    <x v="8"/>
    <x v="674"/>
    <n v="20.231999999999999"/>
    <s v="Low"/>
    <n v="8"/>
    <n v="0.7"/>
    <x v="1"/>
    <x v="5"/>
    <n v="-16.185600000000001"/>
    <n v="-0.8"/>
    <n v="1"/>
  </r>
  <r>
    <n v="7964"/>
    <s v="CA-2017-104864"/>
    <d v="2017-11-18T00:00:00"/>
    <x v="3"/>
    <s v="Q4"/>
    <x v="23"/>
    <d v="2017-11-23T00:00:00"/>
    <s v="Second Class"/>
    <x v="40"/>
    <x v="40"/>
    <s v="Corporate"/>
    <s v="United States"/>
    <s v="Miramar"/>
    <x v="2"/>
    <n v="33023"/>
    <x v="0"/>
    <x v="166"/>
    <x v="1"/>
    <x v="9"/>
    <x v="167"/>
    <n v="389.05599999999998"/>
    <s v="High"/>
    <n v="4"/>
    <n v="0.2"/>
    <x v="2"/>
    <x v="2"/>
    <n v="48.631999999999998"/>
    <n v="0.125"/>
    <n v="0"/>
  </r>
  <r>
    <n v="7965"/>
    <s v="CA-2017-104864"/>
    <d v="2017-11-18T00:00:00"/>
    <x v="3"/>
    <s v="Q4"/>
    <x v="23"/>
    <d v="2017-11-23T00:00:00"/>
    <s v="Second Class"/>
    <x v="40"/>
    <x v="40"/>
    <s v="Corporate"/>
    <s v="United States"/>
    <s v="Miramar"/>
    <x v="2"/>
    <n v="33023"/>
    <x v="0"/>
    <x v="1516"/>
    <x v="1"/>
    <x v="10"/>
    <x v="1503"/>
    <n v="20.736000000000001"/>
    <s v="Low"/>
    <n v="4"/>
    <n v="0.2"/>
    <x v="2"/>
    <x v="2"/>
    <n v="7.2576000000000001"/>
    <n v="0.35"/>
    <n v="0"/>
  </r>
  <r>
    <n v="7966"/>
    <s v="CA-2017-104864"/>
    <d v="2017-11-18T00:00:00"/>
    <x v="3"/>
    <s v="Q4"/>
    <x v="23"/>
    <d v="2017-11-23T00:00:00"/>
    <s v="Second Class"/>
    <x v="40"/>
    <x v="40"/>
    <s v="Corporate"/>
    <s v="United States"/>
    <s v="Miramar"/>
    <x v="2"/>
    <n v="33023"/>
    <x v="0"/>
    <x v="1165"/>
    <x v="1"/>
    <x v="10"/>
    <x v="1152"/>
    <n v="41.472000000000001"/>
    <s v="Medium"/>
    <n v="8"/>
    <n v="0.2"/>
    <x v="2"/>
    <x v="2"/>
    <n v="14.5152"/>
    <n v="0.35"/>
    <n v="0"/>
  </r>
  <r>
    <n v="7967"/>
    <s v="CA-2015-138219"/>
    <d v="2015-03-23T00:00:00"/>
    <x v="1"/>
    <s v="Q1"/>
    <x v="29"/>
    <d v="2015-03-30T00:00:00"/>
    <s v="Standard Class"/>
    <x v="162"/>
    <x v="162"/>
    <s v="Corporate"/>
    <s v="United States"/>
    <s v="Los Angeles"/>
    <x v="1"/>
    <n v="90049"/>
    <x v="1"/>
    <x v="1305"/>
    <x v="1"/>
    <x v="10"/>
    <x v="1290"/>
    <n v="33.36"/>
    <s v="Medium"/>
    <n v="4"/>
    <n v="0"/>
    <x v="0"/>
    <x v="0"/>
    <n v="16.68"/>
    <n v="0.5"/>
    <n v="0"/>
  </r>
  <r>
    <n v="7968"/>
    <s v="CA-2016-157707"/>
    <d v="2016-10-10T00:00:00"/>
    <x v="0"/>
    <s v="Q4"/>
    <x v="32"/>
    <d v="2016-10-12T00:00:00"/>
    <s v="First Class"/>
    <x v="566"/>
    <x v="566"/>
    <s v="Corporate"/>
    <s v="United States"/>
    <s v="Denver"/>
    <x v="22"/>
    <n v="80219"/>
    <x v="1"/>
    <x v="1830"/>
    <x v="0"/>
    <x v="0"/>
    <x v="1818"/>
    <n v="90.882000000000005"/>
    <s v="Medium"/>
    <n v="3"/>
    <n v="0.7"/>
    <x v="1"/>
    <x v="5"/>
    <n v="-190.85220000000001"/>
    <n v="-2.1"/>
    <n v="1"/>
  </r>
  <r>
    <n v="7969"/>
    <s v="CA-2016-157707"/>
    <d v="2016-10-10T00:00:00"/>
    <x v="0"/>
    <s v="Q4"/>
    <x v="32"/>
    <d v="2016-10-12T00:00:00"/>
    <s v="First Class"/>
    <x v="566"/>
    <x v="566"/>
    <s v="Corporate"/>
    <s v="United States"/>
    <s v="Denver"/>
    <x v="22"/>
    <n v="80219"/>
    <x v="1"/>
    <x v="1730"/>
    <x v="2"/>
    <x v="7"/>
    <x v="1717"/>
    <n v="15.992000000000001"/>
    <s v="Low"/>
    <n v="1"/>
    <n v="0.2"/>
    <x v="2"/>
    <x v="2"/>
    <n v="-2.9984999999999999"/>
    <n v="-0.18749999999999997"/>
    <n v="1"/>
  </r>
  <r>
    <n v="7970"/>
    <s v="CA-2016-157707"/>
    <d v="2016-10-10T00:00:00"/>
    <x v="0"/>
    <s v="Q4"/>
    <x v="32"/>
    <d v="2016-10-12T00:00:00"/>
    <s v="First Class"/>
    <x v="566"/>
    <x v="566"/>
    <s v="Corporate"/>
    <s v="United States"/>
    <s v="Denver"/>
    <x v="22"/>
    <n v="80219"/>
    <x v="1"/>
    <x v="531"/>
    <x v="0"/>
    <x v="1"/>
    <x v="531"/>
    <n v="120.78400000000001"/>
    <s v="Medium"/>
    <n v="1"/>
    <n v="0.2"/>
    <x v="2"/>
    <x v="2"/>
    <n v="13.588200000000001"/>
    <n v="0.1125"/>
    <n v="0"/>
  </r>
  <r>
    <n v="7971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1015"/>
    <x v="2"/>
    <x v="7"/>
    <x v="1006"/>
    <n v="519.79200000000003"/>
    <s v="High"/>
    <n v="4"/>
    <n v="0.4"/>
    <x v="1"/>
    <x v="7"/>
    <n v="-112.6216"/>
    <n v="-0.21666666666666665"/>
    <n v="1"/>
  </r>
  <r>
    <n v="7972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1421"/>
    <x v="2"/>
    <x v="11"/>
    <x v="1409"/>
    <n v="31.175999999999998"/>
    <s v="Medium"/>
    <n v="3"/>
    <n v="0.2"/>
    <x v="2"/>
    <x v="2"/>
    <n v="-5.4558"/>
    <n v="-0.17500000000000002"/>
    <n v="1"/>
  </r>
  <r>
    <n v="7973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1290"/>
    <x v="1"/>
    <x v="10"/>
    <x v="1276"/>
    <n v="10.368"/>
    <s v="Low"/>
    <n v="2"/>
    <n v="0.2"/>
    <x v="2"/>
    <x v="2"/>
    <n v="3.6288"/>
    <n v="0.35"/>
    <n v="0"/>
  </r>
  <r>
    <n v="7974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109"/>
    <x v="1"/>
    <x v="8"/>
    <x v="109"/>
    <n v="2.7240000000000002"/>
    <s v="Low"/>
    <n v="2"/>
    <n v="0.7"/>
    <x v="1"/>
    <x v="5"/>
    <n v="-1.9068000000000001"/>
    <n v="-0.7"/>
    <n v="1"/>
  </r>
  <r>
    <n v="7975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1060"/>
    <x v="0"/>
    <x v="5"/>
    <x v="1049"/>
    <n v="254.352"/>
    <s v="High"/>
    <n v="3"/>
    <n v="0.2"/>
    <x v="2"/>
    <x v="2"/>
    <n v="0"/>
    <n v="0"/>
    <n v="0"/>
  </r>
  <r>
    <n v="7976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807"/>
    <x v="1"/>
    <x v="8"/>
    <x v="805"/>
    <n v="3.762"/>
    <s v="Low"/>
    <n v="3"/>
    <n v="0.7"/>
    <x v="1"/>
    <x v="5"/>
    <n v="-2.7587999999999999"/>
    <n v="-0.73333333333333328"/>
    <n v="1"/>
  </r>
  <r>
    <n v="7977"/>
    <s v="US-2015-126753"/>
    <d v="2015-08-16T00:00:00"/>
    <x v="1"/>
    <s v="Q3"/>
    <x v="37"/>
    <d v="2015-08-20T00:00:00"/>
    <s v="Standard Class"/>
    <x v="133"/>
    <x v="133"/>
    <s v="Corporate"/>
    <s v="United States"/>
    <s v="Philadelphia"/>
    <x v="9"/>
    <n v="19134"/>
    <x v="3"/>
    <x v="1012"/>
    <x v="1"/>
    <x v="10"/>
    <x v="1004"/>
    <n v="10.272"/>
    <s v="Low"/>
    <n v="3"/>
    <n v="0.2"/>
    <x v="2"/>
    <x v="2"/>
    <n v="3.21"/>
    <n v="0.3125"/>
    <n v="0"/>
  </r>
  <r>
    <n v="7978"/>
    <s v="CA-2014-166051"/>
    <d v="2014-05-31T00:00:00"/>
    <x v="2"/>
    <s v="Q2"/>
    <x v="8"/>
    <d v="2014-06-05T00:00:00"/>
    <s v="Standard Class"/>
    <x v="600"/>
    <x v="600"/>
    <s v="Consumer"/>
    <s v="United States"/>
    <s v="Jackson"/>
    <x v="35"/>
    <n v="39212"/>
    <x v="0"/>
    <x v="420"/>
    <x v="2"/>
    <x v="7"/>
    <x v="420"/>
    <n v="659.97"/>
    <s v="High"/>
    <n v="3"/>
    <n v="0"/>
    <x v="0"/>
    <x v="0"/>
    <n v="197.99100000000001"/>
    <n v="0.3"/>
    <n v="0"/>
  </r>
  <r>
    <n v="7979"/>
    <s v="CA-2014-166051"/>
    <d v="2014-05-31T00:00:00"/>
    <x v="2"/>
    <s v="Q2"/>
    <x v="8"/>
    <d v="2014-06-05T00:00:00"/>
    <s v="Standard Class"/>
    <x v="600"/>
    <x v="600"/>
    <s v="Consumer"/>
    <s v="United States"/>
    <s v="Jackson"/>
    <x v="35"/>
    <n v="39212"/>
    <x v="0"/>
    <x v="529"/>
    <x v="2"/>
    <x v="7"/>
    <x v="529"/>
    <n v="113.73"/>
    <s v="Medium"/>
    <n v="3"/>
    <n v="0"/>
    <x v="0"/>
    <x v="0"/>
    <n v="32.981699999999996"/>
    <n v="0.28999999999999998"/>
    <n v="0"/>
  </r>
  <r>
    <n v="7980"/>
    <s v="CA-2015-113040"/>
    <d v="2015-08-27T00:00:00"/>
    <x v="1"/>
    <s v="Q3"/>
    <x v="37"/>
    <d v="2015-08-31T00:00:00"/>
    <s v="Standard Class"/>
    <x v="385"/>
    <x v="385"/>
    <s v="Home Office"/>
    <s v="United States"/>
    <s v="Los Angeles"/>
    <x v="1"/>
    <n v="90045"/>
    <x v="1"/>
    <x v="1206"/>
    <x v="1"/>
    <x v="8"/>
    <x v="1191"/>
    <n v="5.1040000000000001"/>
    <s v="Low"/>
    <n v="1"/>
    <n v="0.2"/>
    <x v="2"/>
    <x v="2"/>
    <n v="1.6588000000000001"/>
    <n v="0.32500000000000001"/>
    <n v="0"/>
  </r>
  <r>
    <n v="7981"/>
    <s v="CA-2014-103800"/>
    <d v="2014-01-03T00:00:00"/>
    <x v="2"/>
    <s v="Q1"/>
    <x v="46"/>
    <d v="2014-01-07T00:00:00"/>
    <s v="Standard Class"/>
    <x v="24"/>
    <x v="24"/>
    <s v="Consumer"/>
    <s v="United States"/>
    <s v="Houston"/>
    <x v="5"/>
    <n v="77095"/>
    <x v="2"/>
    <x v="1536"/>
    <x v="1"/>
    <x v="10"/>
    <x v="1524"/>
    <n v="16.448"/>
    <s v="Low"/>
    <n v="2"/>
    <n v="0.2"/>
    <x v="2"/>
    <x v="2"/>
    <n v="5.5511999999999997"/>
    <n v="0.33749999999999997"/>
    <n v="0"/>
  </r>
  <r>
    <n v="7982"/>
    <s v="CA-2014-113383"/>
    <d v="2014-09-10T00:00:00"/>
    <x v="2"/>
    <s v="Q3"/>
    <x v="30"/>
    <d v="2014-09-13T00:00:00"/>
    <s v="First Class"/>
    <x v="11"/>
    <x v="11"/>
    <s v="Consumer"/>
    <s v="United States"/>
    <s v="Clifton"/>
    <x v="30"/>
    <n v="7011"/>
    <x v="3"/>
    <x v="564"/>
    <x v="1"/>
    <x v="9"/>
    <x v="564"/>
    <n v="81.92"/>
    <s v="Medium"/>
    <n v="4"/>
    <n v="0"/>
    <x v="0"/>
    <x v="0"/>
    <n v="22.118400000000001"/>
    <n v="0.27"/>
    <n v="0"/>
  </r>
  <r>
    <n v="7983"/>
    <s v="CA-2014-113383"/>
    <d v="2014-09-10T00:00:00"/>
    <x v="2"/>
    <s v="Q3"/>
    <x v="30"/>
    <d v="2014-09-13T00:00:00"/>
    <s v="First Class"/>
    <x v="11"/>
    <x v="11"/>
    <s v="Consumer"/>
    <s v="United States"/>
    <s v="Clifton"/>
    <x v="30"/>
    <n v="7011"/>
    <x v="3"/>
    <x v="1154"/>
    <x v="0"/>
    <x v="5"/>
    <x v="1142"/>
    <n v="254.9"/>
    <s v="High"/>
    <n v="5"/>
    <n v="0"/>
    <x v="0"/>
    <x v="0"/>
    <n v="76.47"/>
    <n v="0.3"/>
    <n v="0"/>
  </r>
  <r>
    <n v="7984"/>
    <s v="CA-2017-152499"/>
    <d v="2017-01-22T00:00:00"/>
    <x v="3"/>
    <s v="Q1"/>
    <x v="44"/>
    <d v="2017-01-25T00:00:00"/>
    <s v="Second Class"/>
    <x v="553"/>
    <x v="553"/>
    <s v="Corporate"/>
    <s v="United States"/>
    <s v="Chicago"/>
    <x v="10"/>
    <n v="60623"/>
    <x v="2"/>
    <x v="1228"/>
    <x v="1"/>
    <x v="13"/>
    <x v="128"/>
    <n v="15.12"/>
    <s v="Low"/>
    <n v="5"/>
    <n v="0.2"/>
    <x v="2"/>
    <x v="2"/>
    <n v="4.9139999999999997"/>
    <n v="0.32500000000000001"/>
    <n v="0"/>
  </r>
  <r>
    <n v="7985"/>
    <s v="CA-2017-152499"/>
    <d v="2017-01-22T00:00:00"/>
    <x v="3"/>
    <s v="Q1"/>
    <x v="44"/>
    <d v="2017-01-25T00:00:00"/>
    <s v="Second Class"/>
    <x v="553"/>
    <x v="553"/>
    <s v="Corporate"/>
    <s v="United States"/>
    <s v="Chicago"/>
    <x v="10"/>
    <n v="60623"/>
    <x v="2"/>
    <x v="1609"/>
    <x v="1"/>
    <x v="6"/>
    <x v="1600"/>
    <n v="7.8719999999999999"/>
    <s v="Low"/>
    <n v="3"/>
    <n v="0.2"/>
    <x v="2"/>
    <x v="2"/>
    <n v="0.88560000000000005"/>
    <n v="0.1125"/>
    <n v="0"/>
  </r>
  <r>
    <n v="7986"/>
    <s v="CA-2016-151498"/>
    <d v="2016-04-21T00:00:00"/>
    <x v="0"/>
    <s v="Q2"/>
    <x v="25"/>
    <d v="2016-04-24T00:00:00"/>
    <s v="First Class"/>
    <x v="35"/>
    <x v="35"/>
    <s v="Consumer"/>
    <s v="United States"/>
    <s v="Seattle"/>
    <x v="4"/>
    <n v="98115"/>
    <x v="1"/>
    <x v="255"/>
    <x v="1"/>
    <x v="8"/>
    <x v="256"/>
    <n v="8.32"/>
    <s v="Low"/>
    <n v="5"/>
    <n v="0.2"/>
    <x v="2"/>
    <x v="2"/>
    <n v="2.8079999999999998"/>
    <n v="0.33749999999999997"/>
    <n v="0"/>
  </r>
  <r>
    <n v="7987"/>
    <s v="CA-2016-137939"/>
    <d v="2016-07-20T00:00:00"/>
    <x v="0"/>
    <s v="Q3"/>
    <x v="16"/>
    <d v="2016-07-23T00:00:00"/>
    <s v="Second Class"/>
    <x v="307"/>
    <x v="307"/>
    <s v="Consumer"/>
    <s v="United States"/>
    <s v="Long Beach"/>
    <x v="15"/>
    <n v="11561"/>
    <x v="3"/>
    <x v="831"/>
    <x v="2"/>
    <x v="7"/>
    <x v="826"/>
    <n v="89.95"/>
    <s v="Medium"/>
    <n v="5"/>
    <n v="0"/>
    <x v="0"/>
    <x v="0"/>
    <n v="43.176000000000002"/>
    <n v="0.48"/>
    <n v="0"/>
  </r>
  <r>
    <n v="7988"/>
    <s v="US-2016-117793"/>
    <d v="2016-08-23T00:00:00"/>
    <x v="0"/>
    <s v="Q3"/>
    <x v="28"/>
    <d v="2016-08-29T00:00:00"/>
    <s v="Standard Class"/>
    <x v="15"/>
    <x v="15"/>
    <s v="Home Office"/>
    <s v="United States"/>
    <s v="Sheboygan"/>
    <x v="6"/>
    <n v="53081"/>
    <x v="2"/>
    <x v="1621"/>
    <x v="1"/>
    <x v="2"/>
    <x v="1612"/>
    <n v="25.2"/>
    <s v="Medium"/>
    <n v="4"/>
    <n v="0"/>
    <x v="0"/>
    <x v="0"/>
    <n v="11.592000000000001"/>
    <n v="0.46"/>
    <n v="0"/>
  </r>
  <r>
    <n v="7989"/>
    <s v="US-2016-117793"/>
    <d v="2016-08-23T00:00:00"/>
    <x v="0"/>
    <s v="Q3"/>
    <x v="28"/>
    <d v="2016-08-29T00:00:00"/>
    <s v="Standard Class"/>
    <x v="15"/>
    <x v="15"/>
    <s v="Home Office"/>
    <s v="United States"/>
    <s v="Sheboygan"/>
    <x v="6"/>
    <n v="53081"/>
    <x v="2"/>
    <x v="1586"/>
    <x v="1"/>
    <x v="2"/>
    <x v="1577"/>
    <n v="37.590000000000003"/>
    <s v="Medium"/>
    <n v="3"/>
    <n v="0"/>
    <x v="0"/>
    <x v="0"/>
    <n v="17.667300000000001"/>
    <n v="0.47"/>
    <n v="0"/>
  </r>
  <r>
    <n v="7990"/>
    <s v="US-2016-117793"/>
    <d v="2016-08-23T00:00:00"/>
    <x v="0"/>
    <s v="Q3"/>
    <x v="28"/>
    <d v="2016-08-29T00:00:00"/>
    <s v="Standard Class"/>
    <x v="15"/>
    <x v="15"/>
    <s v="Home Office"/>
    <s v="United States"/>
    <s v="Sheboygan"/>
    <x v="6"/>
    <n v="53081"/>
    <x v="2"/>
    <x v="328"/>
    <x v="1"/>
    <x v="4"/>
    <x v="328"/>
    <n v="14.97"/>
    <s v="Low"/>
    <n v="1"/>
    <n v="0"/>
    <x v="0"/>
    <x v="0"/>
    <n v="4.1916000000000002"/>
    <n v="0.28000000000000003"/>
    <n v="0"/>
  </r>
  <r>
    <n v="7991"/>
    <s v="US-2016-117793"/>
    <d v="2016-08-23T00:00:00"/>
    <x v="0"/>
    <s v="Q3"/>
    <x v="28"/>
    <d v="2016-08-29T00:00:00"/>
    <s v="Standard Class"/>
    <x v="15"/>
    <x v="15"/>
    <s v="Home Office"/>
    <s v="United States"/>
    <s v="Sheboygan"/>
    <x v="6"/>
    <n v="53081"/>
    <x v="2"/>
    <x v="1430"/>
    <x v="2"/>
    <x v="11"/>
    <x v="1418"/>
    <n v="1.98"/>
    <s v="Low"/>
    <n v="2"/>
    <n v="0"/>
    <x v="0"/>
    <x v="0"/>
    <n v="0.89100000000000001"/>
    <n v="0.45"/>
    <n v="0"/>
  </r>
  <r>
    <n v="7992"/>
    <s v="CA-2016-133872"/>
    <d v="2016-06-14T00:00:00"/>
    <x v="0"/>
    <s v="Q2"/>
    <x v="1"/>
    <d v="2016-06-17T00:00:00"/>
    <s v="First Class"/>
    <x v="718"/>
    <x v="718"/>
    <s v="Consumer"/>
    <s v="United States"/>
    <s v="Boca Raton"/>
    <x v="2"/>
    <n v="33433"/>
    <x v="0"/>
    <x v="1197"/>
    <x v="1"/>
    <x v="8"/>
    <x v="1182"/>
    <n v="39.936"/>
    <s v="Medium"/>
    <n v="4"/>
    <n v="0.7"/>
    <x v="1"/>
    <x v="5"/>
    <n v="-26.623999999999999"/>
    <n v="-0.66666666666666663"/>
    <n v="1"/>
  </r>
  <r>
    <n v="7993"/>
    <s v="CA-2016-133872"/>
    <d v="2016-06-14T00:00:00"/>
    <x v="0"/>
    <s v="Q2"/>
    <x v="1"/>
    <d v="2016-06-17T00:00:00"/>
    <s v="First Class"/>
    <x v="718"/>
    <x v="718"/>
    <s v="Consumer"/>
    <s v="United States"/>
    <s v="Boca Raton"/>
    <x v="2"/>
    <n v="33433"/>
    <x v="0"/>
    <x v="1575"/>
    <x v="2"/>
    <x v="11"/>
    <x v="1566"/>
    <n v="18.463999999999999"/>
    <s v="Low"/>
    <n v="2"/>
    <n v="0.2"/>
    <x v="2"/>
    <x v="2"/>
    <n v="2.3079999999999998"/>
    <n v="0.125"/>
    <n v="0"/>
  </r>
  <r>
    <n v="7994"/>
    <s v="US-2015-165743"/>
    <d v="2015-11-20T00:00:00"/>
    <x v="1"/>
    <s v="Q4"/>
    <x v="6"/>
    <d v="2015-11-23T00:00:00"/>
    <s v="Second Class"/>
    <x v="514"/>
    <x v="514"/>
    <s v="Consumer"/>
    <s v="United States"/>
    <s v="Aurora"/>
    <x v="22"/>
    <n v="80013"/>
    <x v="1"/>
    <x v="304"/>
    <x v="1"/>
    <x v="8"/>
    <x v="304"/>
    <n v="4.8959999999999999"/>
    <s v="Low"/>
    <n v="3"/>
    <n v="0.7"/>
    <x v="1"/>
    <x v="5"/>
    <n v="-3.4272"/>
    <n v="-0.70000000000000007"/>
    <n v="1"/>
  </r>
  <r>
    <n v="7995"/>
    <s v="US-2015-165743"/>
    <d v="2015-11-20T00:00:00"/>
    <x v="1"/>
    <s v="Q4"/>
    <x v="6"/>
    <d v="2015-11-23T00:00:00"/>
    <s v="Second Class"/>
    <x v="514"/>
    <x v="514"/>
    <s v="Consumer"/>
    <s v="United States"/>
    <s v="Aurora"/>
    <x v="22"/>
    <n v="80013"/>
    <x v="1"/>
    <x v="317"/>
    <x v="0"/>
    <x v="0"/>
    <x v="317"/>
    <n v="145.76400000000001"/>
    <s v="High"/>
    <n v="6"/>
    <n v="0.7"/>
    <x v="1"/>
    <x v="5"/>
    <n v="-247.7988"/>
    <n v="-1.7"/>
    <n v="1"/>
  </r>
  <r>
    <n v="7996"/>
    <s v="US-2015-165743"/>
    <d v="2015-11-20T00:00:00"/>
    <x v="1"/>
    <s v="Q4"/>
    <x v="6"/>
    <d v="2015-11-23T00:00:00"/>
    <s v="Second Class"/>
    <x v="514"/>
    <x v="514"/>
    <s v="Consumer"/>
    <s v="United States"/>
    <s v="Aurora"/>
    <x v="22"/>
    <n v="80013"/>
    <x v="1"/>
    <x v="951"/>
    <x v="1"/>
    <x v="8"/>
    <x v="944"/>
    <n v="9.6120000000000001"/>
    <s v="Low"/>
    <n v="6"/>
    <n v="0.7"/>
    <x v="1"/>
    <x v="5"/>
    <n v="-7.3692000000000002"/>
    <n v="-0.76666666666666672"/>
    <n v="1"/>
  </r>
  <r>
    <n v="7997"/>
    <s v="US-2017-105998"/>
    <d v="2017-11-03T00:00:00"/>
    <x v="3"/>
    <s v="Q4"/>
    <x v="23"/>
    <d v="2017-11-05T00:00:00"/>
    <s v="First Class"/>
    <x v="615"/>
    <x v="615"/>
    <s v="Home Office"/>
    <s v="United States"/>
    <s v="San Diego"/>
    <x v="1"/>
    <n v="92037"/>
    <x v="1"/>
    <x v="240"/>
    <x v="2"/>
    <x v="11"/>
    <x v="241"/>
    <n v="199.75"/>
    <s v="High"/>
    <n v="5"/>
    <n v="0"/>
    <x v="0"/>
    <x v="0"/>
    <n v="87.89"/>
    <n v="0.44"/>
    <n v="0"/>
  </r>
  <r>
    <n v="7998"/>
    <s v="US-2017-105998"/>
    <d v="2017-11-03T00:00:00"/>
    <x v="3"/>
    <s v="Q4"/>
    <x v="23"/>
    <d v="2017-11-05T00:00:00"/>
    <s v="First Class"/>
    <x v="615"/>
    <x v="615"/>
    <s v="Home Office"/>
    <s v="United States"/>
    <s v="San Diego"/>
    <x v="1"/>
    <n v="92037"/>
    <x v="1"/>
    <x v="616"/>
    <x v="0"/>
    <x v="3"/>
    <x v="616"/>
    <n v="1673.184"/>
    <s v="High"/>
    <n v="12"/>
    <n v="0.2"/>
    <x v="2"/>
    <x v="2"/>
    <n v="20.9148"/>
    <n v="1.2500000000000001E-2"/>
    <n v="0"/>
  </r>
  <r>
    <n v="7999"/>
    <s v="US-2014-148194"/>
    <d v="2014-05-04T00:00:00"/>
    <x v="2"/>
    <s v="Q2"/>
    <x v="8"/>
    <d v="2014-05-07T00:00:00"/>
    <s v="First Class"/>
    <x v="740"/>
    <x v="740"/>
    <s v="Corporate"/>
    <s v="United States"/>
    <s v="Seattle"/>
    <x v="4"/>
    <n v="98105"/>
    <x v="1"/>
    <x v="852"/>
    <x v="0"/>
    <x v="5"/>
    <x v="845"/>
    <n v="12.18"/>
    <s v="Low"/>
    <n v="7"/>
    <n v="0"/>
    <x v="0"/>
    <x v="0"/>
    <n v="3.8976000000000002"/>
    <n v="0.32"/>
    <n v="0"/>
  </r>
  <r>
    <n v="8000"/>
    <s v="US-2014-148194"/>
    <d v="2014-05-04T00:00:00"/>
    <x v="2"/>
    <s v="Q2"/>
    <x v="8"/>
    <d v="2014-05-07T00:00:00"/>
    <s v="First Class"/>
    <x v="740"/>
    <x v="740"/>
    <s v="Corporate"/>
    <s v="United States"/>
    <s v="Seattle"/>
    <x v="4"/>
    <n v="98105"/>
    <x v="1"/>
    <x v="336"/>
    <x v="1"/>
    <x v="9"/>
    <x v="336"/>
    <n v="57.68"/>
    <s v="Medium"/>
    <n v="4"/>
    <n v="0"/>
    <x v="0"/>
    <x v="0"/>
    <n v="19.034400000000002"/>
    <n v="0.33"/>
    <n v="0"/>
  </r>
  <r>
    <n v="8001"/>
    <s v="US-2015-151407"/>
    <d v="2015-11-08T00:00:00"/>
    <x v="1"/>
    <s v="Q4"/>
    <x v="6"/>
    <d v="2015-11-12T00:00:00"/>
    <s v="Standard Class"/>
    <x v="361"/>
    <x v="361"/>
    <s v="Consumer"/>
    <s v="United States"/>
    <s v="Dubuque"/>
    <x v="23"/>
    <n v="52001"/>
    <x v="2"/>
    <x v="781"/>
    <x v="2"/>
    <x v="7"/>
    <x v="780"/>
    <n v="263.95999999999998"/>
    <s v="High"/>
    <n v="4"/>
    <n v="0"/>
    <x v="0"/>
    <x v="0"/>
    <n v="76.548400000000001"/>
    <n v="0.29000000000000004"/>
    <n v="0"/>
  </r>
  <r>
    <n v="8002"/>
    <s v="CA-2015-110870"/>
    <d v="2015-12-12T00:00:00"/>
    <x v="1"/>
    <s v="Q4"/>
    <x v="14"/>
    <d v="2015-12-15T00:00:00"/>
    <s v="First Class"/>
    <x v="30"/>
    <x v="30"/>
    <s v="Consumer"/>
    <s v="United States"/>
    <s v="Los Angeles"/>
    <x v="1"/>
    <n v="90032"/>
    <x v="1"/>
    <x v="1135"/>
    <x v="2"/>
    <x v="11"/>
    <x v="1123"/>
    <n v="299.94"/>
    <s v="High"/>
    <n v="6"/>
    <n v="0"/>
    <x v="0"/>
    <x v="0"/>
    <n v="128.9742"/>
    <n v="0.43"/>
    <n v="0"/>
  </r>
  <r>
    <n v="8003"/>
    <s v="CA-2015-110870"/>
    <d v="2015-12-12T00:00:00"/>
    <x v="1"/>
    <s v="Q4"/>
    <x v="14"/>
    <d v="2015-12-15T00:00:00"/>
    <s v="First Class"/>
    <x v="30"/>
    <x v="30"/>
    <s v="Consumer"/>
    <s v="United States"/>
    <s v="Los Angeles"/>
    <x v="1"/>
    <n v="90032"/>
    <x v="1"/>
    <x v="327"/>
    <x v="1"/>
    <x v="14"/>
    <x v="327"/>
    <n v="25.76"/>
    <s v="Medium"/>
    <n v="7"/>
    <n v="0"/>
    <x v="0"/>
    <x v="0"/>
    <n v="0.51519999999999999"/>
    <n v="1.9999999999999997E-2"/>
    <n v="0"/>
  </r>
  <r>
    <n v="8004"/>
    <s v="CA-2014-143210"/>
    <d v="2014-12-01T00:00:00"/>
    <x v="2"/>
    <s v="Q4"/>
    <x v="20"/>
    <d v="2014-12-03T00:00:00"/>
    <s v="First Class"/>
    <x v="731"/>
    <x v="731"/>
    <s v="Consumer"/>
    <s v="United States"/>
    <s v="Lowell"/>
    <x v="31"/>
    <n v="1852"/>
    <x v="3"/>
    <x v="1623"/>
    <x v="2"/>
    <x v="7"/>
    <x v="1613"/>
    <n v="271.89999999999998"/>
    <s v="High"/>
    <n v="2"/>
    <n v="0"/>
    <x v="0"/>
    <x v="0"/>
    <n v="78.850999999999999"/>
    <n v="0.29000000000000004"/>
    <n v="0"/>
  </r>
  <r>
    <n v="8005"/>
    <s v="CA-2014-143210"/>
    <d v="2014-12-01T00:00:00"/>
    <x v="2"/>
    <s v="Q4"/>
    <x v="20"/>
    <d v="2014-12-03T00:00:00"/>
    <s v="First Class"/>
    <x v="731"/>
    <x v="731"/>
    <s v="Consumer"/>
    <s v="United States"/>
    <s v="Lowell"/>
    <x v="31"/>
    <n v="1852"/>
    <x v="3"/>
    <x v="677"/>
    <x v="0"/>
    <x v="5"/>
    <x v="677"/>
    <n v="45.84"/>
    <s v="Medium"/>
    <n v="3"/>
    <n v="0"/>
    <x v="0"/>
    <x v="0"/>
    <n v="15.585599999999999"/>
    <n v="0.33999999999999997"/>
    <n v="0"/>
  </r>
  <r>
    <n v="8006"/>
    <s v="CA-2014-143210"/>
    <d v="2014-12-01T00:00:00"/>
    <x v="2"/>
    <s v="Q4"/>
    <x v="20"/>
    <d v="2014-12-03T00:00:00"/>
    <s v="First Class"/>
    <x v="731"/>
    <x v="731"/>
    <s v="Consumer"/>
    <s v="United States"/>
    <s v="Lowell"/>
    <x v="31"/>
    <n v="1852"/>
    <x v="3"/>
    <x v="875"/>
    <x v="0"/>
    <x v="5"/>
    <x v="869"/>
    <n v="9.82"/>
    <s v="Low"/>
    <n v="2"/>
    <n v="0"/>
    <x v="0"/>
    <x v="0"/>
    <n v="3.2406000000000001"/>
    <n v="0.33"/>
    <n v="0"/>
  </r>
  <r>
    <n v="8007"/>
    <s v="CA-2016-139808"/>
    <d v="2016-10-07T00:00:00"/>
    <x v="0"/>
    <s v="Q4"/>
    <x v="32"/>
    <d v="2016-10-11T00:00:00"/>
    <s v="Standard Class"/>
    <x v="498"/>
    <x v="498"/>
    <s v="Consumer"/>
    <s v="United States"/>
    <s v="Marysville"/>
    <x v="4"/>
    <n v="98270"/>
    <x v="1"/>
    <x v="1506"/>
    <x v="1"/>
    <x v="13"/>
    <x v="1493"/>
    <n v="93.36"/>
    <s v="Medium"/>
    <n v="12"/>
    <n v="0"/>
    <x v="0"/>
    <x v="0"/>
    <n v="0.93359999999999999"/>
    <n v="0.01"/>
    <n v="0"/>
  </r>
  <r>
    <n v="8008"/>
    <s v="CA-2015-110863"/>
    <d v="2015-11-17T00:00:00"/>
    <x v="1"/>
    <s v="Q4"/>
    <x v="6"/>
    <d v="2015-11-24T00:00:00"/>
    <s v="Standard Class"/>
    <x v="731"/>
    <x v="731"/>
    <s v="Consumer"/>
    <s v="United States"/>
    <s v="Oklahoma City"/>
    <x v="26"/>
    <n v="73120"/>
    <x v="2"/>
    <x v="273"/>
    <x v="1"/>
    <x v="4"/>
    <x v="273"/>
    <n v="541.24"/>
    <s v="High"/>
    <n v="4"/>
    <n v="0"/>
    <x v="0"/>
    <x v="0"/>
    <n v="5.4123999999999999"/>
    <n v="0.01"/>
    <n v="0"/>
  </r>
  <r>
    <n v="8009"/>
    <s v="CA-2015-110863"/>
    <d v="2015-11-17T00:00:00"/>
    <x v="1"/>
    <s v="Q4"/>
    <x v="6"/>
    <d v="2015-11-24T00:00:00"/>
    <s v="Standard Class"/>
    <x v="731"/>
    <x v="731"/>
    <s v="Consumer"/>
    <s v="United States"/>
    <s v="Oklahoma City"/>
    <x v="26"/>
    <n v="73120"/>
    <x v="2"/>
    <x v="258"/>
    <x v="1"/>
    <x v="10"/>
    <x v="33"/>
    <n v="106.32"/>
    <s v="Medium"/>
    <n v="3"/>
    <n v="0"/>
    <x v="0"/>
    <x v="0"/>
    <n v="49.970399999999998"/>
    <n v="0.47000000000000003"/>
    <n v="0"/>
  </r>
  <r>
    <n v="8010"/>
    <s v="CA-2015-110863"/>
    <d v="2015-11-17T00:00:00"/>
    <x v="1"/>
    <s v="Q4"/>
    <x v="6"/>
    <d v="2015-11-24T00:00:00"/>
    <s v="Standard Class"/>
    <x v="731"/>
    <x v="731"/>
    <s v="Consumer"/>
    <s v="United States"/>
    <s v="Oklahoma City"/>
    <x v="26"/>
    <n v="73120"/>
    <x v="2"/>
    <x v="1802"/>
    <x v="0"/>
    <x v="1"/>
    <x v="1792"/>
    <n v="1323.9"/>
    <s v="High"/>
    <n v="5"/>
    <n v="0"/>
    <x v="0"/>
    <x v="0"/>
    <n v="383.93099999999998"/>
    <n v="0.28999999999999998"/>
    <n v="0"/>
  </r>
  <r>
    <n v="8011"/>
    <s v="CA-2014-127859"/>
    <d v="2014-03-17T00:00:00"/>
    <x v="2"/>
    <s v="Q1"/>
    <x v="34"/>
    <d v="2014-03-20T00:00:00"/>
    <s v="Second Class"/>
    <x v="425"/>
    <x v="425"/>
    <s v="Corporate"/>
    <s v="United States"/>
    <s v="Philadelphia"/>
    <x v="9"/>
    <n v="19134"/>
    <x v="3"/>
    <x v="954"/>
    <x v="1"/>
    <x v="10"/>
    <x v="947"/>
    <n v="126.624"/>
    <s v="High"/>
    <n v="6"/>
    <n v="0.2"/>
    <x v="2"/>
    <x v="2"/>
    <n v="41.152799999999999"/>
    <n v="0.32500000000000001"/>
    <n v="0"/>
  </r>
  <r>
    <n v="8012"/>
    <s v="US-2015-136427"/>
    <d v="2015-06-20T00:00:00"/>
    <x v="1"/>
    <s v="Q2"/>
    <x v="40"/>
    <d v="2015-06-23T00:00:00"/>
    <s v="First Class"/>
    <x v="594"/>
    <x v="594"/>
    <s v="Consumer"/>
    <s v="United States"/>
    <s v="Aurora"/>
    <x v="22"/>
    <n v="80013"/>
    <x v="1"/>
    <x v="1804"/>
    <x v="2"/>
    <x v="7"/>
    <x v="1794"/>
    <n v="125.944"/>
    <s v="High"/>
    <n v="7"/>
    <n v="0.2"/>
    <x v="2"/>
    <x v="2"/>
    <n v="15.743"/>
    <n v="0.125"/>
    <n v="0"/>
  </r>
  <r>
    <n v="8013"/>
    <s v="CA-2017-120168"/>
    <d v="2017-05-25T00:00:00"/>
    <x v="3"/>
    <s v="Q2"/>
    <x v="24"/>
    <d v="2017-05-25T00:00:00"/>
    <s v="Same Day"/>
    <x v="577"/>
    <x v="577"/>
    <s v="Consumer"/>
    <s v="United States"/>
    <s v="New York City"/>
    <x v="15"/>
    <n v="10009"/>
    <x v="3"/>
    <x v="896"/>
    <x v="1"/>
    <x v="8"/>
    <x v="889"/>
    <n v="663.92"/>
    <s v="High"/>
    <n v="5"/>
    <n v="0.2"/>
    <x v="2"/>
    <x v="2"/>
    <n v="207.47499999999999"/>
    <n v="0.3125"/>
    <n v="0"/>
  </r>
  <r>
    <n v="8014"/>
    <s v="CA-2017-120168"/>
    <d v="2017-05-25T00:00:00"/>
    <x v="3"/>
    <s v="Q2"/>
    <x v="24"/>
    <d v="2017-05-25T00:00:00"/>
    <s v="Same Day"/>
    <x v="577"/>
    <x v="577"/>
    <s v="Consumer"/>
    <s v="United States"/>
    <s v="New York City"/>
    <x v="15"/>
    <n v="10009"/>
    <x v="3"/>
    <x v="46"/>
    <x v="2"/>
    <x v="11"/>
    <x v="46"/>
    <n v="120"/>
    <s v="Medium"/>
    <n v="8"/>
    <n v="0"/>
    <x v="0"/>
    <x v="0"/>
    <n v="13.2"/>
    <n v="0.11"/>
    <n v="0"/>
  </r>
  <r>
    <n v="8015"/>
    <s v="CA-2017-120168"/>
    <d v="2017-05-25T00:00:00"/>
    <x v="3"/>
    <s v="Q2"/>
    <x v="24"/>
    <d v="2017-05-25T00:00:00"/>
    <s v="Same Day"/>
    <x v="577"/>
    <x v="577"/>
    <s v="Consumer"/>
    <s v="United States"/>
    <s v="New York City"/>
    <x v="15"/>
    <n v="10009"/>
    <x v="3"/>
    <x v="1321"/>
    <x v="1"/>
    <x v="13"/>
    <x v="1307"/>
    <n v="3.29"/>
    <s v="Low"/>
    <n v="1"/>
    <n v="0"/>
    <x v="0"/>
    <x v="0"/>
    <n v="1.4804999999999999"/>
    <n v="0.44999999999999996"/>
    <n v="0"/>
  </r>
  <r>
    <n v="8016"/>
    <s v="CA-2017-120168"/>
    <d v="2017-05-25T00:00:00"/>
    <x v="3"/>
    <s v="Q2"/>
    <x v="24"/>
    <d v="2017-05-25T00:00:00"/>
    <s v="Same Day"/>
    <x v="577"/>
    <x v="577"/>
    <s v="Consumer"/>
    <s v="United States"/>
    <s v="New York City"/>
    <x v="15"/>
    <n v="10009"/>
    <x v="3"/>
    <x v="545"/>
    <x v="0"/>
    <x v="5"/>
    <x v="545"/>
    <n v="18.84"/>
    <s v="Low"/>
    <n v="3"/>
    <n v="0"/>
    <x v="0"/>
    <x v="0"/>
    <n v="6.0288000000000004"/>
    <n v="0.32"/>
    <n v="0"/>
  </r>
  <r>
    <n v="8017"/>
    <s v="US-2014-131870"/>
    <d v="2014-09-09T00:00:00"/>
    <x v="2"/>
    <s v="Q3"/>
    <x v="30"/>
    <d v="2014-09-11T00:00:00"/>
    <s v="First Class"/>
    <x v="376"/>
    <x v="376"/>
    <s v="Home Office"/>
    <s v="United States"/>
    <s v="Lancaster"/>
    <x v="24"/>
    <n v="43130"/>
    <x v="3"/>
    <x v="1308"/>
    <x v="0"/>
    <x v="5"/>
    <x v="1293"/>
    <n v="60.671999999999997"/>
    <s v="Medium"/>
    <n v="6"/>
    <n v="0.2"/>
    <x v="2"/>
    <x v="2"/>
    <n v="12.892799999999999"/>
    <n v="0.21249999999999999"/>
    <n v="0"/>
  </r>
  <r>
    <n v="8018"/>
    <s v="US-2014-131870"/>
    <d v="2014-09-09T00:00:00"/>
    <x v="2"/>
    <s v="Q3"/>
    <x v="30"/>
    <d v="2014-09-11T00:00:00"/>
    <s v="First Class"/>
    <x v="376"/>
    <x v="376"/>
    <s v="Home Office"/>
    <s v="United States"/>
    <s v="Lancaster"/>
    <x v="24"/>
    <n v="43130"/>
    <x v="3"/>
    <x v="1005"/>
    <x v="1"/>
    <x v="6"/>
    <x v="997"/>
    <n v="30.815999999999999"/>
    <s v="Medium"/>
    <n v="9"/>
    <n v="0.2"/>
    <x v="2"/>
    <x v="2"/>
    <n v="2.6964000000000001"/>
    <n v="8.7500000000000008E-2"/>
    <n v="0"/>
  </r>
  <r>
    <n v="8019"/>
    <s v="CA-2017-114804"/>
    <d v="2017-10-17T00:00:00"/>
    <x v="3"/>
    <s v="Q4"/>
    <x v="13"/>
    <d v="2017-10-19T00:00:00"/>
    <s v="Second Class"/>
    <x v="292"/>
    <x v="292"/>
    <s v="Corporate"/>
    <s v="United States"/>
    <s v="Modesto"/>
    <x v="1"/>
    <n v="95351"/>
    <x v="1"/>
    <x v="194"/>
    <x v="2"/>
    <x v="7"/>
    <x v="195"/>
    <n v="52.792000000000002"/>
    <s v="Medium"/>
    <n v="1"/>
    <n v="0.2"/>
    <x v="2"/>
    <x v="2"/>
    <n v="4.6193"/>
    <n v="8.7499999999999994E-2"/>
    <n v="0"/>
  </r>
  <r>
    <n v="8020"/>
    <s v="CA-2017-167227"/>
    <d v="2017-11-02T00:00:00"/>
    <x v="3"/>
    <s v="Q4"/>
    <x v="23"/>
    <d v="2017-11-05T00:00:00"/>
    <s v="First Class"/>
    <x v="73"/>
    <x v="73"/>
    <s v="Consumer"/>
    <s v="United States"/>
    <s v="Saint Louis"/>
    <x v="25"/>
    <n v="63116"/>
    <x v="2"/>
    <x v="1612"/>
    <x v="1"/>
    <x v="9"/>
    <x v="1603"/>
    <n v="83.9"/>
    <s v="Medium"/>
    <n v="10"/>
    <n v="0"/>
    <x v="0"/>
    <x v="0"/>
    <n v="20.975000000000001"/>
    <n v="0.25"/>
    <n v="0"/>
  </r>
  <r>
    <n v="8021"/>
    <s v="CA-2017-167227"/>
    <d v="2017-11-02T00:00:00"/>
    <x v="3"/>
    <s v="Q4"/>
    <x v="23"/>
    <d v="2017-11-05T00:00:00"/>
    <s v="First Class"/>
    <x v="73"/>
    <x v="73"/>
    <s v="Consumer"/>
    <s v="United States"/>
    <s v="Saint Louis"/>
    <x v="25"/>
    <n v="63116"/>
    <x v="2"/>
    <x v="1017"/>
    <x v="1"/>
    <x v="10"/>
    <x v="1008"/>
    <n v="11.76"/>
    <s v="Low"/>
    <n v="2"/>
    <n v="0"/>
    <x v="0"/>
    <x v="0"/>
    <n v="5.7624000000000004"/>
    <n v="0.49000000000000005"/>
    <n v="0"/>
  </r>
  <r>
    <n v="8022"/>
    <s v="CA-2014-129189"/>
    <d v="2014-07-21T00:00:00"/>
    <x v="2"/>
    <s v="Q3"/>
    <x v="39"/>
    <d v="2014-07-25T00:00:00"/>
    <s v="Standard Class"/>
    <x v="447"/>
    <x v="447"/>
    <s v="Corporate"/>
    <s v="United States"/>
    <s v="Dallas"/>
    <x v="5"/>
    <n v="75217"/>
    <x v="2"/>
    <x v="1252"/>
    <x v="1"/>
    <x v="9"/>
    <x v="1236"/>
    <n v="4.992"/>
    <s v="Low"/>
    <n v="3"/>
    <n v="0.8"/>
    <x v="1"/>
    <x v="3"/>
    <n v="-12.979200000000001"/>
    <n v="-2.6"/>
    <n v="1"/>
  </r>
  <r>
    <n v="8023"/>
    <s v="CA-2014-129189"/>
    <d v="2014-07-21T00:00:00"/>
    <x v="2"/>
    <s v="Q3"/>
    <x v="39"/>
    <d v="2014-07-25T00:00:00"/>
    <s v="Standard Class"/>
    <x v="447"/>
    <x v="447"/>
    <s v="Corporate"/>
    <s v="United States"/>
    <s v="Dallas"/>
    <x v="5"/>
    <n v="75217"/>
    <x v="2"/>
    <x v="1664"/>
    <x v="1"/>
    <x v="12"/>
    <x v="1652"/>
    <n v="87.92"/>
    <s v="Medium"/>
    <n v="5"/>
    <n v="0.2"/>
    <x v="2"/>
    <x v="2"/>
    <n v="29.672999999999998"/>
    <n v="0.33749999999999997"/>
    <n v="0"/>
  </r>
  <r>
    <n v="8024"/>
    <s v="CA-2014-129189"/>
    <d v="2014-07-21T00:00:00"/>
    <x v="2"/>
    <s v="Q3"/>
    <x v="39"/>
    <d v="2014-07-25T00:00:00"/>
    <s v="Standard Class"/>
    <x v="447"/>
    <x v="447"/>
    <s v="Corporate"/>
    <s v="United States"/>
    <s v="Dallas"/>
    <x v="5"/>
    <n v="75217"/>
    <x v="2"/>
    <x v="499"/>
    <x v="0"/>
    <x v="1"/>
    <x v="499"/>
    <n v="657.93"/>
    <s v="High"/>
    <n v="5"/>
    <n v="0.3"/>
    <x v="1"/>
    <x v="4"/>
    <n v="-93.99"/>
    <n v="-0.14285714285714285"/>
    <n v="1"/>
  </r>
  <r>
    <n v="8025"/>
    <s v="CA-2014-129189"/>
    <d v="2014-07-21T00:00:00"/>
    <x v="2"/>
    <s v="Q3"/>
    <x v="39"/>
    <d v="2014-07-25T00:00:00"/>
    <s v="Standard Class"/>
    <x v="447"/>
    <x v="447"/>
    <s v="Corporate"/>
    <s v="United States"/>
    <s v="Dallas"/>
    <x v="5"/>
    <n v="75217"/>
    <x v="2"/>
    <x v="1581"/>
    <x v="1"/>
    <x v="8"/>
    <x v="1572"/>
    <n v="1.044"/>
    <s v="Low"/>
    <n v="1"/>
    <n v="0.8"/>
    <x v="1"/>
    <x v="3"/>
    <n v="-1.827"/>
    <n v="-1.75"/>
    <n v="1"/>
  </r>
  <r>
    <n v="8026"/>
    <s v="CA-2015-132465"/>
    <d v="2015-09-11T00:00:00"/>
    <x v="1"/>
    <s v="Q3"/>
    <x v="11"/>
    <d v="2015-09-15T00:00:00"/>
    <s v="Second Class"/>
    <x v="760"/>
    <x v="760"/>
    <s v="Corporate"/>
    <s v="United States"/>
    <s v="New York City"/>
    <x v="15"/>
    <n v="10035"/>
    <x v="3"/>
    <x v="1805"/>
    <x v="0"/>
    <x v="5"/>
    <x v="1795"/>
    <n v="210.68"/>
    <s v="High"/>
    <n v="2"/>
    <n v="0"/>
    <x v="0"/>
    <x v="0"/>
    <n v="50.563200000000002"/>
    <n v="0.24"/>
    <n v="0"/>
  </r>
  <r>
    <n v="8027"/>
    <s v="CA-2015-132465"/>
    <d v="2015-09-11T00:00:00"/>
    <x v="1"/>
    <s v="Q3"/>
    <x v="11"/>
    <d v="2015-09-15T00:00:00"/>
    <s v="Second Class"/>
    <x v="760"/>
    <x v="760"/>
    <s v="Corporate"/>
    <s v="United States"/>
    <s v="New York City"/>
    <x v="15"/>
    <n v="10035"/>
    <x v="3"/>
    <x v="1819"/>
    <x v="1"/>
    <x v="4"/>
    <x v="1808"/>
    <n v="78.8"/>
    <s v="Medium"/>
    <n v="1"/>
    <n v="0"/>
    <x v="0"/>
    <x v="0"/>
    <n v="1.5760000000000001"/>
    <n v="0.02"/>
    <n v="0"/>
  </r>
  <r>
    <n v="8028"/>
    <s v="CA-2015-132465"/>
    <d v="2015-09-11T00:00:00"/>
    <x v="1"/>
    <s v="Q3"/>
    <x v="11"/>
    <d v="2015-09-15T00:00:00"/>
    <s v="Second Class"/>
    <x v="760"/>
    <x v="760"/>
    <s v="Corporate"/>
    <s v="United States"/>
    <s v="New York City"/>
    <x v="15"/>
    <n v="10035"/>
    <x v="3"/>
    <x v="84"/>
    <x v="2"/>
    <x v="11"/>
    <x v="84"/>
    <n v="19.989999999999998"/>
    <s v="Low"/>
    <n v="1"/>
    <n v="0"/>
    <x v="0"/>
    <x v="0"/>
    <n v="6.7965999999999998"/>
    <n v="0.34"/>
    <n v="0"/>
  </r>
  <r>
    <n v="8029"/>
    <s v="CA-2015-132465"/>
    <d v="2015-09-11T00:00:00"/>
    <x v="1"/>
    <s v="Q3"/>
    <x v="11"/>
    <d v="2015-09-15T00:00:00"/>
    <s v="Second Class"/>
    <x v="760"/>
    <x v="760"/>
    <s v="Corporate"/>
    <s v="United States"/>
    <s v="New York City"/>
    <x v="15"/>
    <n v="10035"/>
    <x v="3"/>
    <x v="1662"/>
    <x v="1"/>
    <x v="4"/>
    <x v="1650"/>
    <n v="772.68"/>
    <s v="High"/>
    <n v="4"/>
    <n v="0"/>
    <x v="0"/>
    <x v="0"/>
    <n v="108.1752"/>
    <n v="0.14000000000000001"/>
    <n v="0"/>
  </r>
  <r>
    <n v="8030"/>
    <s v="CA-2016-166373"/>
    <d v="2016-10-21T00:00:00"/>
    <x v="0"/>
    <s v="Q4"/>
    <x v="32"/>
    <d v="2016-10-25T00:00:00"/>
    <s v="Standard Class"/>
    <x v="535"/>
    <x v="535"/>
    <s v="Consumer"/>
    <s v="United States"/>
    <s v="San Antonio"/>
    <x v="5"/>
    <n v="78207"/>
    <x v="2"/>
    <x v="176"/>
    <x v="2"/>
    <x v="11"/>
    <x v="177"/>
    <n v="106.08"/>
    <s v="Medium"/>
    <n v="6"/>
    <n v="0.2"/>
    <x v="2"/>
    <x v="2"/>
    <n v="-9.282"/>
    <n v="-8.7500000000000008E-2"/>
    <n v="1"/>
  </r>
  <r>
    <n v="8031"/>
    <s v="CA-2016-158806"/>
    <d v="2016-01-07T00:00:00"/>
    <x v="0"/>
    <s v="Q1"/>
    <x v="12"/>
    <d v="2016-01-11T00:00:00"/>
    <s v="Standard Class"/>
    <x v="392"/>
    <x v="392"/>
    <s v="Consumer"/>
    <s v="United States"/>
    <s v="Amarillo"/>
    <x v="5"/>
    <n v="79109"/>
    <x v="2"/>
    <x v="1006"/>
    <x v="0"/>
    <x v="5"/>
    <x v="1381"/>
    <n v="23.076000000000001"/>
    <s v="Low"/>
    <n v="3"/>
    <n v="0.6"/>
    <x v="1"/>
    <x v="6"/>
    <n v="-10.9611"/>
    <n v="-0.47499999999999998"/>
    <n v="1"/>
  </r>
  <r>
    <n v="8032"/>
    <s v="CA-2016-158806"/>
    <d v="2016-01-07T00:00:00"/>
    <x v="0"/>
    <s v="Q1"/>
    <x v="12"/>
    <d v="2016-01-11T00:00:00"/>
    <s v="Standard Class"/>
    <x v="392"/>
    <x v="392"/>
    <s v="Consumer"/>
    <s v="United States"/>
    <s v="Amarillo"/>
    <x v="5"/>
    <n v="79109"/>
    <x v="2"/>
    <x v="747"/>
    <x v="1"/>
    <x v="10"/>
    <x v="745"/>
    <n v="25.92"/>
    <s v="Medium"/>
    <n v="5"/>
    <n v="0.2"/>
    <x v="2"/>
    <x v="2"/>
    <n v="9.0719999999999992"/>
    <n v="0.34999999999999992"/>
    <n v="0"/>
  </r>
  <r>
    <n v="8033"/>
    <s v="CA-2015-119690"/>
    <d v="2015-06-25T00:00:00"/>
    <x v="1"/>
    <s v="Q2"/>
    <x v="40"/>
    <d v="2015-06-28T00:00:00"/>
    <s v="First Class"/>
    <x v="597"/>
    <x v="597"/>
    <s v="Consumer"/>
    <s v="United States"/>
    <s v="Houston"/>
    <x v="5"/>
    <n v="77041"/>
    <x v="2"/>
    <x v="681"/>
    <x v="1"/>
    <x v="10"/>
    <x v="681"/>
    <n v="47.951999999999998"/>
    <s v="Medium"/>
    <n v="3"/>
    <n v="0.2"/>
    <x v="2"/>
    <x v="2"/>
    <n v="16.183800000000002"/>
    <n v="0.33750000000000002"/>
    <n v="0"/>
  </r>
  <r>
    <n v="8034"/>
    <s v="CA-2015-119690"/>
    <d v="2015-06-25T00:00:00"/>
    <x v="1"/>
    <s v="Q2"/>
    <x v="40"/>
    <d v="2015-06-28T00:00:00"/>
    <s v="First Class"/>
    <x v="597"/>
    <x v="597"/>
    <s v="Consumer"/>
    <s v="United States"/>
    <s v="Houston"/>
    <x v="5"/>
    <n v="77041"/>
    <x v="2"/>
    <x v="1699"/>
    <x v="1"/>
    <x v="8"/>
    <x v="1687"/>
    <n v="0.98399999999999999"/>
    <s v="Low"/>
    <n v="2"/>
    <n v="0.8"/>
    <x v="1"/>
    <x v="3"/>
    <n v="-1.476"/>
    <n v="-1.5"/>
    <n v="1"/>
  </r>
  <r>
    <n v="8035"/>
    <s v="CA-2015-119690"/>
    <d v="2015-06-25T00:00:00"/>
    <x v="1"/>
    <s v="Q2"/>
    <x v="40"/>
    <d v="2015-06-28T00:00:00"/>
    <s v="First Class"/>
    <x v="597"/>
    <x v="597"/>
    <s v="Consumer"/>
    <s v="United States"/>
    <s v="Houston"/>
    <x v="5"/>
    <n v="77041"/>
    <x v="2"/>
    <x v="1377"/>
    <x v="0"/>
    <x v="5"/>
    <x v="1362"/>
    <n v="75.384"/>
    <s v="Medium"/>
    <n v="9"/>
    <n v="0.6"/>
    <x v="1"/>
    <x v="6"/>
    <n v="-20.730599999999999"/>
    <n v="-0.27499999999999997"/>
    <n v="1"/>
  </r>
  <r>
    <n v="8036"/>
    <s v="CA-2015-119690"/>
    <d v="2015-06-25T00:00:00"/>
    <x v="1"/>
    <s v="Q2"/>
    <x v="40"/>
    <d v="2015-06-28T00:00:00"/>
    <s v="First Class"/>
    <x v="597"/>
    <x v="597"/>
    <s v="Consumer"/>
    <s v="United States"/>
    <s v="Houston"/>
    <x v="5"/>
    <n v="77041"/>
    <x v="2"/>
    <x v="745"/>
    <x v="1"/>
    <x v="2"/>
    <x v="743"/>
    <n v="4.6079999999999997"/>
    <s v="Low"/>
    <n v="2"/>
    <n v="0.2"/>
    <x v="2"/>
    <x v="2"/>
    <n v="1.6704000000000001"/>
    <n v="0.36250000000000004"/>
    <n v="0"/>
  </r>
  <r>
    <n v="8037"/>
    <s v="CA-2015-153738"/>
    <d v="2015-09-20T00:00:00"/>
    <x v="1"/>
    <s v="Q3"/>
    <x v="11"/>
    <d v="2015-09-22T00:00:00"/>
    <s v="First Class"/>
    <x v="8"/>
    <x v="8"/>
    <s v="Consumer"/>
    <s v="United States"/>
    <s v="Lawrence"/>
    <x v="31"/>
    <n v="1841"/>
    <x v="3"/>
    <x v="1375"/>
    <x v="1"/>
    <x v="8"/>
    <x v="1360"/>
    <n v="37.68"/>
    <s v="Medium"/>
    <n v="6"/>
    <n v="0"/>
    <x v="0"/>
    <x v="0"/>
    <n v="16.956"/>
    <n v="0.45"/>
    <n v="0"/>
  </r>
  <r>
    <n v="8038"/>
    <s v="CA-2017-169012"/>
    <d v="2017-07-10T00:00:00"/>
    <x v="3"/>
    <s v="Q3"/>
    <x v="10"/>
    <d v="2017-07-14T00:00:00"/>
    <s v="Standard Class"/>
    <x v="667"/>
    <x v="667"/>
    <s v="Corporate"/>
    <s v="United States"/>
    <s v="Columbus"/>
    <x v="32"/>
    <n v="31907"/>
    <x v="0"/>
    <x v="1803"/>
    <x v="1"/>
    <x v="9"/>
    <x v="1793"/>
    <n v="41.91"/>
    <s v="Medium"/>
    <n v="3"/>
    <n v="0"/>
    <x v="0"/>
    <x v="0"/>
    <n v="10.896599999999999"/>
    <n v="0.26"/>
    <n v="0"/>
  </r>
  <r>
    <n v="8039"/>
    <s v="CA-2017-109393"/>
    <d v="2017-06-30T00:00:00"/>
    <x v="3"/>
    <s v="Q2"/>
    <x v="27"/>
    <d v="2017-07-02T00:00:00"/>
    <s v="Second Class"/>
    <x v="547"/>
    <x v="547"/>
    <s v="Consumer"/>
    <s v="United States"/>
    <s v="Los Angeles"/>
    <x v="1"/>
    <n v="90032"/>
    <x v="1"/>
    <x v="1106"/>
    <x v="0"/>
    <x v="0"/>
    <x v="1095"/>
    <n v="435.99900000000002"/>
    <s v="High"/>
    <n v="3"/>
    <n v="0.15"/>
    <x v="2"/>
    <x v="2"/>
    <n v="5.1294000000000004"/>
    <n v="1.1764705882352941E-2"/>
    <n v="0"/>
  </r>
  <r>
    <n v="8040"/>
    <s v="CA-2017-121489"/>
    <d v="2017-08-21T00:00:00"/>
    <x v="3"/>
    <s v="Q3"/>
    <x v="43"/>
    <d v="2017-08-25T00:00:00"/>
    <s v="Second Class"/>
    <x v="698"/>
    <x v="698"/>
    <s v="Corporate"/>
    <s v="United States"/>
    <s v="Seattle"/>
    <x v="4"/>
    <n v="98115"/>
    <x v="1"/>
    <x v="167"/>
    <x v="0"/>
    <x v="1"/>
    <x v="168"/>
    <n v="388.70400000000001"/>
    <s v="High"/>
    <n v="6"/>
    <n v="0.2"/>
    <x v="2"/>
    <x v="2"/>
    <n v="38.870399999999997"/>
    <n v="9.9999999999999992E-2"/>
    <n v="0"/>
  </r>
  <r>
    <n v="8041"/>
    <s v="CA-2017-121489"/>
    <d v="2017-08-21T00:00:00"/>
    <x v="3"/>
    <s v="Q3"/>
    <x v="43"/>
    <d v="2017-08-25T00:00:00"/>
    <s v="Second Class"/>
    <x v="698"/>
    <x v="698"/>
    <s v="Corporate"/>
    <s v="United States"/>
    <s v="Seattle"/>
    <x v="4"/>
    <n v="98115"/>
    <x v="1"/>
    <x v="621"/>
    <x v="1"/>
    <x v="4"/>
    <x v="621"/>
    <n v="572.58000000000004"/>
    <s v="High"/>
    <n v="6"/>
    <n v="0"/>
    <x v="0"/>
    <x v="0"/>
    <n v="34.354799999999997"/>
    <n v="5.9999999999999991E-2"/>
    <n v="0"/>
  </r>
  <r>
    <n v="8042"/>
    <s v="CA-2017-121489"/>
    <d v="2017-08-21T00:00:00"/>
    <x v="3"/>
    <s v="Q3"/>
    <x v="43"/>
    <d v="2017-08-25T00:00:00"/>
    <s v="Second Class"/>
    <x v="698"/>
    <x v="698"/>
    <s v="Corporate"/>
    <s v="United States"/>
    <s v="Seattle"/>
    <x v="4"/>
    <n v="98115"/>
    <x v="1"/>
    <x v="1350"/>
    <x v="2"/>
    <x v="11"/>
    <x v="1336"/>
    <n v="33.18"/>
    <s v="Medium"/>
    <n v="2"/>
    <n v="0"/>
    <x v="0"/>
    <x v="0"/>
    <n v="11.613"/>
    <n v="0.35"/>
    <n v="0"/>
  </r>
  <r>
    <n v="8043"/>
    <s v="US-2017-133081"/>
    <d v="2017-03-11T00:00:00"/>
    <x v="3"/>
    <s v="Q1"/>
    <x v="42"/>
    <d v="2017-03-15T00:00:00"/>
    <s v="Standard Class"/>
    <x v="391"/>
    <x v="391"/>
    <s v="Home Office"/>
    <s v="United States"/>
    <s v="Cambridge"/>
    <x v="31"/>
    <n v="2138"/>
    <x v="3"/>
    <x v="404"/>
    <x v="2"/>
    <x v="11"/>
    <x v="405"/>
    <n v="63.88"/>
    <s v="Medium"/>
    <n v="4"/>
    <n v="0"/>
    <x v="0"/>
    <x v="0"/>
    <n v="24.9132"/>
    <n v="0.38999999999999996"/>
    <n v="0"/>
  </r>
  <r>
    <n v="8044"/>
    <s v="US-2017-133081"/>
    <d v="2017-03-11T00:00:00"/>
    <x v="3"/>
    <s v="Q1"/>
    <x v="42"/>
    <d v="2017-03-15T00:00:00"/>
    <s v="Standard Class"/>
    <x v="391"/>
    <x v="391"/>
    <s v="Home Office"/>
    <s v="United States"/>
    <s v="Cambridge"/>
    <x v="31"/>
    <n v="2138"/>
    <x v="3"/>
    <x v="1831"/>
    <x v="0"/>
    <x v="5"/>
    <x v="1819"/>
    <n v="26.72"/>
    <s v="Medium"/>
    <n v="1"/>
    <n v="0"/>
    <x v="0"/>
    <x v="0"/>
    <n v="11.7568"/>
    <n v="0.44"/>
    <n v="0"/>
  </r>
  <r>
    <n v="8045"/>
    <s v="CA-2017-165008"/>
    <d v="2017-09-15T00:00:00"/>
    <x v="3"/>
    <s v="Q3"/>
    <x v="15"/>
    <d v="2017-09-17T00:00:00"/>
    <s v="Second Class"/>
    <x v="770"/>
    <x v="770"/>
    <s v="Consumer"/>
    <s v="United States"/>
    <s v="Salt Lake City"/>
    <x v="7"/>
    <n v="84106"/>
    <x v="1"/>
    <x v="102"/>
    <x v="1"/>
    <x v="8"/>
    <x v="102"/>
    <n v="295.05599999999998"/>
    <s v="High"/>
    <n v="9"/>
    <n v="0.2"/>
    <x v="2"/>
    <x v="2"/>
    <n v="106.95780000000001"/>
    <n v="0.36250000000000004"/>
    <n v="0"/>
  </r>
  <r>
    <n v="8046"/>
    <s v="CA-2016-145611"/>
    <d v="2016-09-20T00:00:00"/>
    <x v="0"/>
    <s v="Q3"/>
    <x v="21"/>
    <d v="2016-09-24T00:00:00"/>
    <s v="Standard Class"/>
    <x v="456"/>
    <x v="456"/>
    <s v="Consumer"/>
    <s v="United States"/>
    <s v="New York City"/>
    <x v="15"/>
    <n v="10035"/>
    <x v="3"/>
    <x v="1152"/>
    <x v="1"/>
    <x v="9"/>
    <x v="1140"/>
    <n v="393.25"/>
    <s v="High"/>
    <n v="5"/>
    <n v="0"/>
    <x v="0"/>
    <x v="0"/>
    <n v="129.77250000000001"/>
    <n v="0.33"/>
    <n v="0"/>
  </r>
  <r>
    <n v="8047"/>
    <s v="CA-2016-113600"/>
    <d v="2016-12-15T00:00:00"/>
    <x v="0"/>
    <s v="Q4"/>
    <x v="5"/>
    <d v="2016-12-17T00:00:00"/>
    <s v="Second Class"/>
    <x v="129"/>
    <x v="129"/>
    <s v="Consumer"/>
    <s v="United States"/>
    <s v="Cuyahoga Falls"/>
    <x v="24"/>
    <n v="44221"/>
    <x v="3"/>
    <x v="1699"/>
    <x v="1"/>
    <x v="8"/>
    <x v="1687"/>
    <n v="2.214"/>
    <s v="Low"/>
    <n v="3"/>
    <n v="0.7"/>
    <x v="1"/>
    <x v="5"/>
    <n v="-1.476"/>
    <n v="-0.66666666666666663"/>
    <n v="1"/>
  </r>
  <r>
    <n v="8048"/>
    <s v="CA-2017-130834"/>
    <d v="2017-11-03T00:00:00"/>
    <x v="3"/>
    <s v="Q4"/>
    <x v="23"/>
    <d v="2017-11-06T00:00:00"/>
    <s v="Second Class"/>
    <x v="594"/>
    <x v="594"/>
    <s v="Consumer"/>
    <s v="United States"/>
    <s v="Wilmington"/>
    <x v="3"/>
    <n v="28403"/>
    <x v="0"/>
    <x v="987"/>
    <x v="1"/>
    <x v="10"/>
    <x v="980"/>
    <n v="16.271999999999998"/>
    <s v="Low"/>
    <n v="3"/>
    <n v="0.2"/>
    <x v="2"/>
    <x v="2"/>
    <n v="5.2884000000000002"/>
    <n v="0.32500000000000007"/>
    <n v="0"/>
  </r>
  <r>
    <n v="8049"/>
    <s v="CA-2016-168543"/>
    <d v="2016-07-03T00:00:00"/>
    <x v="0"/>
    <s v="Q3"/>
    <x v="16"/>
    <d v="2016-07-07T00:00:00"/>
    <s v="Standard Class"/>
    <x v="158"/>
    <x v="158"/>
    <s v="Corporate"/>
    <s v="United States"/>
    <s v="New York City"/>
    <x v="15"/>
    <n v="10035"/>
    <x v="3"/>
    <x v="1725"/>
    <x v="1"/>
    <x v="9"/>
    <x v="1712"/>
    <n v="706.86"/>
    <s v="High"/>
    <n v="7"/>
    <n v="0"/>
    <x v="0"/>
    <x v="0"/>
    <n v="197.92080000000001"/>
    <n v="0.28000000000000003"/>
    <n v="0"/>
  </r>
  <r>
    <n v="8050"/>
    <s v="CA-2014-144974"/>
    <d v="2014-09-26T00:00:00"/>
    <x v="2"/>
    <s v="Q3"/>
    <x v="30"/>
    <d v="2014-09-30T00:00:00"/>
    <s v="Standard Class"/>
    <x v="782"/>
    <x v="782"/>
    <s v="Corporate"/>
    <s v="United States"/>
    <s v="Philadelphia"/>
    <x v="9"/>
    <n v="19140"/>
    <x v="3"/>
    <x v="122"/>
    <x v="1"/>
    <x v="8"/>
    <x v="122"/>
    <n v="5.97"/>
    <s v="Low"/>
    <n v="5"/>
    <n v="0.7"/>
    <x v="1"/>
    <x v="5"/>
    <n v="-4.577"/>
    <n v="-0.76666666666666672"/>
    <n v="1"/>
  </r>
  <r>
    <n v="8051"/>
    <s v="CA-2014-144974"/>
    <d v="2014-09-26T00:00:00"/>
    <x v="2"/>
    <s v="Q3"/>
    <x v="30"/>
    <d v="2014-09-30T00:00:00"/>
    <s v="Standard Class"/>
    <x v="782"/>
    <x v="782"/>
    <s v="Corporate"/>
    <s v="United States"/>
    <s v="Philadelphia"/>
    <x v="9"/>
    <n v="19140"/>
    <x v="3"/>
    <x v="750"/>
    <x v="0"/>
    <x v="5"/>
    <x v="748"/>
    <n v="21.184000000000001"/>
    <s v="Low"/>
    <n v="1"/>
    <n v="0.2"/>
    <x v="2"/>
    <x v="2"/>
    <n v="4.7664"/>
    <n v="0.22499999999999998"/>
    <n v="0"/>
  </r>
  <r>
    <n v="8052"/>
    <s v="CA-2014-144974"/>
    <d v="2014-09-26T00:00:00"/>
    <x v="2"/>
    <s v="Q3"/>
    <x v="30"/>
    <d v="2014-09-30T00:00:00"/>
    <s v="Standard Class"/>
    <x v="782"/>
    <x v="782"/>
    <s v="Corporate"/>
    <s v="United States"/>
    <s v="Philadelphia"/>
    <x v="9"/>
    <n v="19140"/>
    <x v="3"/>
    <x v="22"/>
    <x v="1"/>
    <x v="9"/>
    <x v="22"/>
    <n v="41.375999999999998"/>
    <s v="Medium"/>
    <n v="6"/>
    <n v="0.2"/>
    <x v="2"/>
    <x v="2"/>
    <n v="3.1032000000000002"/>
    <n v="7.5000000000000011E-2"/>
    <n v="0"/>
  </r>
  <r>
    <n v="8053"/>
    <s v="CA-2014-109904"/>
    <d v="2014-07-14T00:00:00"/>
    <x v="2"/>
    <s v="Q3"/>
    <x v="39"/>
    <d v="2014-07-17T00:00:00"/>
    <s v="Second Class"/>
    <x v="541"/>
    <x v="541"/>
    <s v="Corporate"/>
    <s v="United States"/>
    <s v="New York City"/>
    <x v="15"/>
    <n v="10009"/>
    <x v="3"/>
    <x v="879"/>
    <x v="1"/>
    <x v="6"/>
    <x v="873"/>
    <n v="17.940000000000001"/>
    <s v="Low"/>
    <n v="3"/>
    <n v="0"/>
    <x v="0"/>
    <x v="0"/>
    <n v="4.4850000000000003"/>
    <n v="0.25"/>
    <n v="0"/>
  </r>
  <r>
    <n v="8054"/>
    <s v="CA-2017-152205"/>
    <d v="2017-09-28T00:00:00"/>
    <x v="3"/>
    <s v="Q3"/>
    <x v="15"/>
    <d v="2017-10-05T00:00:00"/>
    <s v="Standard Class"/>
    <x v="245"/>
    <x v="245"/>
    <s v="Corporate"/>
    <s v="United States"/>
    <s v="Philadelphia"/>
    <x v="9"/>
    <n v="19134"/>
    <x v="3"/>
    <x v="608"/>
    <x v="1"/>
    <x v="8"/>
    <x v="608"/>
    <n v="2.6549999999999998"/>
    <s v="Low"/>
    <n v="1"/>
    <n v="0.7"/>
    <x v="1"/>
    <x v="5"/>
    <n v="-1.8585"/>
    <n v="-0.70000000000000007"/>
    <n v="1"/>
  </r>
  <r>
    <n v="8055"/>
    <s v="CA-2015-121188"/>
    <d v="2015-08-28T00:00:00"/>
    <x v="1"/>
    <s v="Q3"/>
    <x v="37"/>
    <d v="2015-09-04T00:00:00"/>
    <s v="Standard Class"/>
    <x v="90"/>
    <x v="90"/>
    <s v="Consumer"/>
    <s v="United States"/>
    <s v="Los Angeles"/>
    <x v="1"/>
    <n v="90049"/>
    <x v="1"/>
    <x v="518"/>
    <x v="1"/>
    <x v="4"/>
    <x v="518"/>
    <n v="892.35"/>
    <s v="High"/>
    <n v="5"/>
    <n v="0"/>
    <x v="0"/>
    <x v="0"/>
    <n v="267.70499999999998"/>
    <n v="0.3"/>
    <n v="0"/>
  </r>
  <r>
    <n v="8056"/>
    <s v="CA-2015-121188"/>
    <d v="2015-08-28T00:00:00"/>
    <x v="1"/>
    <s v="Q3"/>
    <x v="37"/>
    <d v="2015-09-04T00:00:00"/>
    <s v="Standard Class"/>
    <x v="90"/>
    <x v="90"/>
    <s v="Consumer"/>
    <s v="United States"/>
    <s v="Los Angeles"/>
    <x v="1"/>
    <n v="90049"/>
    <x v="1"/>
    <x v="199"/>
    <x v="0"/>
    <x v="0"/>
    <x v="200"/>
    <n v="307.666"/>
    <s v="High"/>
    <n v="2"/>
    <n v="0.15"/>
    <x v="2"/>
    <x v="2"/>
    <n v="28.956800000000001"/>
    <n v="9.4117647058823528E-2"/>
    <n v="0"/>
  </r>
  <r>
    <n v="8057"/>
    <s v="CA-2015-121188"/>
    <d v="2015-08-28T00:00:00"/>
    <x v="1"/>
    <s v="Q3"/>
    <x v="37"/>
    <d v="2015-09-04T00:00:00"/>
    <s v="Standard Class"/>
    <x v="90"/>
    <x v="90"/>
    <s v="Consumer"/>
    <s v="United States"/>
    <s v="Los Angeles"/>
    <x v="1"/>
    <n v="90049"/>
    <x v="1"/>
    <x v="459"/>
    <x v="1"/>
    <x v="4"/>
    <x v="460"/>
    <n v="728.82"/>
    <s v="High"/>
    <n v="9"/>
    <n v="0"/>
    <x v="0"/>
    <x v="0"/>
    <n v="29.152799999999999"/>
    <n v="3.9999999999999994E-2"/>
    <n v="0"/>
  </r>
  <r>
    <n v="8058"/>
    <s v="CA-2015-121188"/>
    <d v="2015-08-28T00:00:00"/>
    <x v="1"/>
    <s v="Q3"/>
    <x v="37"/>
    <d v="2015-09-04T00:00:00"/>
    <s v="Standard Class"/>
    <x v="90"/>
    <x v="90"/>
    <s v="Consumer"/>
    <s v="United States"/>
    <s v="Los Angeles"/>
    <x v="1"/>
    <n v="90049"/>
    <x v="1"/>
    <x v="1339"/>
    <x v="1"/>
    <x v="8"/>
    <x v="1324"/>
    <n v="41.36"/>
    <s v="Medium"/>
    <n v="5"/>
    <n v="0.2"/>
    <x v="2"/>
    <x v="2"/>
    <n v="13.959"/>
    <n v="0.33750000000000002"/>
    <n v="0"/>
  </r>
  <r>
    <n v="8059"/>
    <s v="CA-2015-121188"/>
    <d v="2015-08-28T00:00:00"/>
    <x v="1"/>
    <s v="Q3"/>
    <x v="37"/>
    <d v="2015-09-04T00:00:00"/>
    <s v="Standard Class"/>
    <x v="90"/>
    <x v="90"/>
    <s v="Consumer"/>
    <s v="United States"/>
    <s v="Los Angeles"/>
    <x v="1"/>
    <n v="90049"/>
    <x v="1"/>
    <x v="831"/>
    <x v="2"/>
    <x v="7"/>
    <x v="826"/>
    <n v="43.176000000000002"/>
    <s v="Medium"/>
    <n v="3"/>
    <n v="0.2"/>
    <x v="2"/>
    <x v="2"/>
    <n v="15.111599999999999"/>
    <n v="0.35"/>
    <n v="0"/>
  </r>
  <r>
    <n v="8060"/>
    <s v="CA-2015-121188"/>
    <d v="2015-08-28T00:00:00"/>
    <x v="1"/>
    <s v="Q3"/>
    <x v="37"/>
    <d v="2015-09-04T00:00:00"/>
    <s v="Standard Class"/>
    <x v="90"/>
    <x v="90"/>
    <s v="Consumer"/>
    <s v="United States"/>
    <s v="Los Angeles"/>
    <x v="1"/>
    <n v="90049"/>
    <x v="1"/>
    <x v="1035"/>
    <x v="0"/>
    <x v="5"/>
    <x v="325"/>
    <n v="4.16"/>
    <s v="Low"/>
    <n v="2"/>
    <n v="0"/>
    <x v="0"/>
    <x v="0"/>
    <n v="1.7472000000000001"/>
    <n v="0.42"/>
    <n v="0"/>
  </r>
  <r>
    <n v="8061"/>
    <s v="CA-2015-156013"/>
    <d v="2015-09-20T00:00:00"/>
    <x v="1"/>
    <s v="Q3"/>
    <x v="11"/>
    <d v="2015-09-26T00:00:00"/>
    <s v="Standard Class"/>
    <x v="568"/>
    <x v="568"/>
    <s v="Corporate"/>
    <s v="United States"/>
    <s v="Long Beach"/>
    <x v="15"/>
    <n v="11561"/>
    <x v="3"/>
    <x v="314"/>
    <x v="1"/>
    <x v="10"/>
    <x v="314"/>
    <n v="61.4"/>
    <s v="Medium"/>
    <n v="5"/>
    <n v="0"/>
    <x v="0"/>
    <x v="0"/>
    <n v="28.858000000000001"/>
    <n v="0.47000000000000003"/>
    <n v="0"/>
  </r>
  <r>
    <n v="8062"/>
    <s v="CA-2015-156013"/>
    <d v="2015-09-20T00:00:00"/>
    <x v="1"/>
    <s v="Q3"/>
    <x v="11"/>
    <d v="2015-09-26T00:00:00"/>
    <s v="Standard Class"/>
    <x v="568"/>
    <x v="568"/>
    <s v="Corporate"/>
    <s v="United States"/>
    <s v="Long Beach"/>
    <x v="15"/>
    <n v="11561"/>
    <x v="3"/>
    <x v="1329"/>
    <x v="1"/>
    <x v="8"/>
    <x v="1314"/>
    <n v="24.448"/>
    <s v="Low"/>
    <n v="2"/>
    <n v="0.2"/>
    <x v="2"/>
    <x v="2"/>
    <n v="8.8623999999999992"/>
    <n v="0.36249999999999993"/>
    <n v="0"/>
  </r>
  <r>
    <n v="8063"/>
    <s v="CA-2016-132997"/>
    <d v="2016-11-07T00:00:00"/>
    <x v="0"/>
    <s v="Q4"/>
    <x v="0"/>
    <d v="2016-11-09T00:00:00"/>
    <s v="First Class"/>
    <x v="560"/>
    <x v="560"/>
    <s v="Consumer"/>
    <s v="United States"/>
    <s v="Rochester"/>
    <x v="15"/>
    <n v="14609"/>
    <x v="3"/>
    <x v="506"/>
    <x v="2"/>
    <x v="7"/>
    <x v="506"/>
    <n v="263.95999999999998"/>
    <s v="High"/>
    <n v="4"/>
    <n v="0"/>
    <x v="0"/>
    <x v="0"/>
    <n v="71.269199999999998"/>
    <n v="0.27"/>
    <n v="0"/>
  </r>
  <r>
    <n v="8064"/>
    <s v="CA-2016-132997"/>
    <d v="2016-11-07T00:00:00"/>
    <x v="0"/>
    <s v="Q4"/>
    <x v="0"/>
    <d v="2016-11-09T00:00:00"/>
    <s v="First Class"/>
    <x v="560"/>
    <x v="560"/>
    <s v="Consumer"/>
    <s v="United States"/>
    <s v="Rochester"/>
    <x v="15"/>
    <n v="14609"/>
    <x v="3"/>
    <x v="1211"/>
    <x v="2"/>
    <x v="7"/>
    <x v="1196"/>
    <n v="359.97"/>
    <s v="High"/>
    <n v="3"/>
    <n v="0"/>
    <x v="0"/>
    <x v="0"/>
    <n v="100.7916"/>
    <n v="0.27999999999999997"/>
    <n v="0"/>
  </r>
  <r>
    <n v="8065"/>
    <s v="CA-2016-132997"/>
    <d v="2016-11-07T00:00:00"/>
    <x v="0"/>
    <s v="Q4"/>
    <x v="0"/>
    <d v="2016-11-09T00:00:00"/>
    <s v="First Class"/>
    <x v="560"/>
    <x v="560"/>
    <s v="Consumer"/>
    <s v="United States"/>
    <s v="Rochester"/>
    <x v="15"/>
    <n v="14609"/>
    <x v="3"/>
    <x v="1347"/>
    <x v="1"/>
    <x v="10"/>
    <x v="1332"/>
    <n v="12.96"/>
    <s v="Low"/>
    <n v="2"/>
    <n v="0"/>
    <x v="0"/>
    <x v="0"/>
    <n v="6.2207999999999997"/>
    <n v="0.47999999999999993"/>
    <n v="0"/>
  </r>
  <r>
    <n v="8066"/>
    <s v="CA-2016-132997"/>
    <d v="2016-11-07T00:00:00"/>
    <x v="0"/>
    <s v="Q4"/>
    <x v="0"/>
    <d v="2016-11-09T00:00:00"/>
    <s v="First Class"/>
    <x v="560"/>
    <x v="560"/>
    <s v="Consumer"/>
    <s v="United States"/>
    <s v="Rochester"/>
    <x v="15"/>
    <n v="14609"/>
    <x v="3"/>
    <x v="41"/>
    <x v="1"/>
    <x v="4"/>
    <x v="41"/>
    <n v="116.82"/>
    <s v="Medium"/>
    <n v="3"/>
    <n v="0"/>
    <x v="0"/>
    <x v="0"/>
    <n v="5.8410000000000002"/>
    <n v="0.05"/>
    <n v="0"/>
  </r>
  <r>
    <n v="8067"/>
    <s v="CA-2016-132997"/>
    <d v="2016-11-07T00:00:00"/>
    <x v="0"/>
    <s v="Q4"/>
    <x v="0"/>
    <d v="2016-11-09T00:00:00"/>
    <s v="First Class"/>
    <x v="560"/>
    <x v="560"/>
    <s v="Consumer"/>
    <s v="United States"/>
    <s v="Rochester"/>
    <x v="15"/>
    <n v="14609"/>
    <x v="3"/>
    <x v="1591"/>
    <x v="1"/>
    <x v="8"/>
    <x v="1583"/>
    <n v="276.78399999999999"/>
    <s v="High"/>
    <n v="2"/>
    <n v="0.2"/>
    <x v="2"/>
    <x v="2"/>
    <n v="89.954800000000006"/>
    <n v="0.32500000000000001"/>
    <n v="0"/>
  </r>
  <r>
    <n v="8068"/>
    <s v="US-2015-160563"/>
    <d v="2015-10-20T00:00:00"/>
    <x v="1"/>
    <s v="Q4"/>
    <x v="2"/>
    <d v="2015-10-24T00:00:00"/>
    <s v="Standard Class"/>
    <x v="374"/>
    <x v="374"/>
    <s v="Corporate"/>
    <s v="United States"/>
    <s v="San Francisco"/>
    <x v="1"/>
    <n v="94109"/>
    <x v="1"/>
    <x v="428"/>
    <x v="2"/>
    <x v="11"/>
    <x v="428"/>
    <n v="239.97"/>
    <s v="High"/>
    <n v="3"/>
    <n v="0"/>
    <x v="0"/>
    <x v="0"/>
    <n v="86.389200000000002"/>
    <n v="0.36"/>
    <n v="0"/>
  </r>
  <r>
    <n v="8069"/>
    <s v="US-2015-160563"/>
    <d v="2015-10-20T00:00:00"/>
    <x v="1"/>
    <s v="Q4"/>
    <x v="2"/>
    <d v="2015-10-24T00:00:00"/>
    <s v="Standard Class"/>
    <x v="374"/>
    <x v="374"/>
    <s v="Corporate"/>
    <s v="United States"/>
    <s v="San Francisco"/>
    <x v="1"/>
    <n v="94109"/>
    <x v="1"/>
    <x v="1565"/>
    <x v="0"/>
    <x v="5"/>
    <x v="1556"/>
    <n v="16.02"/>
    <s v="Low"/>
    <n v="6"/>
    <n v="0"/>
    <x v="0"/>
    <x v="0"/>
    <n v="6.0876000000000001"/>
    <n v="0.38"/>
    <n v="0"/>
  </r>
  <r>
    <n v="8070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418"/>
    <x v="1"/>
    <x v="4"/>
    <x v="418"/>
    <n v="454.56"/>
    <s v="High"/>
    <n v="5"/>
    <n v="0.2"/>
    <x v="2"/>
    <x v="2"/>
    <n v="-107.958"/>
    <n v="-0.23749999999999999"/>
    <n v="1"/>
  </r>
  <r>
    <n v="8071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1454"/>
    <x v="0"/>
    <x v="5"/>
    <x v="1440"/>
    <n v="141.41999999999999"/>
    <s v="High"/>
    <n v="5"/>
    <n v="0.6"/>
    <x v="1"/>
    <x v="6"/>
    <n v="-187.38149999999999"/>
    <n v="-1.325"/>
    <n v="1"/>
  </r>
  <r>
    <n v="8072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637"/>
    <x v="0"/>
    <x v="1"/>
    <x v="637"/>
    <n v="310.74400000000003"/>
    <s v="High"/>
    <n v="4"/>
    <n v="0.3"/>
    <x v="1"/>
    <x v="4"/>
    <n v="-26.635200000000001"/>
    <n v="-8.5714285714285715E-2"/>
    <n v="1"/>
  </r>
  <r>
    <n v="8073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703"/>
    <x v="1"/>
    <x v="6"/>
    <x v="703"/>
    <n v="12.736000000000001"/>
    <s v="Low"/>
    <n v="4"/>
    <n v="0.2"/>
    <x v="2"/>
    <x v="2"/>
    <n v="2.2288000000000001"/>
    <n v="0.17499999999999999"/>
    <n v="0"/>
  </r>
  <r>
    <n v="8074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625"/>
    <x v="1"/>
    <x v="8"/>
    <x v="625"/>
    <n v="6.47"/>
    <s v="Low"/>
    <n v="5"/>
    <n v="0.8"/>
    <x v="1"/>
    <x v="3"/>
    <n v="-9.7050000000000001"/>
    <n v="-1.5"/>
    <n v="1"/>
  </r>
  <r>
    <n v="8075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185"/>
    <x v="1"/>
    <x v="8"/>
    <x v="186"/>
    <n v="13.747999999999999"/>
    <s v="Low"/>
    <n v="14"/>
    <n v="0.8"/>
    <x v="1"/>
    <x v="3"/>
    <n v="-22.684200000000001"/>
    <n v="-1.6500000000000001"/>
    <n v="1"/>
  </r>
  <r>
    <n v="8076"/>
    <s v="CA-2017-151750"/>
    <d v="2017-01-01T00:00:00"/>
    <x v="3"/>
    <s v="Q1"/>
    <x v="44"/>
    <d v="2017-01-05T00:00:00"/>
    <s v="Standard Class"/>
    <x v="49"/>
    <x v="49"/>
    <s v="Consumer"/>
    <s v="United States"/>
    <s v="Huntsville"/>
    <x v="5"/>
    <n v="77340"/>
    <x v="2"/>
    <x v="513"/>
    <x v="1"/>
    <x v="9"/>
    <x v="513"/>
    <n v="15.224"/>
    <s v="Low"/>
    <n v="2"/>
    <n v="0.8"/>
    <x v="1"/>
    <x v="3"/>
    <n v="-38.821199999999997"/>
    <n v="-2.5499999999999998"/>
    <n v="1"/>
  </r>
  <r>
    <n v="8077"/>
    <s v="CA-2015-106187"/>
    <d v="2015-06-23T00:00:00"/>
    <x v="1"/>
    <s v="Q2"/>
    <x v="40"/>
    <d v="2015-06-29T00:00:00"/>
    <s v="Standard Class"/>
    <x v="575"/>
    <x v="575"/>
    <s v="Corporate"/>
    <s v="United States"/>
    <s v="East Point"/>
    <x v="32"/>
    <n v="30344"/>
    <x v="0"/>
    <x v="645"/>
    <x v="0"/>
    <x v="5"/>
    <x v="645"/>
    <n v="27.42"/>
    <s v="Medium"/>
    <n v="3"/>
    <n v="0"/>
    <x v="0"/>
    <x v="0"/>
    <n v="9.3228000000000009"/>
    <n v="0.34"/>
    <n v="0"/>
  </r>
  <r>
    <n v="8078"/>
    <s v="CA-2015-106187"/>
    <d v="2015-06-23T00:00:00"/>
    <x v="1"/>
    <s v="Q2"/>
    <x v="40"/>
    <d v="2015-06-29T00:00:00"/>
    <s v="Standard Class"/>
    <x v="575"/>
    <x v="575"/>
    <s v="Corporate"/>
    <s v="United States"/>
    <s v="East Point"/>
    <x v="32"/>
    <n v="30344"/>
    <x v="0"/>
    <x v="896"/>
    <x v="1"/>
    <x v="8"/>
    <x v="889"/>
    <n v="165.98"/>
    <s v="High"/>
    <n v="1"/>
    <n v="0"/>
    <x v="0"/>
    <x v="0"/>
    <n v="74.691000000000003"/>
    <n v="0.45000000000000007"/>
    <n v="0"/>
  </r>
  <r>
    <n v="8079"/>
    <s v="CA-2015-106187"/>
    <d v="2015-06-23T00:00:00"/>
    <x v="1"/>
    <s v="Q2"/>
    <x v="40"/>
    <d v="2015-06-29T00:00:00"/>
    <s v="Standard Class"/>
    <x v="575"/>
    <x v="575"/>
    <s v="Corporate"/>
    <s v="United States"/>
    <s v="East Point"/>
    <x v="32"/>
    <n v="30344"/>
    <x v="0"/>
    <x v="1371"/>
    <x v="2"/>
    <x v="11"/>
    <x v="1356"/>
    <n v="75"/>
    <s v="Medium"/>
    <n v="3"/>
    <n v="0"/>
    <x v="0"/>
    <x v="0"/>
    <n v="18"/>
    <n v="0.24"/>
    <n v="0"/>
  </r>
  <r>
    <n v="8080"/>
    <s v="US-2016-164945"/>
    <d v="2016-11-22T00:00:00"/>
    <x v="0"/>
    <s v="Q4"/>
    <x v="0"/>
    <d v="2016-11-27T00:00:00"/>
    <s v="Standard Class"/>
    <x v="402"/>
    <x v="402"/>
    <s v="Home Office"/>
    <s v="United States"/>
    <s v="New York City"/>
    <x v="15"/>
    <n v="10009"/>
    <x v="3"/>
    <x v="301"/>
    <x v="1"/>
    <x v="8"/>
    <x v="301"/>
    <n v="134.27199999999999"/>
    <s v="High"/>
    <n v="8"/>
    <n v="0.2"/>
    <x v="2"/>
    <x v="2"/>
    <n v="46.995199999999997"/>
    <n v="0.35"/>
    <n v="0"/>
  </r>
  <r>
    <n v="8081"/>
    <s v="CA-2015-150714"/>
    <d v="2015-10-26T00:00:00"/>
    <x v="1"/>
    <s v="Q4"/>
    <x v="2"/>
    <d v="2015-11-01T00:00:00"/>
    <s v="Standard Class"/>
    <x v="120"/>
    <x v="120"/>
    <s v="Corporate"/>
    <s v="United States"/>
    <s v="Springfield"/>
    <x v="21"/>
    <n v="97477"/>
    <x v="1"/>
    <x v="933"/>
    <x v="1"/>
    <x v="2"/>
    <x v="926"/>
    <n v="146.54400000000001"/>
    <s v="High"/>
    <n v="6"/>
    <n v="0.2"/>
    <x v="2"/>
    <x v="2"/>
    <n v="47.626800000000003"/>
    <n v="0.32500000000000001"/>
    <n v="0"/>
  </r>
  <r>
    <n v="8082"/>
    <s v="CA-2015-150714"/>
    <d v="2015-10-26T00:00:00"/>
    <x v="1"/>
    <s v="Q4"/>
    <x v="2"/>
    <d v="2015-11-01T00:00:00"/>
    <s v="Standard Class"/>
    <x v="120"/>
    <x v="120"/>
    <s v="Corporate"/>
    <s v="United States"/>
    <s v="Springfield"/>
    <x v="21"/>
    <n v="97477"/>
    <x v="1"/>
    <x v="1766"/>
    <x v="1"/>
    <x v="10"/>
    <x v="1755"/>
    <n v="131.904"/>
    <s v="High"/>
    <n v="3"/>
    <n v="0.2"/>
    <x v="2"/>
    <x v="2"/>
    <n v="47.815199999999997"/>
    <n v="0.36249999999999999"/>
    <n v="0"/>
  </r>
  <r>
    <n v="8083"/>
    <s v="CA-2015-150714"/>
    <d v="2015-10-26T00:00:00"/>
    <x v="1"/>
    <s v="Q4"/>
    <x v="2"/>
    <d v="2015-11-01T00:00:00"/>
    <s v="Standard Class"/>
    <x v="120"/>
    <x v="120"/>
    <s v="Corporate"/>
    <s v="United States"/>
    <s v="Springfield"/>
    <x v="21"/>
    <n v="97477"/>
    <x v="1"/>
    <x v="543"/>
    <x v="1"/>
    <x v="9"/>
    <x v="543"/>
    <n v="203.88"/>
    <s v="High"/>
    <n v="5"/>
    <n v="0.2"/>
    <x v="2"/>
    <x v="2"/>
    <n v="20.388000000000002"/>
    <n v="0.1"/>
    <n v="0"/>
  </r>
  <r>
    <n v="8084"/>
    <s v="CA-2015-150714"/>
    <d v="2015-10-26T00:00:00"/>
    <x v="1"/>
    <s v="Q4"/>
    <x v="2"/>
    <d v="2015-11-01T00:00:00"/>
    <s v="Standard Class"/>
    <x v="120"/>
    <x v="120"/>
    <s v="Corporate"/>
    <s v="United States"/>
    <s v="Springfield"/>
    <x v="21"/>
    <n v="97477"/>
    <x v="1"/>
    <x v="1282"/>
    <x v="1"/>
    <x v="8"/>
    <x v="1267"/>
    <n v="14.301"/>
    <s v="Low"/>
    <n v="7"/>
    <n v="0.7"/>
    <x v="1"/>
    <x v="5"/>
    <n v="-10.487399999999999"/>
    <n v="-0.73333333333333328"/>
    <n v="1"/>
  </r>
  <r>
    <n v="8085"/>
    <s v="CA-2015-150714"/>
    <d v="2015-10-26T00:00:00"/>
    <x v="1"/>
    <s v="Q4"/>
    <x v="2"/>
    <d v="2015-11-01T00:00:00"/>
    <s v="Standard Class"/>
    <x v="120"/>
    <x v="120"/>
    <s v="Corporate"/>
    <s v="United States"/>
    <s v="Springfield"/>
    <x v="21"/>
    <n v="97477"/>
    <x v="1"/>
    <x v="435"/>
    <x v="1"/>
    <x v="4"/>
    <x v="435"/>
    <n v="718.64"/>
    <s v="High"/>
    <n v="10"/>
    <n v="0.2"/>
    <x v="2"/>
    <x v="2"/>
    <n v="-161.69399999999999"/>
    <n v="-0.22499999999999998"/>
    <n v="1"/>
  </r>
  <r>
    <n v="8086"/>
    <s v="CA-2016-105753"/>
    <d v="2016-10-20T00:00:00"/>
    <x v="0"/>
    <s v="Q4"/>
    <x v="32"/>
    <d v="2016-10-26T00:00:00"/>
    <s v="Standard Class"/>
    <x v="784"/>
    <x v="784"/>
    <s v="Home Office"/>
    <s v="United States"/>
    <s v="Arlington"/>
    <x v="17"/>
    <n v="22204"/>
    <x v="0"/>
    <x v="390"/>
    <x v="0"/>
    <x v="5"/>
    <x v="391"/>
    <n v="61.1"/>
    <s v="Medium"/>
    <n v="5"/>
    <n v="0"/>
    <x v="0"/>
    <x v="0"/>
    <n v="18.329999999999998"/>
    <n v="0.3"/>
    <n v="0"/>
  </r>
  <r>
    <n v="8087"/>
    <s v="CA-2017-120894"/>
    <d v="2017-04-28T00:00:00"/>
    <x v="3"/>
    <s v="Q2"/>
    <x v="4"/>
    <d v="2017-05-02T00:00:00"/>
    <s v="Standard Class"/>
    <x v="691"/>
    <x v="691"/>
    <s v="Consumer"/>
    <s v="United States"/>
    <s v="Wilmington"/>
    <x v="3"/>
    <n v="28403"/>
    <x v="0"/>
    <x v="1267"/>
    <x v="1"/>
    <x v="9"/>
    <x v="1251"/>
    <n v="28.08"/>
    <s v="Medium"/>
    <n v="3"/>
    <n v="0.2"/>
    <x v="2"/>
    <x v="2"/>
    <n v="5.2649999999999997"/>
    <n v="0.1875"/>
    <n v="0"/>
  </r>
  <r>
    <n v="8088"/>
    <s v="CA-2016-106621"/>
    <d v="2016-09-29T00:00:00"/>
    <x v="0"/>
    <s v="Q3"/>
    <x v="21"/>
    <d v="2016-10-01T00:00:00"/>
    <s v="Second Class"/>
    <x v="678"/>
    <x v="678"/>
    <s v="Corporate"/>
    <s v="United States"/>
    <s v="Yuma"/>
    <x v="16"/>
    <n v="85364"/>
    <x v="1"/>
    <x v="836"/>
    <x v="1"/>
    <x v="6"/>
    <x v="831"/>
    <n v="10.496"/>
    <s v="Low"/>
    <n v="4"/>
    <n v="0.2"/>
    <x v="2"/>
    <x v="2"/>
    <n v="1.1808000000000001"/>
    <n v="0.1125"/>
    <n v="0"/>
  </r>
  <r>
    <n v="8089"/>
    <s v="CA-2015-107020"/>
    <d v="2015-07-10T00:00:00"/>
    <x v="1"/>
    <s v="Q3"/>
    <x v="38"/>
    <d v="2015-07-14T00:00:00"/>
    <s v="Standard Class"/>
    <x v="160"/>
    <x v="160"/>
    <s v="Consumer"/>
    <s v="United States"/>
    <s v="San Bernardino"/>
    <x v="1"/>
    <n v="92404"/>
    <x v="1"/>
    <x v="691"/>
    <x v="1"/>
    <x v="8"/>
    <x v="691"/>
    <n v="39.92"/>
    <s v="Medium"/>
    <n v="2"/>
    <n v="0.2"/>
    <x v="2"/>
    <x v="2"/>
    <n v="12.974"/>
    <n v="0.32500000000000001"/>
    <n v="0"/>
  </r>
  <r>
    <n v="8090"/>
    <s v="US-2015-117492"/>
    <d v="2015-08-07T00:00:00"/>
    <x v="1"/>
    <s v="Q3"/>
    <x v="37"/>
    <d v="2015-08-09T00:00:00"/>
    <s v="First Class"/>
    <x v="374"/>
    <x v="374"/>
    <s v="Corporate"/>
    <s v="United States"/>
    <s v="Baltimore"/>
    <x v="39"/>
    <n v="21215"/>
    <x v="3"/>
    <x v="22"/>
    <x v="1"/>
    <x v="9"/>
    <x v="22"/>
    <n v="77.58"/>
    <s v="Medium"/>
    <n v="9"/>
    <n v="0"/>
    <x v="0"/>
    <x v="0"/>
    <n v="20.1708"/>
    <n v="0.26"/>
    <n v="0"/>
  </r>
  <r>
    <n v="8091"/>
    <s v="CA-2014-101392"/>
    <d v="2014-12-07T00:00:00"/>
    <x v="2"/>
    <s v="Q4"/>
    <x v="20"/>
    <d v="2014-12-13T00:00:00"/>
    <s v="Standard Class"/>
    <x v="357"/>
    <x v="357"/>
    <s v="Home Office"/>
    <s v="United States"/>
    <s v="Seattle"/>
    <x v="4"/>
    <n v="98103"/>
    <x v="1"/>
    <x v="1424"/>
    <x v="1"/>
    <x v="4"/>
    <x v="1412"/>
    <n v="269.36"/>
    <s v="High"/>
    <n v="7"/>
    <n v="0"/>
    <x v="0"/>
    <x v="0"/>
    <n v="70.033600000000007"/>
    <n v="0.26"/>
    <n v="0"/>
  </r>
  <r>
    <n v="8092"/>
    <s v="CA-2015-127502"/>
    <d v="2015-12-10T00:00:00"/>
    <x v="1"/>
    <s v="Q4"/>
    <x v="14"/>
    <d v="2015-12-14T00:00:00"/>
    <s v="Standard Class"/>
    <x v="363"/>
    <x v="363"/>
    <s v="Consumer"/>
    <s v="United States"/>
    <s v="San Francisco"/>
    <x v="1"/>
    <n v="94110"/>
    <x v="1"/>
    <x v="745"/>
    <x v="1"/>
    <x v="2"/>
    <x v="743"/>
    <n v="5.76"/>
    <s v="Low"/>
    <n v="2"/>
    <n v="0"/>
    <x v="0"/>
    <x v="0"/>
    <n v="2.8224"/>
    <n v="0.49000000000000005"/>
    <n v="0"/>
  </r>
  <r>
    <n v="8093"/>
    <s v="CA-2017-143658"/>
    <d v="2017-11-08T00:00:00"/>
    <x v="3"/>
    <s v="Q4"/>
    <x v="23"/>
    <d v="2017-11-13T00:00:00"/>
    <s v="Second Class"/>
    <x v="676"/>
    <x v="676"/>
    <s v="Home Office"/>
    <s v="United States"/>
    <s v="New York City"/>
    <x v="15"/>
    <n v="10035"/>
    <x v="3"/>
    <x v="940"/>
    <x v="1"/>
    <x v="6"/>
    <x v="933"/>
    <n v="109.9"/>
    <s v="Medium"/>
    <n v="5"/>
    <n v="0"/>
    <x v="0"/>
    <x v="0"/>
    <n v="32.97"/>
    <n v="0.3"/>
    <n v="0"/>
  </r>
  <r>
    <n v="8094"/>
    <s v="CA-2017-133046"/>
    <d v="2017-07-27T00:00:00"/>
    <x v="3"/>
    <s v="Q3"/>
    <x v="10"/>
    <d v="2017-08-01T00:00:00"/>
    <s v="Second Class"/>
    <x v="589"/>
    <x v="589"/>
    <s v="Consumer"/>
    <s v="United States"/>
    <s v="Seattle"/>
    <x v="4"/>
    <n v="98115"/>
    <x v="1"/>
    <x v="740"/>
    <x v="0"/>
    <x v="5"/>
    <x v="222"/>
    <n v="23.88"/>
    <s v="Low"/>
    <n v="3"/>
    <n v="0"/>
    <x v="0"/>
    <x v="0"/>
    <n v="10.507199999999999"/>
    <n v="0.44"/>
    <n v="0"/>
  </r>
  <r>
    <n v="8095"/>
    <s v="CA-2017-133046"/>
    <d v="2017-07-27T00:00:00"/>
    <x v="3"/>
    <s v="Q3"/>
    <x v="10"/>
    <d v="2017-08-01T00:00:00"/>
    <s v="Second Class"/>
    <x v="589"/>
    <x v="589"/>
    <s v="Consumer"/>
    <s v="United States"/>
    <s v="Seattle"/>
    <x v="4"/>
    <n v="98115"/>
    <x v="1"/>
    <x v="1254"/>
    <x v="1"/>
    <x v="10"/>
    <x v="1238"/>
    <n v="26.2"/>
    <s v="Medium"/>
    <n v="4"/>
    <n v="0"/>
    <x v="0"/>
    <x v="0"/>
    <n v="12.052"/>
    <n v="0.46"/>
    <n v="0"/>
  </r>
  <r>
    <n v="8096"/>
    <s v="CA-2017-133046"/>
    <d v="2017-07-27T00:00:00"/>
    <x v="3"/>
    <s v="Q3"/>
    <x v="10"/>
    <d v="2017-08-01T00:00:00"/>
    <s v="Second Class"/>
    <x v="589"/>
    <x v="589"/>
    <s v="Consumer"/>
    <s v="United States"/>
    <s v="Seattle"/>
    <x v="4"/>
    <n v="98115"/>
    <x v="1"/>
    <x v="1290"/>
    <x v="1"/>
    <x v="10"/>
    <x v="1276"/>
    <n v="12.96"/>
    <s v="Low"/>
    <n v="2"/>
    <n v="0"/>
    <x v="0"/>
    <x v="0"/>
    <n v="6.2207999999999997"/>
    <n v="0.47999999999999993"/>
    <n v="0"/>
  </r>
  <r>
    <n v="8097"/>
    <s v="CA-2017-133046"/>
    <d v="2017-07-27T00:00:00"/>
    <x v="3"/>
    <s v="Q3"/>
    <x v="10"/>
    <d v="2017-08-01T00:00:00"/>
    <s v="Second Class"/>
    <x v="589"/>
    <x v="589"/>
    <s v="Consumer"/>
    <s v="United States"/>
    <s v="Seattle"/>
    <x v="4"/>
    <n v="98115"/>
    <x v="1"/>
    <x v="437"/>
    <x v="2"/>
    <x v="11"/>
    <x v="437"/>
    <n v="234.95"/>
    <s v="High"/>
    <n v="5"/>
    <n v="0"/>
    <x v="0"/>
    <x v="0"/>
    <n v="32.893000000000001"/>
    <n v="0.14000000000000001"/>
    <n v="0"/>
  </r>
  <r>
    <n v="8098"/>
    <s v="CA-2017-122798"/>
    <d v="2017-12-28T00:00:00"/>
    <x v="3"/>
    <s v="Q4"/>
    <x v="22"/>
    <d v="2018-01-01T00:00:00"/>
    <s v="Standard Class"/>
    <x v="603"/>
    <x v="603"/>
    <s v="Consumer"/>
    <s v="United States"/>
    <s v="Albuquerque"/>
    <x v="27"/>
    <n v="87105"/>
    <x v="1"/>
    <x v="392"/>
    <x v="1"/>
    <x v="4"/>
    <x v="393"/>
    <n v="118.25"/>
    <s v="Medium"/>
    <n v="5"/>
    <n v="0"/>
    <x v="0"/>
    <x v="0"/>
    <n v="34.292499999999997"/>
    <n v="0.28999999999999998"/>
    <n v="0"/>
  </r>
  <r>
    <n v="8099"/>
    <s v="CA-2017-122798"/>
    <d v="2017-12-28T00:00:00"/>
    <x v="3"/>
    <s v="Q4"/>
    <x v="22"/>
    <d v="2018-01-01T00:00:00"/>
    <s v="Standard Class"/>
    <x v="603"/>
    <x v="603"/>
    <s v="Consumer"/>
    <s v="United States"/>
    <s v="Albuquerque"/>
    <x v="27"/>
    <n v="87105"/>
    <x v="1"/>
    <x v="1433"/>
    <x v="1"/>
    <x v="10"/>
    <x v="1421"/>
    <n v="4.28"/>
    <s v="Low"/>
    <n v="1"/>
    <n v="0"/>
    <x v="0"/>
    <x v="0"/>
    <n v="1.9259999999999999"/>
    <n v="0.44999999999999996"/>
    <n v="0"/>
  </r>
  <r>
    <n v="8100"/>
    <s v="CA-2016-169663"/>
    <d v="2016-03-10T00:00:00"/>
    <x v="0"/>
    <s v="Q1"/>
    <x v="17"/>
    <d v="2016-03-13T00:00:00"/>
    <s v="First Class"/>
    <x v="563"/>
    <x v="563"/>
    <s v="Home Office"/>
    <s v="United States"/>
    <s v="Los Angeles"/>
    <x v="1"/>
    <n v="90045"/>
    <x v="1"/>
    <x v="1044"/>
    <x v="2"/>
    <x v="11"/>
    <x v="1033"/>
    <n v="26.85"/>
    <s v="Medium"/>
    <n v="3"/>
    <n v="0"/>
    <x v="0"/>
    <x v="0"/>
    <n v="5.1014999999999997"/>
    <n v="0.18999999999999997"/>
    <n v="0"/>
  </r>
  <r>
    <n v="8101"/>
    <s v="CA-2016-169663"/>
    <d v="2016-03-10T00:00:00"/>
    <x v="0"/>
    <s v="Q1"/>
    <x v="17"/>
    <d v="2016-03-13T00:00:00"/>
    <s v="First Class"/>
    <x v="563"/>
    <x v="563"/>
    <s v="Home Office"/>
    <s v="United States"/>
    <s v="Los Angeles"/>
    <x v="1"/>
    <n v="90045"/>
    <x v="1"/>
    <x v="1832"/>
    <x v="2"/>
    <x v="15"/>
    <x v="1820"/>
    <n v="3357.6"/>
    <s v="High"/>
    <n v="3"/>
    <n v="0.2"/>
    <x v="2"/>
    <x v="2"/>
    <n v="377.73"/>
    <n v="0.1125"/>
    <n v="0"/>
  </r>
  <r>
    <n v="8102"/>
    <s v="CA-2015-149846"/>
    <d v="2015-05-22T00:00:00"/>
    <x v="1"/>
    <s v="Q2"/>
    <x v="33"/>
    <d v="2015-05-26T00:00:00"/>
    <s v="Standard Class"/>
    <x v="766"/>
    <x v="766"/>
    <s v="Consumer"/>
    <s v="United States"/>
    <s v="Los Angeles"/>
    <x v="1"/>
    <n v="90045"/>
    <x v="1"/>
    <x v="617"/>
    <x v="1"/>
    <x v="2"/>
    <x v="617"/>
    <n v="8.26"/>
    <s v="Low"/>
    <n v="2"/>
    <n v="0"/>
    <x v="0"/>
    <x v="0"/>
    <n v="3.7995999999999999"/>
    <n v="0.46"/>
    <n v="0"/>
  </r>
  <r>
    <n v="8103"/>
    <s v="CA-2015-149846"/>
    <d v="2015-05-22T00:00:00"/>
    <x v="1"/>
    <s v="Q2"/>
    <x v="33"/>
    <d v="2015-05-26T00:00:00"/>
    <s v="Standard Class"/>
    <x v="766"/>
    <x v="766"/>
    <s v="Consumer"/>
    <s v="United States"/>
    <s v="Los Angeles"/>
    <x v="1"/>
    <n v="90045"/>
    <x v="1"/>
    <x v="668"/>
    <x v="2"/>
    <x v="15"/>
    <x v="668"/>
    <n v="2973.32"/>
    <s v="High"/>
    <n v="7"/>
    <n v="0.2"/>
    <x v="2"/>
    <x v="2"/>
    <n v="334.49849999999998"/>
    <n v="0.11249999999999999"/>
    <n v="0"/>
  </r>
  <r>
    <n v="8104"/>
    <s v="CA-2015-149846"/>
    <d v="2015-05-22T00:00:00"/>
    <x v="1"/>
    <s v="Q2"/>
    <x v="33"/>
    <d v="2015-05-26T00:00:00"/>
    <s v="Standard Class"/>
    <x v="766"/>
    <x v="766"/>
    <s v="Consumer"/>
    <s v="United States"/>
    <s v="Los Angeles"/>
    <x v="1"/>
    <n v="90045"/>
    <x v="1"/>
    <x v="328"/>
    <x v="1"/>
    <x v="4"/>
    <x v="328"/>
    <n v="104.79"/>
    <s v="Medium"/>
    <n v="7"/>
    <n v="0"/>
    <x v="0"/>
    <x v="0"/>
    <n v="29.341200000000001"/>
    <n v="0.27999999999999997"/>
    <n v="0"/>
  </r>
  <r>
    <n v="8105"/>
    <s v="CA-2015-149846"/>
    <d v="2015-05-22T00:00:00"/>
    <x v="1"/>
    <s v="Q2"/>
    <x v="33"/>
    <d v="2015-05-26T00:00:00"/>
    <s v="Standard Class"/>
    <x v="766"/>
    <x v="766"/>
    <s v="Consumer"/>
    <s v="United States"/>
    <s v="Los Angeles"/>
    <x v="1"/>
    <n v="90045"/>
    <x v="1"/>
    <x v="297"/>
    <x v="2"/>
    <x v="7"/>
    <x v="297"/>
    <n v="775.72799999999995"/>
    <s v="High"/>
    <n v="6"/>
    <n v="0.2"/>
    <x v="2"/>
    <x v="2"/>
    <n v="58.179600000000001"/>
    <n v="7.5000000000000011E-2"/>
    <n v="0"/>
  </r>
  <r>
    <n v="8106"/>
    <s v="CA-2017-159149"/>
    <d v="2017-02-17T00:00:00"/>
    <x v="3"/>
    <s v="Q1"/>
    <x v="31"/>
    <d v="2017-02-19T00:00:00"/>
    <s v="First Class"/>
    <x v="736"/>
    <x v="736"/>
    <s v="Home Office"/>
    <s v="United States"/>
    <s v="Houston"/>
    <x v="5"/>
    <n v="77041"/>
    <x v="2"/>
    <x v="419"/>
    <x v="0"/>
    <x v="0"/>
    <x v="419"/>
    <n v="89.066400000000002"/>
    <s v="Medium"/>
    <n v="1"/>
    <n v="0.32"/>
    <x v="1"/>
    <x v="7"/>
    <n v="-17.0274"/>
    <n v="-0.19117647058823528"/>
    <n v="1"/>
  </r>
  <r>
    <n v="8107"/>
    <s v="CA-2017-159149"/>
    <d v="2017-02-17T00:00:00"/>
    <x v="3"/>
    <s v="Q1"/>
    <x v="31"/>
    <d v="2017-02-19T00:00:00"/>
    <s v="First Class"/>
    <x v="736"/>
    <x v="736"/>
    <s v="Home Office"/>
    <s v="United States"/>
    <s v="Houston"/>
    <x v="5"/>
    <n v="77041"/>
    <x v="2"/>
    <x v="1833"/>
    <x v="1"/>
    <x v="6"/>
    <x v="1821"/>
    <n v="175.44"/>
    <s v="High"/>
    <n v="6"/>
    <n v="0.2"/>
    <x v="2"/>
    <x v="2"/>
    <n v="52.631999999999998"/>
    <n v="0.3"/>
    <n v="0"/>
  </r>
  <r>
    <n v="8108"/>
    <s v="CA-2017-159149"/>
    <d v="2017-02-17T00:00:00"/>
    <x v="3"/>
    <s v="Q1"/>
    <x v="31"/>
    <d v="2017-02-19T00:00:00"/>
    <s v="First Class"/>
    <x v="736"/>
    <x v="736"/>
    <s v="Home Office"/>
    <s v="United States"/>
    <s v="Houston"/>
    <x v="5"/>
    <n v="77041"/>
    <x v="2"/>
    <x v="1075"/>
    <x v="2"/>
    <x v="7"/>
    <x v="1065"/>
    <n v="438.33600000000001"/>
    <s v="High"/>
    <n v="4"/>
    <n v="0.2"/>
    <x v="2"/>
    <x v="2"/>
    <n v="-87.667199999999994"/>
    <n v="-0.19999999999999998"/>
    <n v="1"/>
  </r>
  <r>
    <n v="8109"/>
    <s v="US-2017-167570"/>
    <d v="2017-12-08T00:00:00"/>
    <x v="3"/>
    <s v="Q4"/>
    <x v="22"/>
    <d v="2017-12-15T00:00:00"/>
    <s v="Standard Class"/>
    <x v="283"/>
    <x v="283"/>
    <s v="Consumer"/>
    <s v="United States"/>
    <s v="Philadelphia"/>
    <x v="9"/>
    <n v="19140"/>
    <x v="3"/>
    <x v="389"/>
    <x v="0"/>
    <x v="1"/>
    <x v="390"/>
    <n v="215.54400000000001"/>
    <s v="High"/>
    <n v="4"/>
    <n v="0.3"/>
    <x v="1"/>
    <x v="4"/>
    <n v="-58.504800000000003"/>
    <n v="-0.27142857142857141"/>
    <n v="1"/>
  </r>
  <r>
    <n v="8110"/>
    <s v="CA-2017-160122"/>
    <d v="2017-11-18T00:00:00"/>
    <x v="3"/>
    <s v="Q4"/>
    <x v="23"/>
    <d v="2017-11-23T00:00:00"/>
    <s v="Standard Class"/>
    <x v="709"/>
    <x v="709"/>
    <s v="Consumer"/>
    <s v="United States"/>
    <s v="Chicago"/>
    <x v="10"/>
    <n v="60623"/>
    <x v="2"/>
    <x v="1758"/>
    <x v="1"/>
    <x v="12"/>
    <x v="1711"/>
    <n v="55.584000000000003"/>
    <s v="Medium"/>
    <n v="6"/>
    <n v="0.2"/>
    <x v="2"/>
    <x v="2"/>
    <n v="20.844000000000001"/>
    <n v="0.375"/>
    <n v="0"/>
  </r>
  <r>
    <n v="8111"/>
    <s v="CA-2017-160122"/>
    <d v="2017-11-18T00:00:00"/>
    <x v="3"/>
    <s v="Q4"/>
    <x v="23"/>
    <d v="2017-11-23T00:00:00"/>
    <s v="Standard Class"/>
    <x v="709"/>
    <x v="709"/>
    <s v="Consumer"/>
    <s v="United States"/>
    <s v="Chicago"/>
    <x v="10"/>
    <n v="60623"/>
    <x v="2"/>
    <x v="1455"/>
    <x v="0"/>
    <x v="1"/>
    <x v="1441"/>
    <n v="127.386"/>
    <s v="High"/>
    <n v="2"/>
    <n v="0.3"/>
    <x v="1"/>
    <x v="4"/>
    <n v="-25.4772"/>
    <n v="-0.2"/>
    <n v="1"/>
  </r>
  <r>
    <n v="8112"/>
    <s v="CA-2016-130393"/>
    <d v="2016-12-01T00:00:00"/>
    <x v="0"/>
    <s v="Q4"/>
    <x v="5"/>
    <d v="2016-12-03T00:00:00"/>
    <s v="Second Class"/>
    <x v="622"/>
    <x v="622"/>
    <s v="Consumer"/>
    <s v="United States"/>
    <s v="San Angelo"/>
    <x v="5"/>
    <n v="76903"/>
    <x v="2"/>
    <x v="474"/>
    <x v="0"/>
    <x v="1"/>
    <x v="475"/>
    <n v="248.43"/>
    <s v="High"/>
    <n v="5"/>
    <n v="0.3"/>
    <x v="1"/>
    <x v="4"/>
    <n v="-17.745000000000001"/>
    <n v="-7.1428571428571425E-2"/>
    <n v="1"/>
  </r>
  <r>
    <n v="8113"/>
    <s v="CA-2016-130393"/>
    <d v="2016-12-01T00:00:00"/>
    <x v="0"/>
    <s v="Q4"/>
    <x v="5"/>
    <d v="2016-12-03T00:00:00"/>
    <s v="Second Class"/>
    <x v="622"/>
    <x v="622"/>
    <s v="Consumer"/>
    <s v="United States"/>
    <s v="San Angelo"/>
    <x v="5"/>
    <n v="76903"/>
    <x v="2"/>
    <x v="937"/>
    <x v="1"/>
    <x v="9"/>
    <x v="930"/>
    <n v="11.648"/>
    <s v="Low"/>
    <n v="4"/>
    <n v="0.8"/>
    <x v="1"/>
    <x v="3"/>
    <n v="-30.8672"/>
    <n v="-2.65"/>
    <n v="1"/>
  </r>
  <r>
    <n v="8114"/>
    <s v="CA-2016-130393"/>
    <d v="2016-12-01T00:00:00"/>
    <x v="0"/>
    <s v="Q4"/>
    <x v="5"/>
    <d v="2016-12-03T00:00:00"/>
    <s v="Second Class"/>
    <x v="622"/>
    <x v="622"/>
    <s v="Consumer"/>
    <s v="United States"/>
    <s v="San Angelo"/>
    <x v="5"/>
    <n v="76903"/>
    <x v="2"/>
    <x v="212"/>
    <x v="0"/>
    <x v="1"/>
    <x v="213"/>
    <n v="85.245999999999995"/>
    <s v="Medium"/>
    <n v="2"/>
    <n v="0.3"/>
    <x v="1"/>
    <x v="4"/>
    <n v="-1.2178"/>
    <n v="-1.4285714285714287E-2"/>
    <n v="1"/>
  </r>
  <r>
    <n v="8115"/>
    <s v="CA-2017-144820"/>
    <d v="2017-10-03T00:00:00"/>
    <x v="3"/>
    <s v="Q4"/>
    <x v="13"/>
    <d v="2017-10-07T00:00:00"/>
    <s v="Second Class"/>
    <x v="429"/>
    <x v="429"/>
    <s v="Corporate"/>
    <s v="United States"/>
    <s v="Pasadena"/>
    <x v="5"/>
    <n v="77506"/>
    <x v="2"/>
    <x v="923"/>
    <x v="1"/>
    <x v="6"/>
    <x v="915"/>
    <n v="20.64"/>
    <s v="Low"/>
    <n v="5"/>
    <n v="0.2"/>
    <x v="2"/>
    <x v="2"/>
    <n v="2.3220000000000001"/>
    <n v="0.1125"/>
    <n v="0"/>
  </r>
  <r>
    <n v="8116"/>
    <s v="CA-2017-101014"/>
    <d v="2017-08-29T00:00:00"/>
    <x v="3"/>
    <s v="Q3"/>
    <x v="43"/>
    <d v="2017-09-04T00:00:00"/>
    <s v="Standard Class"/>
    <x v="459"/>
    <x v="459"/>
    <s v="Corporate"/>
    <s v="United States"/>
    <s v="Los Angeles"/>
    <x v="1"/>
    <n v="90049"/>
    <x v="1"/>
    <x v="1817"/>
    <x v="0"/>
    <x v="5"/>
    <x v="1807"/>
    <n v="148.02000000000001"/>
    <s v="High"/>
    <n v="3"/>
    <n v="0"/>
    <x v="0"/>
    <x v="0"/>
    <n v="41.445599999999999"/>
    <n v="0.27999999999999997"/>
    <n v="0"/>
  </r>
  <r>
    <n v="8117"/>
    <s v="CA-2017-105543"/>
    <d v="2017-11-24T00:00:00"/>
    <x v="3"/>
    <s v="Q4"/>
    <x v="23"/>
    <d v="2017-11-24T00:00:00"/>
    <s v="Same Day"/>
    <x v="410"/>
    <x v="410"/>
    <s v="Corporate"/>
    <s v="United States"/>
    <s v="Garden City"/>
    <x v="41"/>
    <n v="67846"/>
    <x v="2"/>
    <x v="1291"/>
    <x v="1"/>
    <x v="4"/>
    <x v="1277"/>
    <n v="33.29"/>
    <s v="Medium"/>
    <n v="1"/>
    <n v="0"/>
    <x v="0"/>
    <x v="0"/>
    <n v="7.9896000000000003"/>
    <n v="0.24000000000000002"/>
    <n v="0"/>
  </r>
  <r>
    <n v="8118"/>
    <s v="US-2017-113201"/>
    <d v="2017-06-30T00:00:00"/>
    <x v="3"/>
    <s v="Q2"/>
    <x v="27"/>
    <d v="2017-07-05T00:00:00"/>
    <s v="Standard Class"/>
    <x v="627"/>
    <x v="627"/>
    <s v="Consumer"/>
    <s v="United States"/>
    <s v="Los Angeles"/>
    <x v="1"/>
    <n v="90045"/>
    <x v="1"/>
    <x v="1127"/>
    <x v="1"/>
    <x v="10"/>
    <x v="1115"/>
    <n v="204.95"/>
    <s v="High"/>
    <n v="5"/>
    <n v="0"/>
    <x v="0"/>
    <x v="0"/>
    <n v="100.4255"/>
    <n v="0.49000000000000005"/>
    <n v="0"/>
  </r>
  <r>
    <n v="8119"/>
    <s v="US-2017-106551"/>
    <d v="2017-07-22T00:00:00"/>
    <x v="3"/>
    <s v="Q3"/>
    <x v="10"/>
    <d v="2017-07-27T00:00:00"/>
    <s v="Standard Class"/>
    <x v="518"/>
    <x v="518"/>
    <s v="Consumer"/>
    <s v="United States"/>
    <s v="Chicago"/>
    <x v="10"/>
    <n v="60653"/>
    <x v="2"/>
    <x v="499"/>
    <x v="0"/>
    <x v="1"/>
    <x v="499"/>
    <n v="526.34400000000005"/>
    <s v="High"/>
    <n v="4"/>
    <n v="0.3"/>
    <x v="1"/>
    <x v="4"/>
    <n v="-75.191999999999993"/>
    <n v="-0.14285714285714282"/>
    <n v="1"/>
  </r>
  <r>
    <n v="8120"/>
    <s v="CA-2016-116722"/>
    <d v="2016-11-11T00:00:00"/>
    <x v="0"/>
    <s v="Q4"/>
    <x v="0"/>
    <d v="2016-11-16T00:00:00"/>
    <s v="Standard Class"/>
    <x v="221"/>
    <x v="221"/>
    <s v="Consumer"/>
    <s v="United States"/>
    <s v="San Francisco"/>
    <x v="1"/>
    <n v="94110"/>
    <x v="1"/>
    <x v="107"/>
    <x v="0"/>
    <x v="5"/>
    <x v="107"/>
    <n v="41.96"/>
    <s v="Medium"/>
    <n v="2"/>
    <n v="0"/>
    <x v="0"/>
    <x v="0"/>
    <n v="10.909599999999999"/>
    <n v="0.25999999999999995"/>
    <n v="0"/>
  </r>
  <r>
    <n v="8121"/>
    <s v="CA-2016-116722"/>
    <d v="2016-11-11T00:00:00"/>
    <x v="0"/>
    <s v="Q4"/>
    <x v="0"/>
    <d v="2016-11-16T00:00:00"/>
    <s v="Standard Class"/>
    <x v="221"/>
    <x v="221"/>
    <s v="Consumer"/>
    <s v="United States"/>
    <s v="San Francisco"/>
    <x v="1"/>
    <n v="94110"/>
    <x v="1"/>
    <x v="499"/>
    <x v="0"/>
    <x v="1"/>
    <x v="499"/>
    <n v="451.15199999999999"/>
    <s v="High"/>
    <n v="3"/>
    <n v="0.2"/>
    <x v="2"/>
    <x v="2"/>
    <n v="0"/>
    <n v="0"/>
    <n v="0"/>
  </r>
  <r>
    <n v="8122"/>
    <s v="CA-2016-116722"/>
    <d v="2016-11-11T00:00:00"/>
    <x v="0"/>
    <s v="Q4"/>
    <x v="0"/>
    <d v="2016-11-16T00:00:00"/>
    <s v="Standard Class"/>
    <x v="221"/>
    <x v="221"/>
    <s v="Consumer"/>
    <s v="United States"/>
    <s v="San Francisco"/>
    <x v="1"/>
    <n v="94110"/>
    <x v="1"/>
    <x v="175"/>
    <x v="1"/>
    <x v="8"/>
    <x v="176"/>
    <n v="31.504000000000001"/>
    <s v="Medium"/>
    <n v="11"/>
    <n v="0.2"/>
    <x v="2"/>
    <x v="2"/>
    <n v="11.026400000000001"/>
    <n v="0.35000000000000003"/>
    <n v="0"/>
  </r>
  <r>
    <n v="8123"/>
    <s v="CA-2014-138128"/>
    <d v="2014-12-09T00:00:00"/>
    <x v="2"/>
    <s v="Q4"/>
    <x v="20"/>
    <d v="2014-12-15T00:00:00"/>
    <s v="Standard Class"/>
    <x v="224"/>
    <x v="224"/>
    <s v="Consumer"/>
    <s v="United States"/>
    <s v="Philadelphia"/>
    <x v="9"/>
    <n v="19134"/>
    <x v="3"/>
    <x v="118"/>
    <x v="1"/>
    <x v="12"/>
    <x v="118"/>
    <n v="30.672000000000001"/>
    <s v="Medium"/>
    <n v="3"/>
    <n v="0.2"/>
    <x v="2"/>
    <x v="2"/>
    <n v="9.5850000000000009"/>
    <n v="0.3125"/>
    <n v="0"/>
  </r>
  <r>
    <n v="8124"/>
    <s v="CA-2014-138128"/>
    <d v="2014-12-09T00:00:00"/>
    <x v="2"/>
    <s v="Q4"/>
    <x v="20"/>
    <d v="2014-12-15T00:00:00"/>
    <s v="Standard Class"/>
    <x v="224"/>
    <x v="224"/>
    <s v="Consumer"/>
    <s v="United States"/>
    <s v="Philadelphia"/>
    <x v="9"/>
    <n v="19134"/>
    <x v="3"/>
    <x v="1077"/>
    <x v="2"/>
    <x v="16"/>
    <x v="1067"/>
    <n v="1079.9760000000001"/>
    <s v="High"/>
    <n v="4"/>
    <n v="0.4"/>
    <x v="1"/>
    <x v="7"/>
    <n v="125.99720000000001"/>
    <n v="0.11666666666666665"/>
    <n v="0"/>
  </r>
  <r>
    <n v="8125"/>
    <s v="US-2017-150070"/>
    <d v="2017-09-07T00:00:00"/>
    <x v="3"/>
    <s v="Q3"/>
    <x v="15"/>
    <d v="2017-09-12T00:00:00"/>
    <s v="Standard Class"/>
    <x v="350"/>
    <x v="350"/>
    <s v="Consumer"/>
    <s v="United States"/>
    <s v="Modesto"/>
    <x v="1"/>
    <n v="95351"/>
    <x v="1"/>
    <x v="211"/>
    <x v="0"/>
    <x v="1"/>
    <x v="212"/>
    <n v="161.56800000000001"/>
    <s v="High"/>
    <n v="2"/>
    <n v="0.2"/>
    <x v="2"/>
    <x v="2"/>
    <n v="-28.2744"/>
    <n v="-0.17499999999999999"/>
    <n v="1"/>
  </r>
  <r>
    <n v="8126"/>
    <s v="CA-2015-137064"/>
    <d v="2015-02-06T00:00:00"/>
    <x v="1"/>
    <s v="Q1"/>
    <x v="36"/>
    <d v="2015-02-13T00:00:00"/>
    <s v="Standard Class"/>
    <x v="772"/>
    <x v="772"/>
    <s v="Consumer"/>
    <s v="United States"/>
    <s v="Houston"/>
    <x v="5"/>
    <n v="77070"/>
    <x v="2"/>
    <x v="766"/>
    <x v="1"/>
    <x v="8"/>
    <x v="765"/>
    <n v="2.9340000000000002"/>
    <s v="Low"/>
    <n v="3"/>
    <n v="0.8"/>
    <x v="1"/>
    <x v="3"/>
    <n v="-4.9878"/>
    <n v="-1.7"/>
    <n v="1"/>
  </r>
  <r>
    <n v="8127"/>
    <s v="CA-2015-137064"/>
    <d v="2015-02-06T00:00:00"/>
    <x v="1"/>
    <s v="Q1"/>
    <x v="36"/>
    <d v="2015-02-13T00:00:00"/>
    <s v="Standard Class"/>
    <x v="772"/>
    <x v="772"/>
    <s v="Consumer"/>
    <s v="United States"/>
    <s v="Houston"/>
    <x v="5"/>
    <n v="77070"/>
    <x v="2"/>
    <x v="103"/>
    <x v="2"/>
    <x v="11"/>
    <x v="103"/>
    <n v="18.527999999999999"/>
    <s v="Low"/>
    <n v="2"/>
    <n v="0.2"/>
    <x v="2"/>
    <x v="2"/>
    <n v="4.4004000000000003"/>
    <n v="0.23750000000000004"/>
    <n v="0"/>
  </r>
  <r>
    <n v="8128"/>
    <s v="CA-2015-137064"/>
    <d v="2015-02-06T00:00:00"/>
    <x v="1"/>
    <s v="Q1"/>
    <x v="36"/>
    <d v="2015-02-13T00:00:00"/>
    <s v="Standard Class"/>
    <x v="772"/>
    <x v="772"/>
    <s v="Consumer"/>
    <s v="United States"/>
    <s v="Houston"/>
    <x v="5"/>
    <n v="77070"/>
    <x v="2"/>
    <x v="1362"/>
    <x v="1"/>
    <x v="4"/>
    <x v="1348"/>
    <n v="670.75199999999995"/>
    <s v="High"/>
    <n v="3"/>
    <n v="0.2"/>
    <x v="2"/>
    <x v="2"/>
    <n v="-125.76600000000001"/>
    <n v="-0.18750000000000003"/>
    <n v="1"/>
  </r>
  <r>
    <n v="8129"/>
    <s v="CA-2017-157350"/>
    <d v="2017-08-26T00:00:00"/>
    <x v="3"/>
    <s v="Q3"/>
    <x v="43"/>
    <d v="2017-09-01T00:00:00"/>
    <s v="Standard Class"/>
    <x v="24"/>
    <x v="24"/>
    <s v="Consumer"/>
    <s v="United States"/>
    <s v="Chicago"/>
    <x v="10"/>
    <n v="60610"/>
    <x v="2"/>
    <x v="596"/>
    <x v="0"/>
    <x v="5"/>
    <x v="596"/>
    <n v="64.959999999999994"/>
    <s v="Medium"/>
    <n v="5"/>
    <n v="0.6"/>
    <x v="1"/>
    <x v="6"/>
    <n v="-43.847999999999999"/>
    <n v="-0.67500000000000004"/>
    <n v="1"/>
  </r>
  <r>
    <n v="8130"/>
    <s v="CA-2014-127866"/>
    <d v="2014-07-20T00:00:00"/>
    <x v="2"/>
    <s v="Q3"/>
    <x v="39"/>
    <d v="2014-07-23T00:00:00"/>
    <s v="First Class"/>
    <x v="63"/>
    <x v="63"/>
    <s v="Corporate"/>
    <s v="United States"/>
    <s v="Riverside"/>
    <x v="1"/>
    <n v="92503"/>
    <x v="1"/>
    <x v="917"/>
    <x v="2"/>
    <x v="11"/>
    <x v="909"/>
    <n v="41.94"/>
    <s v="Medium"/>
    <n v="2"/>
    <n v="0"/>
    <x v="0"/>
    <x v="0"/>
    <n v="15.0984"/>
    <n v="0.36000000000000004"/>
    <n v="0"/>
  </r>
  <r>
    <n v="8131"/>
    <s v="CA-2014-127866"/>
    <d v="2014-07-20T00:00:00"/>
    <x v="2"/>
    <s v="Q3"/>
    <x v="39"/>
    <d v="2014-07-23T00:00:00"/>
    <s v="First Class"/>
    <x v="63"/>
    <x v="63"/>
    <s v="Corporate"/>
    <s v="United States"/>
    <s v="Riverside"/>
    <x v="1"/>
    <n v="92503"/>
    <x v="1"/>
    <x v="1296"/>
    <x v="1"/>
    <x v="10"/>
    <x v="1281"/>
    <n v="11.96"/>
    <s v="Low"/>
    <n v="2"/>
    <n v="0"/>
    <x v="0"/>
    <x v="0"/>
    <n v="5.8604000000000003"/>
    <n v="0.49"/>
    <n v="0"/>
  </r>
  <r>
    <n v="8132"/>
    <s v="CA-2014-127866"/>
    <d v="2014-07-20T00:00:00"/>
    <x v="2"/>
    <s v="Q3"/>
    <x v="39"/>
    <d v="2014-07-23T00:00:00"/>
    <s v="First Class"/>
    <x v="63"/>
    <x v="63"/>
    <s v="Corporate"/>
    <s v="United States"/>
    <s v="Riverside"/>
    <x v="1"/>
    <n v="92503"/>
    <x v="1"/>
    <x v="1609"/>
    <x v="1"/>
    <x v="6"/>
    <x v="1600"/>
    <n v="13.12"/>
    <s v="Low"/>
    <n v="4"/>
    <n v="0"/>
    <x v="0"/>
    <x v="0"/>
    <n v="3.8048000000000002"/>
    <n v="0.29000000000000004"/>
    <n v="0"/>
  </r>
  <r>
    <n v="8133"/>
    <s v="CA-2014-127866"/>
    <d v="2014-07-20T00:00:00"/>
    <x v="2"/>
    <s v="Q3"/>
    <x v="39"/>
    <d v="2014-07-23T00:00:00"/>
    <s v="First Class"/>
    <x v="63"/>
    <x v="63"/>
    <s v="Corporate"/>
    <s v="United States"/>
    <s v="Riverside"/>
    <x v="1"/>
    <n v="92503"/>
    <x v="1"/>
    <x v="518"/>
    <x v="1"/>
    <x v="4"/>
    <x v="518"/>
    <n v="535.41"/>
    <s v="High"/>
    <n v="3"/>
    <n v="0"/>
    <x v="0"/>
    <x v="0"/>
    <n v="160.62299999999999"/>
    <n v="0.3"/>
    <n v="0"/>
  </r>
  <r>
    <n v="8134"/>
    <s v="CA-2015-131352"/>
    <d v="2015-10-08T00:00:00"/>
    <x v="1"/>
    <s v="Q4"/>
    <x v="2"/>
    <d v="2015-10-13T00:00:00"/>
    <s v="Standard Class"/>
    <x v="16"/>
    <x v="16"/>
    <s v="Corporate"/>
    <s v="United States"/>
    <s v="Dallas"/>
    <x v="5"/>
    <n v="75081"/>
    <x v="2"/>
    <x v="71"/>
    <x v="0"/>
    <x v="5"/>
    <x v="71"/>
    <n v="72.78"/>
    <s v="Medium"/>
    <n v="3"/>
    <n v="0.6"/>
    <x v="1"/>
    <x v="6"/>
    <n v="-70.960499999999996"/>
    <n v="-0.97499999999999998"/>
    <n v="1"/>
  </r>
  <r>
    <n v="8135"/>
    <s v="CA-2015-121776"/>
    <d v="2015-02-16T00:00:00"/>
    <x v="1"/>
    <s v="Q1"/>
    <x v="36"/>
    <d v="2015-02-21T00:00:00"/>
    <s v="Standard Class"/>
    <x v="361"/>
    <x v="361"/>
    <s v="Consumer"/>
    <s v="United States"/>
    <s v="Los Angeles"/>
    <x v="1"/>
    <n v="90008"/>
    <x v="1"/>
    <x v="314"/>
    <x v="1"/>
    <x v="10"/>
    <x v="314"/>
    <n v="36.840000000000003"/>
    <s v="Medium"/>
    <n v="3"/>
    <n v="0"/>
    <x v="0"/>
    <x v="0"/>
    <n v="17.314800000000002"/>
    <n v="0.47000000000000003"/>
    <n v="0"/>
  </r>
  <r>
    <n v="8136"/>
    <s v="CA-2015-121776"/>
    <d v="2015-02-16T00:00:00"/>
    <x v="1"/>
    <s v="Q1"/>
    <x v="36"/>
    <d v="2015-02-21T00:00:00"/>
    <s v="Standard Class"/>
    <x v="361"/>
    <x v="361"/>
    <s v="Consumer"/>
    <s v="United States"/>
    <s v="Los Angeles"/>
    <x v="1"/>
    <n v="90008"/>
    <x v="1"/>
    <x v="49"/>
    <x v="1"/>
    <x v="2"/>
    <x v="49"/>
    <n v="87.71"/>
    <s v="Medium"/>
    <n v="7"/>
    <n v="0"/>
    <x v="0"/>
    <x v="0"/>
    <n v="41.223700000000001"/>
    <n v="0.47000000000000003"/>
    <n v="0"/>
  </r>
  <r>
    <n v="8137"/>
    <s v="CA-2016-118073"/>
    <d v="2016-08-12T00:00:00"/>
    <x v="0"/>
    <s v="Q3"/>
    <x v="28"/>
    <d v="2016-08-16T00:00:00"/>
    <s v="Standard Class"/>
    <x v="703"/>
    <x v="703"/>
    <s v="Corporate"/>
    <s v="United States"/>
    <s v="Lakeland"/>
    <x v="2"/>
    <n v="33801"/>
    <x v="0"/>
    <x v="277"/>
    <x v="0"/>
    <x v="3"/>
    <x v="277"/>
    <n v="562.29250000000002"/>
    <s v="High"/>
    <n v="7"/>
    <n v="0.45"/>
    <x v="1"/>
    <x v="1"/>
    <n v="-255.58750000000001"/>
    <n v="-0.45454545454545453"/>
    <n v="1"/>
  </r>
  <r>
    <n v="8138"/>
    <s v="CA-2014-103219"/>
    <d v="2014-11-09T00:00:00"/>
    <x v="2"/>
    <s v="Q4"/>
    <x v="7"/>
    <d v="2014-11-13T00:00:00"/>
    <s v="Standard Class"/>
    <x v="682"/>
    <x v="682"/>
    <s v="Home Office"/>
    <s v="United States"/>
    <s v="New York City"/>
    <x v="15"/>
    <n v="10035"/>
    <x v="3"/>
    <x v="267"/>
    <x v="0"/>
    <x v="5"/>
    <x v="963"/>
    <n v="56.52"/>
    <s v="Medium"/>
    <n v="9"/>
    <n v="0"/>
    <x v="0"/>
    <x v="0"/>
    <n v="21.477599999999999"/>
    <n v="0.37999999999999995"/>
    <n v="0"/>
  </r>
  <r>
    <n v="8139"/>
    <s v="CA-2016-102561"/>
    <d v="2016-07-18T00:00:00"/>
    <x v="0"/>
    <s v="Q3"/>
    <x v="16"/>
    <d v="2016-07-22T00:00:00"/>
    <s v="Standard Class"/>
    <x v="71"/>
    <x v="71"/>
    <s v="Home Office"/>
    <s v="United States"/>
    <s v="Philadelphia"/>
    <x v="9"/>
    <n v="19140"/>
    <x v="3"/>
    <x v="824"/>
    <x v="1"/>
    <x v="6"/>
    <x v="820"/>
    <n v="11.263999999999999"/>
    <s v="Low"/>
    <n v="8"/>
    <n v="0.2"/>
    <x v="2"/>
    <x v="2"/>
    <n v="1.2672000000000001"/>
    <n v="0.11250000000000002"/>
    <n v="0"/>
  </r>
  <r>
    <n v="8140"/>
    <s v="CA-2016-102561"/>
    <d v="2016-07-18T00:00:00"/>
    <x v="0"/>
    <s v="Q3"/>
    <x v="16"/>
    <d v="2016-07-22T00:00:00"/>
    <s v="Standard Class"/>
    <x v="71"/>
    <x v="71"/>
    <s v="Home Office"/>
    <s v="United States"/>
    <s v="Philadelphia"/>
    <x v="9"/>
    <n v="19140"/>
    <x v="3"/>
    <x v="841"/>
    <x v="1"/>
    <x v="4"/>
    <x v="835"/>
    <n v="284.08"/>
    <s v="High"/>
    <n v="10"/>
    <n v="0.2"/>
    <x v="2"/>
    <x v="2"/>
    <n v="24.856999999999999"/>
    <n v="8.7500000000000008E-2"/>
    <n v="0"/>
  </r>
  <r>
    <n v="8141"/>
    <s v="CA-2016-102561"/>
    <d v="2016-07-18T00:00:00"/>
    <x v="0"/>
    <s v="Q3"/>
    <x v="16"/>
    <d v="2016-07-22T00:00:00"/>
    <s v="Standard Class"/>
    <x v="71"/>
    <x v="71"/>
    <s v="Home Office"/>
    <s v="United States"/>
    <s v="Philadelphia"/>
    <x v="9"/>
    <n v="19140"/>
    <x v="3"/>
    <x v="609"/>
    <x v="1"/>
    <x v="10"/>
    <x v="609"/>
    <n v="18.495999999999999"/>
    <s v="Low"/>
    <n v="4"/>
    <n v="0.2"/>
    <x v="2"/>
    <x v="2"/>
    <n v="6.7047999999999996"/>
    <n v="0.36249999999999999"/>
    <n v="0"/>
  </r>
  <r>
    <n v="8142"/>
    <s v="CA-2016-100993"/>
    <d v="2016-02-05T00:00:00"/>
    <x v="0"/>
    <s v="Q1"/>
    <x v="47"/>
    <d v="2016-02-10T00:00:00"/>
    <s v="Standard Class"/>
    <x v="616"/>
    <x v="616"/>
    <s v="Consumer"/>
    <s v="United States"/>
    <s v="San Diego"/>
    <x v="1"/>
    <n v="92037"/>
    <x v="1"/>
    <x v="607"/>
    <x v="1"/>
    <x v="2"/>
    <x v="607"/>
    <n v="14.73"/>
    <s v="Low"/>
    <n v="3"/>
    <n v="0"/>
    <x v="0"/>
    <x v="0"/>
    <n v="7.2176999999999998"/>
    <n v="0.49"/>
    <n v="0"/>
  </r>
  <r>
    <n v="8143"/>
    <s v="CA-2016-100993"/>
    <d v="2016-02-05T00:00:00"/>
    <x v="0"/>
    <s v="Q1"/>
    <x v="47"/>
    <d v="2016-02-10T00:00:00"/>
    <s v="Standard Class"/>
    <x v="616"/>
    <x v="616"/>
    <s v="Consumer"/>
    <s v="United States"/>
    <s v="San Diego"/>
    <x v="1"/>
    <n v="92037"/>
    <x v="1"/>
    <x v="821"/>
    <x v="1"/>
    <x v="4"/>
    <x v="817"/>
    <n v="186.54"/>
    <s v="High"/>
    <n v="3"/>
    <n v="0"/>
    <x v="0"/>
    <x v="0"/>
    <n v="50.3658"/>
    <n v="0.27"/>
    <n v="0"/>
  </r>
  <r>
    <n v="8144"/>
    <s v="CA-2016-100993"/>
    <d v="2016-02-05T00:00:00"/>
    <x v="0"/>
    <s v="Q1"/>
    <x v="47"/>
    <d v="2016-02-10T00:00:00"/>
    <s v="Standard Class"/>
    <x v="616"/>
    <x v="616"/>
    <s v="Consumer"/>
    <s v="United States"/>
    <s v="San Diego"/>
    <x v="1"/>
    <n v="92037"/>
    <x v="1"/>
    <x v="616"/>
    <x v="0"/>
    <x v="3"/>
    <x v="616"/>
    <n v="557.72799999999995"/>
    <s v="High"/>
    <n v="4"/>
    <n v="0.2"/>
    <x v="2"/>
    <x v="2"/>
    <n v="6.9715999999999996"/>
    <n v="1.2500000000000001E-2"/>
    <n v="0"/>
  </r>
  <r>
    <n v="8145"/>
    <s v="CA-2016-100993"/>
    <d v="2016-02-05T00:00:00"/>
    <x v="0"/>
    <s v="Q1"/>
    <x v="47"/>
    <d v="2016-02-10T00:00:00"/>
    <s v="Standard Class"/>
    <x v="616"/>
    <x v="616"/>
    <s v="Consumer"/>
    <s v="United States"/>
    <s v="San Diego"/>
    <x v="1"/>
    <n v="92037"/>
    <x v="1"/>
    <x v="140"/>
    <x v="2"/>
    <x v="7"/>
    <x v="141"/>
    <n v="159.96799999999999"/>
    <s v="High"/>
    <n v="4"/>
    <n v="0.2"/>
    <x v="2"/>
    <x v="2"/>
    <n v="-31.993600000000001"/>
    <n v="-0.2"/>
    <n v="1"/>
  </r>
  <r>
    <n v="8146"/>
    <s v="US-2014-112949"/>
    <d v="2014-06-20T00:00:00"/>
    <x v="2"/>
    <s v="Q2"/>
    <x v="3"/>
    <d v="2014-06-27T00:00:00"/>
    <s v="Standard Class"/>
    <x v="476"/>
    <x v="476"/>
    <s v="Consumer"/>
    <s v="United States"/>
    <s v="Lawton"/>
    <x v="26"/>
    <n v="73505"/>
    <x v="2"/>
    <x v="1152"/>
    <x v="1"/>
    <x v="9"/>
    <x v="1140"/>
    <n v="471.9"/>
    <s v="High"/>
    <n v="6"/>
    <n v="0"/>
    <x v="0"/>
    <x v="0"/>
    <n v="155.727"/>
    <n v="0.33"/>
    <n v="0"/>
  </r>
  <r>
    <n v="8147"/>
    <s v="US-2014-112949"/>
    <d v="2014-06-20T00:00:00"/>
    <x v="2"/>
    <s v="Q2"/>
    <x v="3"/>
    <d v="2014-06-27T00:00:00"/>
    <s v="Standard Class"/>
    <x v="476"/>
    <x v="476"/>
    <s v="Consumer"/>
    <s v="United States"/>
    <s v="Lawton"/>
    <x v="26"/>
    <n v="73505"/>
    <x v="2"/>
    <x v="1273"/>
    <x v="1"/>
    <x v="6"/>
    <x v="1258"/>
    <n v="3.52"/>
    <s v="Low"/>
    <n v="2"/>
    <n v="0"/>
    <x v="0"/>
    <x v="0"/>
    <n v="1.6896"/>
    <n v="0.48"/>
    <n v="0"/>
  </r>
  <r>
    <n v="8148"/>
    <s v="US-2017-146822"/>
    <d v="2017-06-09T00:00:00"/>
    <x v="3"/>
    <s v="Q2"/>
    <x v="27"/>
    <d v="2017-06-14T00:00:00"/>
    <s v="Standard Class"/>
    <x v="165"/>
    <x v="165"/>
    <s v="Consumer"/>
    <s v="United States"/>
    <s v="Salem"/>
    <x v="17"/>
    <n v="24153"/>
    <x v="0"/>
    <x v="33"/>
    <x v="1"/>
    <x v="10"/>
    <x v="33"/>
    <n v="49.12"/>
    <s v="Medium"/>
    <n v="4"/>
    <n v="0"/>
    <x v="0"/>
    <x v="0"/>
    <n v="23.086400000000001"/>
    <n v="0.47000000000000003"/>
    <n v="0"/>
  </r>
  <r>
    <n v="8149"/>
    <s v="US-2016-131058"/>
    <d v="2016-12-27T00:00:00"/>
    <x v="0"/>
    <s v="Q4"/>
    <x v="5"/>
    <d v="2016-12-31T00:00:00"/>
    <s v="Standard Class"/>
    <x v="670"/>
    <x v="670"/>
    <s v="Home Office"/>
    <s v="United States"/>
    <s v="Santa Ana"/>
    <x v="1"/>
    <n v="92704"/>
    <x v="1"/>
    <x v="745"/>
    <x v="1"/>
    <x v="2"/>
    <x v="743"/>
    <n v="20.16"/>
    <s v="Low"/>
    <n v="7"/>
    <n v="0"/>
    <x v="0"/>
    <x v="0"/>
    <n v="9.8783999999999992"/>
    <n v="0.48999999999999994"/>
    <n v="0"/>
  </r>
  <r>
    <n v="8150"/>
    <s v="CA-2014-167997"/>
    <d v="2014-01-26T00:00:00"/>
    <x v="2"/>
    <s v="Q1"/>
    <x v="46"/>
    <d v="2014-01-29T00:00:00"/>
    <s v="First Class"/>
    <x v="662"/>
    <x v="662"/>
    <s v="Corporate"/>
    <s v="United States"/>
    <s v="Rapid City"/>
    <x v="44"/>
    <n v="57701"/>
    <x v="2"/>
    <x v="951"/>
    <x v="1"/>
    <x v="8"/>
    <x v="944"/>
    <n v="10.68"/>
    <s v="Low"/>
    <n v="2"/>
    <n v="0"/>
    <x v="0"/>
    <x v="0"/>
    <n v="5.0195999999999996"/>
    <n v="0.47"/>
    <n v="0"/>
  </r>
  <r>
    <n v="8151"/>
    <s v="CA-2014-167997"/>
    <d v="2014-01-26T00:00:00"/>
    <x v="2"/>
    <s v="Q1"/>
    <x v="46"/>
    <d v="2014-01-29T00:00:00"/>
    <s v="First Class"/>
    <x v="662"/>
    <x v="662"/>
    <s v="Corporate"/>
    <s v="United States"/>
    <s v="Rapid City"/>
    <x v="44"/>
    <n v="57701"/>
    <x v="2"/>
    <x v="631"/>
    <x v="0"/>
    <x v="0"/>
    <x v="631"/>
    <n v="141.96"/>
    <s v="High"/>
    <n v="2"/>
    <n v="0"/>
    <x v="0"/>
    <x v="0"/>
    <n v="39.748800000000003"/>
    <n v="0.28000000000000003"/>
    <n v="0"/>
  </r>
  <r>
    <n v="8152"/>
    <s v="CA-2017-140151"/>
    <d v="2017-03-23T00:00:00"/>
    <x v="3"/>
    <s v="Q1"/>
    <x v="42"/>
    <d v="2017-03-25T00:00:00"/>
    <s v="First Class"/>
    <x v="181"/>
    <x v="181"/>
    <s v="Consumer"/>
    <s v="United States"/>
    <s v="Seattle"/>
    <x v="4"/>
    <n v="98115"/>
    <x v="1"/>
    <x v="720"/>
    <x v="1"/>
    <x v="4"/>
    <x v="719"/>
    <n v="32.479999999999997"/>
    <s v="Medium"/>
    <n v="2"/>
    <n v="0"/>
    <x v="0"/>
    <x v="0"/>
    <n v="4.8719999999999999"/>
    <n v="0.15000000000000002"/>
    <n v="0"/>
  </r>
  <r>
    <n v="8153"/>
    <s v="CA-2017-140151"/>
    <d v="2017-03-23T00:00:00"/>
    <x v="3"/>
    <s v="Q1"/>
    <x v="42"/>
    <d v="2017-03-25T00:00:00"/>
    <s v="First Class"/>
    <x v="181"/>
    <x v="181"/>
    <s v="Consumer"/>
    <s v="United States"/>
    <s v="Seattle"/>
    <x v="4"/>
    <n v="98115"/>
    <x v="1"/>
    <x v="481"/>
    <x v="1"/>
    <x v="10"/>
    <x v="482"/>
    <n v="20.04"/>
    <s v="Low"/>
    <n v="3"/>
    <n v="0"/>
    <x v="0"/>
    <x v="0"/>
    <n v="9.6191999999999993"/>
    <n v="0.48"/>
    <n v="0"/>
  </r>
  <r>
    <n v="8154"/>
    <s v="CA-2017-140151"/>
    <d v="2017-03-23T00:00:00"/>
    <x v="3"/>
    <s v="Q1"/>
    <x v="42"/>
    <d v="2017-03-25T00:00:00"/>
    <s v="First Class"/>
    <x v="181"/>
    <x v="181"/>
    <s v="Consumer"/>
    <s v="United States"/>
    <s v="Seattle"/>
    <x v="4"/>
    <n v="98115"/>
    <x v="1"/>
    <x v="1388"/>
    <x v="2"/>
    <x v="16"/>
    <x v="1374"/>
    <n v="13999.96"/>
    <s v="High"/>
    <n v="4"/>
    <n v="0"/>
    <x v="0"/>
    <x v="0"/>
    <n v="6719.9808000000003"/>
    <n v="0.48000000000000004"/>
    <n v="0"/>
  </r>
  <r>
    <n v="8155"/>
    <s v="US-2017-143770"/>
    <d v="2017-03-20T00:00:00"/>
    <x v="3"/>
    <s v="Q1"/>
    <x v="42"/>
    <d v="2017-03-24T00:00:00"/>
    <s v="Standard Class"/>
    <x v="742"/>
    <x v="742"/>
    <s v="Consumer"/>
    <s v="United States"/>
    <s v="Middletown"/>
    <x v="29"/>
    <n v="6457"/>
    <x v="3"/>
    <x v="1200"/>
    <x v="2"/>
    <x v="11"/>
    <x v="1185"/>
    <n v="238"/>
    <s v="High"/>
    <n v="2"/>
    <n v="0"/>
    <x v="0"/>
    <x v="0"/>
    <n v="38.08"/>
    <n v="0.16"/>
    <n v="0"/>
  </r>
  <r>
    <n v="8156"/>
    <s v="US-2017-143770"/>
    <d v="2017-03-20T00:00:00"/>
    <x v="3"/>
    <s v="Q1"/>
    <x v="42"/>
    <d v="2017-03-24T00:00:00"/>
    <s v="Standard Class"/>
    <x v="742"/>
    <x v="742"/>
    <s v="Consumer"/>
    <s v="United States"/>
    <s v="Middletown"/>
    <x v="29"/>
    <n v="6457"/>
    <x v="3"/>
    <x v="1030"/>
    <x v="1"/>
    <x v="10"/>
    <x v="1021"/>
    <n v="61.96"/>
    <s v="Medium"/>
    <n v="2"/>
    <n v="0"/>
    <x v="0"/>
    <x v="0"/>
    <n v="27.882000000000001"/>
    <n v="0.45"/>
    <n v="0"/>
  </r>
  <r>
    <n v="8157"/>
    <s v="CA-2016-131296"/>
    <d v="2016-10-04T00:00:00"/>
    <x v="0"/>
    <s v="Q4"/>
    <x v="32"/>
    <d v="2016-10-09T00:00:00"/>
    <s v="Standard Class"/>
    <x v="234"/>
    <x v="234"/>
    <s v="Consumer"/>
    <s v="United States"/>
    <s v="Baltimore"/>
    <x v="39"/>
    <n v="21215"/>
    <x v="3"/>
    <x v="975"/>
    <x v="0"/>
    <x v="3"/>
    <x v="969"/>
    <n v="239.37200000000001"/>
    <s v="High"/>
    <n v="2"/>
    <n v="0.3"/>
    <x v="1"/>
    <x v="4"/>
    <n v="-23.937200000000001"/>
    <n v="-9.9999999999999992E-2"/>
    <n v="1"/>
  </r>
  <r>
    <n v="8158"/>
    <s v="CA-2016-103464"/>
    <d v="2016-11-18T00:00:00"/>
    <x v="0"/>
    <s v="Q4"/>
    <x v="0"/>
    <d v="2016-11-22T00:00:00"/>
    <s v="Standard Class"/>
    <x v="310"/>
    <x v="310"/>
    <s v="Consumer"/>
    <s v="United States"/>
    <s v="San Diego"/>
    <x v="1"/>
    <n v="92105"/>
    <x v="1"/>
    <x v="1200"/>
    <x v="2"/>
    <x v="11"/>
    <x v="1185"/>
    <n v="595"/>
    <s v="High"/>
    <n v="5"/>
    <n v="0"/>
    <x v="0"/>
    <x v="0"/>
    <n v="95.2"/>
    <n v="0.16"/>
    <n v="0"/>
  </r>
  <r>
    <n v="8159"/>
    <s v="CA-2017-136238"/>
    <d v="2017-12-26T00:00:00"/>
    <x v="3"/>
    <s v="Q4"/>
    <x v="22"/>
    <d v="2018-01-01T00:00:00"/>
    <s v="Standard Class"/>
    <x v="208"/>
    <x v="208"/>
    <s v="Corporate"/>
    <s v="United States"/>
    <s v="Odessa"/>
    <x v="5"/>
    <n v="79762"/>
    <x v="2"/>
    <x v="1283"/>
    <x v="1"/>
    <x v="10"/>
    <x v="1268"/>
    <n v="16.032"/>
    <s v="Low"/>
    <n v="3"/>
    <n v="0.2"/>
    <x v="2"/>
    <x v="2"/>
    <n v="5.6112000000000002"/>
    <n v="0.35000000000000003"/>
    <n v="0"/>
  </r>
  <r>
    <n v="8160"/>
    <s v="CA-2016-120803"/>
    <d v="2016-03-09T00:00:00"/>
    <x v="0"/>
    <s v="Q1"/>
    <x v="17"/>
    <d v="2016-03-13T00:00:00"/>
    <s v="Standard Class"/>
    <x v="46"/>
    <x v="46"/>
    <s v="Home Office"/>
    <s v="United States"/>
    <s v="Milford"/>
    <x v="29"/>
    <n v="6460"/>
    <x v="3"/>
    <x v="240"/>
    <x v="2"/>
    <x v="11"/>
    <x v="241"/>
    <n v="199.75"/>
    <s v="High"/>
    <n v="5"/>
    <n v="0"/>
    <x v="0"/>
    <x v="0"/>
    <n v="87.89"/>
    <n v="0.44"/>
    <n v="0"/>
  </r>
  <r>
    <n v="8161"/>
    <s v="CA-2016-134138"/>
    <d v="2016-02-16T00:00:00"/>
    <x v="0"/>
    <s v="Q1"/>
    <x v="47"/>
    <d v="2016-02-20T00:00:00"/>
    <s v="Standard Class"/>
    <x v="479"/>
    <x v="479"/>
    <s v="Consumer"/>
    <s v="United States"/>
    <s v="Belleville"/>
    <x v="30"/>
    <n v="7109"/>
    <x v="3"/>
    <x v="1756"/>
    <x v="0"/>
    <x v="1"/>
    <x v="1746"/>
    <n v="227.96"/>
    <s v="High"/>
    <n v="2"/>
    <n v="0"/>
    <x v="0"/>
    <x v="0"/>
    <n v="36.473599999999998"/>
    <n v="0.15999999999999998"/>
    <n v="0"/>
  </r>
  <r>
    <n v="8162"/>
    <s v="CA-2015-120915"/>
    <d v="2015-09-28T00:00:00"/>
    <x v="1"/>
    <s v="Q3"/>
    <x v="11"/>
    <d v="2015-10-03T00:00:00"/>
    <s v="Second Class"/>
    <x v="370"/>
    <x v="370"/>
    <s v="Consumer"/>
    <s v="United States"/>
    <s v="New York City"/>
    <x v="15"/>
    <n v="10035"/>
    <x v="3"/>
    <x v="414"/>
    <x v="1"/>
    <x v="9"/>
    <x v="414"/>
    <n v="293.52"/>
    <s v="High"/>
    <n v="6"/>
    <n v="0"/>
    <x v="0"/>
    <x v="0"/>
    <n v="76.315200000000004"/>
    <n v="0.26"/>
    <n v="0"/>
  </r>
  <r>
    <n v="8163"/>
    <s v="CA-2015-120915"/>
    <d v="2015-09-28T00:00:00"/>
    <x v="1"/>
    <s v="Q3"/>
    <x v="11"/>
    <d v="2015-10-03T00:00:00"/>
    <s v="Second Class"/>
    <x v="370"/>
    <x v="370"/>
    <s v="Consumer"/>
    <s v="United States"/>
    <s v="New York City"/>
    <x v="15"/>
    <n v="10035"/>
    <x v="3"/>
    <x v="348"/>
    <x v="2"/>
    <x v="7"/>
    <x v="348"/>
    <n v="307.98"/>
    <s v="High"/>
    <n v="2"/>
    <n v="0"/>
    <x v="0"/>
    <x v="0"/>
    <n v="89.3142"/>
    <n v="0.28999999999999998"/>
    <n v="0"/>
  </r>
  <r>
    <n v="8164"/>
    <s v="CA-2015-168207"/>
    <d v="2015-11-02T00:00:00"/>
    <x v="1"/>
    <s v="Q4"/>
    <x v="6"/>
    <d v="2015-11-06T00:00:00"/>
    <s v="Standard Class"/>
    <x v="299"/>
    <x v="299"/>
    <s v="Consumer"/>
    <s v="United States"/>
    <s v="San Diego"/>
    <x v="1"/>
    <n v="92105"/>
    <x v="1"/>
    <x v="1372"/>
    <x v="0"/>
    <x v="5"/>
    <x v="1357"/>
    <n v="96.96"/>
    <s v="Medium"/>
    <n v="6"/>
    <n v="0"/>
    <x v="0"/>
    <x v="0"/>
    <n v="33.936"/>
    <n v="0.35000000000000003"/>
    <n v="0"/>
  </r>
  <r>
    <n v="8165"/>
    <s v="CA-2015-168207"/>
    <d v="2015-11-02T00:00:00"/>
    <x v="1"/>
    <s v="Q4"/>
    <x v="6"/>
    <d v="2015-11-06T00:00:00"/>
    <s v="Standard Class"/>
    <x v="299"/>
    <x v="299"/>
    <s v="Consumer"/>
    <s v="United States"/>
    <s v="San Diego"/>
    <x v="1"/>
    <n v="92105"/>
    <x v="1"/>
    <x v="301"/>
    <x v="1"/>
    <x v="8"/>
    <x v="301"/>
    <n v="117.488"/>
    <s v="Medium"/>
    <n v="7"/>
    <n v="0.2"/>
    <x v="2"/>
    <x v="2"/>
    <n v="41.120800000000003"/>
    <n v="0.35000000000000003"/>
    <n v="0"/>
  </r>
  <r>
    <n v="8166"/>
    <s v="CA-2015-168207"/>
    <d v="2015-11-02T00:00:00"/>
    <x v="1"/>
    <s v="Q4"/>
    <x v="6"/>
    <d v="2015-11-06T00:00:00"/>
    <s v="Standard Class"/>
    <x v="299"/>
    <x v="299"/>
    <s v="Consumer"/>
    <s v="United States"/>
    <s v="San Diego"/>
    <x v="1"/>
    <n v="92105"/>
    <x v="1"/>
    <x v="591"/>
    <x v="1"/>
    <x v="8"/>
    <x v="591"/>
    <n v="11.952"/>
    <s v="Low"/>
    <n v="3"/>
    <n v="0.2"/>
    <x v="2"/>
    <x v="2"/>
    <n v="4.1832000000000003"/>
    <n v="0.35000000000000003"/>
    <n v="0"/>
  </r>
  <r>
    <n v="8167"/>
    <s v="CA-2015-168207"/>
    <d v="2015-11-02T00:00:00"/>
    <x v="1"/>
    <s v="Q4"/>
    <x v="6"/>
    <d v="2015-11-06T00:00:00"/>
    <s v="Standard Class"/>
    <x v="299"/>
    <x v="299"/>
    <s v="Consumer"/>
    <s v="United States"/>
    <s v="San Diego"/>
    <x v="1"/>
    <n v="92105"/>
    <x v="1"/>
    <x v="1373"/>
    <x v="0"/>
    <x v="0"/>
    <x v="1358"/>
    <n v="512.49900000000002"/>
    <s v="High"/>
    <n v="3"/>
    <n v="0.15"/>
    <x v="2"/>
    <x v="2"/>
    <n v="-30.146999999999998"/>
    <n v="-5.8823529411764698E-2"/>
    <n v="1"/>
  </r>
  <r>
    <n v="8168"/>
    <s v="CA-2016-144148"/>
    <d v="2016-07-31T00:00:00"/>
    <x v="0"/>
    <s v="Q3"/>
    <x v="16"/>
    <d v="2016-08-05T00:00:00"/>
    <s v="Standard Class"/>
    <x v="706"/>
    <x v="706"/>
    <s v="Corporate"/>
    <s v="United States"/>
    <s v="San Francisco"/>
    <x v="1"/>
    <n v="94122"/>
    <x v="1"/>
    <x v="584"/>
    <x v="0"/>
    <x v="3"/>
    <x v="584"/>
    <n v="863.12800000000004"/>
    <s v="High"/>
    <n v="7"/>
    <n v="0.2"/>
    <x v="2"/>
    <x v="2"/>
    <n v="-32.3673"/>
    <n v="-3.7499999999999999E-2"/>
    <n v="1"/>
  </r>
  <r>
    <n v="8169"/>
    <s v="CA-2017-107174"/>
    <d v="2017-11-06T00:00:00"/>
    <x v="3"/>
    <s v="Q4"/>
    <x v="23"/>
    <d v="2017-11-13T00:00:00"/>
    <s v="Standard Class"/>
    <x v="144"/>
    <x v="144"/>
    <s v="Home Office"/>
    <s v="United States"/>
    <s v="Seattle"/>
    <x v="4"/>
    <n v="98105"/>
    <x v="1"/>
    <x v="309"/>
    <x v="0"/>
    <x v="3"/>
    <x v="309"/>
    <n v="2036.86"/>
    <s v="High"/>
    <n v="7"/>
    <n v="0"/>
    <x v="0"/>
    <x v="0"/>
    <n v="366.63479999999998"/>
    <n v="0.18"/>
    <n v="0"/>
  </r>
  <r>
    <n v="8170"/>
    <s v="CA-2017-107174"/>
    <d v="2017-11-06T00:00:00"/>
    <x v="3"/>
    <s v="Q4"/>
    <x v="23"/>
    <d v="2017-11-13T00:00:00"/>
    <s v="Standard Class"/>
    <x v="144"/>
    <x v="144"/>
    <s v="Home Office"/>
    <s v="United States"/>
    <s v="Seattle"/>
    <x v="4"/>
    <n v="98105"/>
    <x v="1"/>
    <x v="299"/>
    <x v="0"/>
    <x v="1"/>
    <x v="299"/>
    <n v="449.56799999999998"/>
    <s v="High"/>
    <n v="2"/>
    <n v="0.2"/>
    <x v="2"/>
    <x v="2"/>
    <n v="-73.0548"/>
    <n v="-0.16250000000000001"/>
    <n v="1"/>
  </r>
  <r>
    <n v="8171"/>
    <s v="CA-2017-107174"/>
    <d v="2017-11-06T00:00:00"/>
    <x v="3"/>
    <s v="Q4"/>
    <x v="23"/>
    <d v="2017-11-13T00:00:00"/>
    <s v="Standard Class"/>
    <x v="144"/>
    <x v="144"/>
    <s v="Home Office"/>
    <s v="United States"/>
    <s v="Seattle"/>
    <x v="4"/>
    <n v="98105"/>
    <x v="1"/>
    <x v="477"/>
    <x v="2"/>
    <x v="11"/>
    <x v="478"/>
    <n v="108.96"/>
    <s v="Medium"/>
    <n v="3"/>
    <n v="0"/>
    <x v="0"/>
    <x v="0"/>
    <n v="32.688000000000002"/>
    <n v="0.30000000000000004"/>
    <n v="0"/>
  </r>
  <r>
    <n v="8172"/>
    <s v="CA-2016-146150"/>
    <d v="2016-02-14T00:00:00"/>
    <x v="0"/>
    <s v="Q1"/>
    <x v="47"/>
    <d v="2016-02-19T00:00:00"/>
    <s v="Standard Class"/>
    <x v="248"/>
    <x v="248"/>
    <s v="Consumer"/>
    <s v="United States"/>
    <s v="Jackson"/>
    <x v="35"/>
    <n v="39212"/>
    <x v="0"/>
    <x v="978"/>
    <x v="1"/>
    <x v="6"/>
    <x v="971"/>
    <n v="264.18"/>
    <s v="High"/>
    <n v="7"/>
    <n v="0"/>
    <x v="0"/>
    <x v="0"/>
    <n v="68.686800000000005"/>
    <n v="0.26"/>
    <n v="0"/>
  </r>
  <r>
    <n v="8173"/>
    <s v="CA-2014-114125"/>
    <d v="2014-07-09T00:00:00"/>
    <x v="2"/>
    <s v="Q3"/>
    <x v="39"/>
    <d v="2014-07-13T00:00:00"/>
    <s v="Standard Class"/>
    <x v="689"/>
    <x v="689"/>
    <s v="Home Office"/>
    <s v="United States"/>
    <s v="Los Angeles"/>
    <x v="1"/>
    <n v="90049"/>
    <x v="1"/>
    <x v="1363"/>
    <x v="1"/>
    <x v="2"/>
    <x v="1349"/>
    <n v="2.88"/>
    <s v="Low"/>
    <n v="1"/>
    <n v="0"/>
    <x v="0"/>
    <x v="0"/>
    <n v="1.4112"/>
    <n v="0.49000000000000005"/>
    <n v="0"/>
  </r>
  <r>
    <n v="8174"/>
    <s v="CA-2014-114125"/>
    <d v="2014-07-09T00:00:00"/>
    <x v="2"/>
    <s v="Q3"/>
    <x v="39"/>
    <d v="2014-07-13T00:00:00"/>
    <s v="Standard Class"/>
    <x v="689"/>
    <x v="689"/>
    <s v="Home Office"/>
    <s v="United States"/>
    <s v="Los Angeles"/>
    <x v="1"/>
    <n v="90049"/>
    <x v="1"/>
    <x v="44"/>
    <x v="1"/>
    <x v="8"/>
    <x v="44"/>
    <n v="41.904000000000003"/>
    <s v="Medium"/>
    <n v="6"/>
    <n v="0.2"/>
    <x v="2"/>
    <x v="2"/>
    <n v="14.1426"/>
    <n v="0.33749999999999997"/>
    <n v="0"/>
  </r>
  <r>
    <n v="8175"/>
    <s v="CA-2014-114125"/>
    <d v="2014-07-09T00:00:00"/>
    <x v="2"/>
    <s v="Q3"/>
    <x v="39"/>
    <d v="2014-07-13T00:00:00"/>
    <s v="Standard Class"/>
    <x v="689"/>
    <x v="689"/>
    <s v="Home Office"/>
    <s v="United States"/>
    <s v="Los Angeles"/>
    <x v="1"/>
    <n v="90049"/>
    <x v="1"/>
    <x v="1198"/>
    <x v="1"/>
    <x v="4"/>
    <x v="1183"/>
    <n v="23.92"/>
    <s v="Low"/>
    <n v="4"/>
    <n v="0"/>
    <x v="0"/>
    <x v="0"/>
    <n v="4.0663999999999998"/>
    <n v="0.16999999999999998"/>
    <n v="0"/>
  </r>
  <r>
    <n v="8176"/>
    <s v="CA-2016-114944"/>
    <d v="2016-01-30T00:00:00"/>
    <x v="0"/>
    <s v="Q1"/>
    <x v="12"/>
    <d v="2016-02-04T00:00:00"/>
    <s v="Standard Class"/>
    <x v="785"/>
    <x v="785"/>
    <s v="Corporate"/>
    <s v="United States"/>
    <s v="Chicago"/>
    <x v="10"/>
    <n v="60623"/>
    <x v="2"/>
    <x v="62"/>
    <x v="1"/>
    <x v="10"/>
    <x v="62"/>
    <n v="156.512"/>
    <s v="High"/>
    <n v="4"/>
    <n v="0.2"/>
    <x v="2"/>
    <x v="2"/>
    <n v="52.822800000000001"/>
    <n v="0.33750000000000002"/>
    <n v="0"/>
  </r>
  <r>
    <n v="8177"/>
    <s v="CA-2016-135965"/>
    <d v="2016-09-22T00:00:00"/>
    <x v="0"/>
    <s v="Q3"/>
    <x v="21"/>
    <d v="2016-09-25T00:00:00"/>
    <s v="First Class"/>
    <x v="449"/>
    <x v="449"/>
    <s v="Home Office"/>
    <s v="United States"/>
    <s v="New York City"/>
    <x v="15"/>
    <n v="10035"/>
    <x v="3"/>
    <x v="80"/>
    <x v="1"/>
    <x v="4"/>
    <x v="80"/>
    <n v="128.34"/>
    <s v="High"/>
    <n v="6"/>
    <n v="0"/>
    <x v="0"/>
    <x v="0"/>
    <n v="37.218600000000002"/>
    <n v="0.29000000000000004"/>
    <n v="0"/>
  </r>
  <r>
    <n v="8178"/>
    <s v="CA-2017-149699"/>
    <d v="2017-12-22T00:00:00"/>
    <x v="3"/>
    <s v="Q4"/>
    <x v="22"/>
    <d v="2017-12-24T00:00:00"/>
    <s v="First Class"/>
    <x v="441"/>
    <x v="441"/>
    <s v="Consumer"/>
    <s v="United States"/>
    <s v="Los Angeles"/>
    <x v="1"/>
    <n v="90008"/>
    <x v="1"/>
    <x v="1523"/>
    <x v="2"/>
    <x v="11"/>
    <x v="1510"/>
    <n v="474.95"/>
    <s v="High"/>
    <n v="5"/>
    <n v="0"/>
    <x v="0"/>
    <x v="0"/>
    <n v="142.48500000000001"/>
    <n v="0.30000000000000004"/>
    <n v="0"/>
  </r>
  <r>
    <n v="8179"/>
    <s v="CA-2016-166429"/>
    <d v="2016-09-02T00:00:00"/>
    <x v="0"/>
    <s v="Q3"/>
    <x v="21"/>
    <d v="2016-09-08T00:00:00"/>
    <s v="Standard Class"/>
    <x v="592"/>
    <x v="592"/>
    <s v="Consumer"/>
    <s v="United States"/>
    <s v="Des Moines"/>
    <x v="4"/>
    <n v="98198"/>
    <x v="1"/>
    <x v="615"/>
    <x v="2"/>
    <x v="16"/>
    <x v="615"/>
    <n v="999.98"/>
    <s v="High"/>
    <n v="2"/>
    <n v="0"/>
    <x v="0"/>
    <x v="0"/>
    <n v="449.99099999999999"/>
    <n v="0.44999999999999996"/>
    <n v="0"/>
  </r>
  <r>
    <n v="8180"/>
    <s v="CA-2015-112767"/>
    <d v="2015-08-02T00:00:00"/>
    <x v="1"/>
    <s v="Q3"/>
    <x v="37"/>
    <d v="2015-08-06T00:00:00"/>
    <s v="Standard Class"/>
    <x v="213"/>
    <x v="213"/>
    <s v="Consumer"/>
    <s v="United States"/>
    <s v="Springfield"/>
    <x v="21"/>
    <n v="97477"/>
    <x v="1"/>
    <x v="1582"/>
    <x v="0"/>
    <x v="3"/>
    <x v="1573"/>
    <n v="277.5"/>
    <s v="High"/>
    <n v="4"/>
    <n v="0.5"/>
    <x v="1"/>
    <x v="1"/>
    <n v="-188.7"/>
    <n v="-0.67999999999999994"/>
    <n v="1"/>
  </r>
  <r>
    <n v="8181"/>
    <s v="CA-2015-119879"/>
    <d v="2015-11-21T00:00:00"/>
    <x v="1"/>
    <s v="Q4"/>
    <x v="6"/>
    <d v="2015-11-25T00:00:00"/>
    <s v="Standard Class"/>
    <x v="757"/>
    <x v="757"/>
    <s v="Consumer"/>
    <s v="United States"/>
    <s v="Philadelphia"/>
    <x v="9"/>
    <n v="19120"/>
    <x v="3"/>
    <x v="971"/>
    <x v="0"/>
    <x v="3"/>
    <x v="965"/>
    <n v="1252.704"/>
    <s v="High"/>
    <n v="8"/>
    <n v="0.4"/>
    <x v="1"/>
    <x v="7"/>
    <n v="-480.20319999999998"/>
    <n v="-0.38333333333333336"/>
    <n v="1"/>
  </r>
  <r>
    <n v="8182"/>
    <s v="CA-2015-119879"/>
    <d v="2015-11-21T00:00:00"/>
    <x v="1"/>
    <s v="Q4"/>
    <x v="6"/>
    <d v="2015-11-25T00:00:00"/>
    <s v="Standard Class"/>
    <x v="757"/>
    <x v="757"/>
    <s v="Consumer"/>
    <s v="United States"/>
    <s v="Philadelphia"/>
    <x v="9"/>
    <n v="19120"/>
    <x v="3"/>
    <x v="687"/>
    <x v="2"/>
    <x v="7"/>
    <x v="687"/>
    <n v="110.97"/>
    <s v="Medium"/>
    <n v="5"/>
    <n v="0.4"/>
    <x v="1"/>
    <x v="7"/>
    <n v="-24.043500000000002"/>
    <n v="-0.21666666666666667"/>
    <n v="1"/>
  </r>
  <r>
    <n v="8183"/>
    <s v="CA-2017-155642"/>
    <d v="2017-05-18T00:00:00"/>
    <x v="3"/>
    <s v="Q2"/>
    <x v="24"/>
    <d v="2017-05-22T00:00:00"/>
    <s v="Standard Class"/>
    <x v="606"/>
    <x v="606"/>
    <s v="Corporate"/>
    <s v="United States"/>
    <s v="Chicago"/>
    <x v="10"/>
    <n v="60653"/>
    <x v="2"/>
    <x v="1155"/>
    <x v="0"/>
    <x v="5"/>
    <x v="1143"/>
    <n v="22.608000000000001"/>
    <s v="Low"/>
    <n v="3"/>
    <n v="0.6"/>
    <x v="1"/>
    <x v="6"/>
    <n v="-10.1736"/>
    <n v="-0.45"/>
    <n v="1"/>
  </r>
  <r>
    <n v="8184"/>
    <s v="CA-2017-155642"/>
    <d v="2017-05-18T00:00:00"/>
    <x v="3"/>
    <s v="Q2"/>
    <x v="24"/>
    <d v="2017-05-22T00:00:00"/>
    <s v="Standard Class"/>
    <x v="606"/>
    <x v="606"/>
    <s v="Corporate"/>
    <s v="United States"/>
    <s v="Chicago"/>
    <x v="10"/>
    <n v="60653"/>
    <x v="2"/>
    <x v="283"/>
    <x v="0"/>
    <x v="5"/>
    <x v="283"/>
    <n v="1.8919999999999999"/>
    <s v="Low"/>
    <n v="1"/>
    <n v="0.6"/>
    <x v="1"/>
    <x v="6"/>
    <n v="-0.99329999999999996"/>
    <n v="-0.52500000000000002"/>
    <n v="1"/>
  </r>
  <r>
    <n v="8185"/>
    <s v="US-2017-101721"/>
    <d v="2017-07-23T00:00:00"/>
    <x v="3"/>
    <s v="Q3"/>
    <x v="10"/>
    <d v="2017-07-27T00:00:00"/>
    <s v="Standard Class"/>
    <x v="199"/>
    <x v="199"/>
    <s v="Corporate"/>
    <s v="United States"/>
    <s v="Chicago"/>
    <x v="10"/>
    <n v="60623"/>
    <x v="2"/>
    <x v="954"/>
    <x v="1"/>
    <x v="10"/>
    <x v="947"/>
    <n v="63.311999999999998"/>
    <s v="Medium"/>
    <n v="3"/>
    <n v="0.2"/>
    <x v="2"/>
    <x v="2"/>
    <n v="20.5764"/>
    <n v="0.32500000000000001"/>
    <n v="0"/>
  </r>
  <r>
    <n v="8186"/>
    <s v="CA-2015-136728"/>
    <d v="2015-09-13T00:00:00"/>
    <x v="1"/>
    <s v="Q3"/>
    <x v="11"/>
    <d v="2015-09-17T00:00:00"/>
    <s v="Second Class"/>
    <x v="151"/>
    <x v="151"/>
    <s v="Consumer"/>
    <s v="United States"/>
    <s v="Chicago"/>
    <x v="10"/>
    <n v="60623"/>
    <x v="2"/>
    <x v="1170"/>
    <x v="1"/>
    <x v="12"/>
    <x v="153"/>
    <n v="7.8239999999999998"/>
    <s v="Low"/>
    <n v="1"/>
    <n v="0.2"/>
    <x v="2"/>
    <x v="2"/>
    <n v="2.9340000000000002"/>
    <n v="0.37500000000000006"/>
    <n v="0"/>
  </r>
  <r>
    <n v="8187"/>
    <s v="CA-2015-136728"/>
    <d v="2015-09-13T00:00:00"/>
    <x v="1"/>
    <s v="Q3"/>
    <x v="11"/>
    <d v="2015-09-17T00:00:00"/>
    <s v="Second Class"/>
    <x v="151"/>
    <x v="151"/>
    <s v="Consumer"/>
    <s v="United States"/>
    <s v="Chicago"/>
    <x v="10"/>
    <n v="60623"/>
    <x v="2"/>
    <x v="163"/>
    <x v="0"/>
    <x v="1"/>
    <x v="164"/>
    <n v="170.072"/>
    <s v="High"/>
    <n v="4"/>
    <n v="0.3"/>
    <x v="1"/>
    <x v="4"/>
    <n v="-12.148"/>
    <n v="-7.1428571428571425E-2"/>
    <n v="1"/>
  </r>
  <r>
    <n v="8188"/>
    <s v="CA-2016-127194"/>
    <d v="2016-12-10T00:00:00"/>
    <x v="0"/>
    <s v="Q4"/>
    <x v="5"/>
    <d v="2016-12-16T00:00:00"/>
    <s v="Standard Class"/>
    <x v="308"/>
    <x v="308"/>
    <s v="Corporate"/>
    <s v="United States"/>
    <s v="New York City"/>
    <x v="15"/>
    <n v="10024"/>
    <x v="3"/>
    <x v="161"/>
    <x v="1"/>
    <x v="10"/>
    <x v="162"/>
    <n v="62.82"/>
    <s v="Medium"/>
    <n v="9"/>
    <n v="0"/>
    <x v="0"/>
    <x v="0"/>
    <n v="29.525400000000001"/>
    <n v="0.47000000000000003"/>
    <n v="0"/>
  </r>
  <r>
    <n v="8189"/>
    <s v="CA-2015-140375"/>
    <d v="2015-10-02T00:00:00"/>
    <x v="1"/>
    <s v="Q4"/>
    <x v="2"/>
    <d v="2015-10-05T00:00:00"/>
    <s v="Second Class"/>
    <x v="495"/>
    <x v="495"/>
    <s v="Consumer"/>
    <s v="United States"/>
    <s v="Rockville"/>
    <x v="39"/>
    <n v="20852"/>
    <x v="3"/>
    <x v="680"/>
    <x v="1"/>
    <x v="10"/>
    <x v="680"/>
    <n v="19.440000000000001"/>
    <s v="Low"/>
    <n v="3"/>
    <n v="0"/>
    <x v="0"/>
    <x v="0"/>
    <n v="9.3312000000000008"/>
    <n v="0.48000000000000004"/>
    <n v="0"/>
  </r>
  <r>
    <n v="8190"/>
    <s v="CA-2015-140375"/>
    <d v="2015-10-02T00:00:00"/>
    <x v="1"/>
    <s v="Q4"/>
    <x v="2"/>
    <d v="2015-10-05T00:00:00"/>
    <s v="Second Class"/>
    <x v="495"/>
    <x v="495"/>
    <s v="Consumer"/>
    <s v="United States"/>
    <s v="Rockville"/>
    <x v="39"/>
    <n v="20852"/>
    <x v="3"/>
    <x v="777"/>
    <x v="1"/>
    <x v="8"/>
    <x v="776"/>
    <n v="7.38"/>
    <s v="Low"/>
    <n v="1"/>
    <n v="0"/>
    <x v="0"/>
    <x v="0"/>
    <n v="3.6162000000000001"/>
    <n v="0.49"/>
    <n v="0"/>
  </r>
  <r>
    <n v="8191"/>
    <s v="US-2017-155866"/>
    <d v="2017-11-17T00:00:00"/>
    <x v="3"/>
    <s v="Q4"/>
    <x v="23"/>
    <d v="2017-11-21T00:00:00"/>
    <s v="Standard Class"/>
    <x v="666"/>
    <x v="666"/>
    <s v="Consumer"/>
    <s v="United States"/>
    <s v="New York City"/>
    <x v="15"/>
    <n v="10011"/>
    <x v="3"/>
    <x v="832"/>
    <x v="1"/>
    <x v="10"/>
    <x v="827"/>
    <n v="38.880000000000003"/>
    <s v="Medium"/>
    <n v="6"/>
    <n v="0"/>
    <x v="0"/>
    <x v="0"/>
    <n v="18.662400000000002"/>
    <n v="0.48000000000000004"/>
    <n v="0"/>
  </r>
  <r>
    <n v="8192"/>
    <s v="US-2017-155866"/>
    <d v="2017-11-17T00:00:00"/>
    <x v="3"/>
    <s v="Q4"/>
    <x v="23"/>
    <d v="2017-11-21T00:00:00"/>
    <s v="Standard Class"/>
    <x v="666"/>
    <x v="666"/>
    <s v="Consumer"/>
    <s v="United States"/>
    <s v="New York City"/>
    <x v="15"/>
    <n v="10011"/>
    <x v="3"/>
    <x v="267"/>
    <x v="0"/>
    <x v="5"/>
    <x v="267"/>
    <n v="187.76"/>
    <s v="High"/>
    <n v="4"/>
    <n v="0"/>
    <x v="0"/>
    <x v="0"/>
    <n v="76.9816"/>
    <n v="0.41000000000000003"/>
    <n v="0"/>
  </r>
  <r>
    <n v="8193"/>
    <s v="CA-2015-141327"/>
    <d v="2015-11-30T00:00:00"/>
    <x v="1"/>
    <s v="Q4"/>
    <x v="6"/>
    <d v="2015-12-03T00:00:00"/>
    <s v="First Class"/>
    <x v="235"/>
    <x v="235"/>
    <s v="Consumer"/>
    <s v="United States"/>
    <s v="Durham"/>
    <x v="3"/>
    <n v="27707"/>
    <x v="0"/>
    <x v="614"/>
    <x v="1"/>
    <x v="8"/>
    <x v="614"/>
    <n v="6.048"/>
    <s v="Low"/>
    <n v="7"/>
    <n v="0.7"/>
    <x v="1"/>
    <x v="5"/>
    <n v="-4.2336"/>
    <n v="-0.7"/>
    <n v="1"/>
  </r>
  <r>
    <n v="8194"/>
    <s v="CA-2015-141327"/>
    <d v="2015-11-30T00:00:00"/>
    <x v="1"/>
    <s v="Q4"/>
    <x v="6"/>
    <d v="2015-12-03T00:00:00"/>
    <s v="First Class"/>
    <x v="235"/>
    <x v="235"/>
    <s v="Consumer"/>
    <s v="United States"/>
    <s v="Durham"/>
    <x v="3"/>
    <n v="27707"/>
    <x v="0"/>
    <x v="1360"/>
    <x v="1"/>
    <x v="9"/>
    <x v="1346"/>
    <n v="98.352000000000004"/>
    <s v="Medium"/>
    <n v="3"/>
    <n v="0.2"/>
    <x v="2"/>
    <x v="2"/>
    <n v="9.8352000000000004"/>
    <n v="0.1"/>
    <n v="0"/>
  </r>
  <r>
    <n v="8195"/>
    <s v="CA-2015-141327"/>
    <d v="2015-11-30T00:00:00"/>
    <x v="1"/>
    <s v="Q4"/>
    <x v="6"/>
    <d v="2015-12-03T00:00:00"/>
    <s v="First Class"/>
    <x v="235"/>
    <x v="235"/>
    <s v="Consumer"/>
    <s v="United States"/>
    <s v="Durham"/>
    <x v="3"/>
    <n v="27707"/>
    <x v="0"/>
    <x v="220"/>
    <x v="0"/>
    <x v="5"/>
    <x v="221"/>
    <n v="335.74400000000003"/>
    <s v="High"/>
    <n v="2"/>
    <n v="0.2"/>
    <x v="2"/>
    <x v="2"/>
    <n v="25.180800000000001"/>
    <n v="7.4999999999999997E-2"/>
    <n v="0"/>
  </r>
  <r>
    <n v="8196"/>
    <s v="CA-2015-136700"/>
    <d v="2015-12-06T00:00:00"/>
    <x v="1"/>
    <s v="Q4"/>
    <x v="14"/>
    <d v="2015-12-11T00:00:00"/>
    <s v="Second Class"/>
    <x v="106"/>
    <x v="106"/>
    <s v="Corporate"/>
    <s v="United States"/>
    <s v="Santa Barbara"/>
    <x v="1"/>
    <n v="93101"/>
    <x v="1"/>
    <x v="1056"/>
    <x v="1"/>
    <x v="10"/>
    <x v="1045"/>
    <n v="8.9600000000000009"/>
    <s v="Low"/>
    <n v="2"/>
    <n v="0"/>
    <x v="0"/>
    <x v="0"/>
    <n v="4.3903999999999996"/>
    <n v="0.48999999999999994"/>
    <n v="0"/>
  </r>
  <r>
    <n v="8197"/>
    <s v="CA-2017-102736"/>
    <d v="2017-09-05T00:00:00"/>
    <x v="3"/>
    <s v="Q3"/>
    <x v="15"/>
    <d v="2017-09-09T00:00:00"/>
    <s v="Standard Class"/>
    <x v="431"/>
    <x v="431"/>
    <s v="Consumer"/>
    <s v="United States"/>
    <s v="Knoxville"/>
    <x v="18"/>
    <n v="37918"/>
    <x v="0"/>
    <x v="1130"/>
    <x v="2"/>
    <x v="11"/>
    <x v="1118"/>
    <n v="89.567999999999998"/>
    <s v="Medium"/>
    <n v="4"/>
    <n v="0.2"/>
    <x v="2"/>
    <x v="2"/>
    <n v="-1.1195999999999999"/>
    <n v="-1.2499999999999999E-2"/>
    <n v="1"/>
  </r>
  <r>
    <n v="8198"/>
    <s v="CA-2017-102736"/>
    <d v="2017-09-05T00:00:00"/>
    <x v="3"/>
    <s v="Q3"/>
    <x v="15"/>
    <d v="2017-09-09T00:00:00"/>
    <s v="Standard Class"/>
    <x v="431"/>
    <x v="431"/>
    <s v="Consumer"/>
    <s v="United States"/>
    <s v="Knoxville"/>
    <x v="18"/>
    <n v="37918"/>
    <x v="0"/>
    <x v="646"/>
    <x v="1"/>
    <x v="6"/>
    <x v="646"/>
    <n v="71.959999999999994"/>
    <s v="Medium"/>
    <n v="5"/>
    <n v="0.2"/>
    <x v="2"/>
    <x v="2"/>
    <n v="7.1959999999999997"/>
    <n v="0.1"/>
    <n v="0"/>
  </r>
  <r>
    <n v="8199"/>
    <s v="CA-2017-102736"/>
    <d v="2017-09-05T00:00:00"/>
    <x v="3"/>
    <s v="Q3"/>
    <x v="15"/>
    <d v="2017-09-09T00:00:00"/>
    <s v="Standard Class"/>
    <x v="431"/>
    <x v="431"/>
    <s v="Consumer"/>
    <s v="United States"/>
    <s v="Knoxville"/>
    <x v="18"/>
    <n v="37918"/>
    <x v="0"/>
    <x v="585"/>
    <x v="1"/>
    <x v="10"/>
    <x v="585"/>
    <n v="15.552"/>
    <s v="Low"/>
    <n v="3"/>
    <n v="0.2"/>
    <x v="2"/>
    <x v="2"/>
    <n v="5.4432"/>
    <n v="0.35000000000000003"/>
    <n v="0"/>
  </r>
  <r>
    <n v="8200"/>
    <s v="CA-2017-125269"/>
    <d v="2017-04-24T00:00:00"/>
    <x v="3"/>
    <s v="Q2"/>
    <x v="4"/>
    <d v="2017-04-30T00:00:00"/>
    <s v="Standard Class"/>
    <x v="578"/>
    <x v="578"/>
    <s v="Consumer"/>
    <s v="United States"/>
    <s v="Chicago"/>
    <x v="10"/>
    <n v="60610"/>
    <x v="2"/>
    <x v="1124"/>
    <x v="1"/>
    <x v="8"/>
    <x v="1112"/>
    <n v="10.43"/>
    <s v="Low"/>
    <n v="5"/>
    <n v="0.8"/>
    <x v="1"/>
    <x v="3"/>
    <n v="-18.252500000000001"/>
    <n v="-1.7500000000000002"/>
    <n v="1"/>
  </r>
  <r>
    <n v="8201"/>
    <s v="CA-2017-125269"/>
    <d v="2017-04-24T00:00:00"/>
    <x v="3"/>
    <s v="Q2"/>
    <x v="4"/>
    <d v="2017-04-30T00:00:00"/>
    <s v="Standard Class"/>
    <x v="578"/>
    <x v="578"/>
    <s v="Consumer"/>
    <s v="United States"/>
    <s v="Chicago"/>
    <x v="10"/>
    <n v="60610"/>
    <x v="2"/>
    <x v="72"/>
    <x v="1"/>
    <x v="4"/>
    <x v="72"/>
    <n v="72.784000000000006"/>
    <s v="Medium"/>
    <n v="1"/>
    <n v="0.2"/>
    <x v="2"/>
    <x v="2"/>
    <n v="-18.196000000000002"/>
    <n v="-0.25"/>
    <n v="1"/>
  </r>
  <r>
    <n v="8202"/>
    <s v="CA-2015-114811"/>
    <d v="2015-11-08T00:00:00"/>
    <x v="1"/>
    <s v="Q4"/>
    <x v="6"/>
    <d v="2015-11-08T00:00:00"/>
    <s v="Same Day"/>
    <x v="470"/>
    <x v="470"/>
    <s v="Corporate"/>
    <s v="United States"/>
    <s v="New York City"/>
    <x v="15"/>
    <n v="10024"/>
    <x v="3"/>
    <x v="1678"/>
    <x v="1"/>
    <x v="4"/>
    <x v="1666"/>
    <n v="67.150000000000006"/>
    <s v="Medium"/>
    <n v="5"/>
    <n v="0"/>
    <x v="0"/>
    <x v="0"/>
    <n v="16.787500000000001"/>
    <n v="0.25"/>
    <n v="0"/>
  </r>
  <r>
    <n v="8203"/>
    <s v="CA-2015-114811"/>
    <d v="2015-11-08T00:00:00"/>
    <x v="1"/>
    <s v="Q4"/>
    <x v="6"/>
    <d v="2015-11-08T00:00:00"/>
    <s v="Same Day"/>
    <x v="470"/>
    <x v="470"/>
    <s v="Corporate"/>
    <s v="United States"/>
    <s v="New York City"/>
    <x v="15"/>
    <n v="10024"/>
    <x v="3"/>
    <x v="903"/>
    <x v="2"/>
    <x v="7"/>
    <x v="895"/>
    <n v="549.98"/>
    <s v="High"/>
    <n v="2"/>
    <n v="0"/>
    <x v="0"/>
    <x v="0"/>
    <n v="142.9948"/>
    <n v="0.26"/>
    <n v="0"/>
  </r>
  <r>
    <n v="8204"/>
    <s v="CA-2015-114811"/>
    <d v="2015-11-08T00:00:00"/>
    <x v="1"/>
    <s v="Q4"/>
    <x v="6"/>
    <d v="2015-11-08T00:00:00"/>
    <s v="Same Day"/>
    <x v="470"/>
    <x v="470"/>
    <s v="Corporate"/>
    <s v="United States"/>
    <s v="New York City"/>
    <x v="15"/>
    <n v="10024"/>
    <x v="3"/>
    <x v="1800"/>
    <x v="0"/>
    <x v="5"/>
    <x v="1790"/>
    <n v="11.82"/>
    <s v="Low"/>
    <n v="3"/>
    <n v="0"/>
    <x v="0"/>
    <x v="0"/>
    <n v="4.7279999999999998"/>
    <n v="0.39999999999999997"/>
    <n v="0"/>
  </r>
  <r>
    <n v="8205"/>
    <s v="CA-2015-114811"/>
    <d v="2015-11-08T00:00:00"/>
    <x v="1"/>
    <s v="Q4"/>
    <x v="6"/>
    <d v="2015-11-08T00:00:00"/>
    <s v="Same Day"/>
    <x v="470"/>
    <x v="470"/>
    <s v="Corporate"/>
    <s v="United States"/>
    <s v="New York City"/>
    <x v="15"/>
    <n v="10024"/>
    <x v="3"/>
    <x v="1715"/>
    <x v="2"/>
    <x v="15"/>
    <x v="1702"/>
    <n v="4643.8"/>
    <s v="High"/>
    <n v="4"/>
    <n v="0"/>
    <x v="0"/>
    <x v="0"/>
    <n v="2229.0239999999999"/>
    <n v="0.48"/>
    <n v="0"/>
  </r>
  <r>
    <n v="8206"/>
    <s v="CA-2015-114811"/>
    <d v="2015-11-08T00:00:00"/>
    <x v="1"/>
    <s v="Q4"/>
    <x v="6"/>
    <d v="2015-11-08T00:00:00"/>
    <s v="Same Day"/>
    <x v="470"/>
    <x v="470"/>
    <s v="Corporate"/>
    <s v="United States"/>
    <s v="New York City"/>
    <x v="15"/>
    <n v="10024"/>
    <x v="3"/>
    <x v="623"/>
    <x v="0"/>
    <x v="1"/>
    <x v="623"/>
    <n v="577.76400000000001"/>
    <s v="High"/>
    <n v="2"/>
    <n v="0.1"/>
    <x v="3"/>
    <x v="8"/>
    <n v="115.5528"/>
    <n v="0.2"/>
    <n v="0"/>
  </r>
  <r>
    <n v="8207"/>
    <s v="CA-2015-122266"/>
    <d v="2015-04-26T00:00:00"/>
    <x v="1"/>
    <s v="Q2"/>
    <x v="19"/>
    <d v="2015-04-30T00:00:00"/>
    <s v="Standard Class"/>
    <x v="193"/>
    <x v="193"/>
    <s v="Consumer"/>
    <s v="United States"/>
    <s v="Daytona Beach"/>
    <x v="2"/>
    <n v="32114"/>
    <x v="0"/>
    <x v="3"/>
    <x v="0"/>
    <x v="3"/>
    <x v="3"/>
    <n v="191.5155"/>
    <s v="High"/>
    <n v="1"/>
    <n v="0.45"/>
    <x v="1"/>
    <x v="1"/>
    <n v="-76.606200000000001"/>
    <n v="-0.4"/>
    <n v="1"/>
  </r>
  <r>
    <n v="8208"/>
    <s v="CA-2015-122266"/>
    <d v="2015-04-26T00:00:00"/>
    <x v="1"/>
    <s v="Q2"/>
    <x v="19"/>
    <d v="2015-04-30T00:00:00"/>
    <s v="Standard Class"/>
    <x v="193"/>
    <x v="193"/>
    <s v="Consumer"/>
    <s v="United States"/>
    <s v="Daytona Beach"/>
    <x v="2"/>
    <n v="32114"/>
    <x v="0"/>
    <x v="346"/>
    <x v="1"/>
    <x v="6"/>
    <x v="346"/>
    <n v="2.6240000000000001"/>
    <s v="Low"/>
    <n v="1"/>
    <n v="0.2"/>
    <x v="2"/>
    <x v="2"/>
    <n v="0.4264"/>
    <n v="0.16250000000000001"/>
    <n v="0"/>
  </r>
  <r>
    <n v="8209"/>
    <s v="CA-2015-141565"/>
    <d v="2015-09-20T00:00:00"/>
    <x v="1"/>
    <s v="Q3"/>
    <x v="11"/>
    <d v="2015-09-24T00:00:00"/>
    <s v="Standard Class"/>
    <x v="767"/>
    <x v="767"/>
    <s v="Consumer"/>
    <s v="United States"/>
    <s v="Nashville"/>
    <x v="18"/>
    <n v="37211"/>
    <x v="0"/>
    <x v="692"/>
    <x v="1"/>
    <x v="8"/>
    <x v="692"/>
    <n v="1369.7639999999999"/>
    <s v="High"/>
    <n v="6"/>
    <n v="0.7"/>
    <x v="1"/>
    <x v="5"/>
    <n v="-913.17600000000004"/>
    <n v="-0.66666666666666674"/>
    <n v="1"/>
  </r>
  <r>
    <n v="8210"/>
    <s v="CA-2015-141565"/>
    <d v="2015-09-20T00:00:00"/>
    <x v="1"/>
    <s v="Q3"/>
    <x v="11"/>
    <d v="2015-09-24T00:00:00"/>
    <s v="Standard Class"/>
    <x v="767"/>
    <x v="767"/>
    <s v="Consumer"/>
    <s v="United States"/>
    <s v="Nashville"/>
    <x v="18"/>
    <n v="37211"/>
    <x v="0"/>
    <x v="196"/>
    <x v="1"/>
    <x v="4"/>
    <x v="197"/>
    <n v="294.36799999999999"/>
    <s v="High"/>
    <n v="4"/>
    <n v="0.2"/>
    <x v="2"/>
    <x v="2"/>
    <n v="-58.873600000000003"/>
    <n v="-0.2"/>
    <n v="1"/>
  </r>
  <r>
    <n v="8211"/>
    <s v="CA-2017-128769"/>
    <d v="2017-09-07T00:00:00"/>
    <x v="3"/>
    <s v="Q3"/>
    <x v="15"/>
    <d v="2017-09-12T00:00:00"/>
    <s v="Standard Class"/>
    <x v="678"/>
    <x v="678"/>
    <s v="Corporate"/>
    <s v="United States"/>
    <s v="Nashville"/>
    <x v="18"/>
    <n v="37211"/>
    <x v="0"/>
    <x v="473"/>
    <x v="1"/>
    <x v="9"/>
    <x v="474"/>
    <n v="81.567999999999998"/>
    <s v="Medium"/>
    <n v="2"/>
    <n v="0.2"/>
    <x v="2"/>
    <x v="2"/>
    <n v="7.1372"/>
    <n v="8.7500000000000008E-2"/>
    <n v="0"/>
  </r>
  <r>
    <n v="8212"/>
    <s v="CA-2016-116337"/>
    <d v="2016-11-07T00:00:00"/>
    <x v="0"/>
    <s v="Q4"/>
    <x v="0"/>
    <d v="2016-11-12T00:00:00"/>
    <s v="Standard Class"/>
    <x v="266"/>
    <x v="266"/>
    <s v="Consumer"/>
    <s v="United States"/>
    <s v="Dallas"/>
    <x v="5"/>
    <n v="75220"/>
    <x v="2"/>
    <x v="1834"/>
    <x v="0"/>
    <x v="5"/>
    <x v="1822"/>
    <n v="44.46"/>
    <s v="Medium"/>
    <n v="5"/>
    <n v="0.6"/>
    <x v="1"/>
    <x v="6"/>
    <n v="-17.783999999999999"/>
    <n v="-0.39999999999999997"/>
    <n v="1"/>
  </r>
  <r>
    <n v="8213"/>
    <s v="CA-2016-116337"/>
    <d v="2016-11-07T00:00:00"/>
    <x v="0"/>
    <s v="Q4"/>
    <x v="0"/>
    <d v="2016-11-12T00:00:00"/>
    <s v="Standard Class"/>
    <x v="266"/>
    <x v="266"/>
    <s v="Consumer"/>
    <s v="United States"/>
    <s v="Dallas"/>
    <x v="5"/>
    <n v="75220"/>
    <x v="2"/>
    <x v="533"/>
    <x v="1"/>
    <x v="4"/>
    <x v="533"/>
    <n v="314.08800000000002"/>
    <s v="High"/>
    <n v="3"/>
    <n v="0.2"/>
    <x v="2"/>
    <x v="2"/>
    <n v="19.630500000000001"/>
    <n v="6.25E-2"/>
    <n v="0"/>
  </r>
  <r>
    <n v="8214"/>
    <s v="CA-2015-120845"/>
    <d v="2015-09-25T00:00:00"/>
    <x v="1"/>
    <s v="Q3"/>
    <x v="11"/>
    <d v="2015-10-02T00:00:00"/>
    <s v="Standard Class"/>
    <x v="504"/>
    <x v="504"/>
    <s v="Corporate"/>
    <s v="United States"/>
    <s v="Murfreesboro"/>
    <x v="18"/>
    <n v="37130"/>
    <x v="0"/>
    <x v="1085"/>
    <x v="1"/>
    <x v="8"/>
    <x v="1075"/>
    <n v="6.3360000000000003"/>
    <s v="Low"/>
    <n v="4"/>
    <n v="0.7"/>
    <x v="1"/>
    <x v="5"/>
    <n v="-4.6463999999999999"/>
    <n v="-0.73333333333333328"/>
    <n v="1"/>
  </r>
  <r>
    <n v="8215"/>
    <s v="CA-2015-120845"/>
    <d v="2015-09-25T00:00:00"/>
    <x v="1"/>
    <s v="Q3"/>
    <x v="11"/>
    <d v="2015-10-02T00:00:00"/>
    <s v="Standard Class"/>
    <x v="504"/>
    <x v="504"/>
    <s v="Corporate"/>
    <s v="United States"/>
    <s v="Murfreesboro"/>
    <x v="18"/>
    <n v="37130"/>
    <x v="0"/>
    <x v="1402"/>
    <x v="1"/>
    <x v="10"/>
    <x v="1389"/>
    <n v="10.48"/>
    <s v="Low"/>
    <n v="1"/>
    <n v="0.2"/>
    <x v="2"/>
    <x v="2"/>
    <n v="3.7989999999999999"/>
    <n v="0.36249999999999999"/>
    <n v="0"/>
  </r>
  <r>
    <n v="8216"/>
    <s v="CA-2015-120845"/>
    <d v="2015-09-25T00:00:00"/>
    <x v="1"/>
    <s v="Q3"/>
    <x v="11"/>
    <d v="2015-10-02T00:00:00"/>
    <s v="Standard Class"/>
    <x v="504"/>
    <x v="504"/>
    <s v="Corporate"/>
    <s v="United States"/>
    <s v="Murfreesboro"/>
    <x v="18"/>
    <n v="37130"/>
    <x v="0"/>
    <x v="1263"/>
    <x v="1"/>
    <x v="8"/>
    <x v="1247"/>
    <n v="2.4689999999999999"/>
    <s v="Low"/>
    <n v="1"/>
    <n v="0.7"/>
    <x v="1"/>
    <x v="5"/>
    <n v="-1.8106"/>
    <n v="-0.73333333333333339"/>
    <n v="1"/>
  </r>
  <r>
    <n v="8217"/>
    <s v="CA-2015-120845"/>
    <d v="2015-09-25T00:00:00"/>
    <x v="1"/>
    <s v="Q3"/>
    <x v="11"/>
    <d v="2015-10-02T00:00:00"/>
    <s v="Standard Class"/>
    <x v="504"/>
    <x v="504"/>
    <s v="Corporate"/>
    <s v="United States"/>
    <s v="Murfreesboro"/>
    <x v="18"/>
    <n v="37130"/>
    <x v="0"/>
    <x v="304"/>
    <x v="1"/>
    <x v="8"/>
    <x v="304"/>
    <n v="3.2639999999999998"/>
    <s v="Low"/>
    <n v="2"/>
    <n v="0.7"/>
    <x v="1"/>
    <x v="5"/>
    <n v="-2.2848000000000002"/>
    <n v="-0.70000000000000007"/>
    <n v="1"/>
  </r>
  <r>
    <n v="8218"/>
    <s v="CA-2014-120775"/>
    <d v="2014-10-03T00:00:00"/>
    <x v="2"/>
    <s v="Q4"/>
    <x v="18"/>
    <d v="2014-10-07T00:00:00"/>
    <s v="Standard Class"/>
    <x v="709"/>
    <x v="709"/>
    <s v="Consumer"/>
    <s v="United States"/>
    <s v="Dallas"/>
    <x v="5"/>
    <n v="75217"/>
    <x v="2"/>
    <x v="1088"/>
    <x v="1"/>
    <x v="13"/>
    <x v="1078"/>
    <n v="4.3440000000000003"/>
    <s v="Low"/>
    <n v="3"/>
    <n v="0.2"/>
    <x v="2"/>
    <x v="2"/>
    <n v="0.86880000000000002"/>
    <n v="0.19999999999999998"/>
    <n v="0"/>
  </r>
  <r>
    <n v="8219"/>
    <s v="CA-2014-120775"/>
    <d v="2014-10-03T00:00:00"/>
    <x v="2"/>
    <s v="Q4"/>
    <x v="18"/>
    <d v="2014-10-07T00:00:00"/>
    <s v="Standard Class"/>
    <x v="709"/>
    <x v="709"/>
    <s v="Consumer"/>
    <s v="United States"/>
    <s v="Dallas"/>
    <x v="5"/>
    <n v="75217"/>
    <x v="2"/>
    <x v="1092"/>
    <x v="0"/>
    <x v="5"/>
    <x v="1082"/>
    <n v="31.776"/>
    <s v="Medium"/>
    <n v="3"/>
    <n v="0.6"/>
    <x v="1"/>
    <x v="6"/>
    <n v="-19.0656"/>
    <n v="-0.6"/>
    <n v="1"/>
  </r>
  <r>
    <n v="8220"/>
    <s v="CA-2014-120775"/>
    <d v="2014-10-03T00:00:00"/>
    <x v="2"/>
    <s v="Q4"/>
    <x v="18"/>
    <d v="2014-10-07T00:00:00"/>
    <s v="Standard Class"/>
    <x v="709"/>
    <x v="709"/>
    <s v="Consumer"/>
    <s v="United States"/>
    <s v="Dallas"/>
    <x v="5"/>
    <n v="75217"/>
    <x v="2"/>
    <x v="641"/>
    <x v="1"/>
    <x v="2"/>
    <x v="641"/>
    <n v="4.9279999999999999"/>
    <s v="Low"/>
    <n v="2"/>
    <n v="0.2"/>
    <x v="2"/>
    <x v="2"/>
    <n v="1.7248000000000001"/>
    <n v="0.35000000000000003"/>
    <n v="0"/>
  </r>
  <r>
    <n v="8221"/>
    <s v="CA-2014-120775"/>
    <d v="2014-10-03T00:00:00"/>
    <x v="2"/>
    <s v="Q4"/>
    <x v="18"/>
    <d v="2014-10-07T00:00:00"/>
    <s v="Standard Class"/>
    <x v="709"/>
    <x v="709"/>
    <s v="Consumer"/>
    <s v="United States"/>
    <s v="Dallas"/>
    <x v="5"/>
    <n v="75217"/>
    <x v="2"/>
    <x v="98"/>
    <x v="1"/>
    <x v="8"/>
    <x v="98"/>
    <n v="1.788"/>
    <s v="Low"/>
    <n v="3"/>
    <n v="0.8"/>
    <x v="1"/>
    <x v="3"/>
    <n v="-3.0396000000000001"/>
    <n v="-1.7"/>
    <n v="1"/>
  </r>
  <r>
    <n v="8222"/>
    <s v="CA-2014-120775"/>
    <d v="2014-10-03T00:00:00"/>
    <x v="2"/>
    <s v="Q4"/>
    <x v="18"/>
    <d v="2014-10-07T00:00:00"/>
    <s v="Standard Class"/>
    <x v="709"/>
    <x v="709"/>
    <s v="Consumer"/>
    <s v="United States"/>
    <s v="Dallas"/>
    <x v="5"/>
    <n v="75217"/>
    <x v="2"/>
    <x v="1835"/>
    <x v="1"/>
    <x v="13"/>
    <x v="1823"/>
    <n v="15.071999999999999"/>
    <s v="Low"/>
    <n v="4"/>
    <n v="0.2"/>
    <x v="2"/>
    <x v="2"/>
    <n v="-3.7679999999999998"/>
    <n v="-0.25"/>
    <n v="1"/>
  </r>
  <r>
    <n v="8223"/>
    <s v="CA-2014-152905"/>
    <d v="2014-02-18T00:00:00"/>
    <x v="2"/>
    <s v="Q1"/>
    <x v="45"/>
    <d v="2014-02-24T00:00:00"/>
    <s v="Standard Class"/>
    <x v="755"/>
    <x v="755"/>
    <s v="Consumer"/>
    <s v="United States"/>
    <s v="Arlington"/>
    <x v="5"/>
    <n v="76017"/>
    <x v="2"/>
    <x v="1555"/>
    <x v="1"/>
    <x v="4"/>
    <x v="1543"/>
    <n v="12.624000000000001"/>
    <s v="Low"/>
    <n v="2"/>
    <n v="0.2"/>
    <x v="2"/>
    <x v="2"/>
    <n v="-2.5247999999999999"/>
    <n v="-0.19999999999999998"/>
    <n v="1"/>
  </r>
  <r>
    <n v="8224"/>
    <s v="CA-2016-104633"/>
    <d v="2016-06-12T00:00:00"/>
    <x v="0"/>
    <s v="Q2"/>
    <x v="1"/>
    <d v="2016-06-16T00:00:00"/>
    <s v="Standard Class"/>
    <x v="105"/>
    <x v="105"/>
    <s v="Corporate"/>
    <s v="United States"/>
    <s v="Pasadena"/>
    <x v="1"/>
    <n v="91104"/>
    <x v="1"/>
    <x v="1174"/>
    <x v="1"/>
    <x v="10"/>
    <x v="1160"/>
    <n v="185.88"/>
    <s v="High"/>
    <n v="6"/>
    <n v="0"/>
    <x v="0"/>
    <x v="0"/>
    <n v="83.646000000000001"/>
    <n v="0.45"/>
    <n v="0"/>
  </r>
  <r>
    <n v="8225"/>
    <s v="CA-2016-104633"/>
    <d v="2016-06-12T00:00:00"/>
    <x v="0"/>
    <s v="Q2"/>
    <x v="1"/>
    <d v="2016-06-16T00:00:00"/>
    <s v="Standard Class"/>
    <x v="105"/>
    <x v="105"/>
    <s v="Corporate"/>
    <s v="United States"/>
    <s v="Pasadena"/>
    <x v="1"/>
    <n v="91104"/>
    <x v="1"/>
    <x v="1434"/>
    <x v="1"/>
    <x v="10"/>
    <x v="1422"/>
    <n v="12.96"/>
    <s v="Low"/>
    <n v="2"/>
    <n v="0"/>
    <x v="0"/>
    <x v="0"/>
    <n v="6.2207999999999997"/>
    <n v="0.47999999999999993"/>
    <n v="0"/>
  </r>
  <r>
    <n v="8226"/>
    <s v="CA-2017-104136"/>
    <d v="2017-11-01T00:00:00"/>
    <x v="3"/>
    <s v="Q4"/>
    <x v="23"/>
    <d v="2017-11-04T00:00:00"/>
    <s v="Second Class"/>
    <x v="11"/>
    <x v="11"/>
    <s v="Consumer"/>
    <s v="United States"/>
    <s v="Everett"/>
    <x v="31"/>
    <n v="2149"/>
    <x v="3"/>
    <x v="274"/>
    <x v="1"/>
    <x v="10"/>
    <x v="274"/>
    <n v="189.7"/>
    <s v="High"/>
    <n v="10"/>
    <n v="0"/>
    <x v="0"/>
    <x v="0"/>
    <n v="91.055999999999997"/>
    <n v="0.48000000000000004"/>
    <n v="0"/>
  </r>
  <r>
    <n v="8227"/>
    <s v="CA-2017-104136"/>
    <d v="2017-11-01T00:00:00"/>
    <x v="3"/>
    <s v="Q4"/>
    <x v="23"/>
    <d v="2017-11-04T00:00:00"/>
    <s v="Second Class"/>
    <x v="11"/>
    <x v="11"/>
    <s v="Consumer"/>
    <s v="United States"/>
    <s v="Everett"/>
    <x v="31"/>
    <n v="2149"/>
    <x v="3"/>
    <x v="1522"/>
    <x v="1"/>
    <x v="10"/>
    <x v="1509"/>
    <n v="40.99"/>
    <s v="Medium"/>
    <n v="1"/>
    <n v="0"/>
    <x v="0"/>
    <x v="0"/>
    <n v="20.085100000000001"/>
    <n v="0.49"/>
    <n v="0"/>
  </r>
  <r>
    <n v="8228"/>
    <s v="CA-2016-123050"/>
    <d v="2016-04-04T00:00:00"/>
    <x v="0"/>
    <s v="Q2"/>
    <x v="25"/>
    <d v="2016-04-08T00:00:00"/>
    <s v="Second Class"/>
    <x v="604"/>
    <x v="604"/>
    <s v="Home Office"/>
    <s v="United States"/>
    <s v="Troy"/>
    <x v="15"/>
    <n v="12180"/>
    <x v="3"/>
    <x v="479"/>
    <x v="0"/>
    <x v="5"/>
    <x v="480"/>
    <n v="82.64"/>
    <s v="Medium"/>
    <n v="2"/>
    <n v="0"/>
    <x v="0"/>
    <x v="0"/>
    <n v="7.4375999999999998"/>
    <n v="0.09"/>
    <n v="0"/>
  </r>
  <r>
    <n v="8229"/>
    <s v="CA-2016-123050"/>
    <d v="2016-04-04T00:00:00"/>
    <x v="0"/>
    <s v="Q2"/>
    <x v="25"/>
    <d v="2016-04-08T00:00:00"/>
    <s v="Second Class"/>
    <x v="604"/>
    <x v="604"/>
    <s v="Home Office"/>
    <s v="United States"/>
    <s v="Troy"/>
    <x v="15"/>
    <n v="12180"/>
    <x v="3"/>
    <x v="170"/>
    <x v="1"/>
    <x v="4"/>
    <x v="171"/>
    <n v="31.02"/>
    <s v="Medium"/>
    <n v="2"/>
    <n v="0"/>
    <x v="0"/>
    <x v="0"/>
    <n v="8.0652000000000008"/>
    <n v="0.26"/>
    <n v="0"/>
  </r>
  <r>
    <n v="8230"/>
    <s v="CA-2016-123050"/>
    <d v="2016-04-04T00:00:00"/>
    <x v="0"/>
    <s v="Q2"/>
    <x v="25"/>
    <d v="2016-04-08T00:00:00"/>
    <s v="Second Class"/>
    <x v="604"/>
    <x v="604"/>
    <s v="Home Office"/>
    <s v="United States"/>
    <s v="Troy"/>
    <x v="15"/>
    <n v="12180"/>
    <x v="3"/>
    <x v="1016"/>
    <x v="2"/>
    <x v="11"/>
    <x v="1007"/>
    <n v="89.97"/>
    <s v="Medium"/>
    <n v="3"/>
    <n v="0"/>
    <x v="0"/>
    <x v="0"/>
    <n v="37.787399999999998"/>
    <n v="0.42"/>
    <n v="0"/>
  </r>
  <r>
    <n v="8231"/>
    <s v="CA-2016-162355"/>
    <d v="2016-06-30T00:00:00"/>
    <x v="0"/>
    <s v="Q2"/>
    <x v="1"/>
    <d v="2016-07-02T00:00:00"/>
    <s v="Second Class"/>
    <x v="58"/>
    <x v="58"/>
    <s v="Consumer"/>
    <s v="United States"/>
    <s v="Sandy Springs"/>
    <x v="32"/>
    <n v="30328"/>
    <x v="0"/>
    <x v="369"/>
    <x v="1"/>
    <x v="6"/>
    <x v="370"/>
    <n v="35.97"/>
    <s v="Medium"/>
    <n v="3"/>
    <n v="0"/>
    <x v="0"/>
    <x v="0"/>
    <n v="9.7119"/>
    <n v="0.27"/>
    <n v="0"/>
  </r>
  <r>
    <n v="8232"/>
    <s v="CA-2016-162355"/>
    <d v="2016-06-30T00:00:00"/>
    <x v="0"/>
    <s v="Q2"/>
    <x v="1"/>
    <d v="2016-07-02T00:00:00"/>
    <s v="Second Class"/>
    <x v="58"/>
    <x v="58"/>
    <s v="Consumer"/>
    <s v="United States"/>
    <s v="Sandy Springs"/>
    <x v="32"/>
    <n v="30328"/>
    <x v="0"/>
    <x v="199"/>
    <x v="0"/>
    <x v="0"/>
    <x v="200"/>
    <n v="1266.8599999999999"/>
    <s v="High"/>
    <n v="7"/>
    <n v="0"/>
    <x v="0"/>
    <x v="0"/>
    <n v="291.37779999999998"/>
    <n v="0.23"/>
    <n v="0"/>
  </r>
  <r>
    <n v="8233"/>
    <s v="CA-2014-158225"/>
    <d v="2014-09-22T00:00:00"/>
    <x v="2"/>
    <s v="Q3"/>
    <x v="30"/>
    <d v="2014-09-28T00:00:00"/>
    <s v="Standard Class"/>
    <x v="339"/>
    <x v="339"/>
    <s v="Consumer"/>
    <s v="United States"/>
    <s v="San Jose"/>
    <x v="1"/>
    <n v="95123"/>
    <x v="1"/>
    <x v="298"/>
    <x v="1"/>
    <x v="4"/>
    <x v="298"/>
    <n v="169.45"/>
    <s v="High"/>
    <n v="5"/>
    <n v="0"/>
    <x v="0"/>
    <x v="0"/>
    <n v="42.362499999999997"/>
    <n v="0.25"/>
    <n v="0"/>
  </r>
  <r>
    <n v="8234"/>
    <s v="CA-2014-158225"/>
    <d v="2014-09-22T00:00:00"/>
    <x v="2"/>
    <s v="Q3"/>
    <x v="30"/>
    <d v="2014-09-28T00:00:00"/>
    <s v="Standard Class"/>
    <x v="339"/>
    <x v="339"/>
    <s v="Consumer"/>
    <s v="United States"/>
    <s v="San Jose"/>
    <x v="1"/>
    <n v="95123"/>
    <x v="1"/>
    <x v="1512"/>
    <x v="1"/>
    <x v="4"/>
    <x v="1499"/>
    <n v="40.68"/>
    <s v="Medium"/>
    <n v="2"/>
    <n v="0"/>
    <x v="0"/>
    <x v="0"/>
    <n v="0.40679999999999999"/>
    <n v="0.01"/>
    <n v="0"/>
  </r>
  <r>
    <n v="8235"/>
    <s v="CA-2017-102204"/>
    <d v="2017-05-01T00:00:00"/>
    <x v="3"/>
    <s v="Q2"/>
    <x v="24"/>
    <d v="2017-05-06T00:00:00"/>
    <s v="Standard Class"/>
    <x v="170"/>
    <x v="170"/>
    <s v="Consumer"/>
    <s v="United States"/>
    <s v="Jacksonville"/>
    <x v="2"/>
    <n v="32216"/>
    <x v="0"/>
    <x v="1698"/>
    <x v="1"/>
    <x v="14"/>
    <x v="1686"/>
    <n v="3.3279999999999998"/>
    <s v="Low"/>
    <n v="2"/>
    <n v="0.2"/>
    <x v="2"/>
    <x v="2"/>
    <n v="0.41599999999999998"/>
    <n v="0.125"/>
    <n v="0"/>
  </r>
  <r>
    <n v="8236"/>
    <s v="CA-2017-102204"/>
    <d v="2017-05-01T00:00:00"/>
    <x v="3"/>
    <s v="Q2"/>
    <x v="24"/>
    <d v="2017-05-06T00:00:00"/>
    <s v="Standard Class"/>
    <x v="170"/>
    <x v="170"/>
    <s v="Consumer"/>
    <s v="United States"/>
    <s v="Jacksonville"/>
    <x v="2"/>
    <n v="32216"/>
    <x v="0"/>
    <x v="411"/>
    <x v="0"/>
    <x v="3"/>
    <x v="411"/>
    <n v="933.26199999999994"/>
    <s v="High"/>
    <n v="4"/>
    <n v="0.45"/>
    <x v="1"/>
    <x v="1"/>
    <n v="-458.14679999999998"/>
    <n v="-0.49090909090909091"/>
    <n v="1"/>
  </r>
  <r>
    <n v="8237"/>
    <s v="CA-2017-102204"/>
    <d v="2017-05-01T00:00:00"/>
    <x v="3"/>
    <s v="Q2"/>
    <x v="24"/>
    <d v="2017-05-06T00:00:00"/>
    <s v="Standard Class"/>
    <x v="170"/>
    <x v="170"/>
    <s v="Consumer"/>
    <s v="United States"/>
    <s v="Jacksonville"/>
    <x v="2"/>
    <n v="32216"/>
    <x v="0"/>
    <x v="483"/>
    <x v="0"/>
    <x v="1"/>
    <x v="483"/>
    <n v="2803.92"/>
    <s v="High"/>
    <n v="5"/>
    <n v="0.2"/>
    <x v="2"/>
    <x v="2"/>
    <n v="0"/>
    <n v="0"/>
    <n v="0"/>
  </r>
  <r>
    <n v="8238"/>
    <s v="CA-2017-103065"/>
    <d v="2017-10-20T00:00:00"/>
    <x v="3"/>
    <s v="Q4"/>
    <x v="13"/>
    <d v="2017-10-20T00:00:00"/>
    <s v="Same Day"/>
    <x v="690"/>
    <x v="690"/>
    <s v="Consumer"/>
    <s v="United States"/>
    <s v="Jacksonville"/>
    <x v="2"/>
    <n v="32216"/>
    <x v="0"/>
    <x v="383"/>
    <x v="1"/>
    <x v="4"/>
    <x v="384"/>
    <n v="4.7679999999999998"/>
    <s v="Low"/>
    <n v="2"/>
    <n v="0.2"/>
    <x v="2"/>
    <x v="2"/>
    <n v="-0.77480000000000004"/>
    <n v="-0.16250000000000001"/>
    <n v="1"/>
  </r>
  <r>
    <n v="8239"/>
    <s v="CA-2017-103065"/>
    <d v="2017-10-20T00:00:00"/>
    <x v="3"/>
    <s v="Q4"/>
    <x v="13"/>
    <d v="2017-10-20T00:00:00"/>
    <s v="Same Day"/>
    <x v="690"/>
    <x v="690"/>
    <s v="Consumer"/>
    <s v="United States"/>
    <s v="Jacksonville"/>
    <x v="2"/>
    <n v="32216"/>
    <x v="0"/>
    <x v="1305"/>
    <x v="1"/>
    <x v="10"/>
    <x v="1290"/>
    <n v="6.6719999999999997"/>
    <s v="Low"/>
    <n v="1"/>
    <n v="0.2"/>
    <x v="2"/>
    <x v="2"/>
    <n v="2.5019999999999998"/>
    <n v="0.375"/>
    <n v="0"/>
  </r>
  <r>
    <n v="8240"/>
    <s v="CA-2017-103065"/>
    <d v="2017-10-20T00:00:00"/>
    <x v="3"/>
    <s v="Q4"/>
    <x v="13"/>
    <d v="2017-10-20T00:00:00"/>
    <s v="Same Day"/>
    <x v="690"/>
    <x v="690"/>
    <s v="Consumer"/>
    <s v="United States"/>
    <s v="Jacksonville"/>
    <x v="2"/>
    <n v="32216"/>
    <x v="0"/>
    <x v="1061"/>
    <x v="1"/>
    <x v="6"/>
    <x v="1050"/>
    <n v="4.4480000000000004"/>
    <s v="Low"/>
    <n v="2"/>
    <n v="0.2"/>
    <x v="2"/>
    <x v="2"/>
    <n v="1.1120000000000001"/>
    <n v="0.25"/>
    <n v="0"/>
  </r>
  <r>
    <n v="8241"/>
    <s v="CA-2017-103065"/>
    <d v="2017-10-20T00:00:00"/>
    <x v="3"/>
    <s v="Q4"/>
    <x v="13"/>
    <d v="2017-10-20T00:00:00"/>
    <s v="Same Day"/>
    <x v="690"/>
    <x v="690"/>
    <s v="Consumer"/>
    <s v="United States"/>
    <s v="Jacksonville"/>
    <x v="2"/>
    <n v="32216"/>
    <x v="0"/>
    <x v="1649"/>
    <x v="0"/>
    <x v="5"/>
    <x v="1638"/>
    <n v="43.936"/>
    <s v="Medium"/>
    <n v="4"/>
    <n v="0.2"/>
    <x v="2"/>
    <x v="2"/>
    <n v="6.0411999999999999"/>
    <n v="0.13750000000000001"/>
    <n v="0"/>
  </r>
  <r>
    <n v="8242"/>
    <s v="CA-2014-109855"/>
    <d v="2014-09-01T00:00:00"/>
    <x v="2"/>
    <s v="Q3"/>
    <x v="30"/>
    <d v="2014-09-05T00:00:00"/>
    <s v="Standard Class"/>
    <x v="23"/>
    <x v="23"/>
    <s v="Consumer"/>
    <s v="United States"/>
    <s v="New York City"/>
    <x v="15"/>
    <n v="10009"/>
    <x v="3"/>
    <x v="708"/>
    <x v="1"/>
    <x v="8"/>
    <x v="707"/>
    <n v="23.744"/>
    <s v="Low"/>
    <n v="2"/>
    <n v="0.2"/>
    <x v="2"/>
    <x v="2"/>
    <n v="8.3103999999999996"/>
    <n v="0.35"/>
    <n v="0"/>
  </r>
  <r>
    <n v="8243"/>
    <s v="CA-2014-109855"/>
    <d v="2014-09-01T00:00:00"/>
    <x v="2"/>
    <s v="Q3"/>
    <x v="30"/>
    <d v="2014-09-05T00:00:00"/>
    <s v="Standard Class"/>
    <x v="23"/>
    <x v="23"/>
    <s v="Consumer"/>
    <s v="United States"/>
    <s v="New York City"/>
    <x v="15"/>
    <n v="10009"/>
    <x v="3"/>
    <x v="1200"/>
    <x v="2"/>
    <x v="11"/>
    <x v="1185"/>
    <n v="357"/>
    <s v="High"/>
    <n v="3"/>
    <n v="0"/>
    <x v="0"/>
    <x v="0"/>
    <n v="57.12"/>
    <n v="0.16"/>
    <n v="0"/>
  </r>
  <r>
    <n v="8244"/>
    <s v="CA-2014-109897"/>
    <d v="2014-08-12T00:00:00"/>
    <x v="2"/>
    <s v="Q3"/>
    <x v="9"/>
    <d v="2014-08-16T00:00:00"/>
    <s v="Standard Class"/>
    <x v="572"/>
    <x v="572"/>
    <s v="Consumer"/>
    <s v="United States"/>
    <s v="San Francisco"/>
    <x v="1"/>
    <n v="94122"/>
    <x v="1"/>
    <x v="1419"/>
    <x v="2"/>
    <x v="7"/>
    <x v="1407"/>
    <n v="806.33600000000001"/>
    <s v="High"/>
    <n v="8"/>
    <n v="0.2"/>
    <x v="2"/>
    <x v="2"/>
    <n v="50.396000000000001"/>
    <n v="6.25E-2"/>
    <n v="0"/>
  </r>
  <r>
    <n v="8245"/>
    <s v="CA-2014-109897"/>
    <d v="2014-08-12T00:00:00"/>
    <x v="2"/>
    <s v="Q3"/>
    <x v="9"/>
    <d v="2014-08-16T00:00:00"/>
    <s v="Standard Class"/>
    <x v="572"/>
    <x v="572"/>
    <s v="Consumer"/>
    <s v="United States"/>
    <s v="San Francisco"/>
    <x v="1"/>
    <n v="94122"/>
    <x v="1"/>
    <x v="1146"/>
    <x v="0"/>
    <x v="5"/>
    <x v="1134"/>
    <n v="85.44"/>
    <s v="Medium"/>
    <n v="3"/>
    <n v="0"/>
    <x v="0"/>
    <x v="0"/>
    <n v="31.6128"/>
    <n v="0.37"/>
    <n v="0"/>
  </r>
  <r>
    <n v="8246"/>
    <s v="US-2014-143581"/>
    <d v="2014-08-19T00:00:00"/>
    <x v="2"/>
    <s v="Q3"/>
    <x v="9"/>
    <d v="2014-08-23T00:00:00"/>
    <s v="Standard Class"/>
    <x v="740"/>
    <x v="740"/>
    <s v="Corporate"/>
    <s v="United States"/>
    <s v="Columbus"/>
    <x v="32"/>
    <n v="31907"/>
    <x v="0"/>
    <x v="156"/>
    <x v="1"/>
    <x v="4"/>
    <x v="157"/>
    <n v="344.91"/>
    <s v="High"/>
    <n v="3"/>
    <n v="0"/>
    <x v="0"/>
    <x v="0"/>
    <n v="10.347300000000001"/>
    <n v="0.03"/>
    <n v="0"/>
  </r>
  <r>
    <n v="8247"/>
    <s v="CA-2015-129217"/>
    <d v="2015-05-10T00:00:00"/>
    <x v="1"/>
    <s v="Q2"/>
    <x v="33"/>
    <d v="2015-05-10T00:00:00"/>
    <s v="Same Day"/>
    <x v="503"/>
    <x v="503"/>
    <s v="Home Office"/>
    <s v="United States"/>
    <s v="Aurora"/>
    <x v="10"/>
    <n v="60505"/>
    <x v="2"/>
    <x v="554"/>
    <x v="1"/>
    <x v="9"/>
    <x v="553"/>
    <n v="70.97"/>
    <s v="Medium"/>
    <n v="5"/>
    <n v="0.8"/>
    <x v="1"/>
    <x v="3"/>
    <n v="-191.619"/>
    <n v="-2.7"/>
    <n v="1"/>
  </r>
  <r>
    <n v="8248"/>
    <s v="CA-2015-129217"/>
    <d v="2015-05-10T00:00:00"/>
    <x v="1"/>
    <s v="Q2"/>
    <x v="33"/>
    <d v="2015-05-10T00:00:00"/>
    <s v="Same Day"/>
    <x v="503"/>
    <x v="503"/>
    <s v="Home Office"/>
    <s v="United States"/>
    <s v="Aurora"/>
    <x v="10"/>
    <n v="60505"/>
    <x v="2"/>
    <x v="1243"/>
    <x v="1"/>
    <x v="6"/>
    <x v="1226"/>
    <n v="36.783999999999999"/>
    <s v="Medium"/>
    <n v="2"/>
    <n v="0.2"/>
    <x v="2"/>
    <x v="2"/>
    <n v="3.6783999999999999"/>
    <n v="0.1"/>
    <n v="0"/>
  </r>
  <r>
    <n v="8249"/>
    <s v="CA-2016-133816"/>
    <d v="2016-05-10T00:00:00"/>
    <x v="0"/>
    <s v="Q2"/>
    <x v="35"/>
    <d v="2016-05-13T00:00:00"/>
    <s v="Second Class"/>
    <x v="37"/>
    <x v="37"/>
    <s v="Home Office"/>
    <s v="United States"/>
    <s v="Philadelphia"/>
    <x v="9"/>
    <n v="19134"/>
    <x v="3"/>
    <x v="647"/>
    <x v="2"/>
    <x v="7"/>
    <x v="647"/>
    <n v="743.98800000000006"/>
    <s v="High"/>
    <n v="2"/>
    <n v="0.4"/>
    <x v="1"/>
    <x v="7"/>
    <n v="-123.998"/>
    <n v="-0.16666666666666666"/>
    <n v="1"/>
  </r>
  <r>
    <n v="8250"/>
    <s v="CA-2015-140221"/>
    <d v="2015-03-05T00:00:00"/>
    <x v="1"/>
    <s v="Q1"/>
    <x v="29"/>
    <d v="2015-03-09T00:00:00"/>
    <s v="Second Class"/>
    <x v="333"/>
    <x v="333"/>
    <s v="Consumer"/>
    <s v="United States"/>
    <s v="Chicago"/>
    <x v="10"/>
    <n v="60653"/>
    <x v="2"/>
    <x v="912"/>
    <x v="1"/>
    <x v="8"/>
    <x v="904"/>
    <n v="11.212"/>
    <s v="Low"/>
    <n v="2"/>
    <n v="0.8"/>
    <x v="1"/>
    <x v="3"/>
    <n v="-16.818000000000001"/>
    <n v="-1.5000000000000002"/>
    <n v="1"/>
  </r>
  <r>
    <n v="8251"/>
    <s v="CA-2015-140221"/>
    <d v="2015-03-05T00:00:00"/>
    <x v="1"/>
    <s v="Q1"/>
    <x v="29"/>
    <d v="2015-03-09T00:00:00"/>
    <s v="Second Class"/>
    <x v="333"/>
    <x v="333"/>
    <s v="Consumer"/>
    <s v="United States"/>
    <s v="Chicago"/>
    <x v="10"/>
    <n v="60653"/>
    <x v="2"/>
    <x v="325"/>
    <x v="0"/>
    <x v="5"/>
    <x v="325"/>
    <n v="4.7119999999999997"/>
    <s v="Low"/>
    <n v="2"/>
    <n v="0.6"/>
    <x v="1"/>
    <x v="6"/>
    <n v="-1.8848"/>
    <n v="-0.4"/>
    <n v="1"/>
  </r>
  <r>
    <n v="8252"/>
    <s v="CA-2015-140221"/>
    <d v="2015-03-05T00:00:00"/>
    <x v="1"/>
    <s v="Q1"/>
    <x v="29"/>
    <d v="2015-03-09T00:00:00"/>
    <s v="Second Class"/>
    <x v="333"/>
    <x v="333"/>
    <s v="Consumer"/>
    <s v="United States"/>
    <s v="Chicago"/>
    <x v="10"/>
    <n v="60653"/>
    <x v="2"/>
    <x v="1107"/>
    <x v="1"/>
    <x v="9"/>
    <x v="1096"/>
    <n v="180.98"/>
    <s v="High"/>
    <n v="5"/>
    <n v="0.8"/>
    <x v="1"/>
    <x v="3"/>
    <n v="-470.548"/>
    <n v="-2.6"/>
    <n v="1"/>
  </r>
  <r>
    <n v="8253"/>
    <s v="CA-2015-140221"/>
    <d v="2015-03-05T00:00:00"/>
    <x v="1"/>
    <s v="Q1"/>
    <x v="29"/>
    <d v="2015-03-09T00:00:00"/>
    <s v="Second Class"/>
    <x v="333"/>
    <x v="333"/>
    <s v="Consumer"/>
    <s v="United States"/>
    <s v="Chicago"/>
    <x v="10"/>
    <n v="60653"/>
    <x v="2"/>
    <x v="117"/>
    <x v="1"/>
    <x v="4"/>
    <x v="117"/>
    <n v="60.415999999999997"/>
    <s v="Medium"/>
    <n v="2"/>
    <n v="0.2"/>
    <x v="2"/>
    <x v="2"/>
    <n v="6.0415999999999999"/>
    <n v="0.1"/>
    <n v="0"/>
  </r>
  <r>
    <n v="8254"/>
    <s v="CA-2017-152310"/>
    <d v="2017-08-12T00:00:00"/>
    <x v="3"/>
    <s v="Q3"/>
    <x v="43"/>
    <d v="2017-08-19T00:00:00"/>
    <s v="Standard Class"/>
    <x v="729"/>
    <x v="729"/>
    <s v="Consumer"/>
    <s v="United States"/>
    <s v="Seattle"/>
    <x v="4"/>
    <n v="98103"/>
    <x v="1"/>
    <x v="1327"/>
    <x v="2"/>
    <x v="16"/>
    <x v="1313"/>
    <n v="299.99"/>
    <s v="High"/>
    <n v="1"/>
    <n v="0"/>
    <x v="0"/>
    <x v="0"/>
    <n v="89.997"/>
    <n v="0.3"/>
    <n v="0"/>
  </r>
  <r>
    <n v="8255"/>
    <s v="CA-2017-152310"/>
    <d v="2017-08-12T00:00:00"/>
    <x v="3"/>
    <s v="Q3"/>
    <x v="43"/>
    <d v="2017-08-19T00:00:00"/>
    <s v="Standard Class"/>
    <x v="729"/>
    <x v="729"/>
    <s v="Consumer"/>
    <s v="United States"/>
    <s v="Seattle"/>
    <x v="4"/>
    <n v="98103"/>
    <x v="1"/>
    <x v="1684"/>
    <x v="1"/>
    <x v="10"/>
    <x v="1672"/>
    <n v="192.16"/>
    <s v="High"/>
    <n v="4"/>
    <n v="0"/>
    <x v="0"/>
    <x v="0"/>
    <n v="92.236800000000002"/>
    <n v="0.48000000000000004"/>
    <n v="0"/>
  </r>
  <r>
    <n v="8256"/>
    <s v="CA-2017-152310"/>
    <d v="2017-08-12T00:00:00"/>
    <x v="3"/>
    <s v="Q3"/>
    <x v="43"/>
    <d v="2017-08-19T00:00:00"/>
    <s v="Standard Class"/>
    <x v="729"/>
    <x v="729"/>
    <s v="Consumer"/>
    <s v="United States"/>
    <s v="Seattle"/>
    <x v="4"/>
    <n v="98103"/>
    <x v="1"/>
    <x v="529"/>
    <x v="2"/>
    <x v="7"/>
    <x v="529"/>
    <n v="242.624"/>
    <s v="High"/>
    <n v="8"/>
    <n v="0.2"/>
    <x v="2"/>
    <x v="2"/>
    <n v="27.295200000000001"/>
    <n v="0.1125"/>
    <n v="0"/>
  </r>
  <r>
    <n v="8257"/>
    <s v="CA-2017-152310"/>
    <d v="2017-08-12T00:00:00"/>
    <x v="3"/>
    <s v="Q3"/>
    <x v="43"/>
    <d v="2017-08-19T00:00:00"/>
    <s v="Standard Class"/>
    <x v="729"/>
    <x v="729"/>
    <s v="Consumer"/>
    <s v="United States"/>
    <s v="Seattle"/>
    <x v="4"/>
    <n v="98103"/>
    <x v="1"/>
    <x v="230"/>
    <x v="1"/>
    <x v="4"/>
    <x v="450"/>
    <n v="46.74"/>
    <s v="Medium"/>
    <n v="3"/>
    <n v="0"/>
    <x v="0"/>
    <x v="0"/>
    <n v="11.685"/>
    <n v="0.25"/>
    <n v="0"/>
  </r>
  <r>
    <n v="8258"/>
    <s v="CA-2017-152310"/>
    <d v="2017-08-12T00:00:00"/>
    <x v="3"/>
    <s v="Q3"/>
    <x v="43"/>
    <d v="2017-08-19T00:00:00"/>
    <s v="Standard Class"/>
    <x v="729"/>
    <x v="729"/>
    <s v="Consumer"/>
    <s v="United States"/>
    <s v="Seattle"/>
    <x v="4"/>
    <n v="98103"/>
    <x v="1"/>
    <x v="1481"/>
    <x v="2"/>
    <x v="11"/>
    <x v="1468"/>
    <n v="174.95"/>
    <s v="High"/>
    <n v="5"/>
    <n v="0"/>
    <x v="0"/>
    <x v="0"/>
    <n v="12.246499999999999"/>
    <n v="7.0000000000000007E-2"/>
    <n v="0"/>
  </r>
  <r>
    <n v="8259"/>
    <s v="CA-2017-152310"/>
    <d v="2017-08-12T00:00:00"/>
    <x v="3"/>
    <s v="Q3"/>
    <x v="43"/>
    <d v="2017-08-19T00:00:00"/>
    <s v="Standard Class"/>
    <x v="729"/>
    <x v="729"/>
    <s v="Consumer"/>
    <s v="United States"/>
    <s v="Seattle"/>
    <x v="4"/>
    <n v="98103"/>
    <x v="1"/>
    <x v="1786"/>
    <x v="1"/>
    <x v="8"/>
    <x v="1776"/>
    <n v="100.70399999999999"/>
    <s v="Medium"/>
    <n v="6"/>
    <n v="0.2"/>
    <x v="2"/>
    <x v="2"/>
    <n v="37.764000000000003"/>
    <n v="0.37500000000000006"/>
    <n v="0"/>
  </r>
  <r>
    <n v="8260"/>
    <s v="CA-2016-118101"/>
    <d v="2016-06-26T00:00:00"/>
    <x v="0"/>
    <s v="Q2"/>
    <x v="1"/>
    <d v="2016-06-26T00:00:00"/>
    <s v="Same Day"/>
    <x v="381"/>
    <x v="381"/>
    <s v="Home Office"/>
    <s v="United States"/>
    <s v="Roseville"/>
    <x v="12"/>
    <n v="48066"/>
    <x v="2"/>
    <x v="447"/>
    <x v="1"/>
    <x v="10"/>
    <x v="447"/>
    <n v="368.91"/>
    <s v="High"/>
    <n v="9"/>
    <n v="0"/>
    <x v="0"/>
    <x v="0"/>
    <n v="180.76589999999999"/>
    <n v="0.48999999999999994"/>
    <n v="0"/>
  </r>
  <r>
    <n v="8261"/>
    <s v="CA-2016-118101"/>
    <d v="2016-06-26T00:00:00"/>
    <x v="0"/>
    <s v="Q2"/>
    <x v="1"/>
    <d v="2016-06-26T00:00:00"/>
    <s v="Same Day"/>
    <x v="381"/>
    <x v="381"/>
    <s v="Home Office"/>
    <s v="United States"/>
    <s v="Roseville"/>
    <x v="12"/>
    <n v="48066"/>
    <x v="2"/>
    <x v="385"/>
    <x v="1"/>
    <x v="8"/>
    <x v="386"/>
    <n v="8.02"/>
    <s v="Low"/>
    <n v="1"/>
    <n v="0"/>
    <x v="0"/>
    <x v="0"/>
    <n v="3.7694000000000001"/>
    <n v="0.47000000000000003"/>
    <n v="0"/>
  </r>
  <r>
    <n v="8262"/>
    <s v="CA-2016-118101"/>
    <d v="2016-06-26T00:00:00"/>
    <x v="0"/>
    <s v="Q2"/>
    <x v="1"/>
    <d v="2016-06-26T00:00:00"/>
    <s v="Same Day"/>
    <x v="381"/>
    <x v="381"/>
    <s v="Home Office"/>
    <s v="United States"/>
    <s v="Roseville"/>
    <x v="12"/>
    <n v="48066"/>
    <x v="2"/>
    <x v="1354"/>
    <x v="1"/>
    <x v="4"/>
    <x v="1340"/>
    <n v="171.04"/>
    <s v="High"/>
    <n v="4"/>
    <n v="0"/>
    <x v="0"/>
    <x v="0"/>
    <n v="44.470399999999998"/>
    <n v="0.26"/>
    <n v="0"/>
  </r>
  <r>
    <n v="8263"/>
    <s v="CA-2016-100307"/>
    <d v="2016-12-15T00:00:00"/>
    <x v="0"/>
    <s v="Q4"/>
    <x v="5"/>
    <d v="2016-12-19T00:00:00"/>
    <s v="Standard Class"/>
    <x v="679"/>
    <x v="679"/>
    <s v="Home Office"/>
    <s v="United States"/>
    <s v="Fayetteville"/>
    <x v="36"/>
    <n v="72701"/>
    <x v="0"/>
    <x v="353"/>
    <x v="1"/>
    <x v="10"/>
    <x v="353"/>
    <n v="19.440000000000001"/>
    <s v="Low"/>
    <n v="3"/>
    <n v="0"/>
    <x v="0"/>
    <x v="0"/>
    <n v="9.3312000000000008"/>
    <n v="0.48000000000000004"/>
    <n v="0"/>
  </r>
  <r>
    <n v="8264"/>
    <s v="CA-2015-138457"/>
    <d v="2015-09-13T00:00:00"/>
    <x v="1"/>
    <s v="Q3"/>
    <x v="11"/>
    <d v="2015-09-17T00:00:00"/>
    <s v="Standard Class"/>
    <x v="562"/>
    <x v="562"/>
    <s v="Consumer"/>
    <s v="United States"/>
    <s v="Jacksonville"/>
    <x v="3"/>
    <n v="28540"/>
    <x v="0"/>
    <x v="634"/>
    <x v="1"/>
    <x v="8"/>
    <x v="634"/>
    <n v="13.092000000000001"/>
    <s v="Low"/>
    <n v="4"/>
    <n v="0.7"/>
    <x v="1"/>
    <x v="5"/>
    <n v="-10.0372"/>
    <n v="-0.76666666666666661"/>
    <n v="1"/>
  </r>
  <r>
    <n v="8265"/>
    <s v="CA-2014-131800"/>
    <d v="2014-12-30T00:00:00"/>
    <x v="2"/>
    <s v="Q4"/>
    <x v="20"/>
    <d v="2015-01-04T00:00:00"/>
    <s v="Standard Class"/>
    <x v="195"/>
    <x v="195"/>
    <s v="Consumer"/>
    <s v="United States"/>
    <s v="New York City"/>
    <x v="15"/>
    <n v="10035"/>
    <x v="3"/>
    <x v="1836"/>
    <x v="1"/>
    <x v="9"/>
    <x v="1824"/>
    <n v="122.94"/>
    <s v="Medium"/>
    <n v="3"/>
    <n v="0"/>
    <x v="0"/>
    <x v="0"/>
    <n v="30.734999999999999"/>
    <n v="0.25"/>
    <n v="0"/>
  </r>
  <r>
    <n v="8266"/>
    <s v="CA-2014-131800"/>
    <d v="2014-12-30T00:00:00"/>
    <x v="2"/>
    <s v="Q4"/>
    <x v="20"/>
    <d v="2015-01-04T00:00:00"/>
    <s v="Standard Class"/>
    <x v="195"/>
    <x v="195"/>
    <s v="Consumer"/>
    <s v="United States"/>
    <s v="New York City"/>
    <x v="15"/>
    <n v="10035"/>
    <x v="3"/>
    <x v="858"/>
    <x v="1"/>
    <x v="8"/>
    <x v="852"/>
    <n v="35.448"/>
    <s v="Medium"/>
    <n v="7"/>
    <n v="0.2"/>
    <x v="2"/>
    <x v="2"/>
    <n v="12.8499"/>
    <n v="0.36249999999999999"/>
    <n v="0"/>
  </r>
  <r>
    <n v="8267"/>
    <s v="CA-2014-118304"/>
    <d v="2014-04-29T00:00:00"/>
    <x v="2"/>
    <s v="Q2"/>
    <x v="41"/>
    <d v="2014-05-04T00:00:00"/>
    <s v="Standard Class"/>
    <x v="347"/>
    <x v="347"/>
    <s v="Consumer"/>
    <s v="United States"/>
    <s v="Dover"/>
    <x v="13"/>
    <n v="19901"/>
    <x v="3"/>
    <x v="433"/>
    <x v="2"/>
    <x v="7"/>
    <x v="433"/>
    <n v="19.98"/>
    <s v="Low"/>
    <n v="2"/>
    <n v="0"/>
    <x v="0"/>
    <x v="0"/>
    <n v="5.1947999999999999"/>
    <n v="0.26"/>
    <n v="0"/>
  </r>
  <r>
    <n v="8268"/>
    <s v="CA-2017-121790"/>
    <d v="2017-01-30T00:00:00"/>
    <x v="3"/>
    <s v="Q1"/>
    <x v="44"/>
    <d v="2017-02-06T00:00:00"/>
    <s v="Standard Class"/>
    <x v="431"/>
    <x v="431"/>
    <s v="Consumer"/>
    <s v="United States"/>
    <s v="Aurora"/>
    <x v="10"/>
    <n v="60505"/>
    <x v="2"/>
    <x v="1582"/>
    <x v="0"/>
    <x v="3"/>
    <x v="1573"/>
    <n v="69.375"/>
    <s v="Medium"/>
    <n v="1"/>
    <n v="0.5"/>
    <x v="1"/>
    <x v="1"/>
    <n v="-47.174999999999997"/>
    <n v="-0.67999999999999994"/>
    <n v="1"/>
  </r>
  <r>
    <n v="8269"/>
    <s v="CA-2017-121790"/>
    <d v="2017-01-30T00:00:00"/>
    <x v="3"/>
    <s v="Q1"/>
    <x v="44"/>
    <d v="2017-02-06T00:00:00"/>
    <s v="Standard Class"/>
    <x v="431"/>
    <x v="431"/>
    <s v="Consumer"/>
    <s v="United States"/>
    <s v="Aurora"/>
    <x v="10"/>
    <n v="60505"/>
    <x v="2"/>
    <x v="558"/>
    <x v="1"/>
    <x v="14"/>
    <x v="557"/>
    <n v="31.68"/>
    <s v="Medium"/>
    <n v="4"/>
    <n v="0.2"/>
    <x v="2"/>
    <x v="2"/>
    <n v="2.7719999999999998"/>
    <n v="8.7499999999999994E-2"/>
    <n v="0"/>
  </r>
  <r>
    <n v="8270"/>
    <s v="CA-2017-121790"/>
    <d v="2017-01-30T00:00:00"/>
    <x v="3"/>
    <s v="Q1"/>
    <x v="44"/>
    <d v="2017-02-06T00:00:00"/>
    <s v="Standard Class"/>
    <x v="431"/>
    <x v="431"/>
    <s v="Consumer"/>
    <s v="United States"/>
    <s v="Aurora"/>
    <x v="10"/>
    <n v="60505"/>
    <x v="2"/>
    <x v="1718"/>
    <x v="2"/>
    <x v="7"/>
    <x v="1705"/>
    <n v="2003.1679999999999"/>
    <s v="High"/>
    <n v="4"/>
    <n v="0.2"/>
    <x v="2"/>
    <x v="2"/>
    <n v="250.39599999999999"/>
    <n v="0.125"/>
    <n v="0"/>
  </r>
  <r>
    <n v="8271"/>
    <s v="CA-2017-121790"/>
    <d v="2017-01-30T00:00:00"/>
    <x v="3"/>
    <s v="Q1"/>
    <x v="44"/>
    <d v="2017-02-06T00:00:00"/>
    <s v="Standard Class"/>
    <x v="431"/>
    <x v="431"/>
    <s v="Consumer"/>
    <s v="United States"/>
    <s v="Aurora"/>
    <x v="10"/>
    <n v="60505"/>
    <x v="2"/>
    <x v="241"/>
    <x v="1"/>
    <x v="6"/>
    <x v="242"/>
    <n v="9.3439999999999994"/>
    <s v="Low"/>
    <n v="2"/>
    <n v="0.2"/>
    <x v="2"/>
    <x v="2"/>
    <n v="3.1536"/>
    <n v="0.33750000000000002"/>
    <n v="0"/>
  </r>
  <r>
    <n v="8272"/>
    <s v="CA-2016-169670"/>
    <d v="2016-12-25T00:00:00"/>
    <x v="0"/>
    <s v="Q4"/>
    <x v="5"/>
    <d v="2016-12-31T00:00:00"/>
    <s v="Standard Class"/>
    <x v="555"/>
    <x v="555"/>
    <s v="Consumer"/>
    <s v="United States"/>
    <s v="New York City"/>
    <x v="15"/>
    <n v="10009"/>
    <x v="3"/>
    <x v="406"/>
    <x v="0"/>
    <x v="1"/>
    <x v="407"/>
    <n v="2563.056"/>
    <s v="High"/>
    <n v="8"/>
    <n v="0.1"/>
    <x v="3"/>
    <x v="8"/>
    <n v="313.26240000000001"/>
    <n v="0.12222222222222223"/>
    <n v="0"/>
  </r>
  <r>
    <n v="8273"/>
    <s v="CA-2016-139549"/>
    <d v="2016-10-20T00:00:00"/>
    <x v="0"/>
    <s v="Q4"/>
    <x v="32"/>
    <d v="2016-10-25T00:00:00"/>
    <s v="Standard Class"/>
    <x v="501"/>
    <x v="501"/>
    <s v="Corporate"/>
    <s v="United States"/>
    <s v="El Cajon"/>
    <x v="1"/>
    <n v="92020"/>
    <x v="1"/>
    <x v="1708"/>
    <x v="0"/>
    <x v="1"/>
    <x v="1697"/>
    <n v="387.13600000000002"/>
    <s v="High"/>
    <n v="4"/>
    <n v="0.2"/>
    <x v="2"/>
    <x v="2"/>
    <n v="4.8391999999999999"/>
    <n v="1.2499999999999999E-2"/>
    <n v="0"/>
  </r>
  <r>
    <n v="8274"/>
    <s v="CA-2015-104059"/>
    <d v="2015-06-13T00:00:00"/>
    <x v="1"/>
    <s v="Q2"/>
    <x v="40"/>
    <d v="2015-06-15T00:00:00"/>
    <s v="Second Class"/>
    <x v="763"/>
    <x v="763"/>
    <s v="Home Office"/>
    <s v="United States"/>
    <s v="Springfield"/>
    <x v="24"/>
    <n v="45503"/>
    <x v="3"/>
    <x v="1005"/>
    <x v="1"/>
    <x v="6"/>
    <x v="997"/>
    <n v="3.4239999999999999"/>
    <s v="Low"/>
    <n v="1"/>
    <n v="0.2"/>
    <x v="2"/>
    <x v="2"/>
    <n v="0.29959999999999998"/>
    <n v="8.7499999999999994E-2"/>
    <n v="0"/>
  </r>
  <r>
    <n v="8275"/>
    <s v="CA-2017-164112"/>
    <d v="2017-06-30T00:00:00"/>
    <x v="3"/>
    <s v="Q2"/>
    <x v="27"/>
    <d v="2017-07-04T00:00:00"/>
    <s v="Standard Class"/>
    <x v="540"/>
    <x v="540"/>
    <s v="Corporate"/>
    <s v="United States"/>
    <s v="Mount Vernon"/>
    <x v="15"/>
    <n v="10550"/>
    <x v="3"/>
    <x v="1449"/>
    <x v="1"/>
    <x v="4"/>
    <x v="1436"/>
    <n v="1085.42"/>
    <s v="High"/>
    <n v="7"/>
    <n v="0"/>
    <x v="0"/>
    <x v="0"/>
    <n v="282.20920000000001"/>
    <n v="0.26"/>
    <n v="0"/>
  </r>
  <r>
    <n v="8276"/>
    <s v="CA-2015-143882"/>
    <d v="2015-06-26T00:00:00"/>
    <x v="1"/>
    <s v="Q2"/>
    <x v="40"/>
    <d v="2015-06-30T00:00:00"/>
    <s v="Standard Class"/>
    <x v="748"/>
    <x v="748"/>
    <s v="Home Office"/>
    <s v="United States"/>
    <s v="Lakewood"/>
    <x v="24"/>
    <n v="44107"/>
    <x v="3"/>
    <x v="99"/>
    <x v="1"/>
    <x v="10"/>
    <x v="99"/>
    <n v="43.055999999999997"/>
    <s v="Medium"/>
    <n v="9"/>
    <n v="0.2"/>
    <x v="2"/>
    <x v="2"/>
    <n v="15.607799999999999"/>
    <n v="0.36249999999999999"/>
    <n v="0"/>
  </r>
  <r>
    <n v="8277"/>
    <s v="US-2016-139262"/>
    <d v="2016-02-21T00:00:00"/>
    <x v="0"/>
    <s v="Q1"/>
    <x v="47"/>
    <d v="2016-02-25T00:00:00"/>
    <s v="Standard Class"/>
    <x v="784"/>
    <x v="784"/>
    <s v="Home Office"/>
    <s v="United States"/>
    <s v="Tampa"/>
    <x v="2"/>
    <n v="33614"/>
    <x v="0"/>
    <x v="807"/>
    <x v="1"/>
    <x v="8"/>
    <x v="805"/>
    <n v="3.762"/>
    <s v="Low"/>
    <n v="3"/>
    <n v="0.7"/>
    <x v="1"/>
    <x v="5"/>
    <n v="-2.7587999999999999"/>
    <n v="-0.73333333333333328"/>
    <n v="1"/>
  </r>
  <r>
    <n v="8278"/>
    <s v="US-2016-139262"/>
    <d v="2016-02-21T00:00:00"/>
    <x v="0"/>
    <s v="Q1"/>
    <x v="47"/>
    <d v="2016-02-25T00:00:00"/>
    <s v="Standard Class"/>
    <x v="784"/>
    <x v="784"/>
    <s v="Home Office"/>
    <s v="United States"/>
    <s v="Tampa"/>
    <x v="2"/>
    <n v="33614"/>
    <x v="0"/>
    <x v="920"/>
    <x v="1"/>
    <x v="8"/>
    <x v="912"/>
    <n v="34.86"/>
    <s v="Medium"/>
    <n v="2"/>
    <n v="0.7"/>
    <x v="1"/>
    <x v="5"/>
    <n v="-26.725999999999999"/>
    <n v="-0.76666666666666661"/>
    <n v="1"/>
  </r>
  <r>
    <n v="8279"/>
    <s v="US-2016-139262"/>
    <d v="2016-02-21T00:00:00"/>
    <x v="0"/>
    <s v="Q1"/>
    <x v="47"/>
    <d v="2016-02-25T00:00:00"/>
    <s v="Standard Class"/>
    <x v="784"/>
    <x v="784"/>
    <s v="Home Office"/>
    <s v="United States"/>
    <s v="Tampa"/>
    <x v="2"/>
    <n v="33614"/>
    <x v="0"/>
    <x v="734"/>
    <x v="1"/>
    <x v="4"/>
    <x v="733"/>
    <n v="432.45600000000002"/>
    <s v="High"/>
    <n v="3"/>
    <n v="0.2"/>
    <x v="2"/>
    <x v="2"/>
    <n v="32.434199999999997"/>
    <n v="7.4999999999999983E-2"/>
    <n v="0"/>
  </r>
  <r>
    <n v="8280"/>
    <s v="CA-2017-146192"/>
    <d v="2017-04-22T00:00:00"/>
    <x v="3"/>
    <s v="Q2"/>
    <x v="4"/>
    <d v="2017-04-26T00:00:00"/>
    <s v="Standard Class"/>
    <x v="232"/>
    <x v="232"/>
    <s v="Consumer"/>
    <s v="United States"/>
    <s v="Columbus"/>
    <x v="32"/>
    <n v="31907"/>
    <x v="0"/>
    <x v="906"/>
    <x v="1"/>
    <x v="4"/>
    <x v="898"/>
    <n v="675.06"/>
    <s v="High"/>
    <n v="3"/>
    <n v="0"/>
    <x v="0"/>
    <x v="0"/>
    <n v="87.757800000000003"/>
    <n v="0.13"/>
    <n v="0"/>
  </r>
  <r>
    <n v="8281"/>
    <s v="CA-2017-134810"/>
    <d v="2017-05-09T00:00:00"/>
    <x v="3"/>
    <s v="Q2"/>
    <x v="24"/>
    <d v="2017-05-10T00:00:00"/>
    <s v="First Class"/>
    <x v="204"/>
    <x v="204"/>
    <s v="Corporate"/>
    <s v="United States"/>
    <s v="Jacksonville"/>
    <x v="3"/>
    <n v="28540"/>
    <x v="0"/>
    <x v="113"/>
    <x v="1"/>
    <x v="12"/>
    <x v="113"/>
    <n v="65.231999999999999"/>
    <s v="Medium"/>
    <n v="3"/>
    <n v="0.2"/>
    <x v="2"/>
    <x v="2"/>
    <n v="22.015799999999999"/>
    <n v="0.33749999999999997"/>
    <n v="0"/>
  </r>
  <r>
    <n v="8282"/>
    <s v="CA-2017-134810"/>
    <d v="2017-05-09T00:00:00"/>
    <x v="3"/>
    <s v="Q2"/>
    <x v="24"/>
    <d v="2017-05-10T00:00:00"/>
    <s v="First Class"/>
    <x v="204"/>
    <x v="204"/>
    <s v="Corporate"/>
    <s v="United States"/>
    <s v="Jacksonville"/>
    <x v="3"/>
    <n v="28540"/>
    <x v="0"/>
    <x v="866"/>
    <x v="0"/>
    <x v="1"/>
    <x v="860"/>
    <n v="207"/>
    <s v="High"/>
    <n v="3"/>
    <n v="0.2"/>
    <x v="2"/>
    <x v="2"/>
    <n v="25.875"/>
    <n v="0.125"/>
    <n v="0"/>
  </r>
  <r>
    <n v="8283"/>
    <s v="CA-2015-154284"/>
    <d v="2015-12-21T00:00:00"/>
    <x v="1"/>
    <s v="Q4"/>
    <x v="14"/>
    <d v="2015-12-26T00:00:00"/>
    <s v="Second Class"/>
    <x v="449"/>
    <x v="449"/>
    <s v="Home Office"/>
    <s v="United States"/>
    <s v="Saint Charles"/>
    <x v="10"/>
    <n v="60174"/>
    <x v="2"/>
    <x v="846"/>
    <x v="2"/>
    <x v="15"/>
    <x v="840"/>
    <n v="600.53"/>
    <s v="High"/>
    <n v="2"/>
    <n v="0.3"/>
    <x v="1"/>
    <x v="4"/>
    <n v="137.26400000000001"/>
    <n v="0.22857142857142859"/>
    <n v="0"/>
  </r>
  <r>
    <n v="8284"/>
    <s v="CA-2015-154284"/>
    <d v="2015-12-21T00:00:00"/>
    <x v="1"/>
    <s v="Q4"/>
    <x v="14"/>
    <d v="2015-12-26T00:00:00"/>
    <s v="Second Class"/>
    <x v="449"/>
    <x v="449"/>
    <s v="Home Office"/>
    <s v="United States"/>
    <s v="Saint Charles"/>
    <x v="10"/>
    <n v="60174"/>
    <x v="2"/>
    <x v="726"/>
    <x v="1"/>
    <x v="6"/>
    <x v="725"/>
    <n v="59.904000000000003"/>
    <s v="Medium"/>
    <n v="2"/>
    <n v="0.2"/>
    <x v="2"/>
    <x v="2"/>
    <n v="14.2272"/>
    <n v="0.23749999999999999"/>
    <n v="0"/>
  </r>
  <r>
    <n v="8285"/>
    <s v="CA-2015-154284"/>
    <d v="2015-12-21T00:00:00"/>
    <x v="1"/>
    <s v="Q4"/>
    <x v="14"/>
    <d v="2015-12-26T00:00:00"/>
    <s v="Second Class"/>
    <x v="449"/>
    <x v="449"/>
    <s v="Home Office"/>
    <s v="United States"/>
    <s v="Saint Charles"/>
    <x v="10"/>
    <n v="60174"/>
    <x v="2"/>
    <x v="769"/>
    <x v="2"/>
    <x v="11"/>
    <x v="768"/>
    <n v="637.44000000000005"/>
    <s v="High"/>
    <n v="8"/>
    <n v="0.2"/>
    <x v="2"/>
    <x v="2"/>
    <n v="135.45599999999999"/>
    <n v="0.21249999999999997"/>
    <n v="0"/>
  </r>
  <r>
    <n v="8286"/>
    <s v="CA-2015-154284"/>
    <d v="2015-12-21T00:00:00"/>
    <x v="1"/>
    <s v="Q4"/>
    <x v="14"/>
    <d v="2015-12-26T00:00:00"/>
    <s v="Second Class"/>
    <x v="449"/>
    <x v="449"/>
    <s v="Home Office"/>
    <s v="United States"/>
    <s v="Saint Charles"/>
    <x v="10"/>
    <n v="60174"/>
    <x v="2"/>
    <x v="484"/>
    <x v="0"/>
    <x v="5"/>
    <x v="484"/>
    <n v="51.756"/>
    <s v="Medium"/>
    <n v="3"/>
    <n v="0.6"/>
    <x v="1"/>
    <x v="6"/>
    <n v="-33.641399999999997"/>
    <n v="-0.64999999999999991"/>
    <n v="1"/>
  </r>
  <r>
    <n v="8287"/>
    <s v="CA-2014-156244"/>
    <d v="2014-08-12T00:00:00"/>
    <x v="2"/>
    <s v="Q3"/>
    <x v="9"/>
    <d v="2014-08-16T00:00:00"/>
    <s v="Standard Class"/>
    <x v="723"/>
    <x v="723"/>
    <s v="Home Office"/>
    <s v="United States"/>
    <s v="Miami"/>
    <x v="2"/>
    <n v="33180"/>
    <x v="0"/>
    <x v="1798"/>
    <x v="1"/>
    <x v="10"/>
    <x v="1788"/>
    <n v="31.103999999999999"/>
    <s v="Medium"/>
    <n v="6"/>
    <n v="0.2"/>
    <x v="2"/>
    <x v="2"/>
    <n v="10.8864"/>
    <n v="0.35000000000000003"/>
    <n v="0"/>
  </r>
  <r>
    <n v="8288"/>
    <s v="CA-2014-156244"/>
    <d v="2014-08-12T00:00:00"/>
    <x v="2"/>
    <s v="Q3"/>
    <x v="9"/>
    <d v="2014-08-16T00:00:00"/>
    <s v="Standard Class"/>
    <x v="723"/>
    <x v="723"/>
    <s v="Home Office"/>
    <s v="United States"/>
    <s v="Miami"/>
    <x v="2"/>
    <n v="33180"/>
    <x v="0"/>
    <x v="369"/>
    <x v="1"/>
    <x v="6"/>
    <x v="370"/>
    <n v="47.96"/>
    <s v="Medium"/>
    <n v="5"/>
    <n v="0.2"/>
    <x v="2"/>
    <x v="2"/>
    <n v="4.1965000000000003"/>
    <n v="8.7500000000000008E-2"/>
    <n v="0"/>
  </r>
  <r>
    <n v="8289"/>
    <s v="CA-2014-156244"/>
    <d v="2014-08-12T00:00:00"/>
    <x v="2"/>
    <s v="Q3"/>
    <x v="9"/>
    <d v="2014-08-16T00:00:00"/>
    <s v="Standard Class"/>
    <x v="723"/>
    <x v="723"/>
    <s v="Home Office"/>
    <s v="United States"/>
    <s v="Miami"/>
    <x v="2"/>
    <n v="33180"/>
    <x v="0"/>
    <x v="721"/>
    <x v="2"/>
    <x v="11"/>
    <x v="720"/>
    <n v="158.928"/>
    <s v="High"/>
    <n v="7"/>
    <n v="0.2"/>
    <x v="2"/>
    <x v="2"/>
    <n v="41.718600000000002"/>
    <n v="0.26250000000000001"/>
    <n v="0"/>
  </r>
  <r>
    <n v="8290"/>
    <s v="CA-2014-156244"/>
    <d v="2014-08-12T00:00:00"/>
    <x v="2"/>
    <s v="Q3"/>
    <x v="9"/>
    <d v="2014-08-16T00:00:00"/>
    <s v="Standard Class"/>
    <x v="723"/>
    <x v="723"/>
    <s v="Home Office"/>
    <s v="United States"/>
    <s v="Miami"/>
    <x v="2"/>
    <n v="33180"/>
    <x v="0"/>
    <x v="1324"/>
    <x v="1"/>
    <x v="9"/>
    <x v="1311"/>
    <n v="211.24799999999999"/>
    <s v="High"/>
    <n v="6"/>
    <n v="0.2"/>
    <x v="2"/>
    <x v="2"/>
    <n v="15.8436"/>
    <n v="7.5000000000000011E-2"/>
    <n v="0"/>
  </r>
  <r>
    <n v="8291"/>
    <s v="CA-2014-156244"/>
    <d v="2014-08-12T00:00:00"/>
    <x v="2"/>
    <s v="Q3"/>
    <x v="9"/>
    <d v="2014-08-16T00:00:00"/>
    <s v="Standard Class"/>
    <x v="723"/>
    <x v="723"/>
    <s v="Home Office"/>
    <s v="United States"/>
    <s v="Miami"/>
    <x v="2"/>
    <n v="33180"/>
    <x v="0"/>
    <x v="1567"/>
    <x v="1"/>
    <x v="14"/>
    <x v="1558"/>
    <n v="5.5519999999999996"/>
    <s v="Low"/>
    <n v="2"/>
    <n v="0.2"/>
    <x v="2"/>
    <x v="2"/>
    <n v="-1.0409999999999999"/>
    <n v="-0.1875"/>
    <n v="1"/>
  </r>
  <r>
    <n v="8292"/>
    <s v="CA-2014-156244"/>
    <d v="2014-08-12T00:00:00"/>
    <x v="2"/>
    <s v="Q3"/>
    <x v="9"/>
    <d v="2014-08-16T00:00:00"/>
    <s v="Standard Class"/>
    <x v="723"/>
    <x v="723"/>
    <s v="Home Office"/>
    <s v="United States"/>
    <s v="Miami"/>
    <x v="2"/>
    <n v="33180"/>
    <x v="0"/>
    <x v="1139"/>
    <x v="1"/>
    <x v="2"/>
    <x v="1127"/>
    <n v="2.952"/>
    <s v="Low"/>
    <n v="1"/>
    <n v="0.2"/>
    <x v="2"/>
    <x v="2"/>
    <n v="0.99629999999999996"/>
    <n v="0.33749999999999997"/>
    <n v="0"/>
  </r>
  <r>
    <n v="8293"/>
    <s v="CA-2015-106362"/>
    <d v="2015-12-11T00:00:00"/>
    <x v="1"/>
    <s v="Q4"/>
    <x v="14"/>
    <d v="2015-12-15T00:00:00"/>
    <s v="Standard Class"/>
    <x v="62"/>
    <x v="62"/>
    <s v="Consumer"/>
    <s v="United States"/>
    <s v="Troy"/>
    <x v="24"/>
    <n v="45373"/>
    <x v="3"/>
    <x v="1426"/>
    <x v="1"/>
    <x v="8"/>
    <x v="1414"/>
    <n v="10.332000000000001"/>
    <s v="Low"/>
    <n v="3"/>
    <n v="0.7"/>
    <x v="1"/>
    <x v="5"/>
    <n v="-7.5768000000000004"/>
    <n v="-0.73333333333333328"/>
    <n v="1"/>
  </r>
  <r>
    <n v="8294"/>
    <s v="US-2017-168802"/>
    <d v="2017-11-03T00:00:00"/>
    <x v="3"/>
    <s v="Q4"/>
    <x v="23"/>
    <d v="2017-11-07T00:00:00"/>
    <s v="Standard Class"/>
    <x v="705"/>
    <x v="705"/>
    <s v="Corporate"/>
    <s v="United States"/>
    <s v="Seattle"/>
    <x v="4"/>
    <n v="98103"/>
    <x v="1"/>
    <x v="1212"/>
    <x v="1"/>
    <x v="8"/>
    <x v="1197"/>
    <n v="18.367999999999999"/>
    <s v="Low"/>
    <n v="4"/>
    <n v="0.2"/>
    <x v="2"/>
    <x v="2"/>
    <n v="5.9695999999999998"/>
    <n v="0.32500000000000001"/>
    <n v="0"/>
  </r>
  <r>
    <n v="8295"/>
    <s v="US-2017-146906"/>
    <d v="2017-03-13T00:00:00"/>
    <x v="3"/>
    <s v="Q1"/>
    <x v="42"/>
    <d v="2017-03-17T00:00:00"/>
    <s v="Standard Class"/>
    <x v="363"/>
    <x v="363"/>
    <s v="Consumer"/>
    <s v="United States"/>
    <s v="New York City"/>
    <x v="15"/>
    <n v="10011"/>
    <x v="3"/>
    <x v="1187"/>
    <x v="2"/>
    <x v="7"/>
    <x v="1173"/>
    <n v="299.89999999999998"/>
    <s v="High"/>
    <n v="2"/>
    <n v="0"/>
    <x v="0"/>
    <x v="0"/>
    <n v="74.974999999999994"/>
    <n v="0.25"/>
    <n v="0"/>
  </r>
  <r>
    <n v="8296"/>
    <s v="CA-2016-166380"/>
    <d v="2016-05-30T00:00:00"/>
    <x v="0"/>
    <s v="Q2"/>
    <x v="35"/>
    <d v="2016-06-03T00:00:00"/>
    <s v="Standard Class"/>
    <x v="494"/>
    <x v="494"/>
    <s v="Corporate"/>
    <s v="United States"/>
    <s v="Arlington"/>
    <x v="17"/>
    <n v="22204"/>
    <x v="0"/>
    <x v="111"/>
    <x v="1"/>
    <x v="12"/>
    <x v="111"/>
    <n v="26.55"/>
    <s v="Medium"/>
    <n v="9"/>
    <n v="0"/>
    <x v="0"/>
    <x v="0"/>
    <n v="12.744"/>
    <n v="0.48"/>
    <n v="0"/>
  </r>
  <r>
    <n v="8297"/>
    <s v="CA-2016-166380"/>
    <d v="2016-05-30T00:00:00"/>
    <x v="0"/>
    <s v="Q2"/>
    <x v="35"/>
    <d v="2016-06-03T00:00:00"/>
    <s v="Standard Class"/>
    <x v="494"/>
    <x v="494"/>
    <s v="Corporate"/>
    <s v="United States"/>
    <s v="Arlington"/>
    <x v="17"/>
    <n v="22204"/>
    <x v="0"/>
    <x v="201"/>
    <x v="2"/>
    <x v="11"/>
    <x v="202"/>
    <n v="111.98"/>
    <s v="Medium"/>
    <n v="2"/>
    <n v="0"/>
    <x v="0"/>
    <x v="0"/>
    <n v="26.8752"/>
    <n v="0.24"/>
    <n v="0"/>
  </r>
  <r>
    <n v="8298"/>
    <s v="US-2015-158911"/>
    <d v="2015-07-05T00:00:00"/>
    <x v="1"/>
    <s v="Q3"/>
    <x v="38"/>
    <d v="2015-07-11T00:00:00"/>
    <s v="Standard Class"/>
    <x v="276"/>
    <x v="276"/>
    <s v="Corporate"/>
    <s v="United States"/>
    <s v="Charlotte"/>
    <x v="3"/>
    <n v="28205"/>
    <x v="0"/>
    <x v="1392"/>
    <x v="0"/>
    <x v="5"/>
    <x v="1378"/>
    <n v="4.9279999999999999"/>
    <s v="Low"/>
    <n v="2"/>
    <n v="0.2"/>
    <x v="2"/>
    <x v="2"/>
    <n v="0.73919999999999997"/>
    <n v="0.15"/>
    <n v="0"/>
  </r>
  <r>
    <n v="8299"/>
    <s v="US-2015-158911"/>
    <d v="2015-07-05T00:00:00"/>
    <x v="1"/>
    <s v="Q3"/>
    <x v="38"/>
    <d v="2015-07-11T00:00:00"/>
    <s v="Standard Class"/>
    <x v="276"/>
    <x v="276"/>
    <s v="Corporate"/>
    <s v="United States"/>
    <s v="Charlotte"/>
    <x v="3"/>
    <n v="28205"/>
    <x v="0"/>
    <x v="607"/>
    <x v="1"/>
    <x v="2"/>
    <x v="607"/>
    <n v="11.784000000000001"/>
    <s v="Low"/>
    <n v="3"/>
    <n v="0.2"/>
    <x v="2"/>
    <x v="2"/>
    <n v="4.2717000000000001"/>
    <n v="0.36249999999999999"/>
    <n v="0"/>
  </r>
  <r>
    <n v="8300"/>
    <s v="US-2014-103338"/>
    <d v="2014-03-11T00:00:00"/>
    <x v="2"/>
    <s v="Q1"/>
    <x v="34"/>
    <d v="2014-03-15T00:00:00"/>
    <s v="Standard Class"/>
    <x v="579"/>
    <x v="579"/>
    <s v="Consumer"/>
    <s v="United States"/>
    <s v="Roseville"/>
    <x v="1"/>
    <n v="95661"/>
    <x v="1"/>
    <x v="1596"/>
    <x v="1"/>
    <x v="6"/>
    <x v="1588"/>
    <n v="7.98"/>
    <s v="Low"/>
    <n v="3"/>
    <n v="0"/>
    <x v="0"/>
    <x v="0"/>
    <n v="2.0748000000000002"/>
    <n v="0.26"/>
    <n v="0"/>
  </r>
  <r>
    <n v="8301"/>
    <s v="CA-2015-109169"/>
    <d v="2015-04-20T00:00:00"/>
    <x v="1"/>
    <s v="Q2"/>
    <x v="19"/>
    <d v="2015-04-24T00:00:00"/>
    <s v="Standard Class"/>
    <x v="220"/>
    <x v="220"/>
    <s v="Consumer"/>
    <s v="United States"/>
    <s v="Detroit"/>
    <x v="12"/>
    <n v="48234"/>
    <x v="2"/>
    <x v="231"/>
    <x v="1"/>
    <x v="12"/>
    <x v="232"/>
    <n v="180.96"/>
    <s v="High"/>
    <n v="2"/>
    <n v="0"/>
    <x v="0"/>
    <x v="0"/>
    <n v="81.432000000000002"/>
    <n v="0.45"/>
    <n v="0"/>
  </r>
  <r>
    <n v="8302"/>
    <s v="US-2017-167318"/>
    <d v="2017-07-26T00:00:00"/>
    <x v="3"/>
    <s v="Q3"/>
    <x v="10"/>
    <d v="2017-08-01T00:00:00"/>
    <s v="Standard Class"/>
    <x v="433"/>
    <x v="433"/>
    <s v="Corporate"/>
    <s v="United States"/>
    <s v="Los Angeles"/>
    <x v="1"/>
    <n v="90036"/>
    <x v="1"/>
    <x v="1738"/>
    <x v="2"/>
    <x v="11"/>
    <x v="1727"/>
    <n v="1649.95"/>
    <s v="High"/>
    <n v="5"/>
    <n v="0"/>
    <x v="0"/>
    <x v="0"/>
    <n v="659.98"/>
    <n v="0.4"/>
    <n v="0"/>
  </r>
  <r>
    <n v="8303"/>
    <s v="US-2017-167318"/>
    <d v="2017-07-26T00:00:00"/>
    <x v="3"/>
    <s v="Q3"/>
    <x v="10"/>
    <d v="2017-08-01T00:00:00"/>
    <s v="Standard Class"/>
    <x v="433"/>
    <x v="433"/>
    <s v="Corporate"/>
    <s v="United States"/>
    <s v="Los Angeles"/>
    <x v="1"/>
    <n v="90036"/>
    <x v="1"/>
    <x v="662"/>
    <x v="0"/>
    <x v="1"/>
    <x v="662"/>
    <n v="362.35199999999998"/>
    <s v="High"/>
    <n v="3"/>
    <n v="0.2"/>
    <x v="2"/>
    <x v="2"/>
    <n v="45.293999999999997"/>
    <n v="0.125"/>
    <n v="0"/>
  </r>
  <r>
    <n v="8304"/>
    <s v="US-2014-120313"/>
    <d v="2014-10-31T00:00:00"/>
    <x v="2"/>
    <s v="Q4"/>
    <x v="18"/>
    <d v="2014-11-02T00:00:00"/>
    <s v="Second Class"/>
    <x v="644"/>
    <x v="644"/>
    <s v="Home Office"/>
    <s v="United States"/>
    <s v="San Francisco"/>
    <x v="1"/>
    <n v="94110"/>
    <x v="1"/>
    <x v="521"/>
    <x v="2"/>
    <x v="7"/>
    <x v="521"/>
    <n v="73.584000000000003"/>
    <s v="Medium"/>
    <n v="2"/>
    <n v="0.2"/>
    <x v="2"/>
    <x v="2"/>
    <n v="8.2782"/>
    <n v="0.11249999999999999"/>
    <n v="0"/>
  </r>
  <r>
    <n v="8305"/>
    <s v="CA-2017-135419"/>
    <d v="2017-11-03T00:00:00"/>
    <x v="3"/>
    <s v="Q4"/>
    <x v="23"/>
    <d v="2017-11-09T00:00:00"/>
    <s v="Standard Class"/>
    <x v="696"/>
    <x v="696"/>
    <s v="Consumer"/>
    <s v="United States"/>
    <s v="Bakersfield"/>
    <x v="1"/>
    <n v="93309"/>
    <x v="1"/>
    <x v="1746"/>
    <x v="0"/>
    <x v="3"/>
    <x v="1736"/>
    <n v="486.36799999999999"/>
    <s v="High"/>
    <n v="4"/>
    <n v="0.2"/>
    <x v="2"/>
    <x v="2"/>
    <n v="36.477600000000002"/>
    <n v="7.5000000000000011E-2"/>
    <n v="0"/>
  </r>
  <r>
    <n v="8306"/>
    <s v="CA-2016-128671"/>
    <d v="2016-08-11T00:00:00"/>
    <x v="0"/>
    <s v="Q3"/>
    <x v="28"/>
    <d v="2016-08-16T00:00:00"/>
    <s v="Standard Class"/>
    <x v="192"/>
    <x v="192"/>
    <s v="Home Office"/>
    <s v="United States"/>
    <s v="Tulsa"/>
    <x v="26"/>
    <n v="74133"/>
    <x v="2"/>
    <x v="680"/>
    <x v="1"/>
    <x v="10"/>
    <x v="680"/>
    <n v="32.4"/>
    <s v="Medium"/>
    <n v="5"/>
    <n v="0"/>
    <x v="0"/>
    <x v="0"/>
    <n v="15.552"/>
    <n v="0.48"/>
    <n v="0"/>
  </r>
  <r>
    <n v="8307"/>
    <s v="CA-2016-128671"/>
    <d v="2016-08-11T00:00:00"/>
    <x v="0"/>
    <s v="Q3"/>
    <x v="28"/>
    <d v="2016-08-16T00:00:00"/>
    <s v="Standard Class"/>
    <x v="192"/>
    <x v="192"/>
    <s v="Home Office"/>
    <s v="United States"/>
    <s v="Tulsa"/>
    <x v="26"/>
    <n v="74133"/>
    <x v="2"/>
    <x v="570"/>
    <x v="1"/>
    <x v="8"/>
    <x v="570"/>
    <n v="41.86"/>
    <s v="Medium"/>
    <n v="7"/>
    <n v="0"/>
    <x v="0"/>
    <x v="0"/>
    <n v="19.255600000000001"/>
    <n v="0.46"/>
    <n v="0"/>
  </r>
  <r>
    <n v="8308"/>
    <s v="CA-2016-128671"/>
    <d v="2016-08-11T00:00:00"/>
    <x v="0"/>
    <s v="Q3"/>
    <x v="28"/>
    <d v="2016-08-16T00:00:00"/>
    <s v="Standard Class"/>
    <x v="192"/>
    <x v="192"/>
    <s v="Home Office"/>
    <s v="United States"/>
    <s v="Tulsa"/>
    <x v="26"/>
    <n v="74133"/>
    <x v="2"/>
    <x v="1561"/>
    <x v="1"/>
    <x v="8"/>
    <x v="1551"/>
    <n v="77.56"/>
    <s v="Medium"/>
    <n v="2"/>
    <n v="0"/>
    <x v="0"/>
    <x v="0"/>
    <n v="35.677599999999998"/>
    <n v="0.45999999999999996"/>
    <n v="0"/>
  </r>
  <r>
    <n v="8309"/>
    <s v="CA-2016-149335"/>
    <d v="2016-07-25T00:00:00"/>
    <x v="0"/>
    <s v="Q3"/>
    <x v="16"/>
    <d v="2016-07-25T00:00:00"/>
    <s v="Same Day"/>
    <x v="604"/>
    <x v="604"/>
    <s v="Home Office"/>
    <s v="United States"/>
    <s v="San Francisco"/>
    <x v="1"/>
    <n v="94122"/>
    <x v="1"/>
    <x v="1024"/>
    <x v="1"/>
    <x v="6"/>
    <x v="1015"/>
    <n v="37.17"/>
    <s v="Medium"/>
    <n v="9"/>
    <n v="0"/>
    <x v="0"/>
    <x v="0"/>
    <n v="11.151"/>
    <n v="0.3"/>
    <n v="0"/>
  </r>
  <r>
    <n v="8310"/>
    <s v="CA-2014-168312"/>
    <d v="2014-03-01T00:00:00"/>
    <x v="2"/>
    <s v="Q1"/>
    <x v="34"/>
    <d v="2014-03-07T00:00:00"/>
    <s v="Standard Class"/>
    <x v="543"/>
    <x v="543"/>
    <s v="Consumer"/>
    <s v="United States"/>
    <s v="Houston"/>
    <x v="5"/>
    <n v="77036"/>
    <x v="2"/>
    <x v="1277"/>
    <x v="1"/>
    <x v="4"/>
    <x v="1262"/>
    <n v="137.352"/>
    <s v="High"/>
    <n v="3"/>
    <n v="0.2"/>
    <x v="2"/>
    <x v="2"/>
    <n v="8.5845000000000002"/>
    <n v="6.25E-2"/>
    <n v="0"/>
  </r>
  <r>
    <n v="8311"/>
    <s v="CA-2014-168312"/>
    <d v="2014-03-01T00:00:00"/>
    <x v="2"/>
    <s v="Q1"/>
    <x v="34"/>
    <d v="2014-03-07T00:00:00"/>
    <s v="Standard Class"/>
    <x v="543"/>
    <x v="543"/>
    <s v="Consumer"/>
    <s v="United States"/>
    <s v="Houston"/>
    <x v="5"/>
    <n v="77036"/>
    <x v="2"/>
    <x v="1294"/>
    <x v="0"/>
    <x v="3"/>
    <x v="1280"/>
    <n v="376.50900000000001"/>
    <s v="High"/>
    <n v="3"/>
    <n v="0.3"/>
    <x v="1"/>
    <x v="4"/>
    <n v="-43.029600000000002"/>
    <n v="-0.11428571428571428"/>
    <n v="1"/>
  </r>
  <r>
    <n v="8312"/>
    <s v="US-2017-105935"/>
    <d v="2017-01-26T00:00:00"/>
    <x v="3"/>
    <s v="Q1"/>
    <x v="44"/>
    <d v="2017-01-31T00:00:00"/>
    <s v="Standard Class"/>
    <x v="214"/>
    <x v="214"/>
    <s v="Consumer"/>
    <s v="United States"/>
    <s v="Columbus"/>
    <x v="32"/>
    <n v="31907"/>
    <x v="0"/>
    <x v="116"/>
    <x v="0"/>
    <x v="5"/>
    <x v="116"/>
    <n v="62.72"/>
    <s v="Medium"/>
    <n v="4"/>
    <n v="0"/>
    <x v="0"/>
    <x v="0"/>
    <n v="24.460799999999999"/>
    <n v="0.39"/>
    <n v="0"/>
  </r>
  <r>
    <n v="8313"/>
    <s v="US-2017-105935"/>
    <d v="2017-01-26T00:00:00"/>
    <x v="3"/>
    <s v="Q1"/>
    <x v="44"/>
    <d v="2017-01-31T00:00:00"/>
    <s v="Standard Class"/>
    <x v="214"/>
    <x v="214"/>
    <s v="Consumer"/>
    <s v="United States"/>
    <s v="Columbus"/>
    <x v="32"/>
    <n v="31907"/>
    <x v="0"/>
    <x v="1461"/>
    <x v="2"/>
    <x v="7"/>
    <x v="1447"/>
    <n v="2939.93"/>
    <s v="High"/>
    <n v="7"/>
    <n v="0"/>
    <x v="0"/>
    <x v="0"/>
    <n v="764.3818"/>
    <n v="0.26"/>
    <n v="0"/>
  </r>
  <r>
    <n v="8314"/>
    <s v="CA-2014-161508"/>
    <d v="2014-07-12T00:00:00"/>
    <x v="2"/>
    <s v="Q3"/>
    <x v="39"/>
    <d v="2014-07-16T00:00:00"/>
    <s v="Standard Class"/>
    <x v="391"/>
    <x v="391"/>
    <s v="Home Office"/>
    <s v="United States"/>
    <s v="League City"/>
    <x v="5"/>
    <n v="77573"/>
    <x v="2"/>
    <x v="856"/>
    <x v="0"/>
    <x v="1"/>
    <x v="849"/>
    <n v="512.35799999999995"/>
    <s v="High"/>
    <n v="3"/>
    <n v="0.3"/>
    <x v="1"/>
    <x v="4"/>
    <n v="-14.6388"/>
    <n v="-2.8571428571428574E-2"/>
    <n v="1"/>
  </r>
  <r>
    <n v="8315"/>
    <s v="CA-2014-161508"/>
    <d v="2014-07-12T00:00:00"/>
    <x v="2"/>
    <s v="Q3"/>
    <x v="39"/>
    <d v="2014-07-16T00:00:00"/>
    <s v="Standard Class"/>
    <x v="391"/>
    <x v="391"/>
    <s v="Home Office"/>
    <s v="United States"/>
    <s v="League City"/>
    <x v="5"/>
    <n v="77573"/>
    <x v="2"/>
    <x v="845"/>
    <x v="1"/>
    <x v="13"/>
    <x v="839"/>
    <n v="3.488"/>
    <s v="Low"/>
    <n v="2"/>
    <n v="0.2"/>
    <x v="2"/>
    <x v="2"/>
    <n v="0.56679999999999997"/>
    <n v="0.16250000000000001"/>
    <n v="0"/>
  </r>
  <r>
    <n v="8316"/>
    <s v="CA-2014-161508"/>
    <d v="2014-07-12T00:00:00"/>
    <x v="2"/>
    <s v="Q3"/>
    <x v="39"/>
    <d v="2014-07-16T00:00:00"/>
    <s v="Standard Class"/>
    <x v="391"/>
    <x v="391"/>
    <s v="Home Office"/>
    <s v="United States"/>
    <s v="League City"/>
    <x v="5"/>
    <n v="77573"/>
    <x v="2"/>
    <x v="703"/>
    <x v="1"/>
    <x v="6"/>
    <x v="703"/>
    <n v="22.288"/>
    <s v="Low"/>
    <n v="7"/>
    <n v="0.2"/>
    <x v="2"/>
    <x v="2"/>
    <n v="3.9003999999999999"/>
    <n v="0.17499999999999999"/>
    <n v="0"/>
  </r>
  <r>
    <n v="8317"/>
    <s v="CA-2014-161508"/>
    <d v="2014-07-12T00:00:00"/>
    <x v="2"/>
    <s v="Q3"/>
    <x v="39"/>
    <d v="2014-07-16T00:00:00"/>
    <s v="Standard Class"/>
    <x v="391"/>
    <x v="391"/>
    <s v="Home Office"/>
    <s v="United States"/>
    <s v="League City"/>
    <x v="5"/>
    <n v="77573"/>
    <x v="2"/>
    <x v="128"/>
    <x v="1"/>
    <x v="10"/>
    <x v="129"/>
    <n v="16.032"/>
    <s v="Low"/>
    <n v="3"/>
    <n v="0.2"/>
    <x v="2"/>
    <x v="2"/>
    <n v="5.6112000000000002"/>
    <n v="0.35000000000000003"/>
    <n v="0"/>
  </r>
  <r>
    <n v="8318"/>
    <s v="CA-2017-130904"/>
    <d v="2017-04-11T00:00:00"/>
    <x v="3"/>
    <s v="Q2"/>
    <x v="4"/>
    <d v="2017-04-16T00:00:00"/>
    <s v="Standard Class"/>
    <x v="31"/>
    <x v="31"/>
    <s v="Consumer"/>
    <s v="United States"/>
    <s v="Burlington"/>
    <x v="3"/>
    <n v="27217"/>
    <x v="0"/>
    <x v="909"/>
    <x v="1"/>
    <x v="6"/>
    <x v="901"/>
    <n v="1.752"/>
    <s v="Low"/>
    <n v="1"/>
    <n v="0.2"/>
    <x v="2"/>
    <x v="2"/>
    <n v="0.15329999999999999"/>
    <n v="8.7499999999999994E-2"/>
    <n v="0"/>
  </r>
  <r>
    <n v="8319"/>
    <s v="CA-2017-130904"/>
    <d v="2017-04-11T00:00:00"/>
    <x v="3"/>
    <s v="Q2"/>
    <x v="4"/>
    <d v="2017-04-16T00:00:00"/>
    <s v="Standard Class"/>
    <x v="31"/>
    <x v="31"/>
    <s v="Consumer"/>
    <s v="United States"/>
    <s v="Burlington"/>
    <x v="3"/>
    <n v="27217"/>
    <x v="0"/>
    <x v="1210"/>
    <x v="1"/>
    <x v="6"/>
    <x v="1195"/>
    <n v="20.992000000000001"/>
    <s v="Low"/>
    <n v="8"/>
    <n v="0.2"/>
    <x v="2"/>
    <x v="2"/>
    <n v="2.3616000000000001"/>
    <n v="0.1125"/>
    <n v="0"/>
  </r>
  <r>
    <n v="8320"/>
    <s v="CA-2017-133620"/>
    <d v="2017-11-13T00:00:00"/>
    <x v="3"/>
    <s v="Q4"/>
    <x v="23"/>
    <d v="2017-11-18T00:00:00"/>
    <s v="Standard Class"/>
    <x v="191"/>
    <x v="191"/>
    <s v="Consumer"/>
    <s v="United States"/>
    <s v="New York City"/>
    <x v="15"/>
    <n v="10009"/>
    <x v="3"/>
    <x v="602"/>
    <x v="1"/>
    <x v="4"/>
    <x v="602"/>
    <n v="11.21"/>
    <s v="Low"/>
    <n v="1"/>
    <n v="0"/>
    <x v="0"/>
    <x v="0"/>
    <n v="3.363"/>
    <n v="0.3"/>
    <n v="0"/>
  </r>
  <r>
    <n v="8321"/>
    <s v="CA-2015-142937"/>
    <d v="2015-12-05T00:00:00"/>
    <x v="1"/>
    <s v="Q4"/>
    <x v="14"/>
    <d v="2015-12-06T00:00:00"/>
    <s v="First Class"/>
    <x v="11"/>
    <x v="11"/>
    <s v="Consumer"/>
    <s v="United States"/>
    <s v="Dallas"/>
    <x v="5"/>
    <n v="75220"/>
    <x v="2"/>
    <x v="1473"/>
    <x v="1"/>
    <x v="6"/>
    <x v="1460"/>
    <n v="45.04"/>
    <s v="Medium"/>
    <n v="2"/>
    <n v="0.2"/>
    <x v="2"/>
    <x v="2"/>
    <n v="4.5039999999999996"/>
    <n v="9.9999999999999992E-2"/>
    <n v="0"/>
  </r>
  <r>
    <n v="8322"/>
    <s v="US-2016-149790"/>
    <d v="2016-09-26T00:00:00"/>
    <x v="0"/>
    <s v="Q3"/>
    <x v="21"/>
    <d v="2016-10-01T00:00:00"/>
    <s v="Standard Class"/>
    <x v="618"/>
    <x v="618"/>
    <s v="Consumer"/>
    <s v="United States"/>
    <s v="Houston"/>
    <x v="5"/>
    <n v="77095"/>
    <x v="2"/>
    <x v="920"/>
    <x v="1"/>
    <x v="8"/>
    <x v="1758"/>
    <n v="15.624000000000001"/>
    <s v="Low"/>
    <n v="2"/>
    <n v="0.8"/>
    <x v="1"/>
    <x v="3"/>
    <n v="-24.9984"/>
    <n v="-1.5999999999999999"/>
    <n v="1"/>
  </r>
  <r>
    <n v="8323"/>
    <s v="CA-2016-130778"/>
    <d v="2016-11-19T00:00:00"/>
    <x v="0"/>
    <s v="Q4"/>
    <x v="0"/>
    <d v="2016-11-25T00:00:00"/>
    <s v="Standard Class"/>
    <x v="444"/>
    <x v="444"/>
    <s v="Consumer"/>
    <s v="United States"/>
    <s v="Long Beach"/>
    <x v="15"/>
    <n v="11561"/>
    <x v="3"/>
    <x v="1518"/>
    <x v="1"/>
    <x v="9"/>
    <x v="1505"/>
    <n v="8.74"/>
    <s v="Low"/>
    <n v="2"/>
    <n v="0"/>
    <x v="0"/>
    <x v="0"/>
    <n v="2.2724000000000002"/>
    <n v="0.26"/>
    <n v="0"/>
  </r>
  <r>
    <n v="8324"/>
    <s v="CA-2016-130778"/>
    <d v="2016-11-19T00:00:00"/>
    <x v="0"/>
    <s v="Q4"/>
    <x v="0"/>
    <d v="2016-11-25T00:00:00"/>
    <s v="Standard Class"/>
    <x v="444"/>
    <x v="444"/>
    <s v="Consumer"/>
    <s v="United States"/>
    <s v="Long Beach"/>
    <x v="15"/>
    <n v="11561"/>
    <x v="3"/>
    <x v="422"/>
    <x v="1"/>
    <x v="10"/>
    <x v="422"/>
    <n v="44.75"/>
    <s v="Medium"/>
    <n v="5"/>
    <n v="0"/>
    <x v="0"/>
    <x v="0"/>
    <n v="20.585000000000001"/>
    <n v="0.46"/>
    <n v="0"/>
  </r>
  <r>
    <n v="8325"/>
    <s v="CA-2017-144456"/>
    <d v="2017-09-08T00:00:00"/>
    <x v="3"/>
    <s v="Q3"/>
    <x v="15"/>
    <d v="2017-09-09T00:00:00"/>
    <s v="First Class"/>
    <x v="763"/>
    <x v="763"/>
    <s v="Home Office"/>
    <s v="United States"/>
    <s v="Hialeah"/>
    <x v="2"/>
    <n v="33012"/>
    <x v="0"/>
    <x v="421"/>
    <x v="1"/>
    <x v="4"/>
    <x v="421"/>
    <n v="61.68"/>
    <s v="Medium"/>
    <n v="5"/>
    <n v="0.2"/>
    <x v="2"/>
    <x v="2"/>
    <n v="5.3970000000000002"/>
    <n v="8.7500000000000008E-2"/>
    <n v="0"/>
  </r>
  <r>
    <n v="8326"/>
    <s v="CA-2017-144456"/>
    <d v="2017-09-08T00:00:00"/>
    <x v="3"/>
    <s v="Q3"/>
    <x v="15"/>
    <d v="2017-09-09T00:00:00"/>
    <s v="First Class"/>
    <x v="763"/>
    <x v="763"/>
    <s v="Home Office"/>
    <s v="United States"/>
    <s v="Hialeah"/>
    <x v="2"/>
    <n v="33012"/>
    <x v="0"/>
    <x v="984"/>
    <x v="2"/>
    <x v="7"/>
    <x v="977"/>
    <n v="158.376"/>
    <s v="High"/>
    <n v="3"/>
    <n v="0.2"/>
    <x v="2"/>
    <x v="2"/>
    <n v="13.857900000000001"/>
    <n v="8.7500000000000008E-2"/>
    <n v="0"/>
  </r>
  <r>
    <n v="8327"/>
    <s v="CA-2017-103478"/>
    <d v="2017-07-21T00:00:00"/>
    <x v="3"/>
    <s v="Q3"/>
    <x v="10"/>
    <d v="2017-07-24T00:00:00"/>
    <s v="Second Class"/>
    <x v="126"/>
    <x v="126"/>
    <s v="Corporate"/>
    <s v="United States"/>
    <s v="Aurora"/>
    <x v="10"/>
    <n v="60505"/>
    <x v="2"/>
    <x v="175"/>
    <x v="1"/>
    <x v="8"/>
    <x v="176"/>
    <n v="2.8639999999999999"/>
    <s v="Low"/>
    <n v="4"/>
    <n v="0.8"/>
    <x v="1"/>
    <x v="3"/>
    <n v="-4.5823999999999998"/>
    <n v="-1.6"/>
    <n v="1"/>
  </r>
  <r>
    <n v="8328"/>
    <s v="CA-2017-103478"/>
    <d v="2017-07-21T00:00:00"/>
    <x v="3"/>
    <s v="Q3"/>
    <x v="10"/>
    <d v="2017-07-24T00:00:00"/>
    <s v="Second Class"/>
    <x v="126"/>
    <x v="126"/>
    <s v="Corporate"/>
    <s v="United States"/>
    <s v="Aurora"/>
    <x v="10"/>
    <n v="60505"/>
    <x v="2"/>
    <x v="1080"/>
    <x v="1"/>
    <x v="8"/>
    <x v="1070"/>
    <n v="94.191999999999993"/>
    <s v="Medium"/>
    <n v="7"/>
    <n v="0.8"/>
    <x v="1"/>
    <x v="3"/>
    <n v="-164.83600000000001"/>
    <n v="-1.7500000000000002"/>
    <n v="1"/>
  </r>
  <r>
    <n v="8329"/>
    <s v="CA-2017-118577"/>
    <d v="2017-10-06T00:00:00"/>
    <x v="3"/>
    <s v="Q4"/>
    <x v="13"/>
    <d v="2017-10-11T00:00:00"/>
    <s v="Standard Class"/>
    <x v="190"/>
    <x v="190"/>
    <s v="Consumer"/>
    <s v="United States"/>
    <s v="Belleville"/>
    <x v="30"/>
    <n v="7109"/>
    <x v="3"/>
    <x v="1052"/>
    <x v="1"/>
    <x v="10"/>
    <x v="1041"/>
    <n v="143.69999999999999"/>
    <s v="High"/>
    <n v="3"/>
    <n v="0"/>
    <x v="0"/>
    <x v="0"/>
    <n v="68.975999999999999"/>
    <n v="0.48000000000000004"/>
    <n v="0"/>
  </r>
  <r>
    <n v="8330"/>
    <s v="CA-2017-118577"/>
    <d v="2017-10-06T00:00:00"/>
    <x v="3"/>
    <s v="Q4"/>
    <x v="13"/>
    <d v="2017-10-11T00:00:00"/>
    <s v="Standard Class"/>
    <x v="190"/>
    <x v="190"/>
    <s v="Consumer"/>
    <s v="United States"/>
    <s v="Belleville"/>
    <x v="30"/>
    <n v="7109"/>
    <x v="3"/>
    <x v="974"/>
    <x v="1"/>
    <x v="10"/>
    <x v="968"/>
    <n v="6.48"/>
    <s v="Low"/>
    <n v="1"/>
    <n v="0"/>
    <x v="0"/>
    <x v="0"/>
    <n v="3.1103999999999998"/>
    <n v="0.47999999999999993"/>
    <n v="0"/>
  </r>
  <r>
    <n v="8331"/>
    <s v="CA-2017-113572"/>
    <d v="2017-11-07T00:00:00"/>
    <x v="3"/>
    <s v="Q4"/>
    <x v="23"/>
    <d v="2017-11-11T00:00:00"/>
    <s v="Standard Class"/>
    <x v="224"/>
    <x v="224"/>
    <s v="Consumer"/>
    <s v="United States"/>
    <s v="New York City"/>
    <x v="15"/>
    <n v="10024"/>
    <x v="3"/>
    <x v="1837"/>
    <x v="2"/>
    <x v="11"/>
    <x v="1825"/>
    <n v="7.88"/>
    <s v="Low"/>
    <n v="4"/>
    <n v="0"/>
    <x v="0"/>
    <x v="0"/>
    <n v="2.5215999999999998"/>
    <n v="0.32"/>
    <n v="0"/>
  </r>
  <r>
    <n v="8332"/>
    <s v="CA-2016-153269"/>
    <d v="2016-03-09T00:00:00"/>
    <x v="0"/>
    <s v="Q1"/>
    <x v="17"/>
    <d v="2016-03-12T00:00:00"/>
    <s v="First Class"/>
    <x v="519"/>
    <x v="519"/>
    <s v="Consumer"/>
    <s v="United States"/>
    <s v="Andover"/>
    <x v="31"/>
    <n v="1810"/>
    <x v="3"/>
    <x v="602"/>
    <x v="1"/>
    <x v="4"/>
    <x v="602"/>
    <n v="11.21"/>
    <s v="Low"/>
    <n v="1"/>
    <n v="0"/>
    <x v="0"/>
    <x v="0"/>
    <n v="3.363"/>
    <n v="0.3"/>
    <n v="0"/>
  </r>
  <r>
    <n v="8333"/>
    <s v="CA-2016-153269"/>
    <d v="2016-03-09T00:00:00"/>
    <x v="0"/>
    <s v="Q1"/>
    <x v="17"/>
    <d v="2016-03-12T00:00:00"/>
    <s v="First Class"/>
    <x v="519"/>
    <x v="519"/>
    <s v="Consumer"/>
    <s v="United States"/>
    <s v="Andover"/>
    <x v="31"/>
    <n v="1810"/>
    <x v="3"/>
    <x v="474"/>
    <x v="0"/>
    <x v="1"/>
    <x v="475"/>
    <n v="354.9"/>
    <s v="High"/>
    <n v="5"/>
    <n v="0"/>
    <x v="0"/>
    <x v="0"/>
    <n v="88.724999999999994"/>
    <n v="0.25"/>
    <n v="0"/>
  </r>
  <r>
    <n v="8334"/>
    <s v="CA-2016-153269"/>
    <d v="2016-03-09T00:00:00"/>
    <x v="0"/>
    <s v="Q1"/>
    <x v="17"/>
    <d v="2016-03-12T00:00:00"/>
    <s v="First Class"/>
    <x v="519"/>
    <x v="519"/>
    <s v="Consumer"/>
    <s v="United States"/>
    <s v="Andover"/>
    <x v="31"/>
    <n v="1810"/>
    <x v="3"/>
    <x v="1776"/>
    <x v="1"/>
    <x v="10"/>
    <x v="1766"/>
    <n v="17.940000000000001"/>
    <s v="Low"/>
    <n v="3"/>
    <n v="0"/>
    <x v="0"/>
    <x v="0"/>
    <n v="8.7905999999999995"/>
    <n v="0.48999999999999994"/>
    <n v="0"/>
  </r>
  <r>
    <n v="8335"/>
    <s v="CA-2016-153269"/>
    <d v="2016-03-09T00:00:00"/>
    <x v="0"/>
    <s v="Q1"/>
    <x v="17"/>
    <d v="2016-03-12T00:00:00"/>
    <s v="First Class"/>
    <x v="519"/>
    <x v="519"/>
    <s v="Consumer"/>
    <s v="United States"/>
    <s v="Andover"/>
    <x v="31"/>
    <n v="1810"/>
    <x v="3"/>
    <x v="569"/>
    <x v="1"/>
    <x v="8"/>
    <x v="919"/>
    <n v="51.8"/>
    <s v="Medium"/>
    <n v="4"/>
    <n v="0"/>
    <x v="0"/>
    <x v="0"/>
    <n v="23.31"/>
    <n v="0.45"/>
    <n v="0"/>
  </r>
  <r>
    <n v="8336"/>
    <s v="CA-2017-161655"/>
    <d v="2017-05-13T00:00:00"/>
    <x v="3"/>
    <s v="Q2"/>
    <x v="24"/>
    <d v="2017-05-18T00:00:00"/>
    <s v="Second Class"/>
    <x v="194"/>
    <x v="194"/>
    <s v="Home Office"/>
    <s v="United States"/>
    <s v="Newark"/>
    <x v="13"/>
    <n v="19711"/>
    <x v="3"/>
    <x v="1197"/>
    <x v="1"/>
    <x v="8"/>
    <x v="1182"/>
    <n v="299.52"/>
    <s v="High"/>
    <n v="9"/>
    <n v="0"/>
    <x v="0"/>
    <x v="0"/>
    <n v="149.76"/>
    <n v="0.5"/>
    <n v="0"/>
  </r>
  <r>
    <n v="8337"/>
    <s v="CA-2016-101469"/>
    <d v="2016-07-02T00:00:00"/>
    <x v="0"/>
    <s v="Q3"/>
    <x v="16"/>
    <d v="2016-07-08T00:00:00"/>
    <s v="Standard Class"/>
    <x v="347"/>
    <x v="347"/>
    <s v="Consumer"/>
    <s v="United States"/>
    <s v="Arlington"/>
    <x v="17"/>
    <n v="22204"/>
    <x v="0"/>
    <x v="1838"/>
    <x v="1"/>
    <x v="6"/>
    <x v="1826"/>
    <n v="7.7"/>
    <s v="Low"/>
    <n v="2"/>
    <n v="0"/>
    <x v="0"/>
    <x v="0"/>
    <n v="3.157"/>
    <n v="0.41"/>
    <n v="0"/>
  </r>
  <r>
    <n v="8338"/>
    <s v="CA-2014-153087"/>
    <d v="2014-12-27T00:00:00"/>
    <x v="2"/>
    <s v="Q4"/>
    <x v="20"/>
    <d v="2015-01-03T00:00:00"/>
    <s v="Standard Class"/>
    <x v="568"/>
    <x v="568"/>
    <s v="Corporate"/>
    <s v="United States"/>
    <s v="Decatur"/>
    <x v="19"/>
    <n v="35601"/>
    <x v="0"/>
    <x v="1813"/>
    <x v="1"/>
    <x v="10"/>
    <x v="1803"/>
    <n v="23.92"/>
    <s v="Low"/>
    <n v="4"/>
    <n v="0"/>
    <x v="0"/>
    <x v="0"/>
    <n v="11.720800000000001"/>
    <n v="0.49"/>
    <n v="0"/>
  </r>
  <r>
    <n v="8339"/>
    <s v="CA-2014-153087"/>
    <d v="2014-12-27T00:00:00"/>
    <x v="2"/>
    <s v="Q4"/>
    <x v="20"/>
    <d v="2015-01-03T00:00:00"/>
    <s v="Standard Class"/>
    <x v="568"/>
    <x v="568"/>
    <s v="Corporate"/>
    <s v="United States"/>
    <s v="Decatur"/>
    <x v="19"/>
    <n v="35601"/>
    <x v="0"/>
    <x v="769"/>
    <x v="2"/>
    <x v="11"/>
    <x v="768"/>
    <n v="498"/>
    <s v="High"/>
    <n v="5"/>
    <n v="0"/>
    <x v="0"/>
    <x v="0"/>
    <n v="184.26"/>
    <n v="0.37"/>
    <n v="0"/>
  </r>
  <r>
    <n v="8340"/>
    <s v="CA-2017-135076"/>
    <d v="2017-04-13T00:00:00"/>
    <x v="3"/>
    <s v="Q2"/>
    <x v="4"/>
    <d v="2017-04-17T00:00:00"/>
    <s v="Standard Class"/>
    <x v="453"/>
    <x v="453"/>
    <s v="Corporate"/>
    <s v="United States"/>
    <s v="Hesperia"/>
    <x v="1"/>
    <n v="92345"/>
    <x v="1"/>
    <x v="1209"/>
    <x v="0"/>
    <x v="1"/>
    <x v="1194"/>
    <n v="436.70400000000001"/>
    <s v="High"/>
    <n v="6"/>
    <n v="0.2"/>
    <x v="2"/>
    <x v="2"/>
    <n v="-38.211599999999997"/>
    <n v="-8.7499999999999994E-2"/>
    <n v="1"/>
  </r>
  <r>
    <n v="8341"/>
    <s v="CA-2014-161634"/>
    <d v="2014-11-14T00:00:00"/>
    <x v="2"/>
    <s v="Q4"/>
    <x v="7"/>
    <d v="2014-11-20T00:00:00"/>
    <s v="Standard Class"/>
    <x v="417"/>
    <x v="417"/>
    <s v="Consumer"/>
    <s v="United States"/>
    <s v="Chesapeake"/>
    <x v="17"/>
    <n v="23320"/>
    <x v="0"/>
    <x v="1009"/>
    <x v="1"/>
    <x v="10"/>
    <x v="1001"/>
    <n v="32.4"/>
    <s v="Medium"/>
    <n v="5"/>
    <n v="0"/>
    <x v="0"/>
    <x v="0"/>
    <n v="15.552"/>
    <n v="0.48"/>
    <n v="0"/>
  </r>
  <r>
    <n v="8342"/>
    <s v="CA-2017-141481"/>
    <d v="2017-06-11T00:00:00"/>
    <x v="3"/>
    <s v="Q2"/>
    <x v="27"/>
    <d v="2017-06-14T00:00:00"/>
    <s v="First Class"/>
    <x v="9"/>
    <x v="9"/>
    <s v="Consumer"/>
    <s v="United States"/>
    <s v="Los Angeles"/>
    <x v="1"/>
    <n v="90036"/>
    <x v="1"/>
    <x v="564"/>
    <x v="1"/>
    <x v="9"/>
    <x v="564"/>
    <n v="61.44"/>
    <s v="Medium"/>
    <n v="3"/>
    <n v="0"/>
    <x v="0"/>
    <x v="0"/>
    <n v="16.588799999999999"/>
    <n v="0.27"/>
    <n v="0"/>
  </r>
  <r>
    <n v="8343"/>
    <s v="CA-2016-132549"/>
    <d v="2016-11-25T00:00:00"/>
    <x v="0"/>
    <s v="Q4"/>
    <x v="0"/>
    <d v="2016-11-30T00:00:00"/>
    <s v="Standard Class"/>
    <x v="271"/>
    <x v="271"/>
    <s v="Consumer"/>
    <s v="United States"/>
    <s v="Huntsville"/>
    <x v="19"/>
    <n v="35810"/>
    <x v="0"/>
    <x v="470"/>
    <x v="1"/>
    <x v="4"/>
    <x v="471"/>
    <n v="73.36"/>
    <s v="Medium"/>
    <n v="7"/>
    <n v="0"/>
    <x v="0"/>
    <x v="0"/>
    <n v="19.807200000000002"/>
    <n v="0.27"/>
    <n v="0"/>
  </r>
  <r>
    <n v="8344"/>
    <s v="US-2014-155544"/>
    <d v="2014-03-21T00:00:00"/>
    <x v="2"/>
    <s v="Q1"/>
    <x v="34"/>
    <d v="2014-03-25T00:00:00"/>
    <s v="Standard Class"/>
    <x v="306"/>
    <x v="306"/>
    <s v="Consumer"/>
    <s v="United States"/>
    <s v="Knoxville"/>
    <x v="18"/>
    <n v="37918"/>
    <x v="0"/>
    <x v="198"/>
    <x v="1"/>
    <x v="2"/>
    <x v="199"/>
    <n v="59.2"/>
    <s v="Medium"/>
    <n v="5"/>
    <n v="0.2"/>
    <x v="2"/>
    <x v="2"/>
    <n v="22.2"/>
    <n v="0.37499999999999994"/>
    <n v="0"/>
  </r>
  <r>
    <n v="8345"/>
    <s v="US-2014-155544"/>
    <d v="2014-03-21T00:00:00"/>
    <x v="2"/>
    <s v="Q1"/>
    <x v="34"/>
    <d v="2014-03-25T00:00:00"/>
    <s v="Standard Class"/>
    <x v="306"/>
    <x v="306"/>
    <s v="Consumer"/>
    <s v="United States"/>
    <s v="Knoxville"/>
    <x v="18"/>
    <n v="37918"/>
    <x v="0"/>
    <x v="1001"/>
    <x v="0"/>
    <x v="5"/>
    <x v="993"/>
    <n v="32.951999999999998"/>
    <s v="Medium"/>
    <n v="3"/>
    <n v="0.2"/>
    <x v="2"/>
    <x v="2"/>
    <n v="6.5903999999999998"/>
    <n v="0.2"/>
    <n v="0"/>
  </r>
  <r>
    <n v="8346"/>
    <s v="US-2014-155544"/>
    <d v="2014-03-21T00:00:00"/>
    <x v="2"/>
    <s v="Q1"/>
    <x v="34"/>
    <d v="2014-03-25T00:00:00"/>
    <s v="Standard Class"/>
    <x v="306"/>
    <x v="306"/>
    <s v="Consumer"/>
    <s v="United States"/>
    <s v="Knoxville"/>
    <x v="18"/>
    <n v="37918"/>
    <x v="0"/>
    <x v="1455"/>
    <x v="0"/>
    <x v="1"/>
    <x v="1441"/>
    <n v="218.376"/>
    <s v="High"/>
    <n v="3"/>
    <n v="0.2"/>
    <x v="2"/>
    <x v="2"/>
    <n v="-10.918799999999999"/>
    <n v="-4.9999999999999996E-2"/>
    <n v="1"/>
  </r>
  <r>
    <n v="8347"/>
    <s v="US-2015-115238"/>
    <d v="2015-04-30T00:00:00"/>
    <x v="1"/>
    <s v="Q2"/>
    <x v="19"/>
    <d v="2015-05-04T00:00:00"/>
    <s v="Standard Class"/>
    <x v="478"/>
    <x v="478"/>
    <s v="Corporate"/>
    <s v="United States"/>
    <s v="Lawrence"/>
    <x v="31"/>
    <n v="1841"/>
    <x v="3"/>
    <x v="191"/>
    <x v="0"/>
    <x v="5"/>
    <x v="192"/>
    <n v="31.4"/>
    <s v="Medium"/>
    <n v="5"/>
    <n v="0"/>
    <x v="0"/>
    <x v="0"/>
    <n v="13.188000000000001"/>
    <n v="0.42000000000000004"/>
    <n v="0"/>
  </r>
  <r>
    <n v="8348"/>
    <s v="US-2015-115238"/>
    <d v="2015-04-30T00:00:00"/>
    <x v="1"/>
    <s v="Q2"/>
    <x v="19"/>
    <d v="2015-05-04T00:00:00"/>
    <s v="Standard Class"/>
    <x v="478"/>
    <x v="478"/>
    <s v="Corporate"/>
    <s v="United States"/>
    <s v="Lawrence"/>
    <x v="31"/>
    <n v="1841"/>
    <x v="3"/>
    <x v="1462"/>
    <x v="0"/>
    <x v="5"/>
    <x v="1448"/>
    <n v="9.48"/>
    <s v="Low"/>
    <n v="1"/>
    <n v="0"/>
    <x v="0"/>
    <x v="0"/>
    <n v="3.7919999999999998"/>
    <n v="0.39999999999999997"/>
    <n v="0"/>
  </r>
  <r>
    <n v="8349"/>
    <s v="US-2015-115238"/>
    <d v="2015-04-30T00:00:00"/>
    <x v="1"/>
    <s v="Q2"/>
    <x v="19"/>
    <d v="2015-05-04T00:00:00"/>
    <s v="Standard Class"/>
    <x v="478"/>
    <x v="478"/>
    <s v="Corporate"/>
    <s v="United States"/>
    <s v="Lawrence"/>
    <x v="31"/>
    <n v="1841"/>
    <x v="3"/>
    <x v="1020"/>
    <x v="2"/>
    <x v="7"/>
    <x v="1011"/>
    <n v="209.5"/>
    <s v="High"/>
    <n v="10"/>
    <n v="0"/>
    <x v="0"/>
    <x v="0"/>
    <n v="58.66"/>
    <n v="0.27999999999999997"/>
    <n v="0"/>
  </r>
  <r>
    <n v="8350"/>
    <s v="US-2015-115238"/>
    <d v="2015-04-30T00:00:00"/>
    <x v="1"/>
    <s v="Q2"/>
    <x v="19"/>
    <d v="2015-05-04T00:00:00"/>
    <s v="Standard Class"/>
    <x v="478"/>
    <x v="478"/>
    <s v="Corporate"/>
    <s v="United States"/>
    <s v="Lawrence"/>
    <x v="31"/>
    <n v="1841"/>
    <x v="3"/>
    <x v="1721"/>
    <x v="0"/>
    <x v="5"/>
    <x v="1708"/>
    <n v="24.3"/>
    <s v="Low"/>
    <n v="5"/>
    <n v="0"/>
    <x v="0"/>
    <x v="0"/>
    <n v="10.449"/>
    <n v="0.43"/>
    <n v="0"/>
  </r>
  <r>
    <n v="8351"/>
    <s v="US-2015-115238"/>
    <d v="2015-04-30T00:00:00"/>
    <x v="1"/>
    <s v="Q2"/>
    <x v="19"/>
    <d v="2015-05-04T00:00:00"/>
    <s v="Standard Class"/>
    <x v="478"/>
    <x v="478"/>
    <s v="Corporate"/>
    <s v="United States"/>
    <s v="Lawrence"/>
    <x v="31"/>
    <n v="1841"/>
    <x v="3"/>
    <x v="1076"/>
    <x v="1"/>
    <x v="10"/>
    <x v="1066"/>
    <n v="6.48"/>
    <s v="Low"/>
    <n v="1"/>
    <n v="0"/>
    <x v="0"/>
    <x v="0"/>
    <n v="3.1103999999999998"/>
    <n v="0.47999999999999993"/>
    <n v="0"/>
  </r>
  <r>
    <n v="8352"/>
    <s v="CA-2017-132199"/>
    <d v="2017-05-03T00:00:00"/>
    <x v="3"/>
    <s v="Q2"/>
    <x v="24"/>
    <d v="2017-05-08T00:00:00"/>
    <s v="Standard Class"/>
    <x v="635"/>
    <x v="635"/>
    <s v="Corporate"/>
    <s v="United States"/>
    <s v="Philadelphia"/>
    <x v="9"/>
    <n v="19134"/>
    <x v="3"/>
    <x v="1757"/>
    <x v="0"/>
    <x v="5"/>
    <x v="1747"/>
    <n v="32.448"/>
    <s v="Medium"/>
    <n v="2"/>
    <n v="0.2"/>
    <x v="2"/>
    <x v="2"/>
    <n v="7.3007999999999997"/>
    <n v="0.22499999999999998"/>
    <n v="0"/>
  </r>
  <r>
    <n v="8353"/>
    <s v="CA-2017-132199"/>
    <d v="2017-05-03T00:00:00"/>
    <x v="3"/>
    <s v="Q2"/>
    <x v="24"/>
    <d v="2017-05-08T00:00:00"/>
    <s v="Standard Class"/>
    <x v="635"/>
    <x v="635"/>
    <s v="Corporate"/>
    <s v="United States"/>
    <s v="Philadelphia"/>
    <x v="9"/>
    <n v="19134"/>
    <x v="3"/>
    <x v="715"/>
    <x v="1"/>
    <x v="8"/>
    <x v="714"/>
    <n v="26.388000000000002"/>
    <s v="Medium"/>
    <n v="4"/>
    <n v="0.7"/>
    <x v="1"/>
    <x v="5"/>
    <n v="-17.591999999999999"/>
    <n v="-0.66666666666666663"/>
    <n v="1"/>
  </r>
  <r>
    <n v="8354"/>
    <s v="CA-2017-132199"/>
    <d v="2017-05-03T00:00:00"/>
    <x v="3"/>
    <s v="Q2"/>
    <x v="24"/>
    <d v="2017-05-08T00:00:00"/>
    <s v="Standard Class"/>
    <x v="635"/>
    <x v="635"/>
    <s v="Corporate"/>
    <s v="United States"/>
    <s v="Philadelphia"/>
    <x v="9"/>
    <n v="19134"/>
    <x v="3"/>
    <x v="209"/>
    <x v="0"/>
    <x v="3"/>
    <x v="210"/>
    <n v="373.47"/>
    <s v="High"/>
    <n v="5"/>
    <n v="0.4"/>
    <x v="1"/>
    <x v="7"/>
    <n v="-112.041"/>
    <n v="-0.3"/>
    <n v="1"/>
  </r>
  <r>
    <n v="8355"/>
    <s v="CA-2017-132199"/>
    <d v="2017-05-03T00:00:00"/>
    <x v="3"/>
    <s v="Q2"/>
    <x v="24"/>
    <d v="2017-05-08T00:00:00"/>
    <s v="Standard Class"/>
    <x v="635"/>
    <x v="635"/>
    <s v="Corporate"/>
    <s v="United States"/>
    <s v="Philadelphia"/>
    <x v="9"/>
    <n v="19134"/>
    <x v="3"/>
    <x v="1160"/>
    <x v="1"/>
    <x v="8"/>
    <x v="1147"/>
    <n v="64.2"/>
    <s v="Medium"/>
    <n v="5"/>
    <n v="0.7"/>
    <x v="1"/>
    <x v="5"/>
    <n v="-44.94"/>
    <n v="-0.7"/>
    <n v="1"/>
  </r>
  <r>
    <n v="8356"/>
    <s v="CA-2017-132199"/>
    <d v="2017-05-03T00:00:00"/>
    <x v="3"/>
    <s v="Q2"/>
    <x v="24"/>
    <d v="2017-05-08T00:00:00"/>
    <s v="Standard Class"/>
    <x v="635"/>
    <x v="635"/>
    <s v="Corporate"/>
    <s v="United States"/>
    <s v="Philadelphia"/>
    <x v="9"/>
    <n v="19134"/>
    <x v="3"/>
    <x v="659"/>
    <x v="1"/>
    <x v="13"/>
    <x v="659"/>
    <n v="8"/>
    <s v="Low"/>
    <n v="2"/>
    <n v="0.2"/>
    <x v="2"/>
    <x v="2"/>
    <n v="2.8"/>
    <n v="0.35"/>
    <n v="0"/>
  </r>
  <r>
    <n v="8357"/>
    <s v="CA-2016-163174"/>
    <d v="2016-08-26T00:00:00"/>
    <x v="0"/>
    <s v="Q3"/>
    <x v="28"/>
    <d v="2016-08-30T00:00:00"/>
    <s v="Standard Class"/>
    <x v="190"/>
    <x v="190"/>
    <s v="Consumer"/>
    <s v="United States"/>
    <s v="Athens"/>
    <x v="32"/>
    <n v="30605"/>
    <x v="0"/>
    <x v="1292"/>
    <x v="0"/>
    <x v="5"/>
    <x v="1278"/>
    <n v="186.54"/>
    <s v="High"/>
    <n v="3"/>
    <n v="0"/>
    <x v="0"/>
    <x v="0"/>
    <n v="41.038800000000002"/>
    <n v="0.22000000000000003"/>
    <n v="0"/>
  </r>
  <r>
    <n v="8358"/>
    <s v="CA-2014-110555"/>
    <d v="2014-04-11T00:00:00"/>
    <x v="2"/>
    <s v="Q2"/>
    <x v="41"/>
    <d v="2014-04-18T00:00:00"/>
    <s v="Standard Class"/>
    <x v="514"/>
    <x v="514"/>
    <s v="Consumer"/>
    <s v="United States"/>
    <s v="Great Falls"/>
    <x v="37"/>
    <n v="59405"/>
    <x v="1"/>
    <x v="253"/>
    <x v="1"/>
    <x v="4"/>
    <x v="254"/>
    <n v="87.08"/>
    <s v="Medium"/>
    <n v="7"/>
    <n v="0"/>
    <x v="0"/>
    <x v="0"/>
    <n v="24.382400000000001"/>
    <n v="0.28000000000000003"/>
    <n v="0"/>
  </r>
  <r>
    <n v="8359"/>
    <s v="CA-2014-110555"/>
    <d v="2014-04-11T00:00:00"/>
    <x v="2"/>
    <s v="Q2"/>
    <x v="41"/>
    <d v="2014-04-18T00:00:00"/>
    <s v="Standard Class"/>
    <x v="514"/>
    <x v="514"/>
    <s v="Consumer"/>
    <s v="United States"/>
    <s v="Great Falls"/>
    <x v="37"/>
    <n v="59405"/>
    <x v="1"/>
    <x v="506"/>
    <x v="2"/>
    <x v="7"/>
    <x v="506"/>
    <n v="105.584"/>
    <s v="Medium"/>
    <n v="2"/>
    <n v="0.2"/>
    <x v="2"/>
    <x v="2"/>
    <n v="9.2385999999999999"/>
    <n v="8.7499999999999994E-2"/>
    <n v="0"/>
  </r>
  <r>
    <n v="8360"/>
    <s v="CA-2014-110555"/>
    <d v="2014-04-11T00:00:00"/>
    <x v="2"/>
    <s v="Q2"/>
    <x v="41"/>
    <d v="2014-04-18T00:00:00"/>
    <s v="Standard Class"/>
    <x v="514"/>
    <x v="514"/>
    <s v="Consumer"/>
    <s v="United States"/>
    <s v="Great Falls"/>
    <x v="37"/>
    <n v="59405"/>
    <x v="1"/>
    <x v="1519"/>
    <x v="2"/>
    <x v="11"/>
    <x v="1506"/>
    <n v="217.44"/>
    <s v="High"/>
    <n v="6"/>
    <n v="0"/>
    <x v="0"/>
    <x v="0"/>
    <n v="91.324799999999996"/>
    <n v="0.42"/>
    <n v="0"/>
  </r>
  <r>
    <n v="8361"/>
    <s v="CA-2017-147207"/>
    <d v="2017-01-02T00:00:00"/>
    <x v="3"/>
    <s v="Q1"/>
    <x v="44"/>
    <d v="2017-01-04T00:00:00"/>
    <s v="Second Class"/>
    <x v="772"/>
    <x v="772"/>
    <s v="Consumer"/>
    <s v="United States"/>
    <s v="El Paso"/>
    <x v="5"/>
    <n v="79907"/>
    <x v="2"/>
    <x v="1041"/>
    <x v="1"/>
    <x v="6"/>
    <x v="1030"/>
    <n v="31.744"/>
    <s v="Medium"/>
    <n v="2"/>
    <n v="0.2"/>
    <x v="2"/>
    <x v="2"/>
    <n v="3.968"/>
    <n v="0.125"/>
    <n v="0"/>
  </r>
  <r>
    <n v="8362"/>
    <s v="CA-2017-147207"/>
    <d v="2017-01-02T00:00:00"/>
    <x v="3"/>
    <s v="Q1"/>
    <x v="44"/>
    <d v="2017-01-04T00:00:00"/>
    <s v="Second Class"/>
    <x v="772"/>
    <x v="772"/>
    <s v="Consumer"/>
    <s v="United States"/>
    <s v="El Paso"/>
    <x v="5"/>
    <n v="79907"/>
    <x v="2"/>
    <x v="1825"/>
    <x v="1"/>
    <x v="9"/>
    <x v="1813"/>
    <n v="5.4320000000000004"/>
    <s v="Low"/>
    <n v="2"/>
    <n v="0.8"/>
    <x v="1"/>
    <x v="3"/>
    <n v="-13.58"/>
    <n v="-2.5"/>
    <n v="1"/>
  </r>
  <r>
    <n v="8363"/>
    <s v="CA-2017-147207"/>
    <d v="2017-01-02T00:00:00"/>
    <x v="3"/>
    <s v="Q1"/>
    <x v="44"/>
    <d v="2017-01-04T00:00:00"/>
    <s v="Second Class"/>
    <x v="772"/>
    <x v="772"/>
    <s v="Consumer"/>
    <s v="United States"/>
    <s v="El Paso"/>
    <x v="5"/>
    <n v="79907"/>
    <x v="2"/>
    <x v="971"/>
    <x v="0"/>
    <x v="3"/>
    <x v="965"/>
    <n v="913.43"/>
    <s v="High"/>
    <n v="5"/>
    <n v="0.3"/>
    <x v="1"/>
    <x v="4"/>
    <n v="-169.637"/>
    <n v="-0.18571428571428572"/>
    <n v="1"/>
  </r>
  <r>
    <n v="8364"/>
    <s v="CA-2017-147207"/>
    <d v="2017-01-02T00:00:00"/>
    <x v="3"/>
    <s v="Q1"/>
    <x v="44"/>
    <d v="2017-01-04T00:00:00"/>
    <s v="Second Class"/>
    <x v="772"/>
    <x v="772"/>
    <s v="Consumer"/>
    <s v="United States"/>
    <s v="El Paso"/>
    <x v="5"/>
    <n v="79907"/>
    <x v="2"/>
    <x v="1449"/>
    <x v="1"/>
    <x v="4"/>
    <x v="1436"/>
    <n v="372.14400000000001"/>
    <s v="High"/>
    <n v="3"/>
    <n v="0.2"/>
    <x v="2"/>
    <x v="2"/>
    <n v="27.910799999999998"/>
    <n v="7.4999999999999997E-2"/>
    <n v="0"/>
  </r>
  <r>
    <n v="8365"/>
    <s v="CA-2017-137631"/>
    <d v="2017-04-28T00:00:00"/>
    <x v="3"/>
    <s v="Q2"/>
    <x v="4"/>
    <d v="2017-05-02T00:00:00"/>
    <s v="Standard Class"/>
    <x v="538"/>
    <x v="538"/>
    <s v="Consumer"/>
    <s v="United States"/>
    <s v="Kissimmee"/>
    <x v="2"/>
    <n v="34741"/>
    <x v="0"/>
    <x v="1147"/>
    <x v="2"/>
    <x v="7"/>
    <x v="1135"/>
    <n v="751.98400000000004"/>
    <s v="High"/>
    <n v="2"/>
    <n v="0.2"/>
    <x v="2"/>
    <x v="2"/>
    <n v="84.598200000000006"/>
    <n v="0.1125"/>
    <n v="0"/>
  </r>
  <r>
    <n v="8366"/>
    <s v="CA-2017-157273"/>
    <d v="2017-01-30T00:00:00"/>
    <x v="3"/>
    <s v="Q1"/>
    <x v="44"/>
    <d v="2017-02-02T00:00:00"/>
    <s v="First Class"/>
    <x v="449"/>
    <x v="449"/>
    <s v="Home Office"/>
    <s v="United States"/>
    <s v="Seattle"/>
    <x v="4"/>
    <n v="98105"/>
    <x v="1"/>
    <x v="7"/>
    <x v="2"/>
    <x v="7"/>
    <x v="7"/>
    <n v="604.76800000000003"/>
    <s v="High"/>
    <n v="4"/>
    <n v="0.2"/>
    <x v="2"/>
    <x v="2"/>
    <n v="60.476799999999997"/>
    <n v="9.9999999999999992E-2"/>
    <n v="0"/>
  </r>
  <r>
    <n v="8367"/>
    <s v="CA-2014-109918"/>
    <d v="2014-09-07T00:00:00"/>
    <x v="2"/>
    <s v="Q3"/>
    <x v="30"/>
    <d v="2014-09-12T00:00:00"/>
    <s v="Second Class"/>
    <x v="756"/>
    <x v="756"/>
    <s v="Corporate"/>
    <s v="United States"/>
    <s v="Santa Clara"/>
    <x v="1"/>
    <n v="95051"/>
    <x v="1"/>
    <x v="1839"/>
    <x v="1"/>
    <x v="14"/>
    <x v="1827"/>
    <n v="27.36"/>
    <s v="Medium"/>
    <n v="4"/>
    <n v="0"/>
    <x v="0"/>
    <x v="0"/>
    <n v="7.3872"/>
    <n v="0.27"/>
    <n v="0"/>
  </r>
  <r>
    <n v="8368"/>
    <s v="CA-2014-109918"/>
    <d v="2014-09-07T00:00:00"/>
    <x v="2"/>
    <s v="Q3"/>
    <x v="30"/>
    <d v="2014-09-12T00:00:00"/>
    <s v="Second Class"/>
    <x v="756"/>
    <x v="756"/>
    <s v="Corporate"/>
    <s v="United States"/>
    <s v="Santa Clara"/>
    <x v="1"/>
    <n v="95051"/>
    <x v="1"/>
    <x v="1536"/>
    <x v="1"/>
    <x v="10"/>
    <x v="1524"/>
    <n v="20.56"/>
    <s v="Low"/>
    <n v="2"/>
    <n v="0"/>
    <x v="0"/>
    <x v="0"/>
    <n v="9.6631999999999998"/>
    <n v="0.47000000000000003"/>
    <n v="0"/>
  </r>
  <r>
    <n v="8369"/>
    <s v="CA-2014-109918"/>
    <d v="2014-09-07T00:00:00"/>
    <x v="2"/>
    <s v="Q3"/>
    <x v="30"/>
    <d v="2014-09-12T00:00:00"/>
    <s v="Second Class"/>
    <x v="756"/>
    <x v="756"/>
    <s v="Corporate"/>
    <s v="United States"/>
    <s v="Santa Clara"/>
    <x v="1"/>
    <n v="95051"/>
    <x v="1"/>
    <x v="1786"/>
    <x v="1"/>
    <x v="8"/>
    <x v="1776"/>
    <n v="83.92"/>
    <s v="Medium"/>
    <n v="5"/>
    <n v="0.2"/>
    <x v="2"/>
    <x v="2"/>
    <n v="31.47"/>
    <n v="0.375"/>
    <n v="0"/>
  </r>
  <r>
    <n v="8370"/>
    <s v="CA-2016-118745"/>
    <d v="2016-06-11T00:00:00"/>
    <x v="0"/>
    <s v="Q2"/>
    <x v="1"/>
    <d v="2016-06-16T00:00:00"/>
    <s v="Standard Class"/>
    <x v="277"/>
    <x v="277"/>
    <s v="Consumer"/>
    <s v="United States"/>
    <s v="Los Angeles"/>
    <x v="1"/>
    <n v="90049"/>
    <x v="1"/>
    <x v="215"/>
    <x v="0"/>
    <x v="3"/>
    <x v="216"/>
    <n v="902.71199999999999"/>
    <s v="High"/>
    <n v="3"/>
    <n v="0.2"/>
    <x v="2"/>
    <x v="2"/>
    <n v="33.851700000000001"/>
    <n v="3.7499999999999999E-2"/>
    <n v="0"/>
  </r>
  <r>
    <n v="8371"/>
    <s v="CA-2016-163972"/>
    <d v="2016-10-17T00:00:00"/>
    <x v="0"/>
    <s v="Q4"/>
    <x v="32"/>
    <d v="2016-10-21T00:00:00"/>
    <s v="Standard Class"/>
    <x v="450"/>
    <x v="450"/>
    <s v="Home Office"/>
    <s v="United States"/>
    <s v="Fresno"/>
    <x v="1"/>
    <n v="93727"/>
    <x v="1"/>
    <x v="1638"/>
    <x v="0"/>
    <x v="0"/>
    <x v="1628"/>
    <n v="120.666"/>
    <s v="Medium"/>
    <n v="2"/>
    <n v="0.15"/>
    <x v="2"/>
    <x v="2"/>
    <n v="21.294"/>
    <n v="0.17647058823529413"/>
    <n v="0"/>
  </r>
  <r>
    <n v="8372"/>
    <s v="CA-2014-165393"/>
    <d v="2014-12-27T00:00:00"/>
    <x v="2"/>
    <s v="Q4"/>
    <x v="20"/>
    <d v="2014-12-30T00:00:00"/>
    <s v="First Class"/>
    <x v="720"/>
    <x v="720"/>
    <s v="Consumer"/>
    <s v="United States"/>
    <s v="Fort Worth"/>
    <x v="5"/>
    <n v="76106"/>
    <x v="2"/>
    <x v="444"/>
    <x v="1"/>
    <x v="8"/>
    <x v="444"/>
    <n v="4.984"/>
    <s v="Low"/>
    <n v="1"/>
    <n v="0.8"/>
    <x v="1"/>
    <x v="3"/>
    <n v="-8.4727999999999994"/>
    <n v="-1.7"/>
    <n v="1"/>
  </r>
  <r>
    <n v="8373"/>
    <s v="CA-2016-113726"/>
    <d v="2016-11-24T00:00:00"/>
    <x v="0"/>
    <s v="Q4"/>
    <x v="0"/>
    <d v="2016-12-01T00:00:00"/>
    <s v="Standard Class"/>
    <x v="649"/>
    <x v="649"/>
    <s v="Home Office"/>
    <s v="United States"/>
    <s v="Seattle"/>
    <x v="4"/>
    <n v="98105"/>
    <x v="1"/>
    <x v="905"/>
    <x v="0"/>
    <x v="5"/>
    <x v="897"/>
    <n v="82.26"/>
    <s v="Medium"/>
    <n v="3"/>
    <n v="0"/>
    <x v="0"/>
    <x v="0"/>
    <n v="33.726599999999998"/>
    <n v="0.40999999999999992"/>
    <n v="0"/>
  </r>
  <r>
    <n v="8374"/>
    <s v="CA-2016-152940"/>
    <d v="2016-11-10T00:00:00"/>
    <x v="0"/>
    <s v="Q4"/>
    <x v="0"/>
    <d v="2016-11-13T00:00:00"/>
    <s v="First Class"/>
    <x v="197"/>
    <x v="197"/>
    <s v="Consumer"/>
    <s v="United States"/>
    <s v="San Francisco"/>
    <x v="1"/>
    <n v="94110"/>
    <x v="1"/>
    <x v="1069"/>
    <x v="1"/>
    <x v="4"/>
    <x v="1058"/>
    <n v="29.74"/>
    <s v="Medium"/>
    <n v="1"/>
    <n v="0"/>
    <x v="0"/>
    <x v="0"/>
    <n v="4.4610000000000003"/>
    <n v="0.15000000000000002"/>
    <n v="0"/>
  </r>
  <r>
    <n v="8375"/>
    <s v="CA-2015-158701"/>
    <d v="2015-01-05T00:00:00"/>
    <x v="1"/>
    <s v="Q1"/>
    <x v="26"/>
    <d v="2015-01-10T00:00:00"/>
    <s v="Standard Class"/>
    <x v="311"/>
    <x v="311"/>
    <s v="Home Office"/>
    <s v="United States"/>
    <s v="San Francisco"/>
    <x v="1"/>
    <n v="94110"/>
    <x v="1"/>
    <x v="937"/>
    <x v="1"/>
    <x v="9"/>
    <x v="930"/>
    <n v="87.36"/>
    <s v="Medium"/>
    <n v="6"/>
    <n v="0"/>
    <x v="0"/>
    <x v="0"/>
    <n v="23.587199999999999"/>
    <n v="0.27"/>
    <n v="0"/>
  </r>
  <r>
    <n v="8376"/>
    <s v="CA-2015-158701"/>
    <d v="2015-01-05T00:00:00"/>
    <x v="1"/>
    <s v="Q1"/>
    <x v="26"/>
    <d v="2015-01-10T00:00:00"/>
    <s v="Standard Class"/>
    <x v="311"/>
    <x v="311"/>
    <s v="Home Office"/>
    <s v="United States"/>
    <s v="San Francisco"/>
    <x v="1"/>
    <n v="94110"/>
    <x v="1"/>
    <x v="673"/>
    <x v="1"/>
    <x v="8"/>
    <x v="673"/>
    <n v="56.16"/>
    <s v="Medium"/>
    <n v="6"/>
    <n v="0.2"/>
    <x v="2"/>
    <x v="2"/>
    <n v="17.55"/>
    <n v="0.31250000000000006"/>
    <n v="0"/>
  </r>
  <r>
    <n v="8377"/>
    <s v="CA-2017-156272"/>
    <d v="2017-03-21T00:00:00"/>
    <x v="3"/>
    <s v="Q1"/>
    <x v="42"/>
    <d v="2017-03-27T00:00:00"/>
    <s v="Standard Class"/>
    <x v="463"/>
    <x v="463"/>
    <s v="Corporate"/>
    <s v="United States"/>
    <s v="Pompano Beach"/>
    <x v="2"/>
    <n v="33068"/>
    <x v="0"/>
    <x v="1429"/>
    <x v="1"/>
    <x v="9"/>
    <x v="1417"/>
    <n v="64.384"/>
    <s v="Medium"/>
    <n v="1"/>
    <n v="0.2"/>
    <x v="2"/>
    <x v="2"/>
    <n v="8.048"/>
    <n v="0.125"/>
    <n v="0"/>
  </r>
  <r>
    <n v="8378"/>
    <s v="CA-2015-162964"/>
    <d v="2015-11-12T00:00:00"/>
    <x v="1"/>
    <s v="Q4"/>
    <x v="6"/>
    <d v="2015-11-18T00:00:00"/>
    <s v="Standard Class"/>
    <x v="751"/>
    <x v="751"/>
    <s v="Corporate"/>
    <s v="United States"/>
    <s v="Houston"/>
    <x v="5"/>
    <n v="77095"/>
    <x v="2"/>
    <x v="871"/>
    <x v="1"/>
    <x v="4"/>
    <x v="865"/>
    <n v="64.784000000000006"/>
    <s v="Medium"/>
    <n v="1"/>
    <n v="0.2"/>
    <x v="2"/>
    <x v="2"/>
    <n v="-14.5764"/>
    <n v="-0.22499999999999998"/>
    <n v="1"/>
  </r>
  <r>
    <n v="8379"/>
    <s v="CA-2015-162964"/>
    <d v="2015-11-12T00:00:00"/>
    <x v="1"/>
    <s v="Q4"/>
    <x v="6"/>
    <d v="2015-11-18T00:00:00"/>
    <s v="Standard Class"/>
    <x v="751"/>
    <x v="751"/>
    <s v="Corporate"/>
    <s v="United States"/>
    <s v="Houston"/>
    <x v="5"/>
    <n v="77095"/>
    <x v="2"/>
    <x v="219"/>
    <x v="1"/>
    <x v="10"/>
    <x v="220"/>
    <n v="15.552"/>
    <s v="Low"/>
    <n v="3"/>
    <n v="0.2"/>
    <x v="2"/>
    <x v="2"/>
    <n v="5.6375999999999999"/>
    <n v="0.36249999999999999"/>
    <n v="0"/>
  </r>
  <r>
    <n v="8380"/>
    <s v="CA-2015-162964"/>
    <d v="2015-11-12T00:00:00"/>
    <x v="1"/>
    <s v="Q4"/>
    <x v="6"/>
    <d v="2015-11-18T00:00:00"/>
    <s v="Standard Class"/>
    <x v="751"/>
    <x v="751"/>
    <s v="Corporate"/>
    <s v="United States"/>
    <s v="Houston"/>
    <x v="5"/>
    <n v="77095"/>
    <x v="2"/>
    <x v="889"/>
    <x v="1"/>
    <x v="12"/>
    <x v="882"/>
    <n v="223.88800000000001"/>
    <s v="High"/>
    <n v="7"/>
    <n v="0.2"/>
    <x v="2"/>
    <x v="2"/>
    <n v="69.965000000000003"/>
    <n v="0.3125"/>
    <n v="0"/>
  </r>
  <r>
    <n v="8381"/>
    <s v="CA-2014-103527"/>
    <d v="2014-09-09T00:00:00"/>
    <x v="2"/>
    <s v="Q3"/>
    <x v="30"/>
    <d v="2014-09-14T00:00:00"/>
    <s v="Second Class"/>
    <x v="417"/>
    <x v="417"/>
    <s v="Consumer"/>
    <s v="United States"/>
    <s v="Chicago"/>
    <x v="10"/>
    <n v="60653"/>
    <x v="2"/>
    <x v="702"/>
    <x v="1"/>
    <x v="10"/>
    <x v="702"/>
    <n v="10.896000000000001"/>
    <s v="Low"/>
    <n v="3"/>
    <n v="0.2"/>
    <x v="2"/>
    <x v="2"/>
    <n v="3.4049999999999998"/>
    <n v="0.31249999999999994"/>
    <n v="0"/>
  </r>
  <r>
    <n v="8382"/>
    <s v="CA-2016-134544"/>
    <d v="2016-03-17T00:00:00"/>
    <x v="0"/>
    <s v="Q1"/>
    <x v="17"/>
    <d v="2016-03-19T00:00:00"/>
    <s v="Second Class"/>
    <x v="663"/>
    <x v="663"/>
    <s v="Consumer"/>
    <s v="United States"/>
    <s v="San Francisco"/>
    <x v="1"/>
    <n v="94109"/>
    <x v="1"/>
    <x v="509"/>
    <x v="2"/>
    <x v="7"/>
    <x v="509"/>
    <n v="84.784000000000006"/>
    <s v="Medium"/>
    <n v="2"/>
    <n v="0.2"/>
    <x v="2"/>
    <x v="2"/>
    <n v="-20.136199999999999"/>
    <n v="-0.23749999999999996"/>
    <n v="1"/>
  </r>
  <r>
    <n v="8383"/>
    <s v="CA-2016-163048"/>
    <d v="2016-02-08T00:00:00"/>
    <x v="0"/>
    <s v="Q1"/>
    <x v="47"/>
    <d v="2016-02-15T00:00:00"/>
    <s v="Standard Class"/>
    <x v="775"/>
    <x v="775"/>
    <s v="Corporate"/>
    <s v="United States"/>
    <s v="Houston"/>
    <x v="5"/>
    <n v="77036"/>
    <x v="2"/>
    <x v="866"/>
    <x v="0"/>
    <x v="1"/>
    <x v="860"/>
    <n v="241.5"/>
    <s v="High"/>
    <n v="4"/>
    <n v="0.3"/>
    <x v="1"/>
    <x v="4"/>
    <n v="0"/>
    <n v="0"/>
    <n v="0"/>
  </r>
  <r>
    <n v="8384"/>
    <s v="CA-2016-145135"/>
    <d v="2016-11-26T00:00:00"/>
    <x v="0"/>
    <s v="Q4"/>
    <x v="0"/>
    <d v="2016-11-28T00:00:00"/>
    <s v="First Class"/>
    <x v="522"/>
    <x v="522"/>
    <s v="Home Office"/>
    <s v="United States"/>
    <s v="Shelton"/>
    <x v="29"/>
    <n v="6484"/>
    <x v="3"/>
    <x v="808"/>
    <x v="2"/>
    <x v="11"/>
    <x v="806"/>
    <n v="59.97"/>
    <s v="Medium"/>
    <n v="3"/>
    <n v="0"/>
    <x v="0"/>
    <x v="0"/>
    <n v="14.9925"/>
    <n v="0.25"/>
    <n v="0"/>
  </r>
  <r>
    <n v="8385"/>
    <s v="CA-2016-145135"/>
    <d v="2016-11-26T00:00:00"/>
    <x v="0"/>
    <s v="Q4"/>
    <x v="0"/>
    <d v="2016-11-28T00:00:00"/>
    <s v="First Class"/>
    <x v="522"/>
    <x v="522"/>
    <s v="Home Office"/>
    <s v="United States"/>
    <s v="Shelton"/>
    <x v="29"/>
    <n v="6484"/>
    <x v="3"/>
    <x v="1283"/>
    <x v="1"/>
    <x v="10"/>
    <x v="1268"/>
    <n v="13.36"/>
    <s v="Low"/>
    <n v="2"/>
    <n v="0"/>
    <x v="0"/>
    <x v="0"/>
    <n v="6.4127999999999998"/>
    <n v="0.48"/>
    <n v="0"/>
  </r>
  <r>
    <n v="8386"/>
    <s v="CA-2017-137582"/>
    <d v="2017-09-04T00:00:00"/>
    <x v="3"/>
    <s v="Q3"/>
    <x v="15"/>
    <d v="2017-09-08T00:00:00"/>
    <s v="Standard Class"/>
    <x v="51"/>
    <x v="51"/>
    <s v="Corporate"/>
    <s v="United States"/>
    <s v="Oakland"/>
    <x v="1"/>
    <n v="94601"/>
    <x v="1"/>
    <x v="1181"/>
    <x v="1"/>
    <x v="8"/>
    <x v="1167"/>
    <n v="11.808"/>
    <s v="Low"/>
    <n v="3"/>
    <n v="0.2"/>
    <x v="2"/>
    <x v="2"/>
    <n v="4.1327999999999996"/>
    <n v="0.35"/>
    <n v="0"/>
  </r>
  <r>
    <n v="8387"/>
    <s v="CA-2015-149601"/>
    <d v="2015-05-28T00:00:00"/>
    <x v="1"/>
    <s v="Q2"/>
    <x v="33"/>
    <d v="2015-06-03T00:00:00"/>
    <s v="Standard Class"/>
    <x v="577"/>
    <x v="577"/>
    <s v="Consumer"/>
    <s v="United States"/>
    <s v="Manchester"/>
    <x v="29"/>
    <n v="6040"/>
    <x v="3"/>
    <x v="720"/>
    <x v="1"/>
    <x v="4"/>
    <x v="719"/>
    <n v="16.239999999999998"/>
    <s v="Low"/>
    <n v="1"/>
    <n v="0"/>
    <x v="0"/>
    <x v="0"/>
    <n v="2.4359999999999999"/>
    <n v="0.15000000000000002"/>
    <n v="0"/>
  </r>
  <r>
    <n v="8388"/>
    <s v="CA-2015-149601"/>
    <d v="2015-05-28T00:00:00"/>
    <x v="1"/>
    <s v="Q2"/>
    <x v="33"/>
    <d v="2015-06-03T00:00:00"/>
    <s v="Standard Class"/>
    <x v="577"/>
    <x v="577"/>
    <s v="Consumer"/>
    <s v="United States"/>
    <s v="Manchester"/>
    <x v="29"/>
    <n v="6040"/>
    <x v="3"/>
    <x v="177"/>
    <x v="1"/>
    <x v="4"/>
    <x v="178"/>
    <n v="77.55"/>
    <s v="Medium"/>
    <n v="5"/>
    <n v="0"/>
    <x v="0"/>
    <x v="0"/>
    <n v="21.713999999999999"/>
    <n v="0.27999999999999997"/>
    <n v="0"/>
  </r>
  <r>
    <n v="8389"/>
    <s v="CA-2014-139423"/>
    <d v="2014-11-01T00:00:00"/>
    <x v="2"/>
    <s v="Q4"/>
    <x v="7"/>
    <d v="2014-11-05T00:00:00"/>
    <s v="Standard Class"/>
    <x v="375"/>
    <x v="375"/>
    <s v="Corporate"/>
    <s v="United States"/>
    <s v="Orange"/>
    <x v="30"/>
    <n v="7050"/>
    <x v="3"/>
    <x v="513"/>
    <x v="1"/>
    <x v="9"/>
    <x v="513"/>
    <n v="76.12"/>
    <s v="Medium"/>
    <n v="2"/>
    <n v="0"/>
    <x v="0"/>
    <x v="0"/>
    <n v="22.0748"/>
    <n v="0.28999999999999998"/>
    <n v="0"/>
  </r>
  <r>
    <n v="8390"/>
    <s v="CA-2016-102596"/>
    <d v="2016-12-27T00:00:00"/>
    <x v="0"/>
    <s v="Q4"/>
    <x v="5"/>
    <d v="2016-12-30T00:00:00"/>
    <s v="First Class"/>
    <x v="279"/>
    <x v="279"/>
    <s v="Home Office"/>
    <s v="United States"/>
    <s v="Akron"/>
    <x v="24"/>
    <n v="44312"/>
    <x v="3"/>
    <x v="110"/>
    <x v="1"/>
    <x v="13"/>
    <x v="110"/>
    <n v="17.184000000000001"/>
    <s v="Low"/>
    <n v="6"/>
    <n v="0.2"/>
    <x v="2"/>
    <x v="2"/>
    <n v="6.2291999999999996"/>
    <n v="0.36249999999999993"/>
    <n v="0"/>
  </r>
  <r>
    <n v="8391"/>
    <s v="CA-2017-153227"/>
    <d v="2017-12-04T00:00:00"/>
    <x v="3"/>
    <s v="Q4"/>
    <x v="22"/>
    <d v="2017-12-06T00:00:00"/>
    <s v="First Class"/>
    <x v="294"/>
    <x v="294"/>
    <s v="Corporate"/>
    <s v="United States"/>
    <s v="Los Angeles"/>
    <x v="1"/>
    <n v="90032"/>
    <x v="1"/>
    <x v="1017"/>
    <x v="1"/>
    <x v="10"/>
    <x v="1008"/>
    <n v="11.76"/>
    <s v="Low"/>
    <n v="2"/>
    <n v="0"/>
    <x v="0"/>
    <x v="0"/>
    <n v="5.7624000000000004"/>
    <n v="0.49000000000000005"/>
    <n v="0"/>
  </r>
  <r>
    <n v="8392"/>
    <s v="CA-2017-110625"/>
    <d v="2017-12-23T00:00:00"/>
    <x v="3"/>
    <s v="Q4"/>
    <x v="22"/>
    <d v="2017-12-30T00:00:00"/>
    <s v="Standard Class"/>
    <x v="674"/>
    <x v="674"/>
    <s v="Home Office"/>
    <s v="United States"/>
    <s v="Danbury"/>
    <x v="29"/>
    <n v="6810"/>
    <x v="3"/>
    <x v="1001"/>
    <x v="0"/>
    <x v="5"/>
    <x v="993"/>
    <n v="27.46"/>
    <s v="Medium"/>
    <n v="2"/>
    <n v="0"/>
    <x v="0"/>
    <x v="0"/>
    <n v="9.8856000000000002"/>
    <n v="0.36"/>
    <n v="0"/>
  </r>
  <r>
    <n v="8393"/>
    <s v="CA-2016-142594"/>
    <d v="2016-12-01T00:00:00"/>
    <x v="0"/>
    <s v="Q4"/>
    <x v="5"/>
    <d v="2016-12-06T00:00:00"/>
    <s v="Second Class"/>
    <x v="412"/>
    <x v="412"/>
    <s v="Consumer"/>
    <s v="United States"/>
    <s v="Franklin"/>
    <x v="31"/>
    <n v="2038"/>
    <x v="3"/>
    <x v="1676"/>
    <x v="2"/>
    <x v="7"/>
    <x v="1664"/>
    <n v="137.94"/>
    <s v="High"/>
    <n v="3"/>
    <n v="0"/>
    <x v="0"/>
    <x v="0"/>
    <n v="35.864400000000003"/>
    <n v="0.26"/>
    <n v="0"/>
  </r>
  <r>
    <n v="8394"/>
    <s v="CA-2016-142594"/>
    <d v="2016-12-01T00:00:00"/>
    <x v="0"/>
    <s v="Q4"/>
    <x v="5"/>
    <d v="2016-12-06T00:00:00"/>
    <s v="Second Class"/>
    <x v="412"/>
    <x v="412"/>
    <s v="Consumer"/>
    <s v="United States"/>
    <s v="Franklin"/>
    <x v="31"/>
    <n v="2038"/>
    <x v="3"/>
    <x v="1380"/>
    <x v="0"/>
    <x v="5"/>
    <x v="1365"/>
    <n v="111.15"/>
    <s v="Medium"/>
    <n v="5"/>
    <n v="0"/>
    <x v="0"/>
    <x v="0"/>
    <n v="48.905999999999999"/>
    <n v="0.43999999999999995"/>
    <n v="0"/>
  </r>
  <r>
    <n v="8395"/>
    <s v="CA-2016-142594"/>
    <d v="2016-12-01T00:00:00"/>
    <x v="0"/>
    <s v="Q4"/>
    <x v="5"/>
    <d v="2016-12-06T00:00:00"/>
    <s v="Second Class"/>
    <x v="412"/>
    <x v="412"/>
    <s v="Consumer"/>
    <s v="United States"/>
    <s v="Franklin"/>
    <x v="31"/>
    <n v="2038"/>
    <x v="3"/>
    <x v="227"/>
    <x v="1"/>
    <x v="9"/>
    <x v="228"/>
    <n v="901.95"/>
    <s v="High"/>
    <n v="3"/>
    <n v="0"/>
    <x v="0"/>
    <x v="0"/>
    <n v="297.64350000000002"/>
    <n v="0.33"/>
    <n v="0"/>
  </r>
  <r>
    <n v="8396"/>
    <s v="CA-2016-142594"/>
    <d v="2016-12-01T00:00:00"/>
    <x v="0"/>
    <s v="Q4"/>
    <x v="5"/>
    <d v="2016-12-06T00:00:00"/>
    <s v="Second Class"/>
    <x v="412"/>
    <x v="412"/>
    <s v="Consumer"/>
    <s v="United States"/>
    <s v="Franklin"/>
    <x v="31"/>
    <n v="2038"/>
    <x v="3"/>
    <x v="616"/>
    <x v="0"/>
    <x v="3"/>
    <x v="616"/>
    <n v="366.00900000000001"/>
    <s v="High"/>
    <n v="3"/>
    <n v="0.3"/>
    <x v="1"/>
    <x v="4"/>
    <n v="-47.058300000000003"/>
    <n v="-0.12857142857142859"/>
    <n v="1"/>
  </r>
  <r>
    <n v="8397"/>
    <s v="CA-2014-152254"/>
    <d v="2014-06-30T00:00:00"/>
    <x v="2"/>
    <s v="Q2"/>
    <x v="3"/>
    <d v="2014-06-30T00:00:00"/>
    <s v="Same Day"/>
    <x v="379"/>
    <x v="379"/>
    <s v="Consumer"/>
    <s v="United States"/>
    <s v="Wilmington"/>
    <x v="3"/>
    <n v="28403"/>
    <x v="0"/>
    <x v="162"/>
    <x v="1"/>
    <x v="10"/>
    <x v="163"/>
    <n v="310.68799999999999"/>
    <s v="High"/>
    <n v="7"/>
    <n v="0.2"/>
    <x v="2"/>
    <x v="2"/>
    <n v="108.74079999999999"/>
    <n v="0.35"/>
    <n v="0"/>
  </r>
  <r>
    <n v="8398"/>
    <s v="US-2014-120236"/>
    <d v="2014-09-03T00:00:00"/>
    <x v="2"/>
    <s v="Q3"/>
    <x v="30"/>
    <d v="2014-09-04T00:00:00"/>
    <s v="First Class"/>
    <x v="280"/>
    <x v="280"/>
    <s v="Home Office"/>
    <s v="United States"/>
    <s v="Houston"/>
    <x v="5"/>
    <n v="77095"/>
    <x v="2"/>
    <x v="1736"/>
    <x v="1"/>
    <x v="8"/>
    <x v="1725"/>
    <n v="7.68"/>
    <s v="Low"/>
    <n v="5"/>
    <n v="0.8"/>
    <x v="1"/>
    <x v="3"/>
    <n v="-11.52"/>
    <n v="-1.5"/>
    <n v="1"/>
  </r>
  <r>
    <n v="8399"/>
    <s v="CA-2017-120061"/>
    <d v="2017-11-02T00:00:00"/>
    <x v="3"/>
    <s v="Q4"/>
    <x v="23"/>
    <d v="2017-11-07T00:00:00"/>
    <s v="Second Class"/>
    <x v="676"/>
    <x v="676"/>
    <s v="Home Office"/>
    <s v="United States"/>
    <s v="Springfield"/>
    <x v="24"/>
    <n v="45503"/>
    <x v="3"/>
    <x v="913"/>
    <x v="0"/>
    <x v="1"/>
    <x v="905"/>
    <n v="155.37200000000001"/>
    <s v="High"/>
    <n v="2"/>
    <n v="0.3"/>
    <x v="1"/>
    <x v="4"/>
    <n v="-35.513599999999997"/>
    <n v="-0.22857142857142854"/>
    <n v="1"/>
  </r>
  <r>
    <n v="8400"/>
    <s v="CA-2015-133837"/>
    <d v="2015-04-13T00:00:00"/>
    <x v="1"/>
    <s v="Q2"/>
    <x v="19"/>
    <d v="2015-04-18T00:00:00"/>
    <s v="Standard Class"/>
    <x v="513"/>
    <x v="513"/>
    <s v="Consumer"/>
    <s v="United States"/>
    <s v="Glendale"/>
    <x v="16"/>
    <n v="85301"/>
    <x v="1"/>
    <x v="1031"/>
    <x v="1"/>
    <x v="4"/>
    <x v="1022"/>
    <n v="10.744"/>
    <s v="Low"/>
    <n v="1"/>
    <n v="0.2"/>
    <x v="2"/>
    <x v="2"/>
    <n v="0.80579999999999996"/>
    <n v="7.4999999999999997E-2"/>
    <n v="0"/>
  </r>
  <r>
    <n v="8401"/>
    <s v="CA-2015-110814"/>
    <d v="2015-12-05T00:00:00"/>
    <x v="1"/>
    <s v="Q4"/>
    <x v="14"/>
    <d v="2015-12-09T00:00:00"/>
    <s v="Second Class"/>
    <x v="631"/>
    <x v="631"/>
    <s v="Consumer"/>
    <s v="United States"/>
    <s v="New York City"/>
    <x v="15"/>
    <n v="10009"/>
    <x v="3"/>
    <x v="920"/>
    <x v="1"/>
    <x v="8"/>
    <x v="912"/>
    <n v="232.4"/>
    <s v="High"/>
    <n v="5"/>
    <n v="0.2"/>
    <x v="2"/>
    <x v="2"/>
    <n v="78.435000000000002"/>
    <n v="0.33750000000000002"/>
    <n v="0"/>
  </r>
  <r>
    <n v="8402"/>
    <s v="CA-2015-110814"/>
    <d v="2015-12-05T00:00:00"/>
    <x v="1"/>
    <s v="Q4"/>
    <x v="14"/>
    <d v="2015-12-09T00:00:00"/>
    <s v="Second Class"/>
    <x v="631"/>
    <x v="631"/>
    <s v="Consumer"/>
    <s v="United States"/>
    <s v="New York City"/>
    <x v="15"/>
    <n v="10009"/>
    <x v="3"/>
    <x v="1534"/>
    <x v="0"/>
    <x v="1"/>
    <x v="1522"/>
    <n v="164.64599999999999"/>
    <s v="High"/>
    <n v="3"/>
    <n v="0.1"/>
    <x v="3"/>
    <x v="8"/>
    <n v="12.8058"/>
    <n v="7.7777777777777779E-2"/>
    <n v="0"/>
  </r>
  <r>
    <n v="8403"/>
    <s v="CA-2015-110814"/>
    <d v="2015-12-05T00:00:00"/>
    <x v="1"/>
    <s v="Q4"/>
    <x v="14"/>
    <d v="2015-12-09T00:00:00"/>
    <s v="Second Class"/>
    <x v="631"/>
    <x v="631"/>
    <s v="Consumer"/>
    <s v="United States"/>
    <s v="New York City"/>
    <x v="15"/>
    <n v="10009"/>
    <x v="3"/>
    <x v="752"/>
    <x v="1"/>
    <x v="10"/>
    <x v="750"/>
    <n v="22.68"/>
    <s v="Low"/>
    <n v="2"/>
    <n v="0"/>
    <x v="0"/>
    <x v="0"/>
    <n v="11.113200000000001"/>
    <n v="0.49000000000000005"/>
    <n v="0"/>
  </r>
  <r>
    <n v="8404"/>
    <s v="CA-2016-154067"/>
    <d v="2016-02-01T00:00:00"/>
    <x v="0"/>
    <s v="Q1"/>
    <x v="47"/>
    <d v="2016-02-07T00:00:00"/>
    <s v="Standard Class"/>
    <x v="416"/>
    <x v="416"/>
    <s v="Corporate"/>
    <s v="United States"/>
    <s v="Los Angeles"/>
    <x v="1"/>
    <n v="90036"/>
    <x v="1"/>
    <x v="145"/>
    <x v="1"/>
    <x v="10"/>
    <x v="146"/>
    <n v="105.52"/>
    <s v="Medium"/>
    <n v="4"/>
    <n v="0"/>
    <x v="0"/>
    <x v="0"/>
    <n v="48.539200000000001"/>
    <n v="0.46"/>
    <n v="0"/>
  </r>
  <r>
    <n v="8405"/>
    <s v="CA-2017-140480"/>
    <d v="2017-07-08T00:00:00"/>
    <x v="3"/>
    <s v="Q3"/>
    <x v="10"/>
    <d v="2017-07-12T00:00:00"/>
    <s v="Standard Class"/>
    <x v="785"/>
    <x v="785"/>
    <s v="Corporate"/>
    <s v="United States"/>
    <s v="Newark"/>
    <x v="13"/>
    <n v="19711"/>
    <x v="3"/>
    <x v="1478"/>
    <x v="0"/>
    <x v="5"/>
    <x v="1465"/>
    <n v="83.92"/>
    <s v="Medium"/>
    <n v="4"/>
    <n v="0"/>
    <x v="0"/>
    <x v="0"/>
    <n v="5.8743999999999996"/>
    <n v="6.9999999999999993E-2"/>
    <n v="0"/>
  </r>
  <r>
    <n v="8406"/>
    <s v="CA-2017-140480"/>
    <d v="2017-07-08T00:00:00"/>
    <x v="3"/>
    <s v="Q3"/>
    <x v="10"/>
    <d v="2017-07-12T00:00:00"/>
    <s v="Standard Class"/>
    <x v="785"/>
    <x v="785"/>
    <s v="Corporate"/>
    <s v="United States"/>
    <s v="Newark"/>
    <x v="13"/>
    <n v="19711"/>
    <x v="3"/>
    <x v="721"/>
    <x v="2"/>
    <x v="11"/>
    <x v="720"/>
    <n v="141.9"/>
    <s v="High"/>
    <n v="5"/>
    <n v="0"/>
    <x v="0"/>
    <x v="0"/>
    <n v="58.179000000000002"/>
    <n v="0.41"/>
    <n v="0"/>
  </r>
  <r>
    <n v="8407"/>
    <s v="CA-2017-140480"/>
    <d v="2017-07-08T00:00:00"/>
    <x v="3"/>
    <s v="Q3"/>
    <x v="10"/>
    <d v="2017-07-12T00:00:00"/>
    <s v="Standard Class"/>
    <x v="785"/>
    <x v="785"/>
    <s v="Corporate"/>
    <s v="United States"/>
    <s v="Newark"/>
    <x v="13"/>
    <n v="19711"/>
    <x v="3"/>
    <x v="1801"/>
    <x v="0"/>
    <x v="5"/>
    <x v="1791"/>
    <n v="39.979999999999997"/>
    <s v="Medium"/>
    <n v="2"/>
    <n v="0"/>
    <x v="0"/>
    <x v="0"/>
    <n v="9.1953999999999994"/>
    <n v="0.23"/>
    <n v="0"/>
  </r>
  <r>
    <n v="8408"/>
    <s v="CA-2017-140480"/>
    <d v="2017-07-08T00:00:00"/>
    <x v="3"/>
    <s v="Q3"/>
    <x v="10"/>
    <d v="2017-07-12T00:00:00"/>
    <s v="Standard Class"/>
    <x v="785"/>
    <x v="785"/>
    <s v="Corporate"/>
    <s v="United States"/>
    <s v="Newark"/>
    <x v="13"/>
    <n v="19711"/>
    <x v="3"/>
    <x v="1024"/>
    <x v="1"/>
    <x v="6"/>
    <x v="1015"/>
    <n v="28.91"/>
    <s v="Medium"/>
    <n v="7"/>
    <n v="0"/>
    <x v="0"/>
    <x v="0"/>
    <n v="8.673"/>
    <n v="0.3"/>
    <n v="0"/>
  </r>
  <r>
    <n v="8409"/>
    <s v="CA-2017-140480"/>
    <d v="2017-07-08T00:00:00"/>
    <x v="3"/>
    <s v="Q3"/>
    <x v="10"/>
    <d v="2017-07-12T00:00:00"/>
    <s v="Standard Class"/>
    <x v="785"/>
    <x v="785"/>
    <s v="Corporate"/>
    <s v="United States"/>
    <s v="Newark"/>
    <x v="13"/>
    <n v="19711"/>
    <x v="3"/>
    <x v="1753"/>
    <x v="1"/>
    <x v="6"/>
    <x v="1743"/>
    <n v="174.95"/>
    <s v="High"/>
    <n v="5"/>
    <n v="0"/>
    <x v="0"/>
    <x v="0"/>
    <n v="45.487000000000002"/>
    <n v="0.26"/>
    <n v="0"/>
  </r>
  <r>
    <n v="8410"/>
    <s v="CA-2015-134082"/>
    <d v="2015-12-11T00:00:00"/>
    <x v="1"/>
    <s v="Q4"/>
    <x v="14"/>
    <d v="2015-12-17T00:00:00"/>
    <s v="Standard Class"/>
    <x v="82"/>
    <x v="82"/>
    <s v="Home Office"/>
    <s v="United States"/>
    <s v="San Bernardino"/>
    <x v="1"/>
    <n v="92404"/>
    <x v="1"/>
    <x v="655"/>
    <x v="1"/>
    <x v="8"/>
    <x v="655"/>
    <n v="110.52800000000001"/>
    <s v="Medium"/>
    <n v="4"/>
    <n v="0.2"/>
    <x v="2"/>
    <x v="2"/>
    <n v="38.684800000000003"/>
    <n v="0.35000000000000003"/>
    <n v="0"/>
  </r>
  <r>
    <n v="8411"/>
    <s v="CA-2016-130820"/>
    <d v="2016-11-15T00:00:00"/>
    <x v="0"/>
    <s v="Q4"/>
    <x v="0"/>
    <d v="2016-11-15T00:00:00"/>
    <s v="Same Day"/>
    <x v="21"/>
    <x v="21"/>
    <s v="Corporate"/>
    <s v="United States"/>
    <s v="Burlington"/>
    <x v="3"/>
    <n v="27217"/>
    <x v="0"/>
    <x v="114"/>
    <x v="0"/>
    <x v="3"/>
    <x v="114"/>
    <n v="630.024"/>
    <s v="High"/>
    <n v="4"/>
    <n v="0.4"/>
    <x v="1"/>
    <x v="7"/>
    <n v="-199.5076"/>
    <n v="-0.31666666666666665"/>
    <n v="1"/>
  </r>
  <r>
    <n v="8412"/>
    <s v="CA-2016-159765"/>
    <d v="2016-05-09T00:00:00"/>
    <x v="0"/>
    <s v="Q2"/>
    <x v="35"/>
    <d v="2016-05-12T00:00:00"/>
    <s v="Second Class"/>
    <x v="513"/>
    <x v="513"/>
    <s v="Consumer"/>
    <s v="United States"/>
    <s v="Salem"/>
    <x v="17"/>
    <n v="24153"/>
    <x v="0"/>
    <x v="181"/>
    <x v="1"/>
    <x v="6"/>
    <x v="182"/>
    <n v="27.86"/>
    <s v="Medium"/>
    <n v="7"/>
    <n v="0"/>
    <x v="0"/>
    <x v="0"/>
    <n v="9.1937999999999995"/>
    <n v="0.33"/>
    <n v="0"/>
  </r>
  <r>
    <n v="8413"/>
    <s v="CA-2017-132290"/>
    <d v="2017-03-10T00:00:00"/>
    <x v="3"/>
    <s v="Q1"/>
    <x v="42"/>
    <d v="2017-03-14T00:00:00"/>
    <s v="Standard Class"/>
    <x v="198"/>
    <x v="198"/>
    <s v="Consumer"/>
    <s v="United States"/>
    <s v="Dallas"/>
    <x v="5"/>
    <n v="75217"/>
    <x v="2"/>
    <x v="601"/>
    <x v="0"/>
    <x v="3"/>
    <x v="601"/>
    <n v="933.40800000000002"/>
    <s v="High"/>
    <n v="4"/>
    <n v="0.3"/>
    <x v="1"/>
    <x v="4"/>
    <n v="-173.34719999999999"/>
    <n v="-0.18571428571428569"/>
    <n v="1"/>
  </r>
  <r>
    <n v="8414"/>
    <s v="CA-2016-147109"/>
    <d v="2016-12-17T00:00:00"/>
    <x v="0"/>
    <s v="Q4"/>
    <x v="5"/>
    <d v="2016-12-21T00:00:00"/>
    <s v="Standard Class"/>
    <x v="340"/>
    <x v="340"/>
    <s v="Corporate"/>
    <s v="United States"/>
    <s v="Arlington"/>
    <x v="5"/>
    <n v="76017"/>
    <x v="2"/>
    <x v="1193"/>
    <x v="1"/>
    <x v="10"/>
    <x v="1178"/>
    <n v="51.84"/>
    <s v="Medium"/>
    <n v="10"/>
    <n v="0.2"/>
    <x v="2"/>
    <x v="2"/>
    <n v="18.143999999999998"/>
    <n v="0.34999999999999992"/>
    <n v="0"/>
  </r>
  <r>
    <n v="8415"/>
    <s v="CA-2016-147109"/>
    <d v="2016-12-17T00:00:00"/>
    <x v="0"/>
    <s v="Q4"/>
    <x v="5"/>
    <d v="2016-12-21T00:00:00"/>
    <s v="Standard Class"/>
    <x v="340"/>
    <x v="340"/>
    <s v="Corporate"/>
    <s v="United States"/>
    <s v="Arlington"/>
    <x v="5"/>
    <n v="76017"/>
    <x v="2"/>
    <x v="1615"/>
    <x v="2"/>
    <x v="11"/>
    <x v="1606"/>
    <n v="165.6"/>
    <s v="High"/>
    <n v="3"/>
    <n v="0.2"/>
    <x v="2"/>
    <x v="2"/>
    <n v="-6.21"/>
    <n v="-3.7499999999999999E-2"/>
    <n v="1"/>
  </r>
  <r>
    <n v="8416"/>
    <s v="CA-2017-107265"/>
    <d v="2017-04-06T00:00:00"/>
    <x v="3"/>
    <s v="Q2"/>
    <x v="4"/>
    <d v="2017-04-12T00:00:00"/>
    <s v="Standard Class"/>
    <x v="529"/>
    <x v="529"/>
    <s v="Home Office"/>
    <s v="United States"/>
    <s v="Marion"/>
    <x v="23"/>
    <n v="52302"/>
    <x v="2"/>
    <x v="258"/>
    <x v="1"/>
    <x v="10"/>
    <x v="33"/>
    <n v="106.32"/>
    <s v="Medium"/>
    <n v="3"/>
    <n v="0"/>
    <x v="0"/>
    <x v="0"/>
    <n v="49.970399999999998"/>
    <n v="0.47000000000000003"/>
    <n v="0"/>
  </r>
  <r>
    <n v="8417"/>
    <s v="CA-2017-118199"/>
    <d v="2017-05-09T00:00:00"/>
    <x v="3"/>
    <s v="Q2"/>
    <x v="24"/>
    <d v="2017-05-11T00:00:00"/>
    <s v="First Class"/>
    <x v="697"/>
    <x v="697"/>
    <s v="Home Office"/>
    <s v="United States"/>
    <s v="Seattle"/>
    <x v="4"/>
    <n v="98105"/>
    <x v="1"/>
    <x v="805"/>
    <x v="1"/>
    <x v="8"/>
    <x v="803"/>
    <n v="147.91999999999999"/>
    <s v="High"/>
    <n v="5"/>
    <n v="0.2"/>
    <x v="2"/>
    <x v="2"/>
    <n v="46.225000000000001"/>
    <n v="0.31250000000000006"/>
    <n v="0"/>
  </r>
  <r>
    <n v="8418"/>
    <s v="CA-2017-118199"/>
    <d v="2017-05-09T00:00:00"/>
    <x v="3"/>
    <s v="Q2"/>
    <x v="24"/>
    <d v="2017-05-11T00:00:00"/>
    <s v="First Class"/>
    <x v="697"/>
    <x v="697"/>
    <s v="Home Office"/>
    <s v="United States"/>
    <s v="Seattle"/>
    <x v="4"/>
    <n v="98105"/>
    <x v="1"/>
    <x v="54"/>
    <x v="1"/>
    <x v="4"/>
    <x v="54"/>
    <n v="104.28"/>
    <s v="Medium"/>
    <n v="3"/>
    <n v="0"/>
    <x v="0"/>
    <x v="0"/>
    <n v="26.07"/>
    <n v="0.25"/>
    <n v="0"/>
  </r>
  <r>
    <n v="8419"/>
    <s v="CA-2017-118199"/>
    <d v="2017-05-09T00:00:00"/>
    <x v="3"/>
    <s v="Q2"/>
    <x v="24"/>
    <d v="2017-05-11T00:00:00"/>
    <s v="First Class"/>
    <x v="697"/>
    <x v="697"/>
    <s v="Home Office"/>
    <s v="United States"/>
    <s v="Seattle"/>
    <x v="4"/>
    <n v="98105"/>
    <x v="1"/>
    <x v="738"/>
    <x v="0"/>
    <x v="3"/>
    <x v="737"/>
    <n v="286.85000000000002"/>
    <s v="High"/>
    <n v="1"/>
    <n v="0"/>
    <x v="0"/>
    <x v="0"/>
    <n v="63.106999999999999"/>
    <n v="0.21999999999999997"/>
    <n v="0"/>
  </r>
  <r>
    <n v="8420"/>
    <s v="CA-2017-118199"/>
    <d v="2017-05-09T00:00:00"/>
    <x v="3"/>
    <s v="Q2"/>
    <x v="24"/>
    <d v="2017-05-11T00:00:00"/>
    <s v="First Class"/>
    <x v="697"/>
    <x v="697"/>
    <s v="Home Office"/>
    <s v="United States"/>
    <s v="Seattle"/>
    <x v="4"/>
    <n v="98105"/>
    <x v="1"/>
    <x v="1764"/>
    <x v="1"/>
    <x v="4"/>
    <x v="1753"/>
    <n v="66.959999999999994"/>
    <s v="Medium"/>
    <n v="4"/>
    <n v="0"/>
    <x v="0"/>
    <x v="0"/>
    <n v="2.6783999999999999"/>
    <n v="0.04"/>
    <n v="0"/>
  </r>
  <r>
    <n v="8421"/>
    <s v="CA-2017-118199"/>
    <d v="2017-05-09T00:00:00"/>
    <x v="3"/>
    <s v="Q2"/>
    <x v="24"/>
    <d v="2017-05-11T00:00:00"/>
    <s v="First Class"/>
    <x v="697"/>
    <x v="697"/>
    <s v="Home Office"/>
    <s v="United States"/>
    <s v="Seattle"/>
    <x v="4"/>
    <n v="98105"/>
    <x v="1"/>
    <x v="1336"/>
    <x v="2"/>
    <x v="11"/>
    <x v="1321"/>
    <n v="199.98"/>
    <s v="High"/>
    <n v="2"/>
    <n v="0"/>
    <x v="0"/>
    <x v="0"/>
    <n v="87.991200000000006"/>
    <n v="0.44000000000000006"/>
    <n v="0"/>
  </r>
  <r>
    <n v="8422"/>
    <s v="CA-2017-150091"/>
    <d v="2017-10-12T00:00:00"/>
    <x v="3"/>
    <s v="Q4"/>
    <x v="13"/>
    <d v="2017-10-16T00:00:00"/>
    <s v="Standard Class"/>
    <x v="73"/>
    <x v="73"/>
    <s v="Consumer"/>
    <s v="United States"/>
    <s v="Lakewood"/>
    <x v="30"/>
    <n v="8701"/>
    <x v="3"/>
    <x v="46"/>
    <x v="2"/>
    <x v="11"/>
    <x v="46"/>
    <n v="45"/>
    <s v="Medium"/>
    <n v="3"/>
    <n v="0"/>
    <x v="0"/>
    <x v="0"/>
    <n v="4.95"/>
    <n v="0.11"/>
    <n v="0"/>
  </r>
  <r>
    <n v="8423"/>
    <s v="CA-2017-150091"/>
    <d v="2017-10-12T00:00:00"/>
    <x v="3"/>
    <s v="Q4"/>
    <x v="13"/>
    <d v="2017-10-16T00:00:00"/>
    <s v="Standard Class"/>
    <x v="73"/>
    <x v="73"/>
    <s v="Consumer"/>
    <s v="United States"/>
    <s v="Lakewood"/>
    <x v="30"/>
    <n v="8701"/>
    <x v="3"/>
    <x v="110"/>
    <x v="1"/>
    <x v="13"/>
    <x v="110"/>
    <n v="17.899999999999999"/>
    <s v="Low"/>
    <n v="5"/>
    <n v="0"/>
    <x v="0"/>
    <x v="0"/>
    <n v="8.7710000000000008"/>
    <n v="0.4900000000000001"/>
    <n v="0"/>
  </r>
  <r>
    <n v="8424"/>
    <s v="CA-2017-150091"/>
    <d v="2017-10-12T00:00:00"/>
    <x v="3"/>
    <s v="Q4"/>
    <x v="13"/>
    <d v="2017-10-16T00:00:00"/>
    <s v="Standard Class"/>
    <x v="73"/>
    <x v="73"/>
    <s v="Consumer"/>
    <s v="United States"/>
    <s v="Lakewood"/>
    <x v="30"/>
    <n v="8701"/>
    <x v="3"/>
    <x v="1653"/>
    <x v="0"/>
    <x v="5"/>
    <x v="1642"/>
    <n v="40.479999999999997"/>
    <s v="Medium"/>
    <n v="2"/>
    <n v="0"/>
    <x v="0"/>
    <x v="0"/>
    <n v="17.406400000000001"/>
    <n v="0.43000000000000005"/>
    <n v="0"/>
  </r>
  <r>
    <n v="8425"/>
    <s v="CA-2017-150091"/>
    <d v="2017-10-12T00:00:00"/>
    <x v="3"/>
    <s v="Q4"/>
    <x v="13"/>
    <d v="2017-10-16T00:00:00"/>
    <s v="Standard Class"/>
    <x v="73"/>
    <x v="73"/>
    <s v="Consumer"/>
    <s v="United States"/>
    <s v="Lakewood"/>
    <x v="30"/>
    <n v="8701"/>
    <x v="3"/>
    <x v="1398"/>
    <x v="0"/>
    <x v="0"/>
    <x v="1385"/>
    <n v="2154.9"/>
    <s v="High"/>
    <n v="5"/>
    <n v="0"/>
    <x v="0"/>
    <x v="0"/>
    <n v="129.29400000000001"/>
    <n v="6.0000000000000005E-2"/>
    <n v="0"/>
  </r>
  <r>
    <n v="8426"/>
    <s v="CA-2016-137652"/>
    <d v="2016-08-28T00:00:00"/>
    <x v="0"/>
    <s v="Q3"/>
    <x v="28"/>
    <d v="2016-08-30T00:00:00"/>
    <s v="First Class"/>
    <x v="494"/>
    <x v="494"/>
    <s v="Corporate"/>
    <s v="United States"/>
    <s v="Cincinnati"/>
    <x v="24"/>
    <n v="45231"/>
    <x v="3"/>
    <x v="1736"/>
    <x v="1"/>
    <x v="8"/>
    <x v="1725"/>
    <n v="18.431999999999999"/>
    <s v="Low"/>
    <n v="8"/>
    <n v="0.7"/>
    <x v="1"/>
    <x v="5"/>
    <n v="-12.288"/>
    <n v="-0.66666666666666674"/>
    <n v="1"/>
  </r>
  <r>
    <n v="8427"/>
    <s v="CA-2015-128356"/>
    <d v="2015-10-02T00:00:00"/>
    <x v="1"/>
    <s v="Q4"/>
    <x v="2"/>
    <d v="2015-10-07T00:00:00"/>
    <s v="Standard Class"/>
    <x v="261"/>
    <x v="261"/>
    <s v="Consumer"/>
    <s v="United States"/>
    <s v="Thornton"/>
    <x v="22"/>
    <n v="80229"/>
    <x v="1"/>
    <x v="1839"/>
    <x v="1"/>
    <x v="14"/>
    <x v="1827"/>
    <n v="10.944000000000001"/>
    <s v="Low"/>
    <n v="2"/>
    <n v="0.2"/>
    <x v="2"/>
    <x v="2"/>
    <n v="0.95760000000000001"/>
    <n v="8.7499999999999994E-2"/>
    <n v="0"/>
  </r>
  <r>
    <n v="8428"/>
    <s v="CA-2017-167017"/>
    <d v="2017-11-23T00:00:00"/>
    <x v="3"/>
    <s v="Q4"/>
    <x v="23"/>
    <d v="2017-11-25T00:00:00"/>
    <s v="First Class"/>
    <x v="419"/>
    <x v="419"/>
    <s v="Consumer"/>
    <s v="United States"/>
    <s v="Roseville"/>
    <x v="12"/>
    <n v="48066"/>
    <x v="2"/>
    <x v="482"/>
    <x v="1"/>
    <x v="14"/>
    <x v="327"/>
    <n v="4.3600000000000003"/>
    <s v="Low"/>
    <n v="2"/>
    <n v="0"/>
    <x v="0"/>
    <x v="0"/>
    <n v="0.1744"/>
    <n v="3.9999999999999994E-2"/>
    <n v="0"/>
  </r>
  <r>
    <n v="8429"/>
    <s v="US-2017-132220"/>
    <d v="2017-11-12T00:00:00"/>
    <x v="3"/>
    <s v="Q4"/>
    <x v="23"/>
    <d v="2017-11-16T00:00:00"/>
    <s v="Standard Class"/>
    <x v="137"/>
    <x v="137"/>
    <s v="Corporate"/>
    <s v="United States"/>
    <s v="Tempe"/>
    <x v="16"/>
    <n v="85281"/>
    <x v="1"/>
    <x v="1421"/>
    <x v="2"/>
    <x v="11"/>
    <x v="1409"/>
    <n v="62.351999999999997"/>
    <s v="Medium"/>
    <n v="6"/>
    <n v="0.2"/>
    <x v="2"/>
    <x v="2"/>
    <n v="-10.9116"/>
    <n v="-0.17500000000000002"/>
    <n v="1"/>
  </r>
  <r>
    <n v="8430"/>
    <s v="CA-2016-118129"/>
    <d v="2016-12-19T00:00:00"/>
    <x v="0"/>
    <s v="Q4"/>
    <x v="5"/>
    <d v="2016-12-21T00:00:00"/>
    <s v="Second Class"/>
    <x v="52"/>
    <x v="52"/>
    <s v="Consumer"/>
    <s v="United States"/>
    <s v="Reading"/>
    <x v="9"/>
    <n v="19601"/>
    <x v="3"/>
    <x v="1597"/>
    <x v="0"/>
    <x v="5"/>
    <x v="1589"/>
    <n v="303.92"/>
    <s v="High"/>
    <n v="5"/>
    <n v="0.2"/>
    <x v="2"/>
    <x v="2"/>
    <n v="-30.391999999999999"/>
    <n v="-9.9999999999999992E-2"/>
    <n v="1"/>
  </r>
  <r>
    <n v="8431"/>
    <s v="US-2014-113124"/>
    <d v="2014-03-30T00:00:00"/>
    <x v="2"/>
    <s v="Q1"/>
    <x v="34"/>
    <d v="2014-04-05T00:00:00"/>
    <s v="Standard Class"/>
    <x v="396"/>
    <x v="396"/>
    <s v="Consumer"/>
    <s v="United States"/>
    <s v="Apple Valley"/>
    <x v="11"/>
    <n v="55124"/>
    <x v="2"/>
    <x v="557"/>
    <x v="1"/>
    <x v="4"/>
    <x v="556"/>
    <n v="129.30000000000001"/>
    <s v="High"/>
    <n v="2"/>
    <n v="0"/>
    <x v="0"/>
    <x v="0"/>
    <n v="6.4649999999999999"/>
    <n v="4.9999999999999996E-2"/>
    <n v="0"/>
  </r>
  <r>
    <n v="8432"/>
    <s v="CA-2017-155621"/>
    <d v="2017-11-08T00:00:00"/>
    <x v="3"/>
    <s v="Q4"/>
    <x v="23"/>
    <d v="2017-11-13T00:00:00"/>
    <s v="Standard Class"/>
    <x v="634"/>
    <x v="634"/>
    <s v="Corporate"/>
    <s v="United States"/>
    <s v="Baltimore"/>
    <x v="39"/>
    <n v="21215"/>
    <x v="3"/>
    <x v="905"/>
    <x v="0"/>
    <x v="5"/>
    <x v="897"/>
    <n v="274.2"/>
    <s v="High"/>
    <n v="10"/>
    <n v="0"/>
    <x v="0"/>
    <x v="0"/>
    <n v="112.422"/>
    <n v="0.41000000000000003"/>
    <n v="0"/>
  </r>
  <r>
    <n v="8433"/>
    <s v="US-2014-127635"/>
    <d v="2014-09-14T00:00:00"/>
    <x v="2"/>
    <s v="Q3"/>
    <x v="30"/>
    <d v="2014-09-18T00:00:00"/>
    <s v="Second Class"/>
    <x v="609"/>
    <x v="609"/>
    <s v="Corporate"/>
    <s v="United States"/>
    <s v="Corpus Christi"/>
    <x v="5"/>
    <n v="78415"/>
    <x v="2"/>
    <x v="969"/>
    <x v="1"/>
    <x v="13"/>
    <x v="962"/>
    <n v="6.048"/>
    <s v="Low"/>
    <n v="4"/>
    <n v="0.2"/>
    <x v="2"/>
    <x v="2"/>
    <n v="-1.3608"/>
    <n v="-0.22500000000000001"/>
    <n v="1"/>
  </r>
  <r>
    <n v="8434"/>
    <s v="US-2014-127635"/>
    <d v="2014-09-14T00:00:00"/>
    <x v="2"/>
    <s v="Q3"/>
    <x v="30"/>
    <d v="2014-09-18T00:00:00"/>
    <s v="Second Class"/>
    <x v="609"/>
    <x v="609"/>
    <s v="Corporate"/>
    <s v="United States"/>
    <s v="Corpus Christi"/>
    <x v="5"/>
    <n v="78415"/>
    <x v="2"/>
    <x v="1532"/>
    <x v="1"/>
    <x v="10"/>
    <x v="1520"/>
    <n v="6.8479999999999999"/>
    <s v="Low"/>
    <n v="2"/>
    <n v="0.2"/>
    <x v="2"/>
    <x v="2"/>
    <n v="2.14"/>
    <n v="0.3125"/>
    <n v="0"/>
  </r>
  <r>
    <n v="8435"/>
    <s v="US-2014-127635"/>
    <d v="2014-09-14T00:00:00"/>
    <x v="2"/>
    <s v="Q3"/>
    <x v="30"/>
    <d v="2014-09-18T00:00:00"/>
    <s v="Second Class"/>
    <x v="609"/>
    <x v="609"/>
    <s v="Corporate"/>
    <s v="United States"/>
    <s v="Corpus Christi"/>
    <x v="5"/>
    <n v="78415"/>
    <x v="2"/>
    <x v="1467"/>
    <x v="0"/>
    <x v="5"/>
    <x v="1454"/>
    <n v="9.9600000000000009"/>
    <s v="Low"/>
    <n v="5"/>
    <n v="0.6"/>
    <x v="1"/>
    <x v="6"/>
    <n v="-6.7229999999999999"/>
    <n v="-0.67499999999999993"/>
    <n v="1"/>
  </r>
  <r>
    <n v="8436"/>
    <s v="US-2014-127635"/>
    <d v="2014-09-14T00:00:00"/>
    <x v="2"/>
    <s v="Q3"/>
    <x v="30"/>
    <d v="2014-09-18T00:00:00"/>
    <s v="Second Class"/>
    <x v="609"/>
    <x v="609"/>
    <s v="Corporate"/>
    <s v="United States"/>
    <s v="Corpus Christi"/>
    <x v="5"/>
    <n v="78415"/>
    <x v="2"/>
    <x v="94"/>
    <x v="1"/>
    <x v="8"/>
    <x v="94"/>
    <n v="8.5519999999999996"/>
    <s v="Low"/>
    <n v="2"/>
    <n v="0.8"/>
    <x v="1"/>
    <x v="3"/>
    <n v="-13.683199999999999"/>
    <n v="-1.6"/>
    <n v="1"/>
  </r>
  <r>
    <n v="8437"/>
    <s v="CA-2015-151470"/>
    <d v="2015-09-20T00:00:00"/>
    <x v="1"/>
    <s v="Q3"/>
    <x v="11"/>
    <d v="2015-09-26T00:00:00"/>
    <s v="Standard Class"/>
    <x v="562"/>
    <x v="562"/>
    <s v="Consumer"/>
    <s v="United States"/>
    <s v="Las Vegas"/>
    <x v="33"/>
    <n v="89115"/>
    <x v="1"/>
    <x v="1499"/>
    <x v="1"/>
    <x v="8"/>
    <x v="1487"/>
    <n v="45.584000000000003"/>
    <s v="Medium"/>
    <n v="11"/>
    <n v="0.2"/>
    <x v="2"/>
    <x v="2"/>
    <n v="16.5242"/>
    <n v="0.36249999999999999"/>
    <n v="0"/>
  </r>
  <r>
    <n v="8438"/>
    <s v="CA-2015-112823"/>
    <d v="2015-12-10T00:00:00"/>
    <x v="1"/>
    <s v="Q4"/>
    <x v="14"/>
    <d v="2015-12-16T00:00:00"/>
    <s v="Standard Class"/>
    <x v="362"/>
    <x v="362"/>
    <s v="Consumer"/>
    <s v="United States"/>
    <s v="Cleveland"/>
    <x v="24"/>
    <n v="44105"/>
    <x v="3"/>
    <x v="1365"/>
    <x v="2"/>
    <x v="11"/>
    <x v="1351"/>
    <n v="25.488"/>
    <s v="Medium"/>
    <n v="2"/>
    <n v="0.2"/>
    <x v="2"/>
    <x v="2"/>
    <n v="4.4603999999999999"/>
    <n v="0.17499999999999999"/>
    <n v="0"/>
  </r>
  <r>
    <n v="8439"/>
    <s v="CA-2014-108861"/>
    <d v="2014-05-28T00:00:00"/>
    <x v="2"/>
    <s v="Q2"/>
    <x v="8"/>
    <d v="2014-06-01T00:00:00"/>
    <s v="Standard Class"/>
    <x v="570"/>
    <x v="570"/>
    <s v="Consumer"/>
    <s v="United States"/>
    <s v="Seattle"/>
    <x v="4"/>
    <n v="98105"/>
    <x v="1"/>
    <x v="1636"/>
    <x v="1"/>
    <x v="8"/>
    <x v="1626"/>
    <n v="136.96"/>
    <s v="High"/>
    <n v="4"/>
    <n v="0.2"/>
    <x v="2"/>
    <x v="2"/>
    <n v="51.36"/>
    <n v="0.375"/>
    <n v="0"/>
  </r>
  <r>
    <n v="8440"/>
    <s v="CA-2017-114370"/>
    <d v="2017-03-14T00:00:00"/>
    <x v="3"/>
    <s v="Q1"/>
    <x v="42"/>
    <d v="2017-03-17T00:00:00"/>
    <s v="Second Class"/>
    <x v="272"/>
    <x v="272"/>
    <s v="Corporate"/>
    <s v="United States"/>
    <s v="Chicago"/>
    <x v="10"/>
    <n v="60623"/>
    <x v="2"/>
    <x v="1670"/>
    <x v="2"/>
    <x v="7"/>
    <x v="1658"/>
    <n v="49.616"/>
    <s v="Medium"/>
    <n v="2"/>
    <n v="0.2"/>
    <x v="2"/>
    <x v="2"/>
    <n v="4.9615999999999998"/>
    <n v="9.9999999999999992E-2"/>
    <n v="0"/>
  </r>
  <r>
    <n v="8441"/>
    <s v="CA-2016-158302"/>
    <d v="2016-12-08T00:00:00"/>
    <x v="0"/>
    <s v="Q4"/>
    <x v="5"/>
    <d v="2016-12-12T00:00:00"/>
    <s v="Second Class"/>
    <x v="674"/>
    <x v="674"/>
    <s v="Home Office"/>
    <s v="United States"/>
    <s v="Columbus"/>
    <x v="24"/>
    <n v="43229"/>
    <x v="3"/>
    <x v="249"/>
    <x v="1"/>
    <x v="10"/>
    <x v="250"/>
    <n v="10.584"/>
    <s v="Low"/>
    <n v="3"/>
    <n v="0.2"/>
    <x v="2"/>
    <x v="2"/>
    <n v="3.4398"/>
    <n v="0.32500000000000001"/>
    <n v="0"/>
  </r>
  <r>
    <n v="8442"/>
    <s v="CA-2017-145779"/>
    <d v="2017-05-06T00:00:00"/>
    <x v="3"/>
    <s v="Q2"/>
    <x v="24"/>
    <d v="2017-05-10T00:00:00"/>
    <s v="Standard Class"/>
    <x v="140"/>
    <x v="140"/>
    <s v="Consumer"/>
    <s v="United States"/>
    <s v="Tucson"/>
    <x v="16"/>
    <n v="85705"/>
    <x v="1"/>
    <x v="145"/>
    <x v="1"/>
    <x v="10"/>
    <x v="146"/>
    <n v="84.415999999999997"/>
    <s v="Medium"/>
    <n v="4"/>
    <n v="0.2"/>
    <x v="2"/>
    <x v="2"/>
    <n v="27.435199999999998"/>
    <n v="0.32500000000000001"/>
    <n v="0"/>
  </r>
  <r>
    <n v="8443"/>
    <s v="US-2016-155173"/>
    <d v="2016-03-06T00:00:00"/>
    <x v="0"/>
    <s v="Q1"/>
    <x v="17"/>
    <d v="2016-03-10T00:00:00"/>
    <s v="Standard Class"/>
    <x v="674"/>
    <x v="674"/>
    <s v="Home Office"/>
    <s v="United States"/>
    <s v="Philadelphia"/>
    <x v="9"/>
    <n v="19120"/>
    <x v="3"/>
    <x v="907"/>
    <x v="2"/>
    <x v="7"/>
    <x v="899"/>
    <n v="431.94"/>
    <s v="High"/>
    <n v="2"/>
    <n v="0.4"/>
    <x v="1"/>
    <x v="7"/>
    <n v="-71.989999999999995"/>
    <n v="-0.16666666666666666"/>
    <n v="1"/>
  </r>
  <r>
    <n v="8444"/>
    <s v="US-2016-155173"/>
    <d v="2016-03-06T00:00:00"/>
    <x v="0"/>
    <s v="Q1"/>
    <x v="17"/>
    <d v="2016-03-10T00:00:00"/>
    <s v="Standard Class"/>
    <x v="674"/>
    <x v="674"/>
    <s v="Home Office"/>
    <s v="United States"/>
    <s v="Philadelphia"/>
    <x v="9"/>
    <n v="19120"/>
    <x v="3"/>
    <x v="1282"/>
    <x v="1"/>
    <x v="8"/>
    <x v="1267"/>
    <n v="2.0430000000000001"/>
    <s v="Low"/>
    <n v="1"/>
    <n v="0.7"/>
    <x v="1"/>
    <x v="5"/>
    <n v="-1.4982"/>
    <n v="-0.73333333333333328"/>
    <n v="1"/>
  </r>
  <r>
    <n v="8445"/>
    <s v="US-2016-155173"/>
    <d v="2016-03-06T00:00:00"/>
    <x v="0"/>
    <s v="Q1"/>
    <x v="17"/>
    <d v="2016-03-10T00:00:00"/>
    <s v="Standard Class"/>
    <x v="674"/>
    <x v="674"/>
    <s v="Home Office"/>
    <s v="United States"/>
    <s v="Philadelphia"/>
    <x v="9"/>
    <n v="19120"/>
    <x v="3"/>
    <x v="529"/>
    <x v="2"/>
    <x v="7"/>
    <x v="529"/>
    <n v="68.238"/>
    <s v="Medium"/>
    <n v="3"/>
    <n v="0.4"/>
    <x v="1"/>
    <x v="7"/>
    <n v="-12.510300000000001"/>
    <n v="-0.18333333333333335"/>
    <n v="1"/>
  </r>
  <r>
    <n v="8446"/>
    <s v="CA-2017-125451"/>
    <d v="2017-10-23T00:00:00"/>
    <x v="3"/>
    <s v="Q4"/>
    <x v="13"/>
    <d v="2017-10-24T00:00:00"/>
    <s v="First Class"/>
    <x v="340"/>
    <x v="340"/>
    <s v="Corporate"/>
    <s v="United States"/>
    <s v="Cranston"/>
    <x v="34"/>
    <n v="2920"/>
    <x v="3"/>
    <x v="977"/>
    <x v="0"/>
    <x v="3"/>
    <x v="832"/>
    <n v="240.744"/>
    <s v="High"/>
    <n v="4"/>
    <n v="0.3"/>
    <x v="1"/>
    <x v="4"/>
    <n v="-13.7568"/>
    <n v="-5.7142857142857141E-2"/>
    <n v="1"/>
  </r>
  <r>
    <n v="8447"/>
    <s v="CA-2017-125451"/>
    <d v="2017-10-23T00:00:00"/>
    <x v="3"/>
    <s v="Q4"/>
    <x v="13"/>
    <d v="2017-10-24T00:00:00"/>
    <s v="First Class"/>
    <x v="340"/>
    <x v="340"/>
    <s v="Corporate"/>
    <s v="United States"/>
    <s v="Cranston"/>
    <x v="34"/>
    <n v="2920"/>
    <x v="3"/>
    <x v="1457"/>
    <x v="0"/>
    <x v="5"/>
    <x v="1443"/>
    <n v="35"/>
    <s v="Medium"/>
    <n v="4"/>
    <n v="0"/>
    <x v="0"/>
    <x v="0"/>
    <n v="14.7"/>
    <n v="0.42"/>
    <n v="0"/>
  </r>
  <r>
    <n v="8448"/>
    <s v="CA-2017-125451"/>
    <d v="2017-10-23T00:00:00"/>
    <x v="3"/>
    <s v="Q4"/>
    <x v="13"/>
    <d v="2017-10-24T00:00:00"/>
    <s v="First Class"/>
    <x v="340"/>
    <x v="340"/>
    <s v="Corporate"/>
    <s v="United States"/>
    <s v="Cranston"/>
    <x v="34"/>
    <n v="2920"/>
    <x v="3"/>
    <x v="1805"/>
    <x v="0"/>
    <x v="5"/>
    <x v="1795"/>
    <n v="210.68"/>
    <s v="High"/>
    <n v="2"/>
    <n v="0"/>
    <x v="0"/>
    <x v="0"/>
    <n v="50.563200000000002"/>
    <n v="0.24"/>
    <n v="0"/>
  </r>
  <r>
    <n v="8449"/>
    <s v="CA-2017-125451"/>
    <d v="2017-10-23T00:00:00"/>
    <x v="3"/>
    <s v="Q4"/>
    <x v="13"/>
    <d v="2017-10-24T00:00:00"/>
    <s v="First Class"/>
    <x v="340"/>
    <x v="340"/>
    <s v="Corporate"/>
    <s v="United States"/>
    <s v="Cranston"/>
    <x v="34"/>
    <n v="2920"/>
    <x v="3"/>
    <x v="335"/>
    <x v="0"/>
    <x v="3"/>
    <x v="335"/>
    <n v="637.89599999999996"/>
    <s v="High"/>
    <n v="3"/>
    <n v="0.3"/>
    <x v="1"/>
    <x v="4"/>
    <n v="-127.5792"/>
    <n v="-0.2"/>
    <n v="1"/>
  </r>
  <r>
    <n v="8450"/>
    <s v="CA-2017-125451"/>
    <d v="2017-10-23T00:00:00"/>
    <x v="3"/>
    <s v="Q4"/>
    <x v="13"/>
    <d v="2017-10-24T00:00:00"/>
    <s v="First Class"/>
    <x v="340"/>
    <x v="340"/>
    <s v="Corporate"/>
    <s v="United States"/>
    <s v="Cranston"/>
    <x v="34"/>
    <n v="2920"/>
    <x v="3"/>
    <x v="362"/>
    <x v="1"/>
    <x v="10"/>
    <x v="362"/>
    <n v="43.44"/>
    <s v="Medium"/>
    <n v="8"/>
    <n v="0"/>
    <x v="0"/>
    <x v="0"/>
    <n v="21.285599999999999"/>
    <n v="0.49"/>
    <n v="0"/>
  </r>
  <r>
    <n v="8451"/>
    <s v="CA-2017-125451"/>
    <d v="2017-10-23T00:00:00"/>
    <x v="3"/>
    <s v="Q4"/>
    <x v="13"/>
    <d v="2017-10-24T00:00:00"/>
    <s v="First Class"/>
    <x v="340"/>
    <x v="340"/>
    <s v="Corporate"/>
    <s v="United States"/>
    <s v="Cranston"/>
    <x v="34"/>
    <n v="2920"/>
    <x v="3"/>
    <x v="1108"/>
    <x v="1"/>
    <x v="9"/>
    <x v="1097"/>
    <n v="2.2200000000000002"/>
    <s v="Low"/>
    <n v="1"/>
    <n v="0"/>
    <x v="0"/>
    <x v="0"/>
    <n v="0.66600000000000004"/>
    <n v="0.3"/>
    <n v="0"/>
  </r>
  <r>
    <n v="8452"/>
    <s v="CA-2014-131387"/>
    <d v="2014-04-28T00:00:00"/>
    <x v="2"/>
    <s v="Q2"/>
    <x v="41"/>
    <d v="2014-04-30T00:00:00"/>
    <s v="First Class"/>
    <x v="482"/>
    <x v="482"/>
    <s v="Consumer"/>
    <s v="United States"/>
    <s v="San Francisco"/>
    <x v="1"/>
    <n v="94122"/>
    <x v="1"/>
    <x v="1461"/>
    <x v="2"/>
    <x v="7"/>
    <x v="1447"/>
    <n v="1679.96"/>
    <s v="High"/>
    <n v="5"/>
    <n v="0.2"/>
    <x v="2"/>
    <x v="2"/>
    <n v="125.997"/>
    <n v="7.4999999999999997E-2"/>
    <n v="0"/>
  </r>
  <r>
    <n v="8453"/>
    <s v="CA-2016-125087"/>
    <d v="2016-04-18T00:00:00"/>
    <x v="0"/>
    <s v="Q2"/>
    <x v="25"/>
    <d v="2016-04-23T00:00:00"/>
    <s v="Standard Class"/>
    <x v="764"/>
    <x v="764"/>
    <s v="Corporate"/>
    <s v="United States"/>
    <s v="Houston"/>
    <x v="5"/>
    <n v="77070"/>
    <x v="2"/>
    <x v="812"/>
    <x v="0"/>
    <x v="1"/>
    <x v="809"/>
    <n v="344.37200000000001"/>
    <s v="High"/>
    <n v="4"/>
    <n v="0.3"/>
    <x v="1"/>
    <x v="4"/>
    <n v="-93.472399999999993"/>
    <n v="-0.27142857142857141"/>
    <n v="1"/>
  </r>
  <r>
    <n v="8454"/>
    <s v="CA-2016-125087"/>
    <d v="2016-04-18T00:00:00"/>
    <x v="0"/>
    <s v="Q2"/>
    <x v="25"/>
    <d v="2016-04-23T00:00:00"/>
    <s v="Standard Class"/>
    <x v="764"/>
    <x v="764"/>
    <s v="Corporate"/>
    <s v="United States"/>
    <s v="Houston"/>
    <x v="5"/>
    <n v="77070"/>
    <x v="2"/>
    <x v="486"/>
    <x v="1"/>
    <x v="4"/>
    <x v="486"/>
    <n v="1554.9359999999999"/>
    <s v="High"/>
    <n v="3"/>
    <n v="0.2"/>
    <x v="2"/>
    <x v="2"/>
    <n v="77.746799999999993"/>
    <n v="4.9999999999999996E-2"/>
    <n v="0"/>
  </r>
  <r>
    <n v="8455"/>
    <s v="CA-2016-125087"/>
    <d v="2016-04-18T00:00:00"/>
    <x v="0"/>
    <s v="Q2"/>
    <x v="25"/>
    <d v="2016-04-23T00:00:00"/>
    <s v="Standard Class"/>
    <x v="764"/>
    <x v="764"/>
    <s v="Corporate"/>
    <s v="United States"/>
    <s v="Houston"/>
    <x v="5"/>
    <n v="77070"/>
    <x v="2"/>
    <x v="1268"/>
    <x v="0"/>
    <x v="5"/>
    <x v="1252"/>
    <n v="127.88"/>
    <s v="High"/>
    <n v="5"/>
    <n v="0.6"/>
    <x v="1"/>
    <x v="6"/>
    <n v="-67.137"/>
    <n v="-0.52500000000000002"/>
    <n v="1"/>
  </r>
  <r>
    <n v="8456"/>
    <s v="CA-2016-154081"/>
    <d v="2016-05-22T00:00:00"/>
    <x v="0"/>
    <s v="Q2"/>
    <x v="35"/>
    <d v="2016-05-29T00:00:00"/>
    <s v="Standard Class"/>
    <x v="531"/>
    <x v="531"/>
    <s v="Corporate"/>
    <s v="United States"/>
    <s v="Los Angeles"/>
    <x v="1"/>
    <n v="90049"/>
    <x v="1"/>
    <x v="192"/>
    <x v="2"/>
    <x v="7"/>
    <x v="193"/>
    <n v="222.38399999999999"/>
    <s v="High"/>
    <n v="2"/>
    <n v="0.2"/>
    <x v="2"/>
    <x v="2"/>
    <n v="22.238399999999999"/>
    <n v="0.1"/>
    <n v="0"/>
  </r>
  <r>
    <n v="8457"/>
    <s v="US-2017-118556"/>
    <d v="2017-05-28T00:00:00"/>
    <x v="3"/>
    <s v="Q2"/>
    <x v="24"/>
    <d v="2017-06-02T00:00:00"/>
    <s v="Second Class"/>
    <x v="260"/>
    <x v="260"/>
    <s v="Corporate"/>
    <s v="United States"/>
    <s v="Chicago"/>
    <x v="10"/>
    <n v="60653"/>
    <x v="2"/>
    <x v="64"/>
    <x v="0"/>
    <x v="1"/>
    <x v="124"/>
    <n v="106.869"/>
    <s v="Medium"/>
    <n v="3"/>
    <n v="0.3"/>
    <x v="1"/>
    <x v="4"/>
    <n v="-29.007300000000001"/>
    <n v="-0.27142857142857146"/>
    <n v="1"/>
  </r>
  <r>
    <n v="8458"/>
    <s v="US-2017-118556"/>
    <d v="2017-05-28T00:00:00"/>
    <x v="3"/>
    <s v="Q2"/>
    <x v="24"/>
    <d v="2017-06-02T00:00:00"/>
    <s v="Second Class"/>
    <x v="260"/>
    <x v="260"/>
    <s v="Corporate"/>
    <s v="United States"/>
    <s v="Chicago"/>
    <x v="10"/>
    <n v="60653"/>
    <x v="2"/>
    <x v="990"/>
    <x v="1"/>
    <x v="8"/>
    <x v="305"/>
    <n v="3.5640000000000001"/>
    <s v="Low"/>
    <n v="3"/>
    <n v="0.8"/>
    <x v="1"/>
    <x v="3"/>
    <n v="-6.2370000000000001"/>
    <n v="-1.75"/>
    <n v="1"/>
  </r>
  <r>
    <n v="8459"/>
    <s v="CA-2014-126200"/>
    <d v="2014-08-25T00:00:00"/>
    <x v="2"/>
    <s v="Q3"/>
    <x v="9"/>
    <d v="2014-08-29T00:00:00"/>
    <s v="Standard Class"/>
    <x v="555"/>
    <x v="555"/>
    <s v="Consumer"/>
    <s v="United States"/>
    <s v="Houston"/>
    <x v="5"/>
    <n v="77070"/>
    <x v="2"/>
    <x v="1160"/>
    <x v="1"/>
    <x v="8"/>
    <x v="1147"/>
    <n v="25.68"/>
    <s v="Medium"/>
    <n v="3"/>
    <n v="0.8"/>
    <x v="1"/>
    <x v="3"/>
    <n v="-39.804000000000002"/>
    <n v="-1.55"/>
    <n v="1"/>
  </r>
  <r>
    <n v="8460"/>
    <s v="CA-2014-126200"/>
    <d v="2014-08-25T00:00:00"/>
    <x v="2"/>
    <s v="Q3"/>
    <x v="9"/>
    <d v="2014-08-29T00:00:00"/>
    <s v="Standard Class"/>
    <x v="555"/>
    <x v="555"/>
    <s v="Consumer"/>
    <s v="United States"/>
    <s v="Houston"/>
    <x v="5"/>
    <n v="77070"/>
    <x v="2"/>
    <x v="340"/>
    <x v="1"/>
    <x v="8"/>
    <x v="340"/>
    <n v="12.384"/>
    <s v="Low"/>
    <n v="3"/>
    <n v="0.8"/>
    <x v="1"/>
    <x v="3"/>
    <n v="-19.814399999999999"/>
    <n v="-1.5999999999999999"/>
    <n v="1"/>
  </r>
  <r>
    <n v="8461"/>
    <s v="CA-2014-146500"/>
    <d v="2014-08-30T00:00:00"/>
    <x v="2"/>
    <s v="Q3"/>
    <x v="9"/>
    <d v="2014-09-04T00:00:00"/>
    <s v="Standard Class"/>
    <x v="247"/>
    <x v="247"/>
    <s v="Consumer"/>
    <s v="United States"/>
    <s v="Bristol"/>
    <x v="29"/>
    <n v="6010"/>
    <x v="3"/>
    <x v="881"/>
    <x v="1"/>
    <x v="8"/>
    <x v="875"/>
    <n v="25.3"/>
    <s v="Medium"/>
    <n v="5"/>
    <n v="0"/>
    <x v="0"/>
    <x v="0"/>
    <n v="11.891"/>
    <n v="0.47"/>
    <n v="0"/>
  </r>
  <r>
    <n v="8462"/>
    <s v="CA-2014-146500"/>
    <d v="2014-08-30T00:00:00"/>
    <x v="2"/>
    <s v="Q3"/>
    <x v="9"/>
    <d v="2014-09-04T00:00:00"/>
    <s v="Standard Class"/>
    <x v="247"/>
    <x v="247"/>
    <s v="Consumer"/>
    <s v="United States"/>
    <s v="Bristol"/>
    <x v="29"/>
    <n v="6010"/>
    <x v="3"/>
    <x v="911"/>
    <x v="1"/>
    <x v="4"/>
    <x v="903"/>
    <n v="95.94"/>
    <s v="Medium"/>
    <n v="3"/>
    <n v="0"/>
    <x v="0"/>
    <x v="0"/>
    <n v="9.5939999999999994"/>
    <n v="9.9999999999999992E-2"/>
    <n v="0"/>
  </r>
  <r>
    <n v="8463"/>
    <s v="CA-2015-169537"/>
    <d v="2015-09-03T00:00:00"/>
    <x v="1"/>
    <s v="Q3"/>
    <x v="11"/>
    <d v="2015-09-07T00:00:00"/>
    <s v="Second Class"/>
    <x v="581"/>
    <x v="581"/>
    <s v="Consumer"/>
    <s v="United States"/>
    <s v="Holland"/>
    <x v="12"/>
    <n v="49423"/>
    <x v="2"/>
    <x v="1550"/>
    <x v="1"/>
    <x v="2"/>
    <x v="1538"/>
    <n v="7.5"/>
    <s v="Low"/>
    <n v="2"/>
    <n v="0"/>
    <x v="0"/>
    <x v="0"/>
    <n v="3.6"/>
    <n v="0.48000000000000004"/>
    <n v="0"/>
  </r>
  <r>
    <n v="8464"/>
    <s v="CA-2014-100881"/>
    <d v="2014-03-28T00:00:00"/>
    <x v="2"/>
    <s v="Q1"/>
    <x v="34"/>
    <d v="2014-04-01T00:00:00"/>
    <s v="Standard Class"/>
    <x v="660"/>
    <x v="660"/>
    <s v="Home Office"/>
    <s v="United States"/>
    <s v="Albuquerque"/>
    <x v="27"/>
    <n v="87105"/>
    <x v="1"/>
    <x v="172"/>
    <x v="2"/>
    <x v="7"/>
    <x v="173"/>
    <n v="302.37599999999998"/>
    <s v="High"/>
    <n v="3"/>
    <n v="0.2"/>
    <x v="2"/>
    <x v="2"/>
    <n v="22.6782"/>
    <n v="7.5000000000000011E-2"/>
    <n v="0"/>
  </r>
  <r>
    <n v="8465"/>
    <s v="CA-2015-144043"/>
    <d v="2015-05-10T00:00:00"/>
    <x v="1"/>
    <s v="Q2"/>
    <x v="33"/>
    <d v="2015-05-15T00:00:00"/>
    <s v="Standard Class"/>
    <x v="269"/>
    <x v="269"/>
    <s v="Consumer"/>
    <s v="United States"/>
    <s v="Louisville"/>
    <x v="22"/>
    <n v="80027"/>
    <x v="1"/>
    <x v="1207"/>
    <x v="2"/>
    <x v="11"/>
    <x v="1192"/>
    <n v="46.688000000000002"/>
    <s v="Medium"/>
    <n v="4"/>
    <n v="0.2"/>
    <x v="2"/>
    <x v="2"/>
    <n v="-2.9180000000000001"/>
    <n v="-6.25E-2"/>
    <n v="1"/>
  </r>
  <r>
    <n v="8466"/>
    <s v="CA-2015-116512"/>
    <d v="2015-04-09T00:00:00"/>
    <x v="1"/>
    <s v="Q2"/>
    <x v="19"/>
    <d v="2015-04-14T00:00:00"/>
    <s v="Standard Class"/>
    <x v="498"/>
    <x v="498"/>
    <s v="Consumer"/>
    <s v="United States"/>
    <s v="New York City"/>
    <x v="15"/>
    <n v="10024"/>
    <x v="3"/>
    <x v="1198"/>
    <x v="1"/>
    <x v="4"/>
    <x v="1183"/>
    <n v="17.940000000000001"/>
    <s v="Low"/>
    <n v="3"/>
    <n v="0"/>
    <x v="0"/>
    <x v="0"/>
    <n v="3.0497999999999998"/>
    <n v="0.16999999999999998"/>
    <n v="0"/>
  </r>
  <r>
    <n v="8467"/>
    <s v="CA-2015-101000"/>
    <d v="2015-04-09T00:00:00"/>
    <x v="1"/>
    <s v="Q2"/>
    <x v="19"/>
    <d v="2015-04-14T00:00:00"/>
    <s v="Standard Class"/>
    <x v="490"/>
    <x v="490"/>
    <s v="Consumer"/>
    <s v="United States"/>
    <s v="Norwich"/>
    <x v="29"/>
    <n v="6360"/>
    <x v="3"/>
    <x v="532"/>
    <x v="1"/>
    <x v="9"/>
    <x v="532"/>
    <n v="370.14"/>
    <s v="High"/>
    <n v="3"/>
    <n v="0"/>
    <x v="0"/>
    <x v="0"/>
    <n v="144.3546"/>
    <n v="0.39"/>
    <n v="0"/>
  </r>
  <r>
    <n v="8468"/>
    <s v="CA-2016-168557"/>
    <d v="2016-09-19T00:00:00"/>
    <x v="0"/>
    <s v="Q3"/>
    <x v="21"/>
    <d v="2016-09-23T00:00:00"/>
    <s v="Standard Class"/>
    <x v="395"/>
    <x v="395"/>
    <s v="Corporate"/>
    <s v="United States"/>
    <s v="San Francisco"/>
    <x v="1"/>
    <n v="94122"/>
    <x v="1"/>
    <x v="78"/>
    <x v="1"/>
    <x v="8"/>
    <x v="78"/>
    <n v="8.9280000000000008"/>
    <s v="Low"/>
    <n v="2"/>
    <n v="0.2"/>
    <x v="2"/>
    <x v="2"/>
    <n v="3.1248"/>
    <n v="0.35"/>
    <n v="0"/>
  </r>
  <r>
    <n v="8469"/>
    <s v="US-2016-164196"/>
    <d v="2016-11-11T00:00:00"/>
    <x v="0"/>
    <s v="Q4"/>
    <x v="0"/>
    <d v="2016-11-17T00:00:00"/>
    <s v="Standard Class"/>
    <x v="155"/>
    <x v="155"/>
    <s v="Corporate"/>
    <s v="United States"/>
    <s v="Noblesville"/>
    <x v="14"/>
    <n v="46060"/>
    <x v="2"/>
    <x v="1299"/>
    <x v="0"/>
    <x v="3"/>
    <x v="1284"/>
    <n v="2678.94"/>
    <s v="High"/>
    <n v="6"/>
    <n v="0"/>
    <x v="0"/>
    <x v="0"/>
    <n v="241.1046"/>
    <n v="0.09"/>
    <n v="0"/>
  </r>
  <r>
    <n v="8470"/>
    <s v="US-2017-132031"/>
    <d v="2017-04-23T00:00:00"/>
    <x v="3"/>
    <s v="Q2"/>
    <x v="4"/>
    <d v="2017-04-27T00:00:00"/>
    <s v="Standard Class"/>
    <x v="43"/>
    <x v="43"/>
    <s v="Home Office"/>
    <s v="United States"/>
    <s v="Clarksville"/>
    <x v="18"/>
    <n v="37042"/>
    <x v="0"/>
    <x v="366"/>
    <x v="0"/>
    <x v="0"/>
    <x v="367"/>
    <n v="387.13600000000002"/>
    <s v="High"/>
    <n v="4"/>
    <n v="0.2"/>
    <x v="2"/>
    <x v="2"/>
    <n v="-14.5176"/>
    <n v="-3.7499999999999999E-2"/>
    <n v="1"/>
  </r>
  <r>
    <n v="8471"/>
    <s v="US-2017-132031"/>
    <d v="2017-04-23T00:00:00"/>
    <x v="3"/>
    <s v="Q2"/>
    <x v="4"/>
    <d v="2017-04-27T00:00:00"/>
    <s v="Standard Class"/>
    <x v="43"/>
    <x v="43"/>
    <s v="Home Office"/>
    <s v="United States"/>
    <s v="Clarksville"/>
    <x v="18"/>
    <n v="37042"/>
    <x v="0"/>
    <x v="721"/>
    <x v="2"/>
    <x v="11"/>
    <x v="720"/>
    <n v="45.408000000000001"/>
    <s v="Medium"/>
    <n v="2"/>
    <n v="0.2"/>
    <x v="2"/>
    <x v="2"/>
    <n v="11.919600000000001"/>
    <n v="0.26250000000000001"/>
    <n v="0"/>
  </r>
  <r>
    <n v="8472"/>
    <s v="US-2017-132031"/>
    <d v="2017-04-23T00:00:00"/>
    <x v="3"/>
    <s v="Q2"/>
    <x v="4"/>
    <d v="2017-04-27T00:00:00"/>
    <s v="Standard Class"/>
    <x v="43"/>
    <x v="43"/>
    <s v="Home Office"/>
    <s v="United States"/>
    <s v="Clarksville"/>
    <x v="18"/>
    <n v="37042"/>
    <x v="0"/>
    <x v="1525"/>
    <x v="0"/>
    <x v="5"/>
    <x v="1512"/>
    <n v="77.951999999999998"/>
    <s v="Medium"/>
    <n v="3"/>
    <n v="0.2"/>
    <x v="2"/>
    <x v="2"/>
    <n v="-11.6928"/>
    <n v="-0.15"/>
    <n v="1"/>
  </r>
  <r>
    <n v="8473"/>
    <s v="US-2017-132031"/>
    <d v="2017-04-23T00:00:00"/>
    <x v="3"/>
    <s v="Q2"/>
    <x v="4"/>
    <d v="2017-04-27T00:00:00"/>
    <s v="Standard Class"/>
    <x v="43"/>
    <x v="43"/>
    <s v="Home Office"/>
    <s v="United States"/>
    <s v="Clarksville"/>
    <x v="18"/>
    <n v="37042"/>
    <x v="0"/>
    <x v="1345"/>
    <x v="1"/>
    <x v="2"/>
    <x v="1330"/>
    <n v="3"/>
    <s v="Low"/>
    <n v="1"/>
    <n v="0.2"/>
    <x v="2"/>
    <x v="2"/>
    <n v="1.05"/>
    <n v="0.35000000000000003"/>
    <n v="0"/>
  </r>
  <r>
    <n v="8474"/>
    <s v="CA-2015-169733"/>
    <d v="2015-10-22T00:00:00"/>
    <x v="1"/>
    <s v="Q4"/>
    <x v="2"/>
    <d v="2015-10-26T00:00:00"/>
    <s v="Second Class"/>
    <x v="421"/>
    <x v="421"/>
    <s v="Consumer"/>
    <s v="United States"/>
    <s v="Hollywood"/>
    <x v="2"/>
    <n v="33021"/>
    <x v="0"/>
    <x v="253"/>
    <x v="1"/>
    <x v="4"/>
    <x v="254"/>
    <n v="9.952"/>
    <s v="Low"/>
    <n v="1"/>
    <n v="0.2"/>
    <x v="2"/>
    <x v="2"/>
    <n v="0.99519999999999997"/>
    <n v="9.9999999999999992E-2"/>
    <n v="0"/>
  </r>
  <r>
    <n v="8475"/>
    <s v="CA-2017-169404"/>
    <d v="2017-04-09T00:00:00"/>
    <x v="3"/>
    <s v="Q2"/>
    <x v="4"/>
    <d v="2017-04-14T00:00:00"/>
    <s v="Standard Class"/>
    <x v="544"/>
    <x v="544"/>
    <s v="Corporate"/>
    <s v="United States"/>
    <s v="York"/>
    <x v="9"/>
    <n v="17403"/>
    <x v="3"/>
    <x v="351"/>
    <x v="1"/>
    <x v="8"/>
    <x v="351"/>
    <n v="37.896000000000001"/>
    <s v="Medium"/>
    <n v="4"/>
    <n v="0.7"/>
    <x v="1"/>
    <x v="5"/>
    <n v="-29.053599999999999"/>
    <n v="-0.76666666666666661"/>
    <n v="1"/>
  </r>
  <r>
    <n v="8476"/>
    <s v="CA-2017-169404"/>
    <d v="2017-04-09T00:00:00"/>
    <x v="3"/>
    <s v="Q2"/>
    <x v="4"/>
    <d v="2017-04-14T00:00:00"/>
    <s v="Standard Class"/>
    <x v="544"/>
    <x v="544"/>
    <s v="Corporate"/>
    <s v="United States"/>
    <s v="York"/>
    <x v="9"/>
    <n v="17403"/>
    <x v="3"/>
    <x v="1522"/>
    <x v="1"/>
    <x v="10"/>
    <x v="1509"/>
    <n v="65.584000000000003"/>
    <s v="Medium"/>
    <n v="2"/>
    <n v="0.2"/>
    <x v="2"/>
    <x v="2"/>
    <n v="23.7742"/>
    <n v="0.36249999999999999"/>
    <n v="0"/>
  </r>
  <r>
    <n v="8477"/>
    <s v="CA-2017-134880"/>
    <d v="2017-10-27T00:00:00"/>
    <x v="3"/>
    <s v="Q4"/>
    <x v="13"/>
    <d v="2017-11-01T00:00:00"/>
    <s v="Standard Class"/>
    <x v="69"/>
    <x v="69"/>
    <s v="Home Office"/>
    <s v="United States"/>
    <s v="Mesa"/>
    <x v="16"/>
    <n v="85204"/>
    <x v="1"/>
    <x v="1558"/>
    <x v="1"/>
    <x v="10"/>
    <x v="1547"/>
    <n v="44.783999999999999"/>
    <s v="Medium"/>
    <n v="1"/>
    <n v="0.2"/>
    <x v="2"/>
    <x v="2"/>
    <n v="16.234200000000001"/>
    <n v="0.36250000000000004"/>
    <n v="0"/>
  </r>
  <r>
    <n v="8478"/>
    <s v="CA-2015-145758"/>
    <d v="2015-10-30T00:00:00"/>
    <x v="1"/>
    <s v="Q4"/>
    <x v="2"/>
    <d v="2015-10-30T00:00:00"/>
    <s v="Same Day"/>
    <x v="292"/>
    <x v="292"/>
    <s v="Corporate"/>
    <s v="United States"/>
    <s v="New York City"/>
    <x v="15"/>
    <n v="10024"/>
    <x v="3"/>
    <x v="1840"/>
    <x v="2"/>
    <x v="15"/>
    <x v="1828"/>
    <n v="1035.8"/>
    <s v="High"/>
    <n v="4"/>
    <n v="0"/>
    <x v="0"/>
    <x v="0"/>
    <n v="269.30799999999999"/>
    <n v="0.26"/>
    <n v="0"/>
  </r>
  <r>
    <n v="8479"/>
    <s v="CA-2017-158736"/>
    <d v="2017-12-18T00:00:00"/>
    <x v="3"/>
    <s v="Q4"/>
    <x v="22"/>
    <d v="2017-12-24T00:00:00"/>
    <s v="Standard Class"/>
    <x v="499"/>
    <x v="499"/>
    <s v="Home Office"/>
    <s v="United States"/>
    <s v="San Francisco"/>
    <x v="1"/>
    <n v="94110"/>
    <x v="1"/>
    <x v="671"/>
    <x v="1"/>
    <x v="6"/>
    <x v="671"/>
    <n v="5.76"/>
    <s v="Low"/>
    <n v="2"/>
    <n v="0"/>
    <x v="0"/>
    <x v="0"/>
    <n v="1.6704000000000001"/>
    <n v="0.29000000000000004"/>
    <n v="0"/>
  </r>
  <r>
    <n v="8480"/>
    <s v="US-2016-119270"/>
    <d v="2016-03-12T00:00:00"/>
    <x v="0"/>
    <s v="Q1"/>
    <x v="17"/>
    <d v="2016-03-16T00:00:00"/>
    <s v="Standard Class"/>
    <x v="573"/>
    <x v="573"/>
    <s v="Consumer"/>
    <s v="United States"/>
    <s v="Los Angeles"/>
    <x v="1"/>
    <n v="90036"/>
    <x v="1"/>
    <x v="1633"/>
    <x v="1"/>
    <x v="10"/>
    <x v="1623"/>
    <n v="19.98"/>
    <s v="Low"/>
    <n v="2"/>
    <n v="0"/>
    <x v="0"/>
    <x v="0"/>
    <n v="8.9909999999999997"/>
    <n v="0.44999999999999996"/>
    <n v="0"/>
  </r>
  <r>
    <n v="8481"/>
    <s v="CA-2014-109890"/>
    <d v="2014-07-21T00:00:00"/>
    <x v="2"/>
    <s v="Q3"/>
    <x v="39"/>
    <d v="2014-07-27T00:00:00"/>
    <s v="Standard Class"/>
    <x v="310"/>
    <x v="310"/>
    <s v="Consumer"/>
    <s v="United States"/>
    <s v="Omaha"/>
    <x v="8"/>
    <n v="68104"/>
    <x v="2"/>
    <x v="1763"/>
    <x v="2"/>
    <x v="7"/>
    <x v="1752"/>
    <n v="35.979999999999997"/>
    <s v="Medium"/>
    <n v="2"/>
    <n v="0"/>
    <x v="0"/>
    <x v="0"/>
    <n v="10.074400000000001"/>
    <n v="0.28000000000000003"/>
    <n v="0"/>
  </r>
  <r>
    <n v="8482"/>
    <s v="CA-2016-138583"/>
    <d v="2016-05-24T00:00:00"/>
    <x v="0"/>
    <s v="Q2"/>
    <x v="35"/>
    <d v="2016-05-28T00:00:00"/>
    <s v="Standard Class"/>
    <x v="503"/>
    <x v="503"/>
    <s v="Home Office"/>
    <s v="United States"/>
    <s v="Philadelphia"/>
    <x v="9"/>
    <n v="19120"/>
    <x v="3"/>
    <x v="924"/>
    <x v="1"/>
    <x v="6"/>
    <x v="916"/>
    <n v="16.655999999999999"/>
    <s v="Low"/>
    <n v="3"/>
    <n v="0.2"/>
    <x v="2"/>
    <x v="2"/>
    <n v="3.3311999999999999"/>
    <n v="0.2"/>
    <n v="0"/>
  </r>
  <r>
    <n v="8483"/>
    <s v="US-2017-118535"/>
    <d v="2017-02-11T00:00:00"/>
    <x v="3"/>
    <s v="Q1"/>
    <x v="31"/>
    <d v="2017-02-15T00:00:00"/>
    <s v="Standard Class"/>
    <x v="137"/>
    <x v="137"/>
    <s v="Corporate"/>
    <s v="United States"/>
    <s v="New York City"/>
    <x v="15"/>
    <n v="10024"/>
    <x v="3"/>
    <x v="488"/>
    <x v="1"/>
    <x v="2"/>
    <x v="488"/>
    <n v="20.7"/>
    <s v="Low"/>
    <n v="2"/>
    <n v="0"/>
    <x v="0"/>
    <x v="0"/>
    <n v="9.9359999999999999"/>
    <n v="0.48000000000000004"/>
    <n v="0"/>
  </r>
  <r>
    <n v="8484"/>
    <s v="CA-2016-126284"/>
    <d v="2016-09-20T00:00:00"/>
    <x v="0"/>
    <s v="Q3"/>
    <x v="21"/>
    <d v="2016-09-24T00:00:00"/>
    <s v="Standard Class"/>
    <x v="633"/>
    <x v="633"/>
    <s v="Consumer"/>
    <s v="United States"/>
    <s v="Grand Rapids"/>
    <x v="12"/>
    <n v="49505"/>
    <x v="2"/>
    <x v="1595"/>
    <x v="1"/>
    <x v="8"/>
    <x v="1587"/>
    <n v="83.7"/>
    <s v="Medium"/>
    <n v="5"/>
    <n v="0"/>
    <x v="0"/>
    <x v="0"/>
    <n v="41.012999999999998"/>
    <n v="0.48999999999999994"/>
    <n v="0"/>
  </r>
  <r>
    <n v="8485"/>
    <s v="CA-2017-142391"/>
    <d v="2017-09-24T00:00:00"/>
    <x v="3"/>
    <s v="Q3"/>
    <x v="15"/>
    <d v="2017-09-24T00:00:00"/>
    <s v="Same Day"/>
    <x v="171"/>
    <x v="171"/>
    <s v="Consumer"/>
    <s v="United States"/>
    <s v="Seattle"/>
    <x v="4"/>
    <n v="98115"/>
    <x v="1"/>
    <x v="561"/>
    <x v="0"/>
    <x v="5"/>
    <x v="560"/>
    <n v="199.8"/>
    <s v="High"/>
    <n v="10"/>
    <n v="0"/>
    <x v="0"/>
    <x v="0"/>
    <n v="71.927999999999997"/>
    <n v="0.36"/>
    <n v="0"/>
  </r>
  <r>
    <n v="8486"/>
    <s v="CA-2017-124716"/>
    <d v="2017-03-27T00:00:00"/>
    <x v="3"/>
    <s v="Q1"/>
    <x v="42"/>
    <d v="2017-03-31T00:00:00"/>
    <s v="Standard Class"/>
    <x v="786"/>
    <x v="786"/>
    <s v="Home Office"/>
    <s v="United States"/>
    <s v="Fresno"/>
    <x v="1"/>
    <n v="93727"/>
    <x v="1"/>
    <x v="1264"/>
    <x v="1"/>
    <x v="10"/>
    <x v="1248"/>
    <n v="45.68"/>
    <s v="Medium"/>
    <n v="2"/>
    <n v="0"/>
    <x v="0"/>
    <x v="0"/>
    <n v="21.012799999999999"/>
    <n v="0.45999999999999996"/>
    <n v="0"/>
  </r>
  <r>
    <n v="8487"/>
    <s v="CA-2017-124716"/>
    <d v="2017-03-27T00:00:00"/>
    <x v="3"/>
    <s v="Q1"/>
    <x v="42"/>
    <d v="2017-03-31T00:00:00"/>
    <s v="Standard Class"/>
    <x v="786"/>
    <x v="786"/>
    <s v="Home Office"/>
    <s v="United States"/>
    <s v="Fresno"/>
    <x v="1"/>
    <n v="93727"/>
    <x v="1"/>
    <x v="162"/>
    <x v="1"/>
    <x v="10"/>
    <x v="163"/>
    <n v="110.96"/>
    <s v="Medium"/>
    <n v="2"/>
    <n v="0"/>
    <x v="0"/>
    <x v="0"/>
    <n v="53.260800000000003"/>
    <n v="0.48000000000000004"/>
    <n v="0"/>
  </r>
  <r>
    <n v="8488"/>
    <s v="CA-2017-124716"/>
    <d v="2017-03-27T00:00:00"/>
    <x v="3"/>
    <s v="Q1"/>
    <x v="42"/>
    <d v="2017-03-31T00:00:00"/>
    <s v="Standard Class"/>
    <x v="786"/>
    <x v="786"/>
    <s v="Home Office"/>
    <s v="United States"/>
    <s v="Fresno"/>
    <x v="1"/>
    <n v="93727"/>
    <x v="1"/>
    <x v="1741"/>
    <x v="1"/>
    <x v="10"/>
    <x v="1730"/>
    <n v="11.94"/>
    <s v="Low"/>
    <n v="3"/>
    <n v="0"/>
    <x v="0"/>
    <x v="0"/>
    <n v="5.97"/>
    <n v="0.5"/>
    <n v="0"/>
  </r>
  <r>
    <n v="8489"/>
    <s v="CA-2016-158841"/>
    <d v="2016-02-02T00:00:00"/>
    <x v="0"/>
    <s v="Q1"/>
    <x v="47"/>
    <d v="2016-02-04T00:00:00"/>
    <s v="Second Class"/>
    <x v="339"/>
    <x v="339"/>
    <s v="Consumer"/>
    <s v="United States"/>
    <s v="Arlington"/>
    <x v="17"/>
    <n v="22204"/>
    <x v="0"/>
    <x v="1629"/>
    <x v="2"/>
    <x v="15"/>
    <x v="1619"/>
    <n v="8749.9500000000007"/>
    <s v="High"/>
    <n v="5"/>
    <n v="0"/>
    <x v="0"/>
    <x v="0"/>
    <n v="2799.9839999999999"/>
    <n v="0.31999999999999995"/>
    <n v="0"/>
  </r>
  <r>
    <n v="8490"/>
    <s v="CA-2016-158841"/>
    <d v="2016-02-02T00:00:00"/>
    <x v="0"/>
    <s v="Q1"/>
    <x v="47"/>
    <d v="2016-02-04T00:00:00"/>
    <s v="Second Class"/>
    <x v="339"/>
    <x v="339"/>
    <s v="Consumer"/>
    <s v="United States"/>
    <s v="Arlington"/>
    <x v="17"/>
    <n v="22204"/>
    <x v="0"/>
    <x v="248"/>
    <x v="1"/>
    <x v="8"/>
    <x v="249"/>
    <n v="36.4"/>
    <s v="Medium"/>
    <n v="8"/>
    <n v="0"/>
    <x v="0"/>
    <x v="0"/>
    <n v="18.2"/>
    <n v="0.5"/>
    <n v="0"/>
  </r>
  <r>
    <n v="8491"/>
    <s v="CA-2016-158841"/>
    <d v="2016-02-02T00:00:00"/>
    <x v="0"/>
    <s v="Q1"/>
    <x v="47"/>
    <d v="2016-02-04T00:00:00"/>
    <s v="Second Class"/>
    <x v="339"/>
    <x v="339"/>
    <s v="Consumer"/>
    <s v="United States"/>
    <s v="Arlington"/>
    <x v="17"/>
    <n v="22204"/>
    <x v="0"/>
    <x v="1565"/>
    <x v="0"/>
    <x v="5"/>
    <x v="1556"/>
    <n v="18.690000000000001"/>
    <s v="Low"/>
    <n v="7"/>
    <n v="0"/>
    <x v="0"/>
    <x v="0"/>
    <n v="7.1021999999999998"/>
    <n v="0.37999999999999995"/>
    <n v="0"/>
  </r>
  <r>
    <n v="8492"/>
    <s v="CA-2017-106824"/>
    <d v="2017-07-07T00:00:00"/>
    <x v="3"/>
    <s v="Q3"/>
    <x v="10"/>
    <d v="2017-07-11T00:00:00"/>
    <s v="Standard Class"/>
    <x v="247"/>
    <x v="247"/>
    <s v="Consumer"/>
    <s v="United States"/>
    <s v="Los Angeles"/>
    <x v="1"/>
    <n v="90049"/>
    <x v="1"/>
    <x v="1079"/>
    <x v="1"/>
    <x v="13"/>
    <x v="1069"/>
    <n v="5.94"/>
    <s v="Low"/>
    <n v="3"/>
    <n v="0"/>
    <x v="0"/>
    <x v="0"/>
    <n v="0.1188"/>
    <n v="0.02"/>
    <n v="0"/>
  </r>
  <r>
    <n v="8493"/>
    <s v="CA-2015-109190"/>
    <d v="2015-10-23T00:00:00"/>
    <x v="1"/>
    <s v="Q4"/>
    <x v="2"/>
    <d v="2015-10-28T00:00:00"/>
    <s v="Standard Class"/>
    <x v="530"/>
    <x v="530"/>
    <s v="Consumer"/>
    <s v="United States"/>
    <s v="Lubbock"/>
    <x v="5"/>
    <n v="79424"/>
    <x v="2"/>
    <x v="1587"/>
    <x v="1"/>
    <x v="10"/>
    <x v="1578"/>
    <n v="60.735999999999997"/>
    <s v="Medium"/>
    <n v="8"/>
    <n v="0.2"/>
    <x v="2"/>
    <x v="2"/>
    <n v="20.4984"/>
    <n v="0.33750000000000002"/>
    <n v="0"/>
  </r>
  <r>
    <n v="8494"/>
    <s v="CA-2015-109190"/>
    <d v="2015-10-23T00:00:00"/>
    <x v="1"/>
    <s v="Q4"/>
    <x v="2"/>
    <d v="2015-10-28T00:00:00"/>
    <s v="Standard Class"/>
    <x v="530"/>
    <x v="530"/>
    <s v="Consumer"/>
    <s v="United States"/>
    <s v="Lubbock"/>
    <x v="5"/>
    <n v="79424"/>
    <x v="2"/>
    <x v="1687"/>
    <x v="2"/>
    <x v="16"/>
    <x v="1675"/>
    <n v="479.976"/>
    <s v="High"/>
    <n v="3"/>
    <n v="0.2"/>
    <x v="2"/>
    <x v="2"/>
    <n v="161.99189999999999"/>
    <n v="0.33749999999999997"/>
    <n v="0"/>
  </r>
  <r>
    <n v="8495"/>
    <s v="CA-2015-109190"/>
    <d v="2015-10-23T00:00:00"/>
    <x v="1"/>
    <s v="Q4"/>
    <x v="2"/>
    <d v="2015-10-28T00:00:00"/>
    <s v="Standard Class"/>
    <x v="530"/>
    <x v="530"/>
    <s v="Consumer"/>
    <s v="United States"/>
    <s v="Lubbock"/>
    <x v="5"/>
    <n v="79424"/>
    <x v="2"/>
    <x v="999"/>
    <x v="1"/>
    <x v="8"/>
    <x v="991"/>
    <n v="6.08"/>
    <s v="Low"/>
    <n v="1"/>
    <n v="0.8"/>
    <x v="1"/>
    <x v="3"/>
    <n v="-10.336"/>
    <n v="-1.7"/>
    <n v="1"/>
  </r>
  <r>
    <n v="8496"/>
    <s v="CA-2016-143154"/>
    <d v="2016-12-02T00:00:00"/>
    <x v="0"/>
    <s v="Q4"/>
    <x v="5"/>
    <d v="2016-12-08T00:00:00"/>
    <s v="Standard Class"/>
    <x v="127"/>
    <x v="127"/>
    <s v="Corporate"/>
    <s v="United States"/>
    <s v="Longmont"/>
    <x v="22"/>
    <n v="80501"/>
    <x v="1"/>
    <x v="1615"/>
    <x v="2"/>
    <x v="11"/>
    <x v="1606"/>
    <n v="165.6"/>
    <s v="High"/>
    <n v="3"/>
    <n v="0.2"/>
    <x v="2"/>
    <x v="2"/>
    <n v="-6.21"/>
    <n v="-3.7499999999999999E-2"/>
    <n v="1"/>
  </r>
  <r>
    <n v="8497"/>
    <s v="CA-2014-169061"/>
    <d v="2014-03-05T00:00:00"/>
    <x v="2"/>
    <s v="Q1"/>
    <x v="34"/>
    <d v="2014-03-08T00:00:00"/>
    <s v="Second Class"/>
    <x v="492"/>
    <x v="492"/>
    <s v="Consumer"/>
    <s v="United States"/>
    <s v="Yonkers"/>
    <x v="15"/>
    <n v="10701"/>
    <x v="3"/>
    <x v="397"/>
    <x v="1"/>
    <x v="6"/>
    <x v="398"/>
    <n v="59.52"/>
    <s v="Medium"/>
    <n v="3"/>
    <n v="0"/>
    <x v="0"/>
    <x v="0"/>
    <n v="15.475199999999999"/>
    <n v="0.25999999999999995"/>
    <n v="0"/>
  </r>
  <r>
    <n v="8498"/>
    <s v="CA-2014-169061"/>
    <d v="2014-03-05T00:00:00"/>
    <x v="2"/>
    <s v="Q1"/>
    <x v="34"/>
    <d v="2014-03-08T00:00:00"/>
    <s v="Second Class"/>
    <x v="492"/>
    <x v="492"/>
    <s v="Consumer"/>
    <s v="United States"/>
    <s v="Yonkers"/>
    <x v="15"/>
    <n v="10701"/>
    <x v="3"/>
    <x v="265"/>
    <x v="2"/>
    <x v="11"/>
    <x v="265"/>
    <n v="479.97"/>
    <s v="High"/>
    <n v="3"/>
    <n v="0"/>
    <x v="0"/>
    <x v="0"/>
    <n v="177.5889"/>
    <n v="0.37"/>
    <n v="0"/>
  </r>
  <r>
    <n v="8499"/>
    <s v="CA-2014-169061"/>
    <d v="2014-03-05T00:00:00"/>
    <x v="2"/>
    <s v="Q1"/>
    <x v="34"/>
    <d v="2014-03-08T00:00:00"/>
    <s v="Second Class"/>
    <x v="492"/>
    <x v="492"/>
    <s v="Consumer"/>
    <s v="United States"/>
    <s v="Yonkers"/>
    <x v="15"/>
    <n v="10701"/>
    <x v="3"/>
    <x v="660"/>
    <x v="1"/>
    <x v="14"/>
    <x v="660"/>
    <n v="18.62"/>
    <s v="Low"/>
    <n v="2"/>
    <n v="0"/>
    <x v="0"/>
    <x v="0"/>
    <n v="5.3997999999999999"/>
    <n v="0.28999999999999998"/>
    <n v="0"/>
  </r>
  <r>
    <n v="8500"/>
    <s v="CA-2014-169061"/>
    <d v="2014-03-05T00:00:00"/>
    <x v="2"/>
    <s v="Q1"/>
    <x v="34"/>
    <d v="2014-03-08T00:00:00"/>
    <s v="Second Class"/>
    <x v="492"/>
    <x v="492"/>
    <s v="Consumer"/>
    <s v="United States"/>
    <s v="Yonkers"/>
    <x v="15"/>
    <n v="10701"/>
    <x v="3"/>
    <x v="1339"/>
    <x v="1"/>
    <x v="8"/>
    <x v="1324"/>
    <n v="49.631999999999998"/>
    <s v="Medium"/>
    <n v="6"/>
    <n v="0.2"/>
    <x v="2"/>
    <x v="2"/>
    <n v="16.750800000000002"/>
    <n v="0.33750000000000002"/>
    <n v="0"/>
  </r>
  <r>
    <n v="8501"/>
    <s v="CA-2014-169061"/>
    <d v="2014-03-05T00:00:00"/>
    <x v="2"/>
    <s v="Q1"/>
    <x v="34"/>
    <d v="2014-03-08T00:00:00"/>
    <s v="Second Class"/>
    <x v="492"/>
    <x v="492"/>
    <s v="Consumer"/>
    <s v="United States"/>
    <s v="Yonkers"/>
    <x v="15"/>
    <n v="10701"/>
    <x v="3"/>
    <x v="1184"/>
    <x v="1"/>
    <x v="10"/>
    <x v="1170"/>
    <n v="97.82"/>
    <s v="Medium"/>
    <n v="2"/>
    <n v="0"/>
    <x v="0"/>
    <x v="0"/>
    <n v="45.9754"/>
    <n v="0.47000000000000003"/>
    <n v="0"/>
  </r>
  <r>
    <n v="8502"/>
    <s v="CA-2015-102316"/>
    <d v="2015-03-01T00:00:00"/>
    <x v="1"/>
    <s v="Q1"/>
    <x v="29"/>
    <d v="2015-03-03T00:00:00"/>
    <s v="Second Class"/>
    <x v="704"/>
    <x v="704"/>
    <s v="Corporate"/>
    <s v="United States"/>
    <s v="Los Angeles"/>
    <x v="1"/>
    <n v="90045"/>
    <x v="1"/>
    <x v="433"/>
    <x v="2"/>
    <x v="7"/>
    <x v="433"/>
    <n v="15.984"/>
    <s v="Low"/>
    <n v="2"/>
    <n v="0.2"/>
    <x v="2"/>
    <x v="2"/>
    <n v="1.1988000000000001"/>
    <n v="7.5000000000000011E-2"/>
    <n v="0"/>
  </r>
  <r>
    <n v="8503"/>
    <s v="CA-2015-102316"/>
    <d v="2015-03-01T00:00:00"/>
    <x v="1"/>
    <s v="Q1"/>
    <x v="29"/>
    <d v="2015-03-03T00:00:00"/>
    <s v="Second Class"/>
    <x v="704"/>
    <x v="704"/>
    <s v="Corporate"/>
    <s v="United States"/>
    <s v="Los Angeles"/>
    <x v="1"/>
    <n v="90045"/>
    <x v="1"/>
    <x v="389"/>
    <x v="0"/>
    <x v="1"/>
    <x v="390"/>
    <n v="184.75200000000001"/>
    <s v="High"/>
    <n v="3"/>
    <n v="0.2"/>
    <x v="2"/>
    <x v="2"/>
    <n v="-20.784600000000001"/>
    <n v="-0.1125"/>
    <n v="1"/>
  </r>
  <r>
    <n v="8504"/>
    <s v="CA-2014-164903"/>
    <d v="2014-02-20T00:00:00"/>
    <x v="2"/>
    <s v="Q1"/>
    <x v="45"/>
    <d v="2014-02-24T00:00:00"/>
    <s v="Standard Class"/>
    <x v="256"/>
    <x v="256"/>
    <s v="Home Office"/>
    <s v="United States"/>
    <s v="Los Angeles"/>
    <x v="1"/>
    <n v="90049"/>
    <x v="1"/>
    <x v="1541"/>
    <x v="1"/>
    <x v="10"/>
    <x v="1529"/>
    <n v="12.96"/>
    <s v="Low"/>
    <n v="2"/>
    <n v="0"/>
    <x v="0"/>
    <x v="0"/>
    <n v="6.2207999999999997"/>
    <n v="0.47999999999999993"/>
    <n v="0"/>
  </r>
  <r>
    <n v="8505"/>
    <s v="CA-2016-109400"/>
    <d v="2016-05-02T00:00:00"/>
    <x v="0"/>
    <s v="Q2"/>
    <x v="35"/>
    <d v="2016-05-06T00:00:00"/>
    <s v="Standard Class"/>
    <x v="749"/>
    <x v="749"/>
    <s v="Consumer"/>
    <s v="United States"/>
    <s v="Amarillo"/>
    <x v="5"/>
    <n v="79109"/>
    <x v="2"/>
    <x v="1585"/>
    <x v="0"/>
    <x v="1"/>
    <x v="1576"/>
    <n v="366.74400000000003"/>
    <s v="High"/>
    <n v="4"/>
    <n v="0.3"/>
    <x v="1"/>
    <x v="4"/>
    <n v="-110.0232"/>
    <n v="-0.3"/>
    <n v="1"/>
  </r>
  <r>
    <n v="8506"/>
    <s v="CA-2016-130400"/>
    <d v="2016-03-08T00:00:00"/>
    <x v="0"/>
    <s v="Q1"/>
    <x v="17"/>
    <d v="2016-03-12T00:00:00"/>
    <s v="Standard Class"/>
    <x v="319"/>
    <x v="319"/>
    <s v="Home Office"/>
    <s v="United States"/>
    <s v="Dallas"/>
    <x v="5"/>
    <n v="75217"/>
    <x v="2"/>
    <x v="1181"/>
    <x v="1"/>
    <x v="8"/>
    <x v="1167"/>
    <n v="8.8559999999999999"/>
    <s v="Low"/>
    <n v="9"/>
    <n v="0.8"/>
    <x v="1"/>
    <x v="3"/>
    <n v="-14.169600000000001"/>
    <n v="-1.6"/>
    <n v="1"/>
  </r>
  <r>
    <n v="8507"/>
    <s v="CA-2016-130400"/>
    <d v="2016-03-08T00:00:00"/>
    <x v="0"/>
    <s v="Q1"/>
    <x v="17"/>
    <d v="2016-03-12T00:00:00"/>
    <s v="Standard Class"/>
    <x v="319"/>
    <x v="319"/>
    <s v="Home Office"/>
    <s v="United States"/>
    <s v="Dallas"/>
    <x v="5"/>
    <n v="75217"/>
    <x v="2"/>
    <x v="60"/>
    <x v="2"/>
    <x v="11"/>
    <x v="60"/>
    <n v="27.96"/>
    <s v="Medium"/>
    <n v="5"/>
    <n v="0.2"/>
    <x v="2"/>
    <x v="2"/>
    <n v="8.3879999999999999"/>
    <n v="0.3"/>
    <n v="0"/>
  </r>
  <r>
    <n v="8508"/>
    <s v="CA-2016-130400"/>
    <d v="2016-03-08T00:00:00"/>
    <x v="0"/>
    <s v="Q1"/>
    <x v="17"/>
    <d v="2016-03-12T00:00:00"/>
    <s v="Standard Class"/>
    <x v="319"/>
    <x v="319"/>
    <s v="Home Office"/>
    <s v="United States"/>
    <s v="Dallas"/>
    <x v="5"/>
    <n v="75217"/>
    <x v="2"/>
    <x v="1697"/>
    <x v="1"/>
    <x v="12"/>
    <x v="1685"/>
    <n v="146.352"/>
    <s v="High"/>
    <n v="3"/>
    <n v="0.2"/>
    <x v="2"/>
    <x v="2"/>
    <n v="49.393799999999999"/>
    <n v="0.33749999999999997"/>
    <n v="0"/>
  </r>
  <r>
    <n v="8509"/>
    <s v="CA-2015-135853"/>
    <d v="2015-12-11T00:00:00"/>
    <x v="1"/>
    <s v="Q4"/>
    <x v="14"/>
    <d v="2015-12-14T00:00:00"/>
    <s v="First Class"/>
    <x v="222"/>
    <x v="222"/>
    <s v="Consumer"/>
    <s v="United States"/>
    <s v="Detroit"/>
    <x v="12"/>
    <n v="48205"/>
    <x v="2"/>
    <x v="788"/>
    <x v="2"/>
    <x v="11"/>
    <x v="786"/>
    <n v="175.23"/>
    <s v="High"/>
    <n v="11"/>
    <n v="0"/>
    <x v="0"/>
    <x v="0"/>
    <n v="61.330500000000001"/>
    <n v="0.35000000000000003"/>
    <n v="0"/>
  </r>
  <r>
    <n v="8510"/>
    <s v="CA-2015-135853"/>
    <d v="2015-12-11T00:00:00"/>
    <x v="1"/>
    <s v="Q4"/>
    <x v="14"/>
    <d v="2015-12-14T00:00:00"/>
    <s v="First Class"/>
    <x v="222"/>
    <x v="222"/>
    <s v="Consumer"/>
    <s v="United States"/>
    <s v="Detroit"/>
    <x v="12"/>
    <n v="48205"/>
    <x v="2"/>
    <x v="1419"/>
    <x v="2"/>
    <x v="7"/>
    <x v="1407"/>
    <n v="125.99"/>
    <s v="High"/>
    <n v="1"/>
    <n v="0"/>
    <x v="0"/>
    <x v="0"/>
    <n v="31.497499999999999"/>
    <n v="0.25"/>
    <n v="0"/>
  </r>
  <r>
    <n v="8511"/>
    <s v="CA-2015-135853"/>
    <d v="2015-12-11T00:00:00"/>
    <x v="1"/>
    <s v="Q4"/>
    <x v="14"/>
    <d v="2015-12-14T00:00:00"/>
    <s v="First Class"/>
    <x v="222"/>
    <x v="222"/>
    <s v="Consumer"/>
    <s v="United States"/>
    <s v="Detroit"/>
    <x v="12"/>
    <n v="48205"/>
    <x v="2"/>
    <x v="1023"/>
    <x v="1"/>
    <x v="8"/>
    <x v="1014"/>
    <n v="23"/>
    <s v="Low"/>
    <n v="2"/>
    <n v="0"/>
    <x v="0"/>
    <x v="0"/>
    <n v="10.35"/>
    <n v="0.45"/>
    <n v="0"/>
  </r>
  <r>
    <n v="8512"/>
    <s v="CA-2016-103359"/>
    <d v="2016-12-22T00:00:00"/>
    <x v="0"/>
    <s v="Q4"/>
    <x v="5"/>
    <d v="2016-12-26T00:00:00"/>
    <s v="Standard Class"/>
    <x v="62"/>
    <x v="62"/>
    <s v="Consumer"/>
    <s v="United States"/>
    <s v="New York City"/>
    <x v="15"/>
    <n v="10035"/>
    <x v="3"/>
    <x v="1399"/>
    <x v="1"/>
    <x v="8"/>
    <x v="1386"/>
    <n v="25.584"/>
    <s v="Medium"/>
    <n v="2"/>
    <n v="0.2"/>
    <x v="2"/>
    <x v="2"/>
    <n v="8.9543999999999997"/>
    <n v="0.35"/>
    <n v="0"/>
  </r>
  <r>
    <n v="8513"/>
    <s v="CA-2016-144645"/>
    <d v="2016-02-02T00:00:00"/>
    <x v="0"/>
    <s v="Q1"/>
    <x v="47"/>
    <d v="2016-02-08T00:00:00"/>
    <s v="Standard Class"/>
    <x v="374"/>
    <x v="374"/>
    <s v="Corporate"/>
    <s v="United States"/>
    <s v="Houston"/>
    <x v="5"/>
    <n v="77041"/>
    <x v="2"/>
    <x v="737"/>
    <x v="0"/>
    <x v="5"/>
    <x v="736"/>
    <n v="73.784000000000006"/>
    <s v="Medium"/>
    <n v="2"/>
    <n v="0.6"/>
    <x v="1"/>
    <x v="6"/>
    <n v="-77.473200000000006"/>
    <n v="-1.05"/>
    <n v="1"/>
  </r>
  <r>
    <n v="8514"/>
    <s v="CA-2017-141614"/>
    <d v="2017-06-05T00:00:00"/>
    <x v="3"/>
    <s v="Q2"/>
    <x v="27"/>
    <d v="2017-06-09T00:00:00"/>
    <s v="Standard Class"/>
    <x v="374"/>
    <x v="374"/>
    <s v="Corporate"/>
    <s v="United States"/>
    <s v="Orlando"/>
    <x v="2"/>
    <n v="32839"/>
    <x v="0"/>
    <x v="1290"/>
    <x v="1"/>
    <x v="10"/>
    <x v="1276"/>
    <n v="20.736000000000001"/>
    <s v="Low"/>
    <n v="4"/>
    <n v="0.2"/>
    <x v="2"/>
    <x v="2"/>
    <n v="7.2576000000000001"/>
    <n v="0.35"/>
    <n v="0"/>
  </r>
  <r>
    <n v="8515"/>
    <s v="CA-2015-122168"/>
    <d v="2015-08-21T00:00:00"/>
    <x v="1"/>
    <s v="Q3"/>
    <x v="37"/>
    <d v="2015-08-26T00:00:00"/>
    <s v="Standard Class"/>
    <x v="428"/>
    <x v="428"/>
    <s v="Corporate"/>
    <s v="United States"/>
    <s v="Florence"/>
    <x v="0"/>
    <n v="41042"/>
    <x v="0"/>
    <x v="241"/>
    <x v="1"/>
    <x v="6"/>
    <x v="242"/>
    <n v="17.52"/>
    <s v="Low"/>
    <n v="3"/>
    <n v="0"/>
    <x v="0"/>
    <x v="0"/>
    <n v="8.2344000000000008"/>
    <n v="0.47000000000000008"/>
    <n v="0"/>
  </r>
  <r>
    <n v="8516"/>
    <s v="CA-2015-122168"/>
    <d v="2015-08-21T00:00:00"/>
    <x v="1"/>
    <s v="Q3"/>
    <x v="37"/>
    <d v="2015-08-26T00:00:00"/>
    <s v="Standard Class"/>
    <x v="428"/>
    <x v="428"/>
    <s v="Corporate"/>
    <s v="United States"/>
    <s v="Florence"/>
    <x v="0"/>
    <n v="41042"/>
    <x v="0"/>
    <x v="79"/>
    <x v="1"/>
    <x v="6"/>
    <x v="79"/>
    <n v="35.76"/>
    <s v="Medium"/>
    <n v="12"/>
    <n v="0"/>
    <x v="0"/>
    <x v="0"/>
    <n v="10.0128"/>
    <n v="0.28000000000000003"/>
    <n v="0"/>
  </r>
  <r>
    <n v="8517"/>
    <s v="CA-2016-132899"/>
    <d v="2016-04-07T00:00:00"/>
    <x v="0"/>
    <s v="Q2"/>
    <x v="25"/>
    <d v="2016-04-11T00:00:00"/>
    <s v="Standard Class"/>
    <x v="227"/>
    <x v="227"/>
    <s v="Consumer"/>
    <s v="United States"/>
    <s v="New York City"/>
    <x v="15"/>
    <n v="10009"/>
    <x v="3"/>
    <x v="6"/>
    <x v="1"/>
    <x v="6"/>
    <x v="6"/>
    <n v="3.64"/>
    <s v="Low"/>
    <n v="2"/>
    <n v="0"/>
    <x v="0"/>
    <x v="0"/>
    <n v="0.98280000000000001"/>
    <n v="0.27"/>
    <n v="0"/>
  </r>
  <r>
    <n v="8518"/>
    <s v="CA-2017-149720"/>
    <d v="2017-06-04T00:00:00"/>
    <x v="3"/>
    <s v="Q2"/>
    <x v="27"/>
    <d v="2017-06-07T00:00:00"/>
    <s v="Second Class"/>
    <x v="191"/>
    <x v="191"/>
    <s v="Consumer"/>
    <s v="United States"/>
    <s v="Frisco"/>
    <x v="5"/>
    <n v="75034"/>
    <x v="2"/>
    <x v="1308"/>
    <x v="0"/>
    <x v="5"/>
    <x v="1293"/>
    <n v="30.335999999999999"/>
    <s v="Medium"/>
    <n v="6"/>
    <n v="0.6"/>
    <x v="1"/>
    <x v="6"/>
    <n v="-17.443200000000001"/>
    <n v="-0.57500000000000007"/>
    <n v="1"/>
  </r>
  <r>
    <n v="8519"/>
    <s v="CA-2017-118003"/>
    <d v="2017-12-04T00:00:00"/>
    <x v="3"/>
    <s v="Q4"/>
    <x v="22"/>
    <d v="2017-12-10T00:00:00"/>
    <s v="Standard Class"/>
    <x v="770"/>
    <x v="770"/>
    <s v="Consumer"/>
    <s v="United States"/>
    <s v="Paterson"/>
    <x v="30"/>
    <n v="7501"/>
    <x v="3"/>
    <x v="1823"/>
    <x v="0"/>
    <x v="5"/>
    <x v="1811"/>
    <n v="12.99"/>
    <s v="Low"/>
    <n v="1"/>
    <n v="0"/>
    <x v="0"/>
    <x v="0"/>
    <n v="1.5588"/>
    <n v="0.12"/>
    <n v="0"/>
  </r>
  <r>
    <n v="8520"/>
    <s v="CA-2017-118003"/>
    <d v="2017-12-04T00:00:00"/>
    <x v="3"/>
    <s v="Q4"/>
    <x v="22"/>
    <d v="2017-12-10T00:00:00"/>
    <s v="Standard Class"/>
    <x v="770"/>
    <x v="770"/>
    <s v="Consumer"/>
    <s v="United States"/>
    <s v="Paterson"/>
    <x v="30"/>
    <n v="7501"/>
    <x v="3"/>
    <x v="163"/>
    <x v="0"/>
    <x v="1"/>
    <x v="164"/>
    <n v="182.22"/>
    <s v="High"/>
    <n v="3"/>
    <n v="0"/>
    <x v="0"/>
    <x v="0"/>
    <n v="45.555"/>
    <n v="0.25"/>
    <n v="0"/>
  </r>
  <r>
    <n v="8521"/>
    <s v="CA-2017-118003"/>
    <d v="2017-12-04T00:00:00"/>
    <x v="3"/>
    <s v="Q4"/>
    <x v="22"/>
    <d v="2017-12-10T00:00:00"/>
    <s v="Standard Class"/>
    <x v="770"/>
    <x v="770"/>
    <s v="Consumer"/>
    <s v="United States"/>
    <s v="Paterson"/>
    <x v="30"/>
    <n v="7501"/>
    <x v="3"/>
    <x v="211"/>
    <x v="0"/>
    <x v="1"/>
    <x v="212"/>
    <n v="302.94"/>
    <s v="High"/>
    <n v="3"/>
    <n v="0"/>
    <x v="0"/>
    <x v="0"/>
    <n v="18.176400000000001"/>
    <n v="6.0000000000000005E-2"/>
    <n v="0"/>
  </r>
  <r>
    <n v="8522"/>
    <s v="CA-2016-141887"/>
    <d v="2016-01-11T00:00:00"/>
    <x v="0"/>
    <s v="Q1"/>
    <x v="12"/>
    <d v="2016-01-15T00:00:00"/>
    <s v="Standard Class"/>
    <x v="88"/>
    <x v="88"/>
    <s v="Home Office"/>
    <s v="United States"/>
    <s v="Columbus"/>
    <x v="24"/>
    <n v="43229"/>
    <x v="3"/>
    <x v="875"/>
    <x v="0"/>
    <x v="5"/>
    <x v="869"/>
    <n v="54.991999999999997"/>
    <s v="Medium"/>
    <n v="14"/>
    <n v="0.2"/>
    <x v="2"/>
    <x v="2"/>
    <n v="8.9361999999999995"/>
    <n v="0.16250000000000001"/>
    <n v="0"/>
  </r>
  <r>
    <n v="8523"/>
    <s v="US-2016-160206"/>
    <d v="2016-04-01T00:00:00"/>
    <x v="0"/>
    <s v="Q2"/>
    <x v="25"/>
    <d v="2016-04-07T00:00:00"/>
    <s v="Standard Class"/>
    <x v="501"/>
    <x v="501"/>
    <s v="Corporate"/>
    <s v="United States"/>
    <s v="Milwaukee"/>
    <x v="6"/>
    <n v="53209"/>
    <x v="2"/>
    <x v="780"/>
    <x v="2"/>
    <x v="7"/>
    <x v="779"/>
    <n v="12.99"/>
    <s v="Low"/>
    <n v="1"/>
    <n v="0"/>
    <x v="0"/>
    <x v="0"/>
    <n v="0.25979999999999998"/>
    <n v="1.9999999999999997E-2"/>
    <n v="0"/>
  </r>
  <r>
    <n v="8524"/>
    <s v="CA-2017-133074"/>
    <d v="2017-09-21T00:00:00"/>
    <x v="3"/>
    <s v="Q3"/>
    <x v="15"/>
    <d v="2017-09-25T00:00:00"/>
    <s v="Standard Class"/>
    <x v="140"/>
    <x v="140"/>
    <s v="Consumer"/>
    <s v="United States"/>
    <s v="San Francisco"/>
    <x v="1"/>
    <n v="94109"/>
    <x v="1"/>
    <x v="226"/>
    <x v="1"/>
    <x v="10"/>
    <x v="227"/>
    <n v="55.86"/>
    <s v="Medium"/>
    <n v="7"/>
    <n v="0"/>
    <x v="0"/>
    <x v="0"/>
    <n v="27.93"/>
    <n v="0.5"/>
    <n v="0"/>
  </r>
  <r>
    <n v="8525"/>
    <s v="CA-2017-161172"/>
    <d v="2017-03-16T00:00:00"/>
    <x v="3"/>
    <s v="Q1"/>
    <x v="42"/>
    <d v="2017-03-16T00:00:00"/>
    <s v="Same Day"/>
    <x v="727"/>
    <x v="727"/>
    <s v="Consumer"/>
    <s v="United States"/>
    <s v="Columbus"/>
    <x v="24"/>
    <n v="43229"/>
    <x v="3"/>
    <x v="995"/>
    <x v="2"/>
    <x v="7"/>
    <x v="987"/>
    <n v="44.375999999999998"/>
    <s v="Medium"/>
    <n v="2"/>
    <n v="0.4"/>
    <x v="1"/>
    <x v="7"/>
    <n v="-7.3959999999999999"/>
    <n v="-0.16666666666666669"/>
    <n v="1"/>
  </r>
  <r>
    <n v="8526"/>
    <s v="CA-2017-161172"/>
    <d v="2017-03-16T00:00:00"/>
    <x v="3"/>
    <s v="Q1"/>
    <x v="42"/>
    <d v="2017-03-16T00:00:00"/>
    <s v="Same Day"/>
    <x v="727"/>
    <x v="727"/>
    <s v="Consumer"/>
    <s v="United States"/>
    <s v="Columbus"/>
    <x v="24"/>
    <n v="43229"/>
    <x v="3"/>
    <x v="1680"/>
    <x v="0"/>
    <x v="5"/>
    <x v="1668"/>
    <n v="51.264000000000003"/>
    <s v="Medium"/>
    <n v="6"/>
    <n v="0.2"/>
    <x v="2"/>
    <x v="2"/>
    <n v="7.6896000000000004"/>
    <n v="0.15"/>
    <n v="0"/>
  </r>
  <r>
    <n v="8527"/>
    <s v="CA-2017-161172"/>
    <d v="2017-03-16T00:00:00"/>
    <x v="3"/>
    <s v="Q1"/>
    <x v="42"/>
    <d v="2017-03-16T00:00:00"/>
    <s v="Same Day"/>
    <x v="727"/>
    <x v="727"/>
    <s v="Consumer"/>
    <s v="United States"/>
    <s v="Columbus"/>
    <x v="24"/>
    <n v="43229"/>
    <x v="3"/>
    <x v="68"/>
    <x v="1"/>
    <x v="8"/>
    <x v="68"/>
    <n v="5.1929999999999996"/>
    <s v="Low"/>
    <n v="3"/>
    <n v="0.7"/>
    <x v="1"/>
    <x v="5"/>
    <n v="-3.4620000000000002"/>
    <n v="-0.66666666666666674"/>
    <n v="1"/>
  </r>
  <r>
    <n v="8528"/>
    <s v="CA-2017-161172"/>
    <d v="2017-03-16T00:00:00"/>
    <x v="3"/>
    <s v="Q1"/>
    <x v="42"/>
    <d v="2017-03-16T00:00:00"/>
    <s v="Same Day"/>
    <x v="727"/>
    <x v="727"/>
    <s v="Consumer"/>
    <s v="United States"/>
    <s v="Columbus"/>
    <x v="24"/>
    <n v="43229"/>
    <x v="3"/>
    <x v="409"/>
    <x v="2"/>
    <x v="11"/>
    <x v="409"/>
    <n v="159.98400000000001"/>
    <s v="High"/>
    <n v="2"/>
    <n v="0.2"/>
    <x v="2"/>
    <x v="2"/>
    <n v="43.995600000000003"/>
    <n v="0.27500000000000002"/>
    <n v="0"/>
  </r>
  <r>
    <n v="8529"/>
    <s v="CA-2017-161172"/>
    <d v="2017-03-16T00:00:00"/>
    <x v="3"/>
    <s v="Q1"/>
    <x v="42"/>
    <d v="2017-03-16T00:00:00"/>
    <s v="Same Day"/>
    <x v="727"/>
    <x v="727"/>
    <s v="Consumer"/>
    <s v="United States"/>
    <s v="Columbus"/>
    <x v="24"/>
    <n v="43229"/>
    <x v="3"/>
    <x v="298"/>
    <x v="1"/>
    <x v="4"/>
    <x v="298"/>
    <n v="54.223999999999997"/>
    <s v="Medium"/>
    <n v="2"/>
    <n v="0.2"/>
    <x v="2"/>
    <x v="2"/>
    <n v="3.3889999999999998"/>
    <n v="6.25E-2"/>
    <n v="0"/>
  </r>
  <r>
    <n v="8530"/>
    <s v="CA-2017-137624"/>
    <d v="2017-11-10T00:00:00"/>
    <x v="3"/>
    <s v="Q4"/>
    <x v="23"/>
    <d v="2017-11-17T00:00:00"/>
    <s v="Standard Class"/>
    <x v="467"/>
    <x v="467"/>
    <s v="Home Office"/>
    <s v="United States"/>
    <s v="Los Angeles"/>
    <x v="1"/>
    <n v="90008"/>
    <x v="1"/>
    <x v="1318"/>
    <x v="0"/>
    <x v="1"/>
    <x v="1304"/>
    <n v="241.42400000000001"/>
    <s v="High"/>
    <n v="2"/>
    <n v="0.2"/>
    <x v="2"/>
    <x v="2"/>
    <n v="-36.2136"/>
    <n v="-0.15"/>
    <n v="1"/>
  </r>
  <r>
    <n v="8531"/>
    <s v="CA-2016-156748"/>
    <d v="2016-11-30T00:00:00"/>
    <x v="0"/>
    <s v="Q4"/>
    <x v="0"/>
    <d v="2016-12-06T00:00:00"/>
    <s v="Standard Class"/>
    <x v="94"/>
    <x v="94"/>
    <s v="Consumer"/>
    <s v="United States"/>
    <s v="Detroit"/>
    <x v="12"/>
    <n v="48227"/>
    <x v="2"/>
    <x v="1305"/>
    <x v="1"/>
    <x v="10"/>
    <x v="1290"/>
    <n v="33.36"/>
    <s v="Medium"/>
    <n v="4"/>
    <n v="0"/>
    <x v="0"/>
    <x v="0"/>
    <n v="16.68"/>
    <n v="0.5"/>
    <n v="0"/>
  </r>
  <r>
    <n v="8532"/>
    <s v="CA-2016-156748"/>
    <d v="2016-11-30T00:00:00"/>
    <x v="0"/>
    <s v="Q4"/>
    <x v="0"/>
    <d v="2016-12-06T00:00:00"/>
    <s v="Standard Class"/>
    <x v="94"/>
    <x v="94"/>
    <s v="Consumer"/>
    <s v="United States"/>
    <s v="Detroit"/>
    <x v="12"/>
    <n v="48227"/>
    <x v="2"/>
    <x v="320"/>
    <x v="1"/>
    <x v="10"/>
    <x v="320"/>
    <n v="13.76"/>
    <s v="Low"/>
    <n v="2"/>
    <n v="0"/>
    <x v="0"/>
    <x v="0"/>
    <n v="6.3296000000000001"/>
    <n v="0.46"/>
    <n v="0"/>
  </r>
  <r>
    <n v="8533"/>
    <s v="CA-2016-156748"/>
    <d v="2016-11-30T00:00:00"/>
    <x v="0"/>
    <s v="Q4"/>
    <x v="0"/>
    <d v="2016-12-06T00:00:00"/>
    <s v="Standard Class"/>
    <x v="94"/>
    <x v="94"/>
    <s v="Consumer"/>
    <s v="United States"/>
    <s v="Detroit"/>
    <x v="12"/>
    <n v="48227"/>
    <x v="2"/>
    <x v="1043"/>
    <x v="1"/>
    <x v="4"/>
    <x v="1032"/>
    <n v="496.86"/>
    <s v="High"/>
    <n v="7"/>
    <n v="0"/>
    <x v="0"/>
    <x v="0"/>
    <n v="24.843"/>
    <n v="4.9999999999999996E-2"/>
    <n v="0"/>
  </r>
  <r>
    <n v="8534"/>
    <s v="CA-2016-156748"/>
    <d v="2016-11-30T00:00:00"/>
    <x v="0"/>
    <s v="Q4"/>
    <x v="0"/>
    <d v="2016-12-06T00:00:00"/>
    <s v="Standard Class"/>
    <x v="94"/>
    <x v="94"/>
    <s v="Consumer"/>
    <s v="United States"/>
    <s v="Detroit"/>
    <x v="12"/>
    <n v="48227"/>
    <x v="2"/>
    <x v="70"/>
    <x v="0"/>
    <x v="1"/>
    <x v="70"/>
    <n v="389.97"/>
    <s v="High"/>
    <n v="3"/>
    <n v="0"/>
    <x v="0"/>
    <x v="0"/>
    <n v="35.097299999999997"/>
    <n v="8.9999999999999983E-2"/>
    <n v="0"/>
  </r>
  <r>
    <n v="8535"/>
    <s v="CA-2015-169677"/>
    <d v="2015-01-13T00:00:00"/>
    <x v="1"/>
    <s v="Q1"/>
    <x v="26"/>
    <d v="2015-01-15T00:00:00"/>
    <s v="Second Class"/>
    <x v="754"/>
    <x v="754"/>
    <s v="Corporate"/>
    <s v="United States"/>
    <s v="Columbus"/>
    <x v="32"/>
    <n v="31907"/>
    <x v="0"/>
    <x v="607"/>
    <x v="1"/>
    <x v="2"/>
    <x v="607"/>
    <n v="9.82"/>
    <s v="Low"/>
    <n v="2"/>
    <n v="0"/>
    <x v="0"/>
    <x v="0"/>
    <n v="4.8117999999999999"/>
    <n v="0.49"/>
    <n v="0"/>
  </r>
  <r>
    <n v="8536"/>
    <s v="US-2014-163146"/>
    <d v="2014-05-16T00:00:00"/>
    <x v="2"/>
    <s v="Q2"/>
    <x v="8"/>
    <d v="2014-05-20T00:00:00"/>
    <s v="Standard Class"/>
    <x v="693"/>
    <x v="693"/>
    <s v="Consumer"/>
    <s v="United States"/>
    <s v="San Francisco"/>
    <x v="1"/>
    <n v="94122"/>
    <x v="1"/>
    <x v="1202"/>
    <x v="2"/>
    <x v="11"/>
    <x v="1187"/>
    <n v="56.4"/>
    <s v="Medium"/>
    <n v="3"/>
    <n v="0"/>
    <x v="0"/>
    <x v="0"/>
    <n v="3.3839999999999999"/>
    <n v="0.06"/>
    <n v="0"/>
  </r>
  <r>
    <n v="8537"/>
    <s v="CA-2015-157343"/>
    <d v="2015-06-07T00:00:00"/>
    <x v="1"/>
    <s v="Q2"/>
    <x v="40"/>
    <d v="2015-06-11T00:00:00"/>
    <s v="Standard Class"/>
    <x v="787"/>
    <x v="787"/>
    <s v="Home Office"/>
    <s v="United States"/>
    <s v="Philadelphia"/>
    <x v="9"/>
    <n v="19143"/>
    <x v="3"/>
    <x v="785"/>
    <x v="1"/>
    <x v="8"/>
    <x v="784"/>
    <n v="18.312000000000001"/>
    <s v="Low"/>
    <n v="4"/>
    <n v="0.7"/>
    <x v="1"/>
    <x v="5"/>
    <n v="-12.208"/>
    <n v="-0.66666666666666663"/>
    <n v="1"/>
  </r>
  <r>
    <n v="8538"/>
    <s v="CA-2015-157343"/>
    <d v="2015-06-07T00:00:00"/>
    <x v="1"/>
    <s v="Q2"/>
    <x v="40"/>
    <d v="2015-06-11T00:00:00"/>
    <s v="Standard Class"/>
    <x v="787"/>
    <x v="787"/>
    <s v="Home Office"/>
    <s v="United States"/>
    <s v="Philadelphia"/>
    <x v="9"/>
    <n v="19143"/>
    <x v="3"/>
    <x v="1553"/>
    <x v="1"/>
    <x v="10"/>
    <x v="1541"/>
    <n v="25.92"/>
    <s v="Medium"/>
    <n v="5"/>
    <n v="0.2"/>
    <x v="2"/>
    <x v="2"/>
    <n v="9.0719999999999992"/>
    <n v="0.34999999999999992"/>
    <n v="0"/>
  </r>
  <r>
    <n v="8539"/>
    <s v="CA-2015-157343"/>
    <d v="2015-06-07T00:00:00"/>
    <x v="1"/>
    <s v="Q2"/>
    <x v="40"/>
    <d v="2015-06-11T00:00:00"/>
    <s v="Standard Class"/>
    <x v="787"/>
    <x v="787"/>
    <s v="Home Office"/>
    <s v="United States"/>
    <s v="Philadelphia"/>
    <x v="9"/>
    <n v="19143"/>
    <x v="3"/>
    <x v="1412"/>
    <x v="1"/>
    <x v="6"/>
    <x v="1399"/>
    <n v="8.016"/>
    <s v="Low"/>
    <n v="3"/>
    <n v="0.2"/>
    <x v="2"/>
    <x v="2"/>
    <n v="1.002"/>
    <n v="0.125"/>
    <n v="0"/>
  </r>
  <r>
    <n v="8540"/>
    <s v="CA-2017-147354"/>
    <d v="2017-03-09T00:00:00"/>
    <x v="3"/>
    <s v="Q1"/>
    <x v="42"/>
    <d v="2017-03-13T00:00:00"/>
    <s v="Standard Class"/>
    <x v="41"/>
    <x v="41"/>
    <s v="Consumer"/>
    <s v="United States"/>
    <s v="Los Angeles"/>
    <x v="1"/>
    <n v="90008"/>
    <x v="1"/>
    <x v="1327"/>
    <x v="2"/>
    <x v="16"/>
    <x v="1313"/>
    <n v="479.98399999999998"/>
    <s v="High"/>
    <n v="2"/>
    <n v="0.2"/>
    <x v="2"/>
    <x v="2"/>
    <n v="59.997999999999998"/>
    <n v="0.125"/>
    <n v="0"/>
  </r>
  <r>
    <n v="8541"/>
    <s v="CA-2017-147354"/>
    <d v="2017-03-09T00:00:00"/>
    <x v="3"/>
    <s v="Q1"/>
    <x v="42"/>
    <d v="2017-03-13T00:00:00"/>
    <s v="Standard Class"/>
    <x v="41"/>
    <x v="41"/>
    <s v="Consumer"/>
    <s v="United States"/>
    <s v="Los Angeles"/>
    <x v="1"/>
    <n v="90008"/>
    <x v="1"/>
    <x v="8"/>
    <x v="1"/>
    <x v="8"/>
    <x v="8"/>
    <n v="30.84"/>
    <s v="Medium"/>
    <n v="5"/>
    <n v="0.2"/>
    <x v="2"/>
    <x v="2"/>
    <n v="9.6374999999999993"/>
    <n v="0.3125"/>
    <n v="0"/>
  </r>
  <r>
    <n v="8542"/>
    <s v="CA-2015-157287"/>
    <d v="2015-12-22T00:00:00"/>
    <x v="1"/>
    <s v="Q4"/>
    <x v="14"/>
    <d v="2015-12-23T00:00:00"/>
    <s v="First Class"/>
    <x v="403"/>
    <x v="403"/>
    <s v="Corporate"/>
    <s v="United States"/>
    <s v="Philadelphia"/>
    <x v="9"/>
    <n v="19140"/>
    <x v="3"/>
    <x v="1222"/>
    <x v="1"/>
    <x v="4"/>
    <x v="1206"/>
    <n v="33.567999999999998"/>
    <s v="Medium"/>
    <n v="2"/>
    <n v="0.2"/>
    <x v="2"/>
    <x v="2"/>
    <n v="1.6783999999999999"/>
    <n v="0.05"/>
    <n v="0"/>
  </r>
  <r>
    <n v="8543"/>
    <s v="CA-2015-157287"/>
    <d v="2015-12-22T00:00:00"/>
    <x v="1"/>
    <s v="Q4"/>
    <x v="14"/>
    <d v="2015-12-23T00:00:00"/>
    <s v="First Class"/>
    <x v="403"/>
    <x v="403"/>
    <s v="Corporate"/>
    <s v="United States"/>
    <s v="Philadelphia"/>
    <x v="9"/>
    <n v="19140"/>
    <x v="3"/>
    <x v="866"/>
    <x v="0"/>
    <x v="1"/>
    <x v="860"/>
    <n v="422.625"/>
    <s v="High"/>
    <n v="7"/>
    <n v="0.3"/>
    <x v="1"/>
    <x v="4"/>
    <n v="0"/>
    <n v="0"/>
    <n v="0"/>
  </r>
  <r>
    <n v="8544"/>
    <s v="CA-2014-137575"/>
    <d v="2014-08-06T00:00:00"/>
    <x v="2"/>
    <s v="Q3"/>
    <x v="9"/>
    <d v="2014-08-11T00:00:00"/>
    <s v="Standard Class"/>
    <x v="577"/>
    <x v="577"/>
    <s v="Consumer"/>
    <s v="United States"/>
    <s v="New York City"/>
    <x v="15"/>
    <n v="10035"/>
    <x v="3"/>
    <x v="409"/>
    <x v="2"/>
    <x v="11"/>
    <x v="409"/>
    <n v="199.98"/>
    <s v="High"/>
    <n v="2"/>
    <n v="0"/>
    <x v="0"/>
    <x v="0"/>
    <n v="83.991600000000005"/>
    <n v="0.42000000000000004"/>
    <n v="0"/>
  </r>
  <r>
    <n v="8545"/>
    <s v="CA-2016-119074"/>
    <d v="2016-03-27T00:00:00"/>
    <x v="0"/>
    <s v="Q1"/>
    <x v="17"/>
    <d v="2016-03-31T00:00:00"/>
    <s v="Standard Class"/>
    <x v="103"/>
    <x v="103"/>
    <s v="Corporate"/>
    <s v="United States"/>
    <s v="Columbus"/>
    <x v="32"/>
    <n v="31907"/>
    <x v="0"/>
    <x v="1653"/>
    <x v="0"/>
    <x v="5"/>
    <x v="1642"/>
    <n v="20.239999999999998"/>
    <s v="Low"/>
    <n v="1"/>
    <n v="0"/>
    <x v="0"/>
    <x v="0"/>
    <n v="8.7032000000000007"/>
    <n v="0.43000000000000005"/>
    <n v="0"/>
  </r>
  <r>
    <n v="8546"/>
    <s v="CA-2016-119074"/>
    <d v="2016-03-27T00:00:00"/>
    <x v="0"/>
    <s v="Q1"/>
    <x v="17"/>
    <d v="2016-03-31T00:00:00"/>
    <s v="Standard Class"/>
    <x v="103"/>
    <x v="103"/>
    <s v="Corporate"/>
    <s v="United States"/>
    <s v="Columbus"/>
    <x v="32"/>
    <n v="31907"/>
    <x v="0"/>
    <x v="1611"/>
    <x v="0"/>
    <x v="5"/>
    <x v="1602"/>
    <n v="39.92"/>
    <s v="Medium"/>
    <n v="4"/>
    <n v="0"/>
    <x v="0"/>
    <x v="0"/>
    <n v="11.1776"/>
    <n v="0.27999999999999997"/>
    <n v="0"/>
  </r>
  <r>
    <n v="8547"/>
    <s v="CA-2016-119074"/>
    <d v="2016-03-27T00:00:00"/>
    <x v="0"/>
    <s v="Q1"/>
    <x v="17"/>
    <d v="2016-03-31T00:00:00"/>
    <s v="Standard Class"/>
    <x v="103"/>
    <x v="103"/>
    <s v="Corporate"/>
    <s v="United States"/>
    <s v="Columbus"/>
    <x v="32"/>
    <n v="31907"/>
    <x v="0"/>
    <x v="1526"/>
    <x v="1"/>
    <x v="8"/>
    <x v="1513"/>
    <n v="32.54"/>
    <s v="Medium"/>
    <n v="2"/>
    <n v="0"/>
    <x v="0"/>
    <x v="0"/>
    <n v="15.944599999999999"/>
    <n v="0.49"/>
    <n v="0"/>
  </r>
  <r>
    <n v="8548"/>
    <s v="CA-2015-149566"/>
    <d v="2015-12-05T00:00:00"/>
    <x v="1"/>
    <s v="Q4"/>
    <x v="14"/>
    <d v="2015-12-10T00:00:00"/>
    <s v="Standard Class"/>
    <x v="334"/>
    <x v="334"/>
    <s v="Corporate"/>
    <s v="United States"/>
    <s v="Los Angeles"/>
    <x v="1"/>
    <n v="90049"/>
    <x v="1"/>
    <x v="197"/>
    <x v="2"/>
    <x v="11"/>
    <x v="198"/>
    <n v="39"/>
    <s v="Medium"/>
    <n v="3"/>
    <n v="0"/>
    <x v="0"/>
    <x v="0"/>
    <n v="17.55"/>
    <n v="0.45"/>
    <n v="0"/>
  </r>
  <r>
    <n v="8549"/>
    <s v="CA-2015-149566"/>
    <d v="2015-12-05T00:00:00"/>
    <x v="1"/>
    <s v="Q4"/>
    <x v="14"/>
    <d v="2015-12-10T00:00:00"/>
    <s v="Standard Class"/>
    <x v="334"/>
    <x v="334"/>
    <s v="Corporate"/>
    <s v="United States"/>
    <s v="Los Angeles"/>
    <x v="1"/>
    <n v="90049"/>
    <x v="1"/>
    <x v="816"/>
    <x v="1"/>
    <x v="2"/>
    <x v="812"/>
    <n v="12.6"/>
    <s v="Low"/>
    <n v="4"/>
    <n v="0"/>
    <x v="0"/>
    <x v="0"/>
    <n v="6.048"/>
    <n v="0.48000000000000004"/>
    <n v="0"/>
  </r>
  <r>
    <n v="8550"/>
    <s v="CA-2015-126186"/>
    <d v="2015-09-11T00:00:00"/>
    <x v="1"/>
    <s v="Q3"/>
    <x v="11"/>
    <d v="2015-09-12T00:00:00"/>
    <s v="First Class"/>
    <x v="334"/>
    <x v="334"/>
    <s v="Corporate"/>
    <s v="United States"/>
    <s v="Aurora"/>
    <x v="22"/>
    <n v="80013"/>
    <x v="1"/>
    <x v="442"/>
    <x v="0"/>
    <x v="5"/>
    <x v="442"/>
    <n v="24.64"/>
    <s v="Low"/>
    <n v="4"/>
    <n v="0.2"/>
    <x v="2"/>
    <x v="2"/>
    <n v="4.0039999999999996"/>
    <n v="0.16249999999999998"/>
    <n v="0"/>
  </r>
  <r>
    <n v="8551"/>
    <s v="CA-2015-121132"/>
    <d v="2015-07-17T00:00:00"/>
    <x v="1"/>
    <s v="Q3"/>
    <x v="38"/>
    <d v="2015-07-24T00:00:00"/>
    <s v="Standard Class"/>
    <x v="146"/>
    <x v="146"/>
    <s v="Corporate"/>
    <s v="United States"/>
    <s v="Houston"/>
    <x v="5"/>
    <n v="77041"/>
    <x v="2"/>
    <x v="1796"/>
    <x v="1"/>
    <x v="2"/>
    <x v="1786"/>
    <n v="6.2640000000000002"/>
    <s v="Low"/>
    <n v="3"/>
    <n v="0.2"/>
    <x v="2"/>
    <x v="2"/>
    <n v="2.0358000000000001"/>
    <n v="0.32500000000000001"/>
    <n v="0"/>
  </r>
  <r>
    <n v="8552"/>
    <s v="CA-2015-121132"/>
    <d v="2015-07-17T00:00:00"/>
    <x v="1"/>
    <s v="Q3"/>
    <x v="38"/>
    <d v="2015-07-24T00:00:00"/>
    <s v="Standard Class"/>
    <x v="146"/>
    <x v="146"/>
    <s v="Corporate"/>
    <s v="United States"/>
    <s v="Houston"/>
    <x v="5"/>
    <n v="77041"/>
    <x v="2"/>
    <x v="485"/>
    <x v="1"/>
    <x v="13"/>
    <x v="485"/>
    <n v="14.432"/>
    <s v="Low"/>
    <n v="4"/>
    <n v="0.2"/>
    <x v="2"/>
    <x v="2"/>
    <n v="3.4276"/>
    <n v="0.23749999999999999"/>
    <n v="0"/>
  </r>
  <r>
    <n v="8553"/>
    <s v="CA-2014-140473"/>
    <d v="2014-05-30T00:00:00"/>
    <x v="2"/>
    <s v="Q2"/>
    <x v="8"/>
    <d v="2014-06-03T00:00:00"/>
    <s v="Standard Class"/>
    <x v="466"/>
    <x v="466"/>
    <s v="Corporate"/>
    <s v="United States"/>
    <s v="Chicago"/>
    <x v="10"/>
    <n v="60623"/>
    <x v="2"/>
    <x v="851"/>
    <x v="2"/>
    <x v="16"/>
    <x v="844"/>
    <n v="719.976"/>
    <s v="High"/>
    <n v="3"/>
    <n v="0.2"/>
    <x v="2"/>
    <x v="2"/>
    <n v="134.99549999999999"/>
    <n v="0.1875"/>
    <n v="0"/>
  </r>
  <r>
    <n v="8554"/>
    <s v="US-2017-102904"/>
    <d v="2017-11-13T00:00:00"/>
    <x v="3"/>
    <s v="Q4"/>
    <x v="23"/>
    <d v="2017-11-20T00:00:00"/>
    <s v="Standard Class"/>
    <x v="90"/>
    <x v="90"/>
    <s v="Consumer"/>
    <s v="United States"/>
    <s v="Decatur"/>
    <x v="19"/>
    <n v="35601"/>
    <x v="0"/>
    <x v="701"/>
    <x v="2"/>
    <x v="11"/>
    <x v="701"/>
    <n v="239.92"/>
    <s v="High"/>
    <n v="8"/>
    <n v="0"/>
    <x v="0"/>
    <x v="0"/>
    <n v="23.992000000000001"/>
    <n v="0.1"/>
    <n v="0"/>
  </r>
  <r>
    <n v="8555"/>
    <s v="CA-2016-102092"/>
    <d v="2016-12-09T00:00:00"/>
    <x v="0"/>
    <s v="Q4"/>
    <x v="5"/>
    <d v="2016-12-11T00:00:00"/>
    <s v="First Class"/>
    <x v="400"/>
    <x v="400"/>
    <s v="Consumer"/>
    <s v="United States"/>
    <s v="Springfield"/>
    <x v="17"/>
    <n v="22153"/>
    <x v="0"/>
    <x v="1000"/>
    <x v="0"/>
    <x v="3"/>
    <x v="992"/>
    <n v="1056.8599999999999"/>
    <s v="High"/>
    <n v="7"/>
    <n v="0"/>
    <x v="0"/>
    <x v="0"/>
    <n v="158.529"/>
    <n v="0.15000000000000002"/>
    <n v="0"/>
  </r>
  <r>
    <n v="8556"/>
    <s v="CA-2015-117884"/>
    <d v="2015-03-22T00:00:00"/>
    <x v="1"/>
    <s v="Q1"/>
    <x v="29"/>
    <d v="2015-03-22T00:00:00"/>
    <s v="Same Day"/>
    <x v="290"/>
    <x v="290"/>
    <s v="Consumer"/>
    <s v="United States"/>
    <s v="Plantation"/>
    <x v="2"/>
    <n v="33317"/>
    <x v="0"/>
    <x v="428"/>
    <x v="2"/>
    <x v="11"/>
    <x v="428"/>
    <n v="447.94400000000002"/>
    <s v="High"/>
    <n v="7"/>
    <n v="0.2"/>
    <x v="2"/>
    <x v="2"/>
    <n v="89.588800000000006"/>
    <n v="0.2"/>
    <n v="0"/>
  </r>
  <r>
    <n v="8557"/>
    <s v="CA-2015-117884"/>
    <d v="2015-03-22T00:00:00"/>
    <x v="1"/>
    <s v="Q1"/>
    <x v="29"/>
    <d v="2015-03-22T00:00:00"/>
    <s v="Same Day"/>
    <x v="290"/>
    <x v="290"/>
    <s v="Consumer"/>
    <s v="United States"/>
    <s v="Plantation"/>
    <x v="2"/>
    <n v="33317"/>
    <x v="0"/>
    <x v="1751"/>
    <x v="1"/>
    <x v="4"/>
    <x v="1741"/>
    <n v="150.40799999999999"/>
    <s v="High"/>
    <n v="9"/>
    <n v="0.2"/>
    <x v="2"/>
    <x v="2"/>
    <n v="-33.841799999999999"/>
    <n v="-0.22500000000000001"/>
    <n v="1"/>
  </r>
  <r>
    <n v="8558"/>
    <s v="CA-2016-132829"/>
    <d v="2016-12-23T00:00:00"/>
    <x v="0"/>
    <s v="Q4"/>
    <x v="5"/>
    <d v="2016-12-26T00:00:00"/>
    <s v="Second Class"/>
    <x v="156"/>
    <x v="156"/>
    <s v="Corporate"/>
    <s v="United States"/>
    <s v="Houston"/>
    <x v="5"/>
    <n v="77041"/>
    <x v="2"/>
    <x v="867"/>
    <x v="2"/>
    <x v="7"/>
    <x v="861"/>
    <n v="453.57600000000002"/>
    <s v="High"/>
    <n v="3"/>
    <n v="0.2"/>
    <x v="2"/>
    <x v="2"/>
    <n v="39.687899999999999"/>
    <n v="8.7499999999999994E-2"/>
    <n v="0"/>
  </r>
  <r>
    <n v="8559"/>
    <s v="CA-2016-132829"/>
    <d v="2016-12-23T00:00:00"/>
    <x v="0"/>
    <s v="Q4"/>
    <x v="5"/>
    <d v="2016-12-26T00:00:00"/>
    <s v="Second Class"/>
    <x v="156"/>
    <x v="156"/>
    <s v="Corporate"/>
    <s v="United States"/>
    <s v="Houston"/>
    <x v="5"/>
    <n v="77041"/>
    <x v="2"/>
    <x v="1621"/>
    <x v="1"/>
    <x v="2"/>
    <x v="1612"/>
    <n v="45.36"/>
    <s v="Medium"/>
    <n v="9"/>
    <n v="0.2"/>
    <x v="2"/>
    <x v="2"/>
    <n v="14.742000000000001"/>
    <n v="0.32500000000000001"/>
    <n v="0"/>
  </r>
  <r>
    <n v="8560"/>
    <s v="CA-2016-132829"/>
    <d v="2016-12-23T00:00:00"/>
    <x v="0"/>
    <s v="Q4"/>
    <x v="5"/>
    <d v="2016-12-26T00:00:00"/>
    <s v="Second Class"/>
    <x v="156"/>
    <x v="156"/>
    <s v="Corporate"/>
    <s v="United States"/>
    <s v="Houston"/>
    <x v="5"/>
    <n v="77041"/>
    <x v="2"/>
    <x v="1191"/>
    <x v="2"/>
    <x v="7"/>
    <x v="1176"/>
    <n v="287.88"/>
    <s v="High"/>
    <n v="3"/>
    <n v="0.2"/>
    <x v="2"/>
    <x v="2"/>
    <n v="35.984999999999999"/>
    <n v="0.125"/>
    <n v="0"/>
  </r>
  <r>
    <n v="8561"/>
    <s v="CA-2016-132829"/>
    <d v="2016-12-23T00:00:00"/>
    <x v="0"/>
    <s v="Q4"/>
    <x v="5"/>
    <d v="2016-12-26T00:00:00"/>
    <s v="Second Class"/>
    <x v="156"/>
    <x v="156"/>
    <s v="Corporate"/>
    <s v="United States"/>
    <s v="Houston"/>
    <x v="5"/>
    <n v="77041"/>
    <x v="2"/>
    <x v="1514"/>
    <x v="2"/>
    <x v="7"/>
    <x v="1501"/>
    <n v="131.88"/>
    <s v="High"/>
    <n v="3"/>
    <n v="0.2"/>
    <x v="2"/>
    <x v="2"/>
    <n v="14.836499999999999"/>
    <n v="0.1125"/>
    <n v="0"/>
  </r>
  <r>
    <n v="8562"/>
    <s v="CA-2016-132829"/>
    <d v="2016-12-23T00:00:00"/>
    <x v="0"/>
    <s v="Q4"/>
    <x v="5"/>
    <d v="2016-12-26T00:00:00"/>
    <s v="Second Class"/>
    <x v="156"/>
    <x v="156"/>
    <s v="Corporate"/>
    <s v="United States"/>
    <s v="Houston"/>
    <x v="5"/>
    <n v="77041"/>
    <x v="2"/>
    <x v="396"/>
    <x v="0"/>
    <x v="5"/>
    <x v="397"/>
    <n v="2.3279999999999998"/>
    <s v="Low"/>
    <n v="2"/>
    <n v="0.6"/>
    <x v="1"/>
    <x v="6"/>
    <n v="-0.75660000000000005"/>
    <n v="-0.32500000000000007"/>
    <n v="1"/>
  </r>
  <r>
    <n v="8563"/>
    <s v="CA-2016-123540"/>
    <d v="2016-04-02T00:00:00"/>
    <x v="0"/>
    <s v="Q2"/>
    <x v="25"/>
    <d v="2016-04-06T00:00:00"/>
    <s v="Second Class"/>
    <x v="249"/>
    <x v="249"/>
    <s v="Corporate"/>
    <s v="United States"/>
    <s v="Milwaukee"/>
    <x v="6"/>
    <n v="53209"/>
    <x v="2"/>
    <x v="1003"/>
    <x v="0"/>
    <x v="1"/>
    <x v="995"/>
    <n v="1454.9"/>
    <s v="High"/>
    <n v="5"/>
    <n v="0"/>
    <x v="0"/>
    <x v="0"/>
    <n v="378.274"/>
    <n v="0.26"/>
    <n v="0"/>
  </r>
  <r>
    <n v="8564"/>
    <s v="US-2017-108315"/>
    <d v="2017-04-30T00:00:00"/>
    <x v="3"/>
    <s v="Q2"/>
    <x v="4"/>
    <d v="2017-05-04T00:00:00"/>
    <s v="Standard Class"/>
    <x v="414"/>
    <x v="414"/>
    <s v="Home Office"/>
    <s v="United States"/>
    <s v="Sanford"/>
    <x v="2"/>
    <n v="32771"/>
    <x v="0"/>
    <x v="973"/>
    <x v="1"/>
    <x v="8"/>
    <x v="967"/>
    <n v="4.8419999999999996"/>
    <s v="Low"/>
    <n v="3"/>
    <n v="0.7"/>
    <x v="1"/>
    <x v="5"/>
    <n v="-3.5508000000000002"/>
    <n v="-0.73333333333333339"/>
    <n v="1"/>
  </r>
  <r>
    <n v="8565"/>
    <s v="US-2017-108315"/>
    <d v="2017-04-30T00:00:00"/>
    <x v="3"/>
    <s v="Q2"/>
    <x v="4"/>
    <d v="2017-05-04T00:00:00"/>
    <s v="Standard Class"/>
    <x v="414"/>
    <x v="414"/>
    <s v="Home Office"/>
    <s v="United States"/>
    <s v="Sanford"/>
    <x v="2"/>
    <n v="32771"/>
    <x v="0"/>
    <x v="1762"/>
    <x v="0"/>
    <x v="5"/>
    <x v="1751"/>
    <n v="220.70400000000001"/>
    <s v="High"/>
    <n v="6"/>
    <n v="0.2"/>
    <x v="2"/>
    <x v="2"/>
    <n v="-8.2764000000000006"/>
    <n v="-3.7499999999999999E-2"/>
    <n v="1"/>
  </r>
  <r>
    <n v="8566"/>
    <s v="CA-2016-134110"/>
    <d v="2016-11-17T00:00:00"/>
    <x v="0"/>
    <s v="Q4"/>
    <x v="0"/>
    <d v="2016-11-18T00:00:00"/>
    <s v="First Class"/>
    <x v="767"/>
    <x v="767"/>
    <s v="Consumer"/>
    <s v="United States"/>
    <s v="The Colony"/>
    <x v="5"/>
    <n v="75056"/>
    <x v="2"/>
    <x v="1480"/>
    <x v="2"/>
    <x v="7"/>
    <x v="1467"/>
    <n v="67.176000000000002"/>
    <s v="Medium"/>
    <n v="3"/>
    <n v="0.2"/>
    <x v="2"/>
    <x v="2"/>
    <n v="6.7176"/>
    <n v="9.9999999999999992E-2"/>
    <n v="0"/>
  </r>
  <r>
    <n v="8567"/>
    <s v="CA-2016-134110"/>
    <d v="2016-11-17T00:00:00"/>
    <x v="0"/>
    <s v="Q4"/>
    <x v="0"/>
    <d v="2016-11-18T00:00:00"/>
    <s v="First Class"/>
    <x v="767"/>
    <x v="767"/>
    <s v="Consumer"/>
    <s v="United States"/>
    <s v="The Colony"/>
    <x v="5"/>
    <n v="75056"/>
    <x v="2"/>
    <x v="1393"/>
    <x v="1"/>
    <x v="10"/>
    <x v="1379"/>
    <n v="15.231999999999999"/>
    <s v="Low"/>
    <n v="4"/>
    <n v="0.2"/>
    <x v="2"/>
    <x v="2"/>
    <n v="5.5216000000000003"/>
    <n v="0.36250000000000004"/>
    <n v="0"/>
  </r>
  <r>
    <n v="8568"/>
    <s v="US-2016-136581"/>
    <d v="2016-11-10T00:00:00"/>
    <x v="0"/>
    <s v="Q4"/>
    <x v="0"/>
    <d v="2016-11-12T00:00:00"/>
    <s v="First Class"/>
    <x v="277"/>
    <x v="277"/>
    <s v="Consumer"/>
    <s v="United States"/>
    <s v="Troy"/>
    <x v="24"/>
    <n v="45373"/>
    <x v="3"/>
    <x v="1290"/>
    <x v="1"/>
    <x v="10"/>
    <x v="1276"/>
    <n v="31.103999999999999"/>
    <s v="Medium"/>
    <n v="6"/>
    <n v="0.2"/>
    <x v="2"/>
    <x v="2"/>
    <n v="10.8864"/>
    <n v="0.35000000000000003"/>
    <n v="0"/>
  </r>
  <r>
    <n v="8569"/>
    <s v="CA-2016-162390"/>
    <d v="2016-12-06T00:00:00"/>
    <x v="0"/>
    <s v="Q4"/>
    <x v="5"/>
    <d v="2016-12-12T00:00:00"/>
    <s v="Standard Class"/>
    <x v="317"/>
    <x v="317"/>
    <s v="Corporate"/>
    <s v="United States"/>
    <s v="Hempstead"/>
    <x v="15"/>
    <n v="11550"/>
    <x v="3"/>
    <x v="1591"/>
    <x v="1"/>
    <x v="8"/>
    <x v="1583"/>
    <n v="968.74400000000003"/>
    <s v="High"/>
    <n v="7"/>
    <n v="0.2"/>
    <x v="2"/>
    <x v="2"/>
    <n v="314.84179999999998"/>
    <n v="0.32499999999999996"/>
    <n v="0"/>
  </r>
  <r>
    <n v="8570"/>
    <s v="CA-2016-162390"/>
    <d v="2016-12-06T00:00:00"/>
    <x v="0"/>
    <s v="Q4"/>
    <x v="5"/>
    <d v="2016-12-12T00:00:00"/>
    <s v="Standard Class"/>
    <x v="317"/>
    <x v="317"/>
    <s v="Corporate"/>
    <s v="United States"/>
    <s v="Hempstead"/>
    <x v="15"/>
    <n v="11550"/>
    <x v="3"/>
    <x v="94"/>
    <x v="1"/>
    <x v="8"/>
    <x v="94"/>
    <n v="222.352"/>
    <s v="High"/>
    <n v="13"/>
    <n v="0.2"/>
    <x v="2"/>
    <x v="2"/>
    <n v="77.8232"/>
    <n v="0.35"/>
    <n v="0"/>
  </r>
  <r>
    <n v="8571"/>
    <s v="CA-2016-162390"/>
    <d v="2016-12-06T00:00:00"/>
    <x v="0"/>
    <s v="Q4"/>
    <x v="5"/>
    <d v="2016-12-12T00:00:00"/>
    <s v="Standard Class"/>
    <x v="317"/>
    <x v="317"/>
    <s v="Corporate"/>
    <s v="United States"/>
    <s v="Hempstead"/>
    <x v="15"/>
    <n v="11550"/>
    <x v="3"/>
    <x v="851"/>
    <x v="2"/>
    <x v="16"/>
    <x v="844"/>
    <n v="479.98399999999998"/>
    <s v="High"/>
    <n v="2"/>
    <n v="0.2"/>
    <x v="2"/>
    <x v="2"/>
    <n v="89.997"/>
    <n v="0.1875"/>
    <n v="0"/>
  </r>
  <r>
    <n v="8572"/>
    <s v="CA-2016-162222"/>
    <d v="2016-04-03T00:00:00"/>
    <x v="0"/>
    <s v="Q2"/>
    <x v="25"/>
    <d v="2016-04-03T00:00:00"/>
    <s v="Same Day"/>
    <x v="256"/>
    <x v="256"/>
    <s v="Home Office"/>
    <s v="United States"/>
    <s v="Dallas"/>
    <x v="5"/>
    <n v="75081"/>
    <x v="2"/>
    <x v="1117"/>
    <x v="1"/>
    <x v="10"/>
    <x v="1105"/>
    <n v="10.272"/>
    <s v="Low"/>
    <n v="3"/>
    <n v="0.2"/>
    <x v="2"/>
    <x v="2"/>
    <n v="3.21"/>
    <n v="0.3125"/>
    <n v="0"/>
  </r>
  <r>
    <n v="8573"/>
    <s v="CA-2014-121629"/>
    <d v="2014-11-28T00:00:00"/>
    <x v="2"/>
    <s v="Q4"/>
    <x v="7"/>
    <d v="2014-12-02T00:00:00"/>
    <s v="Standard Class"/>
    <x v="537"/>
    <x v="537"/>
    <s v="Consumer"/>
    <s v="United States"/>
    <s v="Houston"/>
    <x v="5"/>
    <n v="77041"/>
    <x v="2"/>
    <x v="1093"/>
    <x v="2"/>
    <x v="15"/>
    <x v="1083"/>
    <n v="998.85"/>
    <s v="High"/>
    <n v="5"/>
    <n v="0.4"/>
    <x v="1"/>
    <x v="7"/>
    <n v="-199.77"/>
    <n v="-0.2"/>
    <n v="1"/>
  </r>
  <r>
    <n v="8574"/>
    <s v="CA-2015-164623"/>
    <d v="2015-10-20T00:00:00"/>
    <x v="1"/>
    <s v="Q4"/>
    <x v="2"/>
    <d v="2015-10-22T00:00:00"/>
    <s v="First Class"/>
    <x v="474"/>
    <x v="474"/>
    <s v="Consumer"/>
    <s v="United States"/>
    <s v="New York City"/>
    <x v="15"/>
    <n v="10035"/>
    <x v="3"/>
    <x v="33"/>
    <x v="1"/>
    <x v="10"/>
    <x v="33"/>
    <n v="24.56"/>
    <s v="Low"/>
    <n v="2"/>
    <n v="0"/>
    <x v="0"/>
    <x v="0"/>
    <n v="11.543200000000001"/>
    <n v="0.47000000000000003"/>
    <n v="0"/>
  </r>
  <r>
    <n v="8575"/>
    <s v="CA-2014-159849"/>
    <d v="2014-09-19T00:00:00"/>
    <x v="2"/>
    <s v="Q3"/>
    <x v="30"/>
    <d v="2014-09-19T00:00:00"/>
    <s v="Same Day"/>
    <x v="82"/>
    <x v="82"/>
    <s v="Home Office"/>
    <s v="United States"/>
    <s v="San Francisco"/>
    <x v="1"/>
    <n v="94110"/>
    <x v="1"/>
    <x v="969"/>
    <x v="1"/>
    <x v="13"/>
    <x v="962"/>
    <n v="5.67"/>
    <s v="Low"/>
    <n v="3"/>
    <n v="0"/>
    <x v="0"/>
    <x v="0"/>
    <n v="0.1134"/>
    <n v="0.02"/>
    <n v="0"/>
  </r>
  <r>
    <n v="8576"/>
    <s v="CA-2017-101273"/>
    <d v="2017-08-27T00:00:00"/>
    <x v="3"/>
    <s v="Q3"/>
    <x v="43"/>
    <d v="2017-08-30T00:00:00"/>
    <s v="Second Class"/>
    <x v="461"/>
    <x v="461"/>
    <s v="Consumer"/>
    <s v="United States"/>
    <s v="Port Saint Lucie"/>
    <x v="2"/>
    <n v="34952"/>
    <x v="0"/>
    <x v="566"/>
    <x v="1"/>
    <x v="9"/>
    <x v="566"/>
    <n v="14.336"/>
    <s v="Low"/>
    <n v="4"/>
    <n v="0.2"/>
    <x v="2"/>
    <x v="2"/>
    <n v="0.89600000000000002"/>
    <n v="6.25E-2"/>
    <n v="0"/>
  </r>
  <r>
    <n v="8577"/>
    <s v="CA-2017-106747"/>
    <d v="2017-07-03T00:00:00"/>
    <x v="3"/>
    <s v="Q3"/>
    <x v="10"/>
    <d v="2017-07-04T00:00:00"/>
    <s v="First Class"/>
    <x v="700"/>
    <x v="700"/>
    <s v="Consumer"/>
    <s v="United States"/>
    <s v="Concord"/>
    <x v="38"/>
    <n v="3301"/>
    <x v="3"/>
    <x v="743"/>
    <x v="0"/>
    <x v="5"/>
    <x v="741"/>
    <n v="102.3"/>
    <s v="Medium"/>
    <n v="1"/>
    <n v="0"/>
    <x v="0"/>
    <x v="0"/>
    <n v="26.597999999999999"/>
    <n v="0.26"/>
    <n v="0"/>
  </r>
  <r>
    <n v="8578"/>
    <s v="CA-2017-146164"/>
    <d v="2017-12-22T00:00:00"/>
    <x v="3"/>
    <s v="Q4"/>
    <x v="22"/>
    <d v="2017-12-26T00:00:00"/>
    <s v="Standard Class"/>
    <x v="496"/>
    <x v="496"/>
    <s v="Consumer"/>
    <s v="United States"/>
    <s v="Rochester"/>
    <x v="11"/>
    <n v="55901"/>
    <x v="2"/>
    <x v="335"/>
    <x v="0"/>
    <x v="3"/>
    <x v="335"/>
    <n v="607.52"/>
    <s v="High"/>
    <n v="2"/>
    <n v="0"/>
    <x v="0"/>
    <x v="0"/>
    <n v="97.203199999999995"/>
    <n v="0.16"/>
    <n v="0"/>
  </r>
  <r>
    <n v="8579"/>
    <s v="CA-2017-146164"/>
    <d v="2017-12-22T00:00:00"/>
    <x v="3"/>
    <s v="Q4"/>
    <x v="22"/>
    <d v="2017-12-26T00:00:00"/>
    <s v="Standard Class"/>
    <x v="496"/>
    <x v="496"/>
    <s v="Consumer"/>
    <s v="United States"/>
    <s v="Rochester"/>
    <x v="11"/>
    <n v="55901"/>
    <x v="2"/>
    <x v="230"/>
    <x v="1"/>
    <x v="4"/>
    <x v="450"/>
    <n v="31.16"/>
    <s v="Medium"/>
    <n v="2"/>
    <n v="0"/>
    <x v="0"/>
    <x v="0"/>
    <n v="7.79"/>
    <n v="0.25"/>
    <n v="0"/>
  </r>
  <r>
    <n v="8580"/>
    <s v="CA-2016-111605"/>
    <d v="2016-12-27T00:00:00"/>
    <x v="0"/>
    <s v="Q4"/>
    <x v="5"/>
    <d v="2017-01-02T00:00:00"/>
    <s v="Standard Class"/>
    <x v="527"/>
    <x v="527"/>
    <s v="Consumer"/>
    <s v="United States"/>
    <s v="Louisville"/>
    <x v="0"/>
    <n v="40214"/>
    <x v="0"/>
    <x v="1796"/>
    <x v="1"/>
    <x v="2"/>
    <x v="1786"/>
    <n v="2.61"/>
    <s v="Low"/>
    <n v="1"/>
    <n v="0"/>
    <x v="0"/>
    <x v="0"/>
    <n v="1.2005999999999999"/>
    <n v="0.45999999999999996"/>
    <n v="0"/>
  </r>
  <r>
    <n v="8581"/>
    <s v="CA-2014-130673"/>
    <d v="2014-05-20T00:00:00"/>
    <x v="2"/>
    <s v="Q2"/>
    <x v="8"/>
    <d v="2014-05-22T00:00:00"/>
    <s v="Second Class"/>
    <x v="565"/>
    <x v="565"/>
    <s v="Corporate"/>
    <s v="United States"/>
    <s v="San Marcos"/>
    <x v="5"/>
    <n v="78666"/>
    <x v="2"/>
    <x v="1781"/>
    <x v="0"/>
    <x v="5"/>
    <x v="1771"/>
    <n v="10.332000000000001"/>
    <s v="Low"/>
    <n v="3"/>
    <n v="0.6"/>
    <x v="1"/>
    <x v="6"/>
    <n v="-5.9409000000000001"/>
    <n v="-0.57499999999999996"/>
    <n v="1"/>
  </r>
  <r>
    <n v="8582"/>
    <s v="CA-2014-130673"/>
    <d v="2014-05-20T00:00:00"/>
    <x v="2"/>
    <s v="Q2"/>
    <x v="8"/>
    <d v="2014-05-22T00:00:00"/>
    <s v="Second Class"/>
    <x v="565"/>
    <x v="565"/>
    <s v="Corporate"/>
    <s v="United States"/>
    <s v="San Marcos"/>
    <x v="5"/>
    <n v="78666"/>
    <x v="2"/>
    <x v="730"/>
    <x v="1"/>
    <x v="10"/>
    <x v="729"/>
    <n v="10.368"/>
    <s v="Low"/>
    <n v="2"/>
    <n v="0.2"/>
    <x v="2"/>
    <x v="2"/>
    <n v="3.6288"/>
    <n v="0.35"/>
    <n v="0"/>
  </r>
  <r>
    <n v="8583"/>
    <s v="CA-2014-130673"/>
    <d v="2014-05-20T00:00:00"/>
    <x v="2"/>
    <s v="Q2"/>
    <x v="8"/>
    <d v="2014-05-22T00:00:00"/>
    <s v="Second Class"/>
    <x v="565"/>
    <x v="565"/>
    <s v="Corporate"/>
    <s v="United States"/>
    <s v="San Marcos"/>
    <x v="5"/>
    <n v="78666"/>
    <x v="2"/>
    <x v="1421"/>
    <x v="2"/>
    <x v="11"/>
    <x v="1409"/>
    <n v="20.783999999999999"/>
    <s v="Low"/>
    <n v="2"/>
    <n v="0.2"/>
    <x v="2"/>
    <x v="2"/>
    <n v="-3.6372"/>
    <n v="-0.17500000000000002"/>
    <n v="1"/>
  </r>
  <r>
    <n v="8584"/>
    <s v="CA-2014-130673"/>
    <d v="2014-05-20T00:00:00"/>
    <x v="2"/>
    <s v="Q2"/>
    <x v="8"/>
    <d v="2014-05-22T00:00:00"/>
    <s v="Second Class"/>
    <x v="565"/>
    <x v="565"/>
    <s v="Corporate"/>
    <s v="United States"/>
    <s v="San Marcos"/>
    <x v="5"/>
    <n v="78666"/>
    <x v="2"/>
    <x v="1764"/>
    <x v="1"/>
    <x v="4"/>
    <x v="1753"/>
    <n v="66.959999999999994"/>
    <s v="Medium"/>
    <n v="5"/>
    <n v="0.2"/>
    <x v="2"/>
    <x v="2"/>
    <n v="-13.391999999999999"/>
    <n v="-0.2"/>
    <n v="1"/>
  </r>
  <r>
    <n v="8585"/>
    <s v="CA-2014-104808"/>
    <d v="2014-02-04T00:00:00"/>
    <x v="2"/>
    <s v="Q1"/>
    <x v="45"/>
    <d v="2014-02-08T00:00:00"/>
    <s v="Second Class"/>
    <x v="775"/>
    <x v="775"/>
    <s v="Corporate"/>
    <s v="United States"/>
    <s v="Escondido"/>
    <x v="1"/>
    <n v="92025"/>
    <x v="1"/>
    <x v="828"/>
    <x v="1"/>
    <x v="8"/>
    <x v="824"/>
    <n v="17.248000000000001"/>
    <s v="Low"/>
    <n v="2"/>
    <n v="0.2"/>
    <x v="2"/>
    <x v="2"/>
    <n v="6.0368000000000004"/>
    <n v="0.35"/>
    <n v="0"/>
  </r>
  <r>
    <n v="8586"/>
    <s v="US-2017-132927"/>
    <d v="2017-12-09T00:00:00"/>
    <x v="3"/>
    <s v="Q4"/>
    <x v="22"/>
    <d v="2017-12-15T00:00:00"/>
    <s v="Standard Class"/>
    <x v="742"/>
    <x v="742"/>
    <s v="Consumer"/>
    <s v="United States"/>
    <s v="Philadelphia"/>
    <x v="9"/>
    <n v="19134"/>
    <x v="3"/>
    <x v="1085"/>
    <x v="1"/>
    <x v="8"/>
    <x v="1075"/>
    <n v="11.087999999999999"/>
    <s v="Low"/>
    <n v="7"/>
    <n v="0.7"/>
    <x v="1"/>
    <x v="5"/>
    <n v="-8.1311999999999998"/>
    <n v="-0.73333333333333339"/>
    <n v="1"/>
  </r>
  <r>
    <n v="8587"/>
    <s v="CA-2017-162015"/>
    <d v="2017-07-11T00:00:00"/>
    <x v="3"/>
    <s v="Q3"/>
    <x v="10"/>
    <d v="2017-07-18T00:00:00"/>
    <s v="Standard Class"/>
    <x v="208"/>
    <x v="208"/>
    <s v="Corporate"/>
    <s v="United States"/>
    <s v="Los Angeles"/>
    <x v="1"/>
    <n v="90049"/>
    <x v="1"/>
    <x v="217"/>
    <x v="2"/>
    <x v="11"/>
    <x v="218"/>
    <n v="1287.45"/>
    <s v="High"/>
    <n v="5"/>
    <n v="0"/>
    <x v="0"/>
    <x v="0"/>
    <n v="244.6155"/>
    <n v="0.19"/>
    <n v="0"/>
  </r>
  <r>
    <n v="8588"/>
    <s v="CA-2017-162015"/>
    <d v="2017-07-11T00:00:00"/>
    <x v="3"/>
    <s v="Q3"/>
    <x v="10"/>
    <d v="2017-07-18T00:00:00"/>
    <s v="Standard Class"/>
    <x v="208"/>
    <x v="208"/>
    <s v="Corporate"/>
    <s v="United States"/>
    <s v="Los Angeles"/>
    <x v="1"/>
    <n v="90049"/>
    <x v="1"/>
    <x v="731"/>
    <x v="1"/>
    <x v="9"/>
    <x v="730"/>
    <n v="168.1"/>
    <s v="High"/>
    <n v="5"/>
    <n v="0"/>
    <x v="0"/>
    <x v="0"/>
    <n v="43.706000000000003"/>
    <n v="0.26"/>
    <n v="0"/>
  </r>
  <r>
    <n v="8589"/>
    <s v="CA-2015-138492"/>
    <d v="2015-05-15T00:00:00"/>
    <x v="1"/>
    <s v="Q2"/>
    <x v="33"/>
    <d v="2015-05-22T00:00:00"/>
    <s v="Standard Class"/>
    <x v="712"/>
    <x v="712"/>
    <s v="Corporate"/>
    <s v="United States"/>
    <s v="Philadelphia"/>
    <x v="9"/>
    <n v="19140"/>
    <x v="3"/>
    <x v="571"/>
    <x v="1"/>
    <x v="4"/>
    <x v="571"/>
    <n v="51.968000000000004"/>
    <s v="Medium"/>
    <n v="2"/>
    <n v="0.2"/>
    <x v="2"/>
    <x v="2"/>
    <n v="-10.393599999999999"/>
    <n v="-0.19999999999999998"/>
    <n v="1"/>
  </r>
  <r>
    <n v="8590"/>
    <s v="CA-2017-145338"/>
    <d v="2017-01-29T00:00:00"/>
    <x v="3"/>
    <s v="Q1"/>
    <x v="44"/>
    <d v="2017-02-01T00:00:00"/>
    <s v="First Class"/>
    <x v="420"/>
    <x v="420"/>
    <s v="Consumer"/>
    <s v="United States"/>
    <s v="Philadelphia"/>
    <x v="9"/>
    <n v="19120"/>
    <x v="3"/>
    <x v="79"/>
    <x v="1"/>
    <x v="6"/>
    <x v="79"/>
    <n v="4.7679999999999998"/>
    <s v="Low"/>
    <n v="2"/>
    <n v="0.2"/>
    <x v="2"/>
    <x v="2"/>
    <n v="0.4768"/>
    <n v="0.1"/>
    <n v="0"/>
  </r>
  <r>
    <n v="8591"/>
    <s v="CA-2017-126676"/>
    <d v="2017-09-29T00:00:00"/>
    <x v="3"/>
    <s v="Q3"/>
    <x v="15"/>
    <d v="2017-10-01T00:00:00"/>
    <s v="First Class"/>
    <x v="92"/>
    <x v="92"/>
    <s v="Corporate"/>
    <s v="United States"/>
    <s v="Hempstead"/>
    <x v="15"/>
    <n v="11550"/>
    <x v="3"/>
    <x v="1510"/>
    <x v="1"/>
    <x v="12"/>
    <x v="1497"/>
    <n v="7.98"/>
    <s v="Low"/>
    <n v="3"/>
    <n v="0"/>
    <x v="0"/>
    <x v="0"/>
    <n v="3.9102000000000001"/>
    <n v="0.49"/>
    <n v="0"/>
  </r>
  <r>
    <n v="8592"/>
    <s v="CA-2017-101700"/>
    <d v="2017-04-23T00:00:00"/>
    <x v="3"/>
    <s v="Q2"/>
    <x v="4"/>
    <d v="2017-04-26T00:00:00"/>
    <s v="First Class"/>
    <x v="2"/>
    <x v="2"/>
    <s v="Consumer"/>
    <s v="United States"/>
    <s v="Greeley"/>
    <x v="22"/>
    <n v="80634"/>
    <x v="1"/>
    <x v="1040"/>
    <x v="1"/>
    <x v="12"/>
    <x v="153"/>
    <n v="18.687999999999999"/>
    <s v="Low"/>
    <n v="2"/>
    <n v="0.2"/>
    <x v="2"/>
    <x v="2"/>
    <n v="7.008"/>
    <n v="0.375"/>
    <n v="0"/>
  </r>
  <r>
    <n v="8593"/>
    <s v="CA-2017-101700"/>
    <d v="2017-04-23T00:00:00"/>
    <x v="3"/>
    <s v="Q2"/>
    <x v="4"/>
    <d v="2017-04-26T00:00:00"/>
    <s v="First Class"/>
    <x v="2"/>
    <x v="2"/>
    <s v="Consumer"/>
    <s v="United States"/>
    <s v="Greeley"/>
    <x v="22"/>
    <n v="80634"/>
    <x v="1"/>
    <x v="1721"/>
    <x v="0"/>
    <x v="5"/>
    <x v="1708"/>
    <n v="11.664"/>
    <s v="Low"/>
    <n v="3"/>
    <n v="0.2"/>
    <x v="2"/>
    <x v="2"/>
    <n v="3.3534000000000002"/>
    <n v="0.28750000000000003"/>
    <n v="0"/>
  </r>
  <r>
    <n v="8594"/>
    <s v="CA-2017-159667"/>
    <d v="2017-11-09T00:00:00"/>
    <x v="3"/>
    <s v="Q4"/>
    <x v="23"/>
    <d v="2017-11-13T00:00:00"/>
    <s v="Standard Class"/>
    <x v="327"/>
    <x v="327"/>
    <s v="Home Office"/>
    <s v="United States"/>
    <s v="Jacksonville"/>
    <x v="2"/>
    <n v="32216"/>
    <x v="0"/>
    <x v="428"/>
    <x v="2"/>
    <x v="11"/>
    <x v="428"/>
    <n v="191.976"/>
    <s v="High"/>
    <n v="3"/>
    <n v="0.2"/>
    <x v="2"/>
    <x v="2"/>
    <n v="38.395200000000003"/>
    <n v="0.2"/>
    <n v="0"/>
  </r>
  <r>
    <n v="8595"/>
    <s v="CA-2017-159667"/>
    <d v="2017-11-09T00:00:00"/>
    <x v="3"/>
    <s v="Q4"/>
    <x v="23"/>
    <d v="2017-11-13T00:00:00"/>
    <s v="Standard Class"/>
    <x v="327"/>
    <x v="327"/>
    <s v="Home Office"/>
    <s v="United States"/>
    <s v="Jacksonville"/>
    <x v="2"/>
    <n v="32216"/>
    <x v="0"/>
    <x v="1807"/>
    <x v="2"/>
    <x v="7"/>
    <x v="1797"/>
    <n v="499.16800000000001"/>
    <s v="High"/>
    <n v="4"/>
    <n v="0.2"/>
    <x v="2"/>
    <x v="2"/>
    <n v="31.198"/>
    <n v="6.25E-2"/>
    <n v="0"/>
  </r>
  <r>
    <n v="8596"/>
    <s v="CA-2014-111934"/>
    <d v="2014-05-05T00:00:00"/>
    <x v="2"/>
    <s v="Q2"/>
    <x v="8"/>
    <d v="2014-05-07T00:00:00"/>
    <s v="First Class"/>
    <x v="241"/>
    <x v="241"/>
    <s v="Corporate"/>
    <s v="United States"/>
    <s v="Arlington"/>
    <x v="17"/>
    <n v="22204"/>
    <x v="0"/>
    <x v="990"/>
    <x v="1"/>
    <x v="8"/>
    <x v="305"/>
    <n v="11.88"/>
    <s v="Low"/>
    <n v="2"/>
    <n v="0"/>
    <x v="0"/>
    <x v="0"/>
    <n v="5.3460000000000001"/>
    <n v="0.44999999999999996"/>
    <n v="0"/>
  </r>
  <r>
    <n v="8597"/>
    <s v="CA-2014-111934"/>
    <d v="2014-05-05T00:00:00"/>
    <x v="2"/>
    <s v="Q2"/>
    <x v="8"/>
    <d v="2014-05-07T00:00:00"/>
    <s v="First Class"/>
    <x v="241"/>
    <x v="241"/>
    <s v="Corporate"/>
    <s v="United States"/>
    <s v="Arlington"/>
    <x v="17"/>
    <n v="22204"/>
    <x v="0"/>
    <x v="258"/>
    <x v="1"/>
    <x v="10"/>
    <x v="33"/>
    <n v="35.44"/>
    <s v="Medium"/>
    <n v="1"/>
    <n v="0"/>
    <x v="0"/>
    <x v="0"/>
    <n v="16.6568"/>
    <n v="0.47000000000000003"/>
    <n v="0"/>
  </r>
  <r>
    <n v="8598"/>
    <s v="US-2016-117387"/>
    <d v="2016-10-27T00:00:00"/>
    <x v="0"/>
    <s v="Q4"/>
    <x v="32"/>
    <d v="2016-10-31T00:00:00"/>
    <s v="Standard Class"/>
    <x v="50"/>
    <x v="50"/>
    <s v="Home Office"/>
    <s v="United States"/>
    <s v="San Francisco"/>
    <x v="1"/>
    <n v="94122"/>
    <x v="1"/>
    <x v="1786"/>
    <x v="1"/>
    <x v="8"/>
    <x v="1776"/>
    <n v="67.135999999999996"/>
    <s v="Medium"/>
    <n v="4"/>
    <n v="0.2"/>
    <x v="2"/>
    <x v="2"/>
    <n v="25.175999999999998"/>
    <n v="0.375"/>
    <n v="0"/>
  </r>
  <r>
    <n v="8599"/>
    <s v="CA-2014-141110"/>
    <d v="2014-11-26T00:00:00"/>
    <x v="2"/>
    <s v="Q4"/>
    <x v="7"/>
    <d v="2014-12-01T00:00:00"/>
    <s v="Standard Class"/>
    <x v="624"/>
    <x v="624"/>
    <s v="Corporate"/>
    <s v="United States"/>
    <s v="Fresno"/>
    <x v="1"/>
    <n v="93727"/>
    <x v="1"/>
    <x v="751"/>
    <x v="1"/>
    <x v="8"/>
    <x v="749"/>
    <n v="4.32"/>
    <s v="Low"/>
    <n v="3"/>
    <n v="0.2"/>
    <x v="2"/>
    <x v="2"/>
    <n v="1.512"/>
    <n v="0.35"/>
    <n v="0"/>
  </r>
  <r>
    <n v="8600"/>
    <s v="CA-2014-141110"/>
    <d v="2014-11-26T00:00:00"/>
    <x v="2"/>
    <s v="Q4"/>
    <x v="7"/>
    <d v="2014-12-01T00:00:00"/>
    <s v="Standard Class"/>
    <x v="624"/>
    <x v="624"/>
    <s v="Corporate"/>
    <s v="United States"/>
    <s v="Fresno"/>
    <x v="1"/>
    <n v="93727"/>
    <x v="1"/>
    <x v="1025"/>
    <x v="1"/>
    <x v="10"/>
    <x v="1016"/>
    <n v="14.94"/>
    <s v="Low"/>
    <n v="3"/>
    <n v="0"/>
    <x v="0"/>
    <x v="0"/>
    <n v="7.0217999999999998"/>
    <n v="0.47000000000000003"/>
    <n v="0"/>
  </r>
  <r>
    <n v="8601"/>
    <s v="CA-2014-141110"/>
    <d v="2014-11-26T00:00:00"/>
    <x v="2"/>
    <s v="Q4"/>
    <x v="7"/>
    <d v="2014-12-01T00:00:00"/>
    <s v="Standard Class"/>
    <x v="624"/>
    <x v="624"/>
    <s v="Corporate"/>
    <s v="United States"/>
    <s v="Fresno"/>
    <x v="1"/>
    <n v="93727"/>
    <x v="1"/>
    <x v="1266"/>
    <x v="1"/>
    <x v="9"/>
    <x v="1250"/>
    <n v="40.54"/>
    <s v="Medium"/>
    <n v="2"/>
    <n v="0"/>
    <x v="0"/>
    <x v="0"/>
    <n v="11.3512"/>
    <n v="0.28000000000000003"/>
    <n v="0"/>
  </r>
  <r>
    <n v="8602"/>
    <s v="CA-2014-141110"/>
    <d v="2014-11-26T00:00:00"/>
    <x v="2"/>
    <s v="Q4"/>
    <x v="7"/>
    <d v="2014-12-01T00:00:00"/>
    <s v="Standard Class"/>
    <x v="624"/>
    <x v="624"/>
    <s v="Corporate"/>
    <s v="United States"/>
    <s v="Fresno"/>
    <x v="1"/>
    <n v="93727"/>
    <x v="1"/>
    <x v="1316"/>
    <x v="1"/>
    <x v="8"/>
    <x v="1302"/>
    <n v="7.3120000000000003"/>
    <s v="Low"/>
    <n v="1"/>
    <n v="0.2"/>
    <x v="2"/>
    <x v="2"/>
    <n v="2.5592000000000001"/>
    <n v="0.35000000000000003"/>
    <n v="0"/>
  </r>
  <r>
    <n v="8603"/>
    <s v="US-2014-133949"/>
    <d v="2014-12-31T00:00:00"/>
    <x v="2"/>
    <s v="Q4"/>
    <x v="20"/>
    <d v="2014-12-31T00:00:00"/>
    <s v="Same Day"/>
    <x v="311"/>
    <x v="311"/>
    <s v="Home Office"/>
    <s v="United States"/>
    <s v="Reno"/>
    <x v="33"/>
    <n v="89502"/>
    <x v="1"/>
    <x v="1495"/>
    <x v="2"/>
    <x v="7"/>
    <x v="1483"/>
    <n v="475.94400000000002"/>
    <s v="High"/>
    <n v="7"/>
    <n v="0.2"/>
    <x v="2"/>
    <x v="2"/>
    <n v="59.493000000000002"/>
    <n v="0.125"/>
    <n v="0"/>
  </r>
  <r>
    <n v="8604"/>
    <s v="US-2016-116365"/>
    <d v="2016-01-03T00:00:00"/>
    <x v="0"/>
    <s v="Q1"/>
    <x v="12"/>
    <d v="2016-01-08T00:00:00"/>
    <s v="Standard Class"/>
    <x v="119"/>
    <x v="119"/>
    <s v="Corporate"/>
    <s v="United States"/>
    <s v="San Antonio"/>
    <x v="5"/>
    <n v="78207"/>
    <x v="2"/>
    <x v="1202"/>
    <x v="2"/>
    <x v="11"/>
    <x v="1187"/>
    <n v="30.08"/>
    <s v="Medium"/>
    <n v="2"/>
    <n v="0.2"/>
    <x v="2"/>
    <x v="2"/>
    <n v="-5.2640000000000002"/>
    <n v="-0.17500000000000002"/>
    <n v="1"/>
  </r>
  <r>
    <n v="8605"/>
    <s v="US-2016-116365"/>
    <d v="2016-01-03T00:00:00"/>
    <x v="0"/>
    <s v="Q1"/>
    <x v="12"/>
    <d v="2016-01-08T00:00:00"/>
    <s v="Standard Class"/>
    <x v="119"/>
    <x v="119"/>
    <s v="Corporate"/>
    <s v="United States"/>
    <s v="San Antonio"/>
    <x v="5"/>
    <n v="78207"/>
    <x v="2"/>
    <x v="1615"/>
    <x v="2"/>
    <x v="11"/>
    <x v="1606"/>
    <n v="165.6"/>
    <s v="High"/>
    <n v="3"/>
    <n v="0.2"/>
    <x v="2"/>
    <x v="2"/>
    <n v="-6.21"/>
    <n v="-3.7499999999999999E-2"/>
    <n v="1"/>
  </r>
  <r>
    <n v="8606"/>
    <s v="US-2016-116365"/>
    <d v="2016-01-03T00:00:00"/>
    <x v="0"/>
    <s v="Q1"/>
    <x v="12"/>
    <d v="2016-01-08T00:00:00"/>
    <s v="Standard Class"/>
    <x v="119"/>
    <x v="119"/>
    <s v="Corporate"/>
    <s v="United States"/>
    <s v="San Antonio"/>
    <x v="5"/>
    <n v="78207"/>
    <x v="2"/>
    <x v="1409"/>
    <x v="2"/>
    <x v="7"/>
    <x v="1396"/>
    <n v="180.96"/>
    <s v="High"/>
    <n v="5"/>
    <n v="0.2"/>
    <x v="2"/>
    <x v="2"/>
    <n v="13.571999999999999"/>
    <n v="7.4999999999999997E-2"/>
    <n v="0"/>
  </r>
  <r>
    <n v="8607"/>
    <s v="CA-2017-162936"/>
    <d v="2017-08-18T00:00:00"/>
    <x v="3"/>
    <s v="Q3"/>
    <x v="43"/>
    <d v="2017-08-22T00:00:00"/>
    <s v="Standard Class"/>
    <x v="380"/>
    <x v="380"/>
    <s v="Consumer"/>
    <s v="United States"/>
    <s v="New Bedford"/>
    <x v="31"/>
    <n v="2740"/>
    <x v="3"/>
    <x v="567"/>
    <x v="2"/>
    <x v="11"/>
    <x v="567"/>
    <n v="23.18"/>
    <s v="Low"/>
    <n v="2"/>
    <n v="0"/>
    <x v="0"/>
    <x v="0"/>
    <n v="7.6494"/>
    <n v="0.33"/>
    <n v="0"/>
  </r>
  <r>
    <n v="8608"/>
    <s v="CA-2014-151946"/>
    <d v="2014-06-04T00:00:00"/>
    <x v="2"/>
    <s v="Q2"/>
    <x v="3"/>
    <d v="2014-06-09T00:00:00"/>
    <s v="Standard Class"/>
    <x v="590"/>
    <x v="590"/>
    <s v="Consumer"/>
    <s v="United States"/>
    <s v="New York City"/>
    <x v="15"/>
    <n v="10035"/>
    <x v="3"/>
    <x v="1146"/>
    <x v="0"/>
    <x v="5"/>
    <x v="1134"/>
    <n v="56.96"/>
    <s v="Medium"/>
    <n v="2"/>
    <n v="0"/>
    <x v="0"/>
    <x v="0"/>
    <n v="21.075199999999999"/>
    <n v="0.37"/>
    <n v="0"/>
  </r>
  <r>
    <n v="8609"/>
    <s v="CA-2014-151946"/>
    <d v="2014-06-04T00:00:00"/>
    <x v="2"/>
    <s v="Q2"/>
    <x v="3"/>
    <d v="2014-06-09T00:00:00"/>
    <s v="Standard Class"/>
    <x v="590"/>
    <x v="590"/>
    <s v="Consumer"/>
    <s v="United States"/>
    <s v="New York City"/>
    <x v="15"/>
    <n v="10035"/>
    <x v="3"/>
    <x v="1034"/>
    <x v="1"/>
    <x v="9"/>
    <x v="1025"/>
    <n v="15.56"/>
    <s v="Low"/>
    <n v="4"/>
    <n v="0"/>
    <x v="0"/>
    <x v="0"/>
    <n v="4.0456000000000003"/>
    <n v="0.26"/>
    <n v="0"/>
  </r>
  <r>
    <n v="8610"/>
    <s v="CA-2014-151946"/>
    <d v="2014-06-04T00:00:00"/>
    <x v="2"/>
    <s v="Q2"/>
    <x v="3"/>
    <d v="2014-06-09T00:00:00"/>
    <s v="Standard Class"/>
    <x v="590"/>
    <x v="590"/>
    <s v="Consumer"/>
    <s v="United States"/>
    <s v="New York City"/>
    <x v="15"/>
    <n v="10035"/>
    <x v="3"/>
    <x v="587"/>
    <x v="0"/>
    <x v="0"/>
    <x v="587"/>
    <n v="353.56799999999998"/>
    <s v="High"/>
    <n v="2"/>
    <n v="0.2"/>
    <x v="2"/>
    <x v="2"/>
    <n v="-44.195999999999998"/>
    <n v="-0.125"/>
    <n v="1"/>
  </r>
  <r>
    <n v="8611"/>
    <s v="CA-2014-151946"/>
    <d v="2014-06-04T00:00:00"/>
    <x v="2"/>
    <s v="Q2"/>
    <x v="3"/>
    <d v="2014-06-09T00:00:00"/>
    <s v="Standard Class"/>
    <x v="590"/>
    <x v="590"/>
    <s v="Consumer"/>
    <s v="United States"/>
    <s v="New York City"/>
    <x v="15"/>
    <n v="10035"/>
    <x v="3"/>
    <x v="770"/>
    <x v="0"/>
    <x v="5"/>
    <x v="769"/>
    <n v="13.96"/>
    <s v="Low"/>
    <n v="2"/>
    <n v="0"/>
    <x v="0"/>
    <x v="0"/>
    <n v="6.7008000000000001"/>
    <n v="0.48"/>
    <n v="0"/>
  </r>
  <r>
    <n v="8612"/>
    <s v="CA-2017-123624"/>
    <d v="2017-11-13T00:00:00"/>
    <x v="3"/>
    <s v="Q4"/>
    <x v="23"/>
    <d v="2017-11-17T00:00:00"/>
    <s v="Second Class"/>
    <x v="339"/>
    <x v="339"/>
    <s v="Consumer"/>
    <s v="United States"/>
    <s v="Oxnard"/>
    <x v="1"/>
    <n v="93030"/>
    <x v="1"/>
    <x v="1350"/>
    <x v="2"/>
    <x v="11"/>
    <x v="1336"/>
    <n v="82.95"/>
    <s v="Medium"/>
    <n v="5"/>
    <n v="0"/>
    <x v="0"/>
    <x v="0"/>
    <n v="29.032499999999999"/>
    <n v="0.35"/>
    <n v="0"/>
  </r>
  <r>
    <n v="8613"/>
    <s v="CA-2016-146437"/>
    <d v="2016-01-28T00:00:00"/>
    <x v="0"/>
    <s v="Q1"/>
    <x v="12"/>
    <d v="2016-02-01T00:00:00"/>
    <s v="Second Class"/>
    <x v="428"/>
    <x v="428"/>
    <s v="Corporate"/>
    <s v="United States"/>
    <s v="Los Angeles"/>
    <x v="1"/>
    <n v="90036"/>
    <x v="1"/>
    <x v="397"/>
    <x v="1"/>
    <x v="6"/>
    <x v="398"/>
    <n v="39.68"/>
    <s v="Medium"/>
    <n v="2"/>
    <n v="0"/>
    <x v="0"/>
    <x v="0"/>
    <n v="10.316800000000001"/>
    <n v="0.26"/>
    <n v="0"/>
  </r>
  <r>
    <n v="8614"/>
    <s v="CA-2016-138233"/>
    <d v="2016-11-09T00:00:00"/>
    <x v="0"/>
    <s v="Q4"/>
    <x v="0"/>
    <d v="2016-11-14T00:00:00"/>
    <s v="Standard Class"/>
    <x v="58"/>
    <x v="58"/>
    <s v="Consumer"/>
    <s v="United States"/>
    <s v="Oakland"/>
    <x v="1"/>
    <n v="94601"/>
    <x v="1"/>
    <x v="265"/>
    <x v="2"/>
    <x v="11"/>
    <x v="265"/>
    <n v="479.97"/>
    <s v="High"/>
    <n v="3"/>
    <n v="0"/>
    <x v="0"/>
    <x v="0"/>
    <n v="177.5889"/>
    <n v="0.37"/>
    <n v="0"/>
  </r>
  <r>
    <n v="8615"/>
    <s v="CA-2016-165918"/>
    <d v="2016-09-10T00:00:00"/>
    <x v="0"/>
    <s v="Q3"/>
    <x v="21"/>
    <d v="2016-09-14T00:00:00"/>
    <s v="Standard Class"/>
    <x v="420"/>
    <x v="420"/>
    <s v="Consumer"/>
    <s v="United States"/>
    <s v="Edmonds"/>
    <x v="4"/>
    <n v="98026"/>
    <x v="1"/>
    <x v="1647"/>
    <x v="1"/>
    <x v="2"/>
    <x v="1636"/>
    <n v="7.38"/>
    <s v="Low"/>
    <n v="2"/>
    <n v="0"/>
    <x v="0"/>
    <x v="0"/>
    <n v="3.4685999999999999"/>
    <n v="0.47"/>
    <n v="0"/>
  </r>
  <r>
    <n v="8616"/>
    <s v="CA-2016-165918"/>
    <d v="2016-09-10T00:00:00"/>
    <x v="0"/>
    <s v="Q3"/>
    <x v="21"/>
    <d v="2016-09-14T00:00:00"/>
    <s v="Standard Class"/>
    <x v="420"/>
    <x v="420"/>
    <s v="Consumer"/>
    <s v="United States"/>
    <s v="Edmonds"/>
    <x v="4"/>
    <n v="98026"/>
    <x v="1"/>
    <x v="990"/>
    <x v="1"/>
    <x v="8"/>
    <x v="305"/>
    <n v="14.256"/>
    <s v="Low"/>
    <n v="3"/>
    <n v="0.2"/>
    <x v="2"/>
    <x v="2"/>
    <n v="4.4550000000000001"/>
    <n v="0.3125"/>
    <n v="0"/>
  </r>
  <r>
    <n v="8617"/>
    <s v="CA-2016-165918"/>
    <d v="2016-09-10T00:00:00"/>
    <x v="0"/>
    <s v="Q3"/>
    <x v="21"/>
    <d v="2016-09-14T00:00:00"/>
    <s v="Standard Class"/>
    <x v="420"/>
    <x v="420"/>
    <s v="Consumer"/>
    <s v="United States"/>
    <s v="Edmonds"/>
    <x v="4"/>
    <n v="98026"/>
    <x v="1"/>
    <x v="839"/>
    <x v="1"/>
    <x v="10"/>
    <x v="833"/>
    <n v="81.98"/>
    <s v="Medium"/>
    <n v="2"/>
    <n v="0"/>
    <x v="0"/>
    <x v="0"/>
    <n v="40.170200000000001"/>
    <n v="0.49"/>
    <n v="0"/>
  </r>
  <r>
    <n v="8618"/>
    <s v="CA-2016-165918"/>
    <d v="2016-09-10T00:00:00"/>
    <x v="0"/>
    <s v="Q3"/>
    <x v="21"/>
    <d v="2016-09-14T00:00:00"/>
    <s v="Standard Class"/>
    <x v="420"/>
    <x v="420"/>
    <s v="Consumer"/>
    <s v="United States"/>
    <s v="Edmonds"/>
    <x v="4"/>
    <n v="98026"/>
    <x v="1"/>
    <x v="729"/>
    <x v="1"/>
    <x v="8"/>
    <x v="728"/>
    <n v="39.624000000000002"/>
    <s v="Medium"/>
    <n v="3"/>
    <n v="0.2"/>
    <x v="2"/>
    <x v="2"/>
    <n v="13.868399999999999"/>
    <n v="0.35"/>
    <n v="0"/>
  </r>
  <r>
    <n v="8619"/>
    <s v="CA-2017-117513"/>
    <d v="2017-03-03T00:00:00"/>
    <x v="3"/>
    <s v="Q1"/>
    <x v="42"/>
    <d v="2017-03-08T00:00:00"/>
    <s v="Standard Class"/>
    <x v="387"/>
    <x v="387"/>
    <s v="Corporate"/>
    <s v="United States"/>
    <s v="Los Angeles"/>
    <x v="1"/>
    <n v="90004"/>
    <x v="1"/>
    <x v="719"/>
    <x v="0"/>
    <x v="3"/>
    <x v="718"/>
    <n v="399.67200000000003"/>
    <s v="High"/>
    <n v="7"/>
    <n v="0.2"/>
    <x v="2"/>
    <x v="2"/>
    <n v="-14.9877"/>
    <n v="-3.7499999999999999E-2"/>
    <n v="1"/>
  </r>
  <r>
    <n v="8620"/>
    <s v="CA-2017-132437"/>
    <d v="2017-09-08T00:00:00"/>
    <x v="3"/>
    <s v="Q3"/>
    <x v="15"/>
    <d v="2017-09-13T00:00:00"/>
    <s v="Second Class"/>
    <x v="313"/>
    <x v="313"/>
    <s v="Corporate"/>
    <s v="United States"/>
    <s v="New York City"/>
    <x v="15"/>
    <n v="10024"/>
    <x v="3"/>
    <x v="1569"/>
    <x v="1"/>
    <x v="4"/>
    <x v="1560"/>
    <n v="65.12"/>
    <s v="Medium"/>
    <n v="4"/>
    <n v="0"/>
    <x v="0"/>
    <x v="0"/>
    <n v="16.9312"/>
    <n v="0.26"/>
    <n v="0"/>
  </r>
  <r>
    <n v="8621"/>
    <s v="US-2017-119319"/>
    <d v="2017-11-06T00:00:00"/>
    <x v="3"/>
    <s v="Q4"/>
    <x v="23"/>
    <d v="2017-11-09T00:00:00"/>
    <s v="Second Class"/>
    <x v="702"/>
    <x v="702"/>
    <s v="Consumer"/>
    <s v="United States"/>
    <s v="Dallas"/>
    <x v="5"/>
    <n v="75217"/>
    <x v="2"/>
    <x v="677"/>
    <x v="0"/>
    <x v="5"/>
    <x v="677"/>
    <n v="30.56"/>
    <s v="Medium"/>
    <n v="5"/>
    <n v="0.6"/>
    <x v="1"/>
    <x v="6"/>
    <n v="-19.864000000000001"/>
    <n v="-0.65"/>
    <n v="1"/>
  </r>
  <r>
    <n v="8622"/>
    <s v="CA-2017-104318"/>
    <d v="2017-05-13T00:00:00"/>
    <x v="3"/>
    <s v="Q2"/>
    <x v="24"/>
    <d v="2017-05-18T00:00:00"/>
    <s v="Standard Class"/>
    <x v="395"/>
    <x v="395"/>
    <s v="Corporate"/>
    <s v="United States"/>
    <s v="Franklin"/>
    <x v="18"/>
    <n v="37064"/>
    <x v="0"/>
    <x v="95"/>
    <x v="1"/>
    <x v="9"/>
    <x v="95"/>
    <n v="20.768000000000001"/>
    <s v="Low"/>
    <n v="2"/>
    <n v="0.2"/>
    <x v="2"/>
    <x v="2"/>
    <n v="2.3363999999999998"/>
    <n v="0.11249999999999999"/>
    <n v="0"/>
  </r>
  <r>
    <n v="8623"/>
    <s v="US-2016-114230"/>
    <d v="2016-11-27T00:00:00"/>
    <x v="0"/>
    <s v="Q4"/>
    <x v="0"/>
    <d v="2016-12-01T00:00:00"/>
    <s v="Standard Class"/>
    <x v="632"/>
    <x v="632"/>
    <s v="Consumer"/>
    <s v="United States"/>
    <s v="Phoenix"/>
    <x v="16"/>
    <n v="85023"/>
    <x v="1"/>
    <x v="253"/>
    <x v="1"/>
    <x v="4"/>
    <x v="254"/>
    <n v="39.808"/>
    <s v="Medium"/>
    <n v="4"/>
    <n v="0.2"/>
    <x v="2"/>
    <x v="2"/>
    <n v="3.9807999999999999"/>
    <n v="9.9999999999999992E-2"/>
    <n v="0"/>
  </r>
  <r>
    <n v="8624"/>
    <s v="CA-2015-136147"/>
    <d v="2015-11-13T00:00:00"/>
    <x v="1"/>
    <s v="Q4"/>
    <x v="6"/>
    <d v="2015-11-18T00:00:00"/>
    <s v="Standard Class"/>
    <x v="248"/>
    <x v="248"/>
    <s v="Consumer"/>
    <s v="United States"/>
    <s v="Miami"/>
    <x v="2"/>
    <n v="33178"/>
    <x v="0"/>
    <x v="1080"/>
    <x v="1"/>
    <x v="8"/>
    <x v="1070"/>
    <n v="121.104"/>
    <s v="Medium"/>
    <n v="6"/>
    <n v="0.7"/>
    <x v="1"/>
    <x v="5"/>
    <n v="-100.92"/>
    <n v="-0.83333333333333337"/>
    <n v="1"/>
  </r>
  <r>
    <n v="8625"/>
    <s v="CA-2015-136147"/>
    <d v="2015-11-13T00:00:00"/>
    <x v="1"/>
    <s v="Q4"/>
    <x v="6"/>
    <d v="2015-11-18T00:00:00"/>
    <s v="Standard Class"/>
    <x v="248"/>
    <x v="248"/>
    <s v="Consumer"/>
    <s v="United States"/>
    <s v="Miami"/>
    <x v="2"/>
    <n v="33178"/>
    <x v="0"/>
    <x v="1130"/>
    <x v="2"/>
    <x v="11"/>
    <x v="1118"/>
    <n v="111.96"/>
    <s v="Medium"/>
    <n v="5"/>
    <n v="0.2"/>
    <x v="2"/>
    <x v="2"/>
    <n v="-1.3995"/>
    <n v="-1.2500000000000001E-2"/>
    <n v="1"/>
  </r>
  <r>
    <n v="8626"/>
    <s v="CA-2015-156118"/>
    <d v="2015-12-08T00:00:00"/>
    <x v="1"/>
    <s v="Q4"/>
    <x v="14"/>
    <d v="2015-12-12T00:00:00"/>
    <s v="Standard Class"/>
    <x v="428"/>
    <x v="428"/>
    <s v="Corporate"/>
    <s v="United States"/>
    <s v="Colorado Springs"/>
    <x v="22"/>
    <n v="80906"/>
    <x v="1"/>
    <x v="1221"/>
    <x v="1"/>
    <x v="10"/>
    <x v="1205"/>
    <n v="15.696"/>
    <s v="Low"/>
    <n v="3"/>
    <n v="0.2"/>
    <x v="2"/>
    <x v="2"/>
    <n v="5.1012000000000004"/>
    <n v="0.32500000000000001"/>
    <n v="0"/>
  </r>
  <r>
    <n v="8627"/>
    <s v="CA-2015-164084"/>
    <d v="2015-09-07T00:00:00"/>
    <x v="1"/>
    <s v="Q3"/>
    <x v="11"/>
    <d v="2015-09-12T00:00:00"/>
    <s v="Standard Class"/>
    <x v="132"/>
    <x v="132"/>
    <s v="Corporate"/>
    <s v="United States"/>
    <s v="New York City"/>
    <x v="15"/>
    <n v="10011"/>
    <x v="3"/>
    <x v="1247"/>
    <x v="1"/>
    <x v="4"/>
    <x v="1231"/>
    <n v="70.260000000000005"/>
    <s v="Medium"/>
    <n v="3"/>
    <n v="0"/>
    <x v="0"/>
    <x v="0"/>
    <n v="18.970199999999998"/>
    <n v="0.26999999999999996"/>
    <n v="0"/>
  </r>
  <r>
    <n v="8628"/>
    <s v="CA-2015-164084"/>
    <d v="2015-09-07T00:00:00"/>
    <x v="1"/>
    <s v="Q3"/>
    <x v="11"/>
    <d v="2015-09-12T00:00:00"/>
    <s v="Standard Class"/>
    <x v="132"/>
    <x v="132"/>
    <s v="Corporate"/>
    <s v="United States"/>
    <s v="New York City"/>
    <x v="15"/>
    <n v="10011"/>
    <x v="3"/>
    <x v="1542"/>
    <x v="2"/>
    <x v="11"/>
    <x v="1530"/>
    <n v="90"/>
    <s v="Medium"/>
    <n v="5"/>
    <n v="0"/>
    <x v="0"/>
    <x v="0"/>
    <n v="16.2"/>
    <n v="0.18"/>
    <n v="0"/>
  </r>
  <r>
    <n v="8629"/>
    <s v="CA-2015-164084"/>
    <d v="2015-09-07T00:00:00"/>
    <x v="1"/>
    <s v="Q3"/>
    <x v="11"/>
    <d v="2015-09-12T00:00:00"/>
    <s v="Standard Class"/>
    <x v="132"/>
    <x v="132"/>
    <s v="Corporate"/>
    <s v="United States"/>
    <s v="New York City"/>
    <x v="15"/>
    <n v="10011"/>
    <x v="3"/>
    <x v="536"/>
    <x v="1"/>
    <x v="8"/>
    <x v="536"/>
    <n v="6.0960000000000001"/>
    <s v="Low"/>
    <n v="2"/>
    <n v="0.2"/>
    <x v="2"/>
    <x v="2"/>
    <n v="2.0573999999999999"/>
    <n v="0.33749999999999997"/>
    <n v="0"/>
  </r>
  <r>
    <n v="8630"/>
    <s v="CA-2015-164084"/>
    <d v="2015-09-07T00:00:00"/>
    <x v="1"/>
    <s v="Q3"/>
    <x v="11"/>
    <d v="2015-09-12T00:00:00"/>
    <s v="Standard Class"/>
    <x v="132"/>
    <x v="132"/>
    <s v="Corporate"/>
    <s v="United States"/>
    <s v="New York City"/>
    <x v="15"/>
    <n v="10011"/>
    <x v="3"/>
    <x v="1382"/>
    <x v="0"/>
    <x v="3"/>
    <x v="1367"/>
    <n v="481.17599999999999"/>
    <s v="High"/>
    <n v="2"/>
    <n v="0.4"/>
    <x v="1"/>
    <x v="7"/>
    <n v="-120.294"/>
    <n v="-0.25"/>
    <n v="1"/>
  </r>
  <r>
    <n v="8631"/>
    <s v="CA-2015-164084"/>
    <d v="2015-09-07T00:00:00"/>
    <x v="1"/>
    <s v="Q3"/>
    <x v="11"/>
    <d v="2015-09-12T00:00:00"/>
    <s v="Standard Class"/>
    <x v="132"/>
    <x v="132"/>
    <s v="Corporate"/>
    <s v="United States"/>
    <s v="New York City"/>
    <x v="15"/>
    <n v="10011"/>
    <x v="3"/>
    <x v="804"/>
    <x v="1"/>
    <x v="13"/>
    <x v="802"/>
    <n v="7.24"/>
    <s v="Low"/>
    <n v="4"/>
    <n v="0"/>
    <x v="0"/>
    <x v="0"/>
    <n v="2.3892000000000002"/>
    <n v="0.33"/>
    <n v="0"/>
  </r>
  <r>
    <n v="8632"/>
    <s v="CA-2016-107783"/>
    <d v="2016-07-28T00:00:00"/>
    <x v="0"/>
    <s v="Q3"/>
    <x v="16"/>
    <d v="2016-07-29T00:00:00"/>
    <s v="First Class"/>
    <x v="220"/>
    <x v="220"/>
    <s v="Consumer"/>
    <s v="United States"/>
    <s v="Bethlehem"/>
    <x v="9"/>
    <n v="18018"/>
    <x v="3"/>
    <x v="631"/>
    <x v="0"/>
    <x v="0"/>
    <x v="631"/>
    <n v="177.45"/>
    <s v="High"/>
    <n v="5"/>
    <n v="0.5"/>
    <x v="1"/>
    <x v="1"/>
    <n v="-78.078000000000003"/>
    <n v="-0.44000000000000006"/>
    <n v="1"/>
  </r>
  <r>
    <n v="8633"/>
    <s v="CA-2016-107783"/>
    <d v="2016-07-28T00:00:00"/>
    <x v="0"/>
    <s v="Q3"/>
    <x v="16"/>
    <d v="2016-07-29T00:00:00"/>
    <s v="First Class"/>
    <x v="220"/>
    <x v="220"/>
    <s v="Consumer"/>
    <s v="United States"/>
    <s v="Bethlehem"/>
    <x v="9"/>
    <n v="18018"/>
    <x v="3"/>
    <x v="692"/>
    <x v="1"/>
    <x v="8"/>
    <x v="692"/>
    <n v="1369.7639999999999"/>
    <s v="High"/>
    <n v="6"/>
    <n v="0.7"/>
    <x v="1"/>
    <x v="5"/>
    <n v="-913.17600000000004"/>
    <n v="-0.66666666666666674"/>
    <n v="1"/>
  </r>
  <r>
    <n v="8634"/>
    <s v="CA-2016-107783"/>
    <d v="2016-07-28T00:00:00"/>
    <x v="0"/>
    <s v="Q3"/>
    <x v="16"/>
    <d v="2016-07-29T00:00:00"/>
    <s v="First Class"/>
    <x v="220"/>
    <x v="220"/>
    <s v="Consumer"/>
    <s v="United States"/>
    <s v="Bethlehem"/>
    <x v="9"/>
    <n v="18018"/>
    <x v="3"/>
    <x v="1683"/>
    <x v="1"/>
    <x v="9"/>
    <x v="1671"/>
    <n v="9.48"/>
    <s v="Low"/>
    <n v="3"/>
    <n v="0.2"/>
    <x v="2"/>
    <x v="2"/>
    <n v="0.71099999999999997"/>
    <n v="7.4999999999999997E-2"/>
    <n v="0"/>
  </r>
  <r>
    <n v="8635"/>
    <s v="CA-2017-159793"/>
    <d v="2017-08-25T00:00:00"/>
    <x v="3"/>
    <s v="Q3"/>
    <x v="43"/>
    <d v="2017-08-29T00:00:00"/>
    <s v="Standard Class"/>
    <x v="277"/>
    <x v="277"/>
    <s v="Consumer"/>
    <s v="United States"/>
    <s v="Philadelphia"/>
    <x v="9"/>
    <n v="19140"/>
    <x v="3"/>
    <x v="0"/>
    <x v="0"/>
    <x v="0"/>
    <x v="0"/>
    <n v="130.97999999999999"/>
    <s v="High"/>
    <n v="2"/>
    <n v="0.5"/>
    <x v="1"/>
    <x v="1"/>
    <n v="-89.066400000000002"/>
    <n v="-0.68"/>
    <n v="1"/>
  </r>
  <r>
    <n v="8636"/>
    <s v="CA-2014-160094"/>
    <d v="2014-04-30T00:00:00"/>
    <x v="2"/>
    <s v="Q2"/>
    <x v="41"/>
    <d v="2014-05-02T00:00:00"/>
    <s v="First Class"/>
    <x v="594"/>
    <x v="594"/>
    <s v="Consumer"/>
    <s v="United States"/>
    <s v="Louisville"/>
    <x v="0"/>
    <n v="40214"/>
    <x v="0"/>
    <x v="1753"/>
    <x v="1"/>
    <x v="6"/>
    <x v="1743"/>
    <n v="174.95"/>
    <s v="High"/>
    <n v="5"/>
    <n v="0"/>
    <x v="0"/>
    <x v="0"/>
    <n v="45.487000000000002"/>
    <n v="0.26"/>
    <n v="0"/>
  </r>
  <r>
    <n v="8637"/>
    <s v="CA-2014-160094"/>
    <d v="2014-04-30T00:00:00"/>
    <x v="2"/>
    <s v="Q2"/>
    <x v="41"/>
    <d v="2014-05-02T00:00:00"/>
    <s v="First Class"/>
    <x v="594"/>
    <x v="594"/>
    <s v="Consumer"/>
    <s v="United States"/>
    <s v="Louisville"/>
    <x v="0"/>
    <n v="40214"/>
    <x v="0"/>
    <x v="546"/>
    <x v="1"/>
    <x v="4"/>
    <x v="546"/>
    <n v="826"/>
    <s v="High"/>
    <n v="5"/>
    <n v="0"/>
    <x v="0"/>
    <x v="0"/>
    <n v="214.76"/>
    <n v="0.26"/>
    <n v="0"/>
  </r>
  <r>
    <n v="8638"/>
    <s v="CA-2017-151281"/>
    <d v="2017-04-27T00:00:00"/>
    <x v="3"/>
    <s v="Q2"/>
    <x v="4"/>
    <d v="2017-05-02T00:00:00"/>
    <s v="Standard Class"/>
    <x v="31"/>
    <x v="31"/>
    <s v="Consumer"/>
    <s v="United States"/>
    <s v="Seattle"/>
    <x v="4"/>
    <n v="98105"/>
    <x v="1"/>
    <x v="63"/>
    <x v="0"/>
    <x v="5"/>
    <x v="63"/>
    <n v="139.58000000000001"/>
    <s v="High"/>
    <n v="7"/>
    <n v="0"/>
    <x v="0"/>
    <x v="0"/>
    <n v="39.0824"/>
    <n v="0.27999999999999997"/>
    <n v="0"/>
  </r>
  <r>
    <n v="8639"/>
    <s v="CA-2017-118346"/>
    <d v="2017-07-23T00:00:00"/>
    <x v="3"/>
    <s v="Q3"/>
    <x v="10"/>
    <d v="2017-07-24T00:00:00"/>
    <s v="First Class"/>
    <x v="178"/>
    <x v="178"/>
    <s v="Home Office"/>
    <s v="United States"/>
    <s v="Kenosha"/>
    <x v="6"/>
    <n v="53142"/>
    <x v="2"/>
    <x v="1105"/>
    <x v="2"/>
    <x v="11"/>
    <x v="1094"/>
    <n v="399.95"/>
    <s v="High"/>
    <n v="5"/>
    <n v="0"/>
    <x v="0"/>
    <x v="0"/>
    <n v="143.982"/>
    <n v="0.36"/>
    <n v="0"/>
  </r>
  <r>
    <n v="8640"/>
    <s v="CA-2014-129819"/>
    <d v="2014-12-13T00:00:00"/>
    <x v="2"/>
    <s v="Q4"/>
    <x v="20"/>
    <d v="2014-12-15T00:00:00"/>
    <s v="Second Class"/>
    <x v="169"/>
    <x v="169"/>
    <s v="Corporate"/>
    <s v="United States"/>
    <s v="Henderson"/>
    <x v="0"/>
    <n v="42420"/>
    <x v="0"/>
    <x v="925"/>
    <x v="1"/>
    <x v="8"/>
    <x v="917"/>
    <n v="12.39"/>
    <s v="Low"/>
    <n v="3"/>
    <n v="0"/>
    <x v="0"/>
    <x v="0"/>
    <n v="5.8232999999999997"/>
    <n v="0.47"/>
    <n v="0"/>
  </r>
  <r>
    <n v="8641"/>
    <s v="US-2017-148551"/>
    <d v="2017-01-12T00:00:00"/>
    <x v="3"/>
    <s v="Q1"/>
    <x v="44"/>
    <d v="2017-01-16T00:00:00"/>
    <s v="Standard Class"/>
    <x v="106"/>
    <x v="106"/>
    <s v="Corporate"/>
    <s v="United States"/>
    <s v="Dallas"/>
    <x v="5"/>
    <n v="75217"/>
    <x v="2"/>
    <x v="692"/>
    <x v="1"/>
    <x v="8"/>
    <x v="692"/>
    <n v="760.98"/>
    <s v="High"/>
    <n v="5"/>
    <n v="0.8"/>
    <x v="1"/>
    <x v="3"/>
    <n v="-1141.47"/>
    <n v="-1.5"/>
    <n v="1"/>
  </r>
  <r>
    <n v="8642"/>
    <s v="CA-2017-147767"/>
    <d v="2017-12-02T00:00:00"/>
    <x v="3"/>
    <s v="Q4"/>
    <x v="22"/>
    <d v="2017-12-02T00:00:00"/>
    <s v="Same Day"/>
    <x v="603"/>
    <x v="603"/>
    <s v="Consumer"/>
    <s v="United States"/>
    <s v="Peoria"/>
    <x v="16"/>
    <n v="85345"/>
    <x v="1"/>
    <x v="443"/>
    <x v="1"/>
    <x v="8"/>
    <x v="443"/>
    <n v="67.86"/>
    <s v="Medium"/>
    <n v="6"/>
    <n v="0.7"/>
    <x v="1"/>
    <x v="5"/>
    <n v="-45.24"/>
    <n v="-0.66666666666666674"/>
    <n v="1"/>
  </r>
  <r>
    <n v="8643"/>
    <s v="CA-2015-108259"/>
    <d v="2015-11-08T00:00:00"/>
    <x v="1"/>
    <s v="Q4"/>
    <x v="6"/>
    <d v="2015-11-15T00:00:00"/>
    <s v="Standard Class"/>
    <x v="374"/>
    <x v="374"/>
    <s v="Corporate"/>
    <s v="United States"/>
    <s v="Jacksonville"/>
    <x v="3"/>
    <n v="28540"/>
    <x v="0"/>
    <x v="294"/>
    <x v="1"/>
    <x v="13"/>
    <x v="294"/>
    <n v="31.504000000000001"/>
    <s v="Medium"/>
    <n v="11"/>
    <n v="0.2"/>
    <x v="2"/>
    <x v="2"/>
    <n v="11.814"/>
    <n v="0.375"/>
    <n v="0"/>
  </r>
  <r>
    <n v="8644"/>
    <s v="CA-2015-108259"/>
    <d v="2015-11-08T00:00:00"/>
    <x v="1"/>
    <s v="Q4"/>
    <x v="6"/>
    <d v="2015-11-15T00:00:00"/>
    <s v="Standard Class"/>
    <x v="374"/>
    <x v="374"/>
    <s v="Corporate"/>
    <s v="United States"/>
    <s v="Jacksonville"/>
    <x v="3"/>
    <n v="28540"/>
    <x v="0"/>
    <x v="1621"/>
    <x v="1"/>
    <x v="2"/>
    <x v="1612"/>
    <n v="5.04"/>
    <s v="Low"/>
    <n v="1"/>
    <n v="0.2"/>
    <x v="2"/>
    <x v="2"/>
    <n v="1.6379999999999999"/>
    <n v="0.32499999999999996"/>
    <n v="0"/>
  </r>
  <r>
    <n v="8645"/>
    <s v="CA-2015-108259"/>
    <d v="2015-11-08T00:00:00"/>
    <x v="1"/>
    <s v="Q4"/>
    <x v="6"/>
    <d v="2015-11-15T00:00:00"/>
    <s v="Standard Class"/>
    <x v="374"/>
    <x v="374"/>
    <s v="Corporate"/>
    <s v="United States"/>
    <s v="Jacksonville"/>
    <x v="3"/>
    <n v="28540"/>
    <x v="0"/>
    <x v="412"/>
    <x v="1"/>
    <x v="8"/>
    <x v="412"/>
    <n v="39.878999999999998"/>
    <s v="Medium"/>
    <n v="7"/>
    <n v="0.7"/>
    <x v="1"/>
    <x v="5"/>
    <n v="-29.244599999999998"/>
    <n v="-0.73333333333333328"/>
    <n v="1"/>
  </r>
  <r>
    <n v="8646"/>
    <s v="CA-2015-108259"/>
    <d v="2015-11-08T00:00:00"/>
    <x v="1"/>
    <s v="Q4"/>
    <x v="6"/>
    <d v="2015-11-15T00:00:00"/>
    <s v="Standard Class"/>
    <x v="374"/>
    <x v="374"/>
    <s v="Corporate"/>
    <s v="United States"/>
    <s v="Jacksonville"/>
    <x v="3"/>
    <n v="28540"/>
    <x v="0"/>
    <x v="325"/>
    <x v="0"/>
    <x v="5"/>
    <x v="325"/>
    <n v="4.7119999999999997"/>
    <s v="Low"/>
    <n v="1"/>
    <n v="0.2"/>
    <x v="2"/>
    <x v="2"/>
    <n v="1.4136"/>
    <n v="0.3"/>
    <n v="0"/>
  </r>
  <r>
    <n v="8647"/>
    <s v="CA-2016-113341"/>
    <d v="2016-11-25T00:00:00"/>
    <x v="0"/>
    <s v="Q4"/>
    <x v="0"/>
    <d v="2016-11-29T00:00:00"/>
    <s v="Standard Class"/>
    <x v="708"/>
    <x v="708"/>
    <s v="Consumer"/>
    <s v="United States"/>
    <s v="Los Angeles"/>
    <x v="1"/>
    <n v="90032"/>
    <x v="1"/>
    <x v="167"/>
    <x v="0"/>
    <x v="1"/>
    <x v="168"/>
    <n v="194.352"/>
    <s v="High"/>
    <n v="3"/>
    <n v="0.2"/>
    <x v="2"/>
    <x v="2"/>
    <n v="19.435199999999998"/>
    <n v="9.9999999999999992E-2"/>
    <n v="0"/>
  </r>
  <r>
    <n v="8648"/>
    <s v="US-2015-131842"/>
    <d v="2015-12-05T00:00:00"/>
    <x v="1"/>
    <s v="Q4"/>
    <x v="14"/>
    <d v="2015-12-08T00:00:00"/>
    <s v="First Class"/>
    <x v="645"/>
    <x v="645"/>
    <s v="Corporate"/>
    <s v="United States"/>
    <s v="Nashville"/>
    <x v="18"/>
    <n v="37211"/>
    <x v="0"/>
    <x v="212"/>
    <x v="0"/>
    <x v="1"/>
    <x v="213"/>
    <n v="97.424000000000007"/>
    <s v="Medium"/>
    <n v="2"/>
    <n v="0.2"/>
    <x v="2"/>
    <x v="2"/>
    <n v="10.9602"/>
    <n v="0.1125"/>
    <n v="0"/>
  </r>
  <r>
    <n v="8649"/>
    <s v="CA-2016-164574"/>
    <d v="2016-07-29T00:00:00"/>
    <x v="0"/>
    <s v="Q3"/>
    <x v="16"/>
    <d v="2016-08-03T00:00:00"/>
    <s v="Standard Class"/>
    <x v="653"/>
    <x v="653"/>
    <s v="Consumer"/>
    <s v="United States"/>
    <s v="Charlotte"/>
    <x v="3"/>
    <n v="28205"/>
    <x v="0"/>
    <x v="718"/>
    <x v="1"/>
    <x v="4"/>
    <x v="717"/>
    <n v="704.76"/>
    <s v="High"/>
    <n v="5"/>
    <n v="0.2"/>
    <x v="2"/>
    <x v="2"/>
    <n v="26.4285"/>
    <n v="3.7499999999999999E-2"/>
    <n v="0"/>
  </r>
  <r>
    <n v="8650"/>
    <s v="CA-2016-164574"/>
    <d v="2016-07-29T00:00:00"/>
    <x v="0"/>
    <s v="Q3"/>
    <x v="16"/>
    <d v="2016-08-03T00:00:00"/>
    <s v="Standard Class"/>
    <x v="653"/>
    <x v="653"/>
    <s v="Consumer"/>
    <s v="United States"/>
    <s v="Charlotte"/>
    <x v="3"/>
    <n v="28205"/>
    <x v="0"/>
    <x v="471"/>
    <x v="1"/>
    <x v="8"/>
    <x v="472"/>
    <n v="27.396000000000001"/>
    <s v="Medium"/>
    <n v="3"/>
    <n v="0.7"/>
    <x v="1"/>
    <x v="5"/>
    <n v="-20.090399999999999"/>
    <n v="-0.73333333333333328"/>
    <n v="1"/>
  </r>
  <r>
    <n v="8651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1705"/>
    <x v="1"/>
    <x v="13"/>
    <x v="1694"/>
    <n v="5.7"/>
    <s v="Low"/>
    <n v="5"/>
    <n v="0"/>
    <x v="0"/>
    <x v="0"/>
    <n v="2.6789999999999998"/>
    <n v="0.47"/>
    <n v="0"/>
  </r>
  <r>
    <n v="8652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283"/>
    <x v="0"/>
    <x v="5"/>
    <x v="283"/>
    <n v="14.19"/>
    <s v="Low"/>
    <n v="3"/>
    <n v="0"/>
    <x v="0"/>
    <x v="0"/>
    <n v="5.5340999999999996"/>
    <n v="0.38999999999999996"/>
    <n v="0"/>
  </r>
  <r>
    <n v="8653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503"/>
    <x v="1"/>
    <x v="14"/>
    <x v="503"/>
    <n v="7.3"/>
    <s v="Low"/>
    <n v="2"/>
    <n v="0"/>
    <x v="0"/>
    <x v="0"/>
    <n v="2.19"/>
    <n v="0.3"/>
    <n v="0"/>
  </r>
  <r>
    <n v="8654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590"/>
    <x v="2"/>
    <x v="11"/>
    <x v="590"/>
    <n v="199.98"/>
    <s v="High"/>
    <n v="2"/>
    <n v="0"/>
    <x v="0"/>
    <x v="0"/>
    <n v="75.992400000000004"/>
    <n v="0.38000000000000006"/>
    <n v="0"/>
  </r>
  <r>
    <n v="8655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1519"/>
    <x v="2"/>
    <x v="11"/>
    <x v="1506"/>
    <n v="144.96"/>
    <s v="High"/>
    <n v="4"/>
    <n v="0"/>
    <x v="0"/>
    <x v="0"/>
    <n v="60.883200000000002"/>
    <n v="0.42"/>
    <n v="0"/>
  </r>
  <r>
    <n v="8656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1013"/>
    <x v="2"/>
    <x v="11"/>
    <x v="1005"/>
    <n v="118"/>
    <s v="Medium"/>
    <n v="2"/>
    <n v="0"/>
    <x v="0"/>
    <x v="0"/>
    <n v="20.059999999999999"/>
    <n v="0.16999999999999998"/>
    <n v="0"/>
  </r>
  <r>
    <n v="8657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1438"/>
    <x v="1"/>
    <x v="10"/>
    <x v="1426"/>
    <n v="48.94"/>
    <s v="Medium"/>
    <n v="1"/>
    <n v="0"/>
    <x v="0"/>
    <x v="0"/>
    <n v="24.47"/>
    <n v="0.5"/>
    <n v="0"/>
  </r>
  <r>
    <n v="8658"/>
    <s v="CA-2014-142769"/>
    <d v="2014-09-13T00:00:00"/>
    <x v="2"/>
    <s v="Q3"/>
    <x v="30"/>
    <d v="2014-09-13T00:00:00"/>
    <s v="Same Day"/>
    <x v="261"/>
    <x v="261"/>
    <s v="Consumer"/>
    <s v="United States"/>
    <s v="Seattle"/>
    <x v="4"/>
    <n v="98103"/>
    <x v="1"/>
    <x v="1201"/>
    <x v="1"/>
    <x v="9"/>
    <x v="1186"/>
    <n v="22.66"/>
    <s v="Low"/>
    <n v="2"/>
    <n v="0"/>
    <x v="0"/>
    <x v="0"/>
    <n v="9.7438000000000002"/>
    <n v="0.43"/>
    <n v="0"/>
  </r>
  <r>
    <n v="8659"/>
    <s v="CA-2016-168361"/>
    <d v="2016-06-21T00:00:00"/>
    <x v="0"/>
    <s v="Q2"/>
    <x v="1"/>
    <d v="2016-06-25T00:00:00"/>
    <s v="Standard Class"/>
    <x v="33"/>
    <x v="33"/>
    <s v="Corporate"/>
    <s v="United States"/>
    <s v="Chicago"/>
    <x v="10"/>
    <n v="60623"/>
    <x v="2"/>
    <x v="807"/>
    <x v="1"/>
    <x v="8"/>
    <x v="805"/>
    <n v="0.83599999999999997"/>
    <s v="Low"/>
    <n v="1"/>
    <n v="0.8"/>
    <x v="1"/>
    <x v="3"/>
    <n v="-1.3375999999999999"/>
    <n v="-1.5999999999999999"/>
    <n v="1"/>
  </r>
  <r>
    <n v="8660"/>
    <s v="CA-2016-153185"/>
    <d v="2016-09-03T00:00:00"/>
    <x v="0"/>
    <s v="Q3"/>
    <x v="21"/>
    <d v="2016-09-08T00:00:00"/>
    <s v="Standard Class"/>
    <x v="588"/>
    <x v="588"/>
    <s v="Corporate"/>
    <s v="United States"/>
    <s v="Cincinnati"/>
    <x v="24"/>
    <n v="45231"/>
    <x v="3"/>
    <x v="1408"/>
    <x v="1"/>
    <x v="10"/>
    <x v="1395"/>
    <n v="30.96"/>
    <s v="Medium"/>
    <n v="6"/>
    <n v="0.2"/>
    <x v="2"/>
    <x v="2"/>
    <n v="11.223000000000001"/>
    <n v="0.36249999999999999"/>
    <n v="0"/>
  </r>
  <r>
    <n v="8661"/>
    <s v="CA-2017-124765"/>
    <d v="2017-11-25T00:00:00"/>
    <x v="3"/>
    <s v="Q4"/>
    <x v="23"/>
    <d v="2017-11-30T00:00:00"/>
    <s v="Standard Class"/>
    <x v="521"/>
    <x v="521"/>
    <s v="Consumer"/>
    <s v="United States"/>
    <s v="Fort Lauderdale"/>
    <x v="2"/>
    <n v="33311"/>
    <x v="0"/>
    <x v="1103"/>
    <x v="0"/>
    <x v="0"/>
    <x v="1092"/>
    <n v="723.92"/>
    <s v="High"/>
    <n v="5"/>
    <n v="0.2"/>
    <x v="2"/>
    <x v="2"/>
    <n v="-81.441000000000003"/>
    <n v="-0.11250000000000002"/>
    <n v="1"/>
  </r>
  <r>
    <n v="8662"/>
    <s v="CA-2015-131856"/>
    <d v="2015-05-12T00:00:00"/>
    <x v="1"/>
    <s v="Q2"/>
    <x v="33"/>
    <d v="2015-05-17T00:00:00"/>
    <s v="Standard Class"/>
    <x v="506"/>
    <x v="506"/>
    <s v="Consumer"/>
    <s v="United States"/>
    <s v="Houston"/>
    <x v="5"/>
    <n v="77041"/>
    <x v="2"/>
    <x v="1649"/>
    <x v="0"/>
    <x v="5"/>
    <x v="1638"/>
    <n v="21.968"/>
    <s v="Low"/>
    <n v="4"/>
    <n v="0.6"/>
    <x v="1"/>
    <x v="6"/>
    <n v="-15.9268"/>
    <n v="-0.72499999999999998"/>
    <n v="1"/>
  </r>
  <r>
    <n v="8663"/>
    <s v="CA-2015-131856"/>
    <d v="2015-05-12T00:00:00"/>
    <x v="1"/>
    <s v="Q2"/>
    <x v="33"/>
    <d v="2015-05-17T00:00:00"/>
    <s v="Standard Class"/>
    <x v="506"/>
    <x v="506"/>
    <s v="Consumer"/>
    <s v="United States"/>
    <s v="Houston"/>
    <x v="5"/>
    <n v="77041"/>
    <x v="2"/>
    <x v="957"/>
    <x v="2"/>
    <x v="7"/>
    <x v="950"/>
    <n v="619.15200000000004"/>
    <s v="High"/>
    <n v="6"/>
    <n v="0.2"/>
    <x v="2"/>
    <x v="2"/>
    <n v="69.654600000000002"/>
    <n v="0.11249999999999999"/>
    <n v="0"/>
  </r>
  <r>
    <n v="8664"/>
    <s v="CA-2015-131856"/>
    <d v="2015-05-12T00:00:00"/>
    <x v="1"/>
    <s v="Q2"/>
    <x v="33"/>
    <d v="2015-05-17T00:00:00"/>
    <s v="Standard Class"/>
    <x v="506"/>
    <x v="506"/>
    <s v="Consumer"/>
    <s v="United States"/>
    <s v="Houston"/>
    <x v="5"/>
    <n v="77041"/>
    <x v="2"/>
    <x v="600"/>
    <x v="1"/>
    <x v="10"/>
    <x v="600"/>
    <n v="127.904"/>
    <s v="High"/>
    <n v="7"/>
    <n v="0.2"/>
    <x v="2"/>
    <x v="2"/>
    <n v="41.568800000000003"/>
    <n v="0.32500000000000001"/>
    <n v="0"/>
  </r>
  <r>
    <n v="8665"/>
    <s v="CA-2017-126634"/>
    <d v="2017-03-30T00:00:00"/>
    <x v="3"/>
    <s v="Q1"/>
    <x v="42"/>
    <d v="2017-04-01T00:00:00"/>
    <s v="Second Class"/>
    <x v="269"/>
    <x v="269"/>
    <s v="Consumer"/>
    <s v="United States"/>
    <s v="Lakewood"/>
    <x v="1"/>
    <n v="90712"/>
    <x v="1"/>
    <x v="1155"/>
    <x v="0"/>
    <x v="5"/>
    <x v="1143"/>
    <n v="94.2"/>
    <s v="Medium"/>
    <n v="5"/>
    <n v="0"/>
    <x v="0"/>
    <x v="0"/>
    <n v="39.564"/>
    <n v="0.42"/>
    <n v="0"/>
  </r>
  <r>
    <n v="8666"/>
    <s v="CA-2016-118500"/>
    <d v="2016-11-17T00:00:00"/>
    <x v="0"/>
    <s v="Q4"/>
    <x v="0"/>
    <d v="2016-11-18T00:00:00"/>
    <s v="First Class"/>
    <x v="707"/>
    <x v="707"/>
    <s v="Home Office"/>
    <s v="United States"/>
    <s v="San Francisco"/>
    <x v="1"/>
    <n v="94122"/>
    <x v="1"/>
    <x v="558"/>
    <x v="1"/>
    <x v="14"/>
    <x v="557"/>
    <n v="49.5"/>
    <s v="Medium"/>
    <n v="5"/>
    <n v="0"/>
    <x v="0"/>
    <x v="0"/>
    <n v="13.365"/>
    <n v="0.27"/>
    <n v="0"/>
  </r>
  <r>
    <n v="8667"/>
    <s v="CA-2016-163951"/>
    <d v="2016-12-30T00:00:00"/>
    <x v="0"/>
    <s v="Q4"/>
    <x v="5"/>
    <d v="2017-01-02T00:00:00"/>
    <s v="First Class"/>
    <x v="788"/>
    <x v="788"/>
    <s v="Corporate"/>
    <s v="United States"/>
    <s v="Philadelphia"/>
    <x v="9"/>
    <n v="19140"/>
    <x v="3"/>
    <x v="1560"/>
    <x v="1"/>
    <x v="6"/>
    <x v="1550"/>
    <n v="16.52"/>
    <s v="Low"/>
    <n v="5"/>
    <n v="0.2"/>
    <x v="2"/>
    <x v="2"/>
    <n v="1.6519999999999999"/>
    <n v="9.9999999999999992E-2"/>
    <n v="0"/>
  </r>
  <r>
    <n v="8668"/>
    <s v="CA-2016-149916"/>
    <d v="2016-12-22T00:00:00"/>
    <x v="0"/>
    <s v="Q4"/>
    <x v="5"/>
    <d v="2016-12-24T00:00:00"/>
    <s v="Second Class"/>
    <x v="525"/>
    <x v="525"/>
    <s v="Home Office"/>
    <s v="United States"/>
    <s v="Seattle"/>
    <x v="4"/>
    <n v="98115"/>
    <x v="1"/>
    <x v="153"/>
    <x v="1"/>
    <x v="8"/>
    <x v="154"/>
    <n v="55.36"/>
    <s v="Medium"/>
    <n v="4"/>
    <n v="0.2"/>
    <x v="2"/>
    <x v="2"/>
    <n v="19.376000000000001"/>
    <n v="0.35000000000000003"/>
    <n v="0"/>
  </r>
  <r>
    <n v="8669"/>
    <s v="CA-2016-149916"/>
    <d v="2016-12-22T00:00:00"/>
    <x v="0"/>
    <s v="Q4"/>
    <x v="5"/>
    <d v="2016-12-24T00:00:00"/>
    <s v="Second Class"/>
    <x v="525"/>
    <x v="525"/>
    <s v="Home Office"/>
    <s v="United States"/>
    <s v="Seattle"/>
    <x v="4"/>
    <n v="98115"/>
    <x v="1"/>
    <x v="1703"/>
    <x v="2"/>
    <x v="15"/>
    <x v="1692"/>
    <n v="11.56"/>
    <s v="Low"/>
    <n v="1"/>
    <n v="0.2"/>
    <x v="2"/>
    <x v="2"/>
    <n v="3.7570000000000001"/>
    <n v="0.32500000000000001"/>
    <n v="0"/>
  </r>
  <r>
    <n v="8670"/>
    <s v="CA-2015-158918"/>
    <d v="2015-12-20T00:00:00"/>
    <x v="1"/>
    <s v="Q4"/>
    <x v="14"/>
    <d v="2015-12-25T00:00:00"/>
    <s v="Second Class"/>
    <x v="482"/>
    <x v="482"/>
    <s v="Consumer"/>
    <s v="United States"/>
    <s v="Los Angeles"/>
    <x v="1"/>
    <n v="90036"/>
    <x v="1"/>
    <x v="1115"/>
    <x v="1"/>
    <x v="10"/>
    <x v="33"/>
    <n v="17.12"/>
    <s v="Low"/>
    <n v="4"/>
    <n v="0"/>
    <x v="0"/>
    <x v="0"/>
    <n v="7.7039999999999997"/>
    <n v="0.44999999999999996"/>
    <n v="0"/>
  </r>
  <r>
    <n v="8671"/>
    <s v="US-2014-159611"/>
    <d v="2014-12-27T00:00:00"/>
    <x v="2"/>
    <s v="Q4"/>
    <x v="20"/>
    <d v="2015-01-01T00:00:00"/>
    <s v="Second Class"/>
    <x v="41"/>
    <x v="41"/>
    <s v="Consumer"/>
    <s v="United States"/>
    <s v="Cleveland"/>
    <x v="24"/>
    <n v="44105"/>
    <x v="3"/>
    <x v="1597"/>
    <x v="0"/>
    <x v="5"/>
    <x v="1589"/>
    <n v="182.352"/>
    <s v="High"/>
    <n v="3"/>
    <n v="0.2"/>
    <x v="2"/>
    <x v="2"/>
    <n v="-18.235199999999999"/>
    <n v="-9.9999999999999992E-2"/>
    <n v="1"/>
  </r>
  <r>
    <n v="8672"/>
    <s v="US-2014-159611"/>
    <d v="2014-12-27T00:00:00"/>
    <x v="2"/>
    <s v="Q4"/>
    <x v="20"/>
    <d v="2015-01-01T00:00:00"/>
    <s v="Second Class"/>
    <x v="41"/>
    <x v="41"/>
    <s v="Consumer"/>
    <s v="United States"/>
    <s v="Cleveland"/>
    <x v="24"/>
    <n v="44105"/>
    <x v="3"/>
    <x v="235"/>
    <x v="1"/>
    <x v="4"/>
    <x v="236"/>
    <n v="118.16"/>
    <s v="Medium"/>
    <n v="2"/>
    <n v="0.2"/>
    <x v="2"/>
    <x v="2"/>
    <n v="-25.109000000000002"/>
    <n v="-0.21250000000000002"/>
    <n v="1"/>
  </r>
  <r>
    <n v="8673"/>
    <s v="CA-2017-163265"/>
    <d v="2017-02-16T00:00:00"/>
    <x v="3"/>
    <s v="Q1"/>
    <x v="31"/>
    <d v="2017-02-21T00:00:00"/>
    <s v="Standard Class"/>
    <x v="559"/>
    <x v="559"/>
    <s v="Consumer"/>
    <s v="United States"/>
    <s v="Decatur"/>
    <x v="10"/>
    <n v="62521"/>
    <x v="2"/>
    <x v="271"/>
    <x v="1"/>
    <x v="13"/>
    <x v="271"/>
    <n v="18.367999999999999"/>
    <s v="Low"/>
    <n v="2"/>
    <n v="0.2"/>
    <x v="2"/>
    <x v="2"/>
    <n v="6.1992000000000003"/>
    <n v="0.33750000000000002"/>
    <n v="0"/>
  </r>
  <r>
    <n v="8674"/>
    <s v="CA-2017-163265"/>
    <d v="2017-02-16T00:00:00"/>
    <x v="3"/>
    <s v="Q1"/>
    <x v="31"/>
    <d v="2017-02-21T00:00:00"/>
    <s v="Standard Class"/>
    <x v="559"/>
    <x v="559"/>
    <s v="Consumer"/>
    <s v="United States"/>
    <s v="Decatur"/>
    <x v="10"/>
    <n v="62521"/>
    <x v="2"/>
    <x v="120"/>
    <x v="0"/>
    <x v="1"/>
    <x v="120"/>
    <n v="600.55799999999999"/>
    <s v="High"/>
    <n v="3"/>
    <n v="0.3"/>
    <x v="1"/>
    <x v="4"/>
    <n v="-8.5793999999999997"/>
    <n v="-1.4285714285714285E-2"/>
    <n v="1"/>
  </r>
  <r>
    <n v="8675"/>
    <s v="CA-2017-163265"/>
    <d v="2017-02-16T00:00:00"/>
    <x v="3"/>
    <s v="Q1"/>
    <x v="31"/>
    <d v="2017-02-21T00:00:00"/>
    <s v="Standard Class"/>
    <x v="559"/>
    <x v="559"/>
    <s v="Consumer"/>
    <s v="United States"/>
    <s v="Decatur"/>
    <x v="10"/>
    <n v="62521"/>
    <x v="2"/>
    <x v="193"/>
    <x v="1"/>
    <x v="4"/>
    <x v="194"/>
    <n v="50.351999999999997"/>
    <s v="Medium"/>
    <n v="3"/>
    <n v="0.2"/>
    <x v="2"/>
    <x v="2"/>
    <n v="-8.1821999999999999"/>
    <n v="-0.16250000000000001"/>
    <n v="1"/>
  </r>
  <r>
    <n v="8676"/>
    <s v="CA-2017-163265"/>
    <d v="2017-02-16T00:00:00"/>
    <x v="3"/>
    <s v="Q1"/>
    <x v="31"/>
    <d v="2017-02-21T00:00:00"/>
    <s v="Standard Class"/>
    <x v="559"/>
    <x v="559"/>
    <s v="Consumer"/>
    <s v="United States"/>
    <s v="Decatur"/>
    <x v="10"/>
    <n v="62521"/>
    <x v="2"/>
    <x v="512"/>
    <x v="1"/>
    <x v="6"/>
    <x v="512"/>
    <n v="28.032"/>
    <s v="Medium"/>
    <n v="6"/>
    <n v="0.2"/>
    <x v="2"/>
    <x v="2"/>
    <n v="3.504"/>
    <n v="0.125"/>
    <n v="0"/>
  </r>
  <r>
    <n v="8677"/>
    <s v="CA-2017-163265"/>
    <d v="2017-02-16T00:00:00"/>
    <x v="3"/>
    <s v="Q1"/>
    <x v="31"/>
    <d v="2017-02-21T00:00:00"/>
    <s v="Standard Class"/>
    <x v="559"/>
    <x v="559"/>
    <s v="Consumer"/>
    <s v="United States"/>
    <s v="Decatur"/>
    <x v="10"/>
    <n v="62521"/>
    <x v="2"/>
    <x v="1006"/>
    <x v="0"/>
    <x v="5"/>
    <x v="1381"/>
    <n v="7.6920000000000002"/>
    <s v="Low"/>
    <n v="1"/>
    <n v="0.6"/>
    <x v="1"/>
    <x v="6"/>
    <n v="-3.6537000000000002"/>
    <n v="-0.47500000000000003"/>
    <n v="1"/>
  </r>
  <r>
    <n v="8678"/>
    <s v="CA-2017-141705"/>
    <d v="2017-10-24T00:00:00"/>
    <x v="3"/>
    <s v="Q4"/>
    <x v="13"/>
    <d v="2017-10-26T00:00:00"/>
    <s v="First Class"/>
    <x v="138"/>
    <x v="138"/>
    <s v="Consumer"/>
    <s v="United States"/>
    <s v="Mansfield"/>
    <x v="5"/>
    <n v="76063"/>
    <x v="2"/>
    <x v="1116"/>
    <x v="0"/>
    <x v="3"/>
    <x v="1104"/>
    <n v="517.40499999999997"/>
    <s v="High"/>
    <n v="5"/>
    <n v="0.3"/>
    <x v="1"/>
    <x v="4"/>
    <n v="-81.3065"/>
    <n v="-0.15714285714285714"/>
    <n v="1"/>
  </r>
  <r>
    <n v="8679"/>
    <s v="CA-2016-112739"/>
    <d v="2016-09-02T00:00:00"/>
    <x v="0"/>
    <s v="Q3"/>
    <x v="21"/>
    <d v="2016-09-07T00:00:00"/>
    <s v="Second Class"/>
    <x v="279"/>
    <x v="279"/>
    <s v="Home Office"/>
    <s v="United States"/>
    <s v="Houston"/>
    <x v="5"/>
    <n v="77070"/>
    <x v="2"/>
    <x v="636"/>
    <x v="1"/>
    <x v="8"/>
    <x v="636"/>
    <n v="8.6080000000000005"/>
    <s v="Low"/>
    <n v="8"/>
    <n v="0.8"/>
    <x v="1"/>
    <x v="3"/>
    <n v="-13.3424"/>
    <n v="-1.5499999999999998"/>
    <n v="1"/>
  </r>
  <r>
    <n v="8680"/>
    <s v="CA-2016-112739"/>
    <d v="2016-09-02T00:00:00"/>
    <x v="0"/>
    <s v="Q3"/>
    <x v="21"/>
    <d v="2016-09-07T00:00:00"/>
    <s v="Second Class"/>
    <x v="279"/>
    <x v="279"/>
    <s v="Home Office"/>
    <s v="United States"/>
    <s v="Houston"/>
    <x v="5"/>
    <n v="77070"/>
    <x v="2"/>
    <x v="685"/>
    <x v="2"/>
    <x v="11"/>
    <x v="685"/>
    <n v="159.56"/>
    <s v="High"/>
    <n v="5"/>
    <n v="0.2"/>
    <x v="2"/>
    <x v="2"/>
    <n v="33.906500000000001"/>
    <n v="0.21249999999999999"/>
    <n v="0"/>
  </r>
  <r>
    <n v="8681"/>
    <s v="CA-2016-143805"/>
    <d v="2016-12-01T00:00:00"/>
    <x v="0"/>
    <s v="Q4"/>
    <x v="5"/>
    <d v="2016-12-03T00:00:00"/>
    <s v="Second Class"/>
    <x v="63"/>
    <x v="63"/>
    <s v="Corporate"/>
    <s v="United States"/>
    <s v="Richmond"/>
    <x v="17"/>
    <n v="23223"/>
    <x v="0"/>
    <x v="227"/>
    <x v="1"/>
    <x v="9"/>
    <x v="228"/>
    <n v="2104.5500000000002"/>
    <s v="High"/>
    <n v="7"/>
    <n v="0"/>
    <x v="0"/>
    <x v="0"/>
    <n v="694.50149999999996"/>
    <n v="0.32999999999999996"/>
    <n v="0"/>
  </r>
  <r>
    <n v="8682"/>
    <s v="CA-2016-143805"/>
    <d v="2016-12-01T00:00:00"/>
    <x v="0"/>
    <s v="Q4"/>
    <x v="5"/>
    <d v="2016-12-03T00:00:00"/>
    <s v="Second Class"/>
    <x v="63"/>
    <x v="63"/>
    <s v="Corporate"/>
    <s v="United States"/>
    <s v="Richmond"/>
    <x v="17"/>
    <n v="23223"/>
    <x v="0"/>
    <x v="597"/>
    <x v="1"/>
    <x v="14"/>
    <x v="597"/>
    <n v="40.700000000000003"/>
    <s v="Medium"/>
    <n v="5"/>
    <n v="0"/>
    <x v="0"/>
    <x v="0"/>
    <n v="11.803000000000001"/>
    <n v="0.28999999999999998"/>
    <n v="0"/>
  </r>
  <r>
    <n v="8683"/>
    <s v="CA-2014-133634"/>
    <d v="2014-11-05T00:00:00"/>
    <x v="2"/>
    <s v="Q4"/>
    <x v="7"/>
    <d v="2014-11-10T00:00:00"/>
    <s v="Standard Class"/>
    <x v="256"/>
    <x v="256"/>
    <s v="Home Office"/>
    <s v="United States"/>
    <s v="Arlington"/>
    <x v="17"/>
    <n v="22204"/>
    <x v="0"/>
    <x v="1365"/>
    <x v="2"/>
    <x v="11"/>
    <x v="1351"/>
    <n v="47.79"/>
    <s v="Medium"/>
    <n v="3"/>
    <n v="0"/>
    <x v="0"/>
    <x v="0"/>
    <n v="16.2486"/>
    <n v="0.34"/>
    <n v="0"/>
  </r>
  <r>
    <n v="8684"/>
    <s v="CA-2017-101665"/>
    <d v="2017-11-25T00:00:00"/>
    <x v="3"/>
    <s v="Q4"/>
    <x v="23"/>
    <d v="2017-12-01T00:00:00"/>
    <s v="Standard Class"/>
    <x v="356"/>
    <x v="356"/>
    <s v="Consumer"/>
    <s v="United States"/>
    <s v="San Francisco"/>
    <x v="1"/>
    <n v="94122"/>
    <x v="1"/>
    <x v="679"/>
    <x v="1"/>
    <x v="6"/>
    <x v="679"/>
    <n v="5.16"/>
    <s v="Low"/>
    <n v="2"/>
    <n v="0"/>
    <x v="0"/>
    <x v="0"/>
    <n v="1.3415999999999999"/>
    <n v="0.25999999999999995"/>
    <n v="0"/>
  </r>
  <r>
    <n v="8685"/>
    <s v="CA-2016-155446"/>
    <d v="2016-12-16T00:00:00"/>
    <x v="0"/>
    <s v="Q4"/>
    <x v="5"/>
    <d v="2016-12-23T00:00:00"/>
    <s v="Standard Class"/>
    <x v="184"/>
    <x v="184"/>
    <s v="Home Office"/>
    <s v="United States"/>
    <s v="San Diego"/>
    <x v="1"/>
    <n v="92024"/>
    <x v="1"/>
    <x v="427"/>
    <x v="2"/>
    <x v="11"/>
    <x v="427"/>
    <n v="21.21"/>
    <s v="Low"/>
    <n v="7"/>
    <n v="0"/>
    <x v="0"/>
    <x v="0"/>
    <n v="4.4541000000000004"/>
    <n v="0.21000000000000002"/>
    <n v="0"/>
  </r>
  <r>
    <n v="8686"/>
    <s v="CA-2017-137323"/>
    <d v="2017-11-14T00:00:00"/>
    <x v="3"/>
    <s v="Q4"/>
    <x v="23"/>
    <d v="2017-11-18T00:00:00"/>
    <s v="Second Class"/>
    <x v="463"/>
    <x v="463"/>
    <s v="Corporate"/>
    <s v="United States"/>
    <s v="Watertown"/>
    <x v="15"/>
    <n v="13601"/>
    <x v="3"/>
    <x v="1229"/>
    <x v="1"/>
    <x v="4"/>
    <x v="1212"/>
    <n v="96.36"/>
    <s v="Medium"/>
    <n v="6"/>
    <n v="0"/>
    <x v="0"/>
    <x v="0"/>
    <n v="25.053599999999999"/>
    <n v="0.26"/>
    <n v="0"/>
  </r>
  <r>
    <n v="8687"/>
    <s v="CA-2016-144015"/>
    <d v="2016-06-26T00:00:00"/>
    <x v="0"/>
    <s v="Q2"/>
    <x v="1"/>
    <d v="2016-06-26T00:00:00"/>
    <s v="Same Day"/>
    <x v="340"/>
    <x v="340"/>
    <s v="Corporate"/>
    <s v="United States"/>
    <s v="Los Angeles"/>
    <x v="1"/>
    <n v="90036"/>
    <x v="1"/>
    <x v="413"/>
    <x v="1"/>
    <x v="14"/>
    <x v="413"/>
    <n v="231.72"/>
    <s v="High"/>
    <n v="2"/>
    <n v="0"/>
    <x v="0"/>
    <x v="0"/>
    <n v="11.586"/>
    <n v="0.05"/>
    <n v="0"/>
  </r>
  <r>
    <n v="8688"/>
    <s v="CA-2016-144015"/>
    <d v="2016-06-26T00:00:00"/>
    <x v="0"/>
    <s v="Q2"/>
    <x v="1"/>
    <d v="2016-06-26T00:00:00"/>
    <s v="Same Day"/>
    <x v="340"/>
    <x v="340"/>
    <s v="Corporate"/>
    <s v="United States"/>
    <s v="Los Angeles"/>
    <x v="1"/>
    <n v="90036"/>
    <x v="1"/>
    <x v="294"/>
    <x v="1"/>
    <x v="13"/>
    <x v="294"/>
    <n v="17.899999999999999"/>
    <s v="Low"/>
    <n v="5"/>
    <n v="0"/>
    <x v="0"/>
    <x v="0"/>
    <n v="8.9499999999999993"/>
    <n v="0.5"/>
    <n v="0"/>
  </r>
  <r>
    <n v="8689"/>
    <s v="CA-2016-144015"/>
    <d v="2016-06-26T00:00:00"/>
    <x v="0"/>
    <s v="Q2"/>
    <x v="1"/>
    <d v="2016-06-26T00:00:00"/>
    <s v="Same Day"/>
    <x v="340"/>
    <x v="340"/>
    <s v="Corporate"/>
    <s v="United States"/>
    <s v="Los Angeles"/>
    <x v="1"/>
    <n v="90036"/>
    <x v="1"/>
    <x v="910"/>
    <x v="1"/>
    <x v="10"/>
    <x v="902"/>
    <n v="12.48"/>
    <s v="Low"/>
    <n v="2"/>
    <n v="0"/>
    <x v="0"/>
    <x v="0"/>
    <n v="5.6159999999999997"/>
    <n v="0.44999999999999996"/>
    <n v="0"/>
  </r>
  <r>
    <n v="8690"/>
    <s v="CA-2014-101427"/>
    <d v="2014-12-26T00:00:00"/>
    <x v="2"/>
    <s v="Q4"/>
    <x v="20"/>
    <d v="2014-12-30T00:00:00"/>
    <s v="Standard Class"/>
    <x v="672"/>
    <x v="672"/>
    <s v="Corporate"/>
    <s v="United States"/>
    <s v="Philadelphia"/>
    <x v="9"/>
    <n v="19140"/>
    <x v="3"/>
    <x v="1216"/>
    <x v="1"/>
    <x v="6"/>
    <x v="1200"/>
    <n v="8.016"/>
    <s v="Low"/>
    <n v="3"/>
    <n v="0.2"/>
    <x v="2"/>
    <x v="2"/>
    <n v="1.1022000000000001"/>
    <n v="0.13750000000000001"/>
    <n v="0"/>
  </r>
  <r>
    <n v="8691"/>
    <s v="CA-2016-136770"/>
    <d v="2016-08-14T00:00:00"/>
    <x v="0"/>
    <s v="Q3"/>
    <x v="28"/>
    <d v="2016-08-18T00:00:00"/>
    <s v="Standard Class"/>
    <x v="70"/>
    <x v="70"/>
    <s v="Corporate"/>
    <s v="United States"/>
    <s v="Akron"/>
    <x v="24"/>
    <n v="44312"/>
    <x v="3"/>
    <x v="1015"/>
    <x v="2"/>
    <x v="7"/>
    <x v="1006"/>
    <n v="259.89600000000002"/>
    <s v="High"/>
    <n v="2"/>
    <n v="0.4"/>
    <x v="1"/>
    <x v="7"/>
    <n v="-56.3108"/>
    <n v="-0.21666666666666665"/>
    <n v="1"/>
  </r>
  <r>
    <n v="8692"/>
    <s v="CA-2016-136770"/>
    <d v="2016-08-14T00:00:00"/>
    <x v="0"/>
    <s v="Q3"/>
    <x v="28"/>
    <d v="2016-08-18T00:00:00"/>
    <s v="Standard Class"/>
    <x v="70"/>
    <x v="70"/>
    <s v="Corporate"/>
    <s v="United States"/>
    <s v="Akron"/>
    <x v="24"/>
    <n v="44312"/>
    <x v="3"/>
    <x v="638"/>
    <x v="2"/>
    <x v="7"/>
    <x v="759"/>
    <n v="247.18799999999999"/>
    <s v="High"/>
    <n v="2"/>
    <n v="0.4"/>
    <x v="1"/>
    <x v="7"/>
    <n v="-49.437600000000003"/>
    <n v="-0.2"/>
    <n v="1"/>
  </r>
  <r>
    <n v="8693"/>
    <s v="CA-2016-136770"/>
    <d v="2016-08-14T00:00:00"/>
    <x v="0"/>
    <s v="Q3"/>
    <x v="28"/>
    <d v="2016-08-18T00:00:00"/>
    <s v="Standard Class"/>
    <x v="70"/>
    <x v="70"/>
    <s v="Corporate"/>
    <s v="United States"/>
    <s v="Akron"/>
    <x v="24"/>
    <n v="44312"/>
    <x v="3"/>
    <x v="1509"/>
    <x v="2"/>
    <x v="11"/>
    <x v="1496"/>
    <n v="279.95999999999998"/>
    <s v="High"/>
    <n v="5"/>
    <n v="0.2"/>
    <x v="2"/>
    <x v="2"/>
    <n v="48.993000000000002"/>
    <n v="0.17500000000000002"/>
    <n v="0"/>
  </r>
  <r>
    <n v="8694"/>
    <s v="CA-2016-118311"/>
    <d v="2016-10-24T00:00:00"/>
    <x v="0"/>
    <s v="Q4"/>
    <x v="32"/>
    <d v="2016-10-28T00:00:00"/>
    <s v="Standard Class"/>
    <x v="525"/>
    <x v="525"/>
    <s v="Home Office"/>
    <s v="United States"/>
    <s v="San Francisco"/>
    <x v="1"/>
    <n v="94110"/>
    <x v="1"/>
    <x v="293"/>
    <x v="2"/>
    <x v="11"/>
    <x v="293"/>
    <n v="450"/>
    <s v="High"/>
    <n v="5"/>
    <n v="0"/>
    <x v="0"/>
    <x v="0"/>
    <n v="162"/>
    <n v="0.36"/>
    <n v="0"/>
  </r>
  <r>
    <n v="8695"/>
    <s v="US-2014-112795"/>
    <d v="2014-08-23T00:00:00"/>
    <x v="2"/>
    <s v="Q3"/>
    <x v="9"/>
    <d v="2014-08-28T00:00:00"/>
    <s v="Second Class"/>
    <x v="128"/>
    <x v="128"/>
    <s v="Home Office"/>
    <s v="United States"/>
    <s v="Grand Rapids"/>
    <x v="12"/>
    <n v="49505"/>
    <x v="2"/>
    <x v="548"/>
    <x v="1"/>
    <x v="10"/>
    <x v="548"/>
    <n v="19.440000000000001"/>
    <s v="Low"/>
    <n v="3"/>
    <n v="0"/>
    <x v="0"/>
    <x v="0"/>
    <n v="9.5256000000000007"/>
    <n v="0.49"/>
    <n v="0"/>
  </r>
  <r>
    <n v="8696"/>
    <s v="CA-2017-127096"/>
    <d v="2017-09-15T00:00:00"/>
    <x v="3"/>
    <s v="Q3"/>
    <x v="15"/>
    <d v="2017-09-17T00:00:00"/>
    <s v="Second Class"/>
    <x v="37"/>
    <x v="37"/>
    <s v="Home Office"/>
    <s v="United States"/>
    <s v="San Francisco"/>
    <x v="1"/>
    <n v="94109"/>
    <x v="1"/>
    <x v="215"/>
    <x v="0"/>
    <x v="3"/>
    <x v="216"/>
    <n v="300.904"/>
    <s v="High"/>
    <n v="1"/>
    <n v="0.2"/>
    <x v="2"/>
    <x v="2"/>
    <n v="11.283899999999999"/>
    <n v="3.7499999999999999E-2"/>
    <n v="0"/>
  </r>
  <r>
    <n v="8697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1278"/>
    <x v="2"/>
    <x v="7"/>
    <x v="1263"/>
    <n v="239.976"/>
    <s v="High"/>
    <n v="3"/>
    <n v="0.2"/>
    <x v="2"/>
    <x v="2"/>
    <n v="26.997299999999999"/>
    <n v="0.1125"/>
    <n v="0"/>
  </r>
  <r>
    <n v="8698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221"/>
    <x v="0"/>
    <x v="5"/>
    <x v="222"/>
    <n v="31.167999999999999"/>
    <s v="Medium"/>
    <n v="4"/>
    <n v="0.2"/>
    <x v="2"/>
    <x v="2"/>
    <n v="9.3504000000000005"/>
    <n v="0.30000000000000004"/>
    <n v="0"/>
  </r>
  <r>
    <n v="8699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1529"/>
    <x v="0"/>
    <x v="3"/>
    <x v="1516"/>
    <n v="120.96"/>
    <s v="Medium"/>
    <n v="2"/>
    <n v="0.4"/>
    <x v="1"/>
    <x v="7"/>
    <n v="-28.224"/>
    <n v="-0.23333333333333334"/>
    <n v="1"/>
  </r>
  <r>
    <n v="8700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754"/>
    <x v="2"/>
    <x v="7"/>
    <x v="752"/>
    <n v="2239.9360000000001"/>
    <s v="High"/>
    <n v="8"/>
    <n v="0.2"/>
    <x v="2"/>
    <x v="2"/>
    <n v="223.99359999999999"/>
    <n v="9.9999999999999992E-2"/>
    <n v="0"/>
  </r>
  <r>
    <n v="8701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360"/>
    <x v="1"/>
    <x v="9"/>
    <x v="360"/>
    <n v="76.608000000000004"/>
    <s v="Medium"/>
    <n v="8"/>
    <n v="0.2"/>
    <x v="2"/>
    <x v="2"/>
    <n v="6.7031999999999998"/>
    <n v="8.7499999999999994E-2"/>
    <n v="0"/>
  </r>
  <r>
    <n v="8702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518"/>
    <x v="1"/>
    <x v="4"/>
    <x v="518"/>
    <n v="142.77600000000001"/>
    <s v="High"/>
    <n v="1"/>
    <n v="0.2"/>
    <x v="2"/>
    <x v="2"/>
    <n v="17.847000000000001"/>
    <n v="0.125"/>
    <n v="0"/>
  </r>
  <r>
    <n v="8703"/>
    <s v="CA-2017-119284"/>
    <d v="2017-06-15T00:00:00"/>
    <x v="3"/>
    <s v="Q2"/>
    <x v="27"/>
    <d v="2017-06-20T00:00:00"/>
    <s v="Standard Class"/>
    <x v="131"/>
    <x v="131"/>
    <s v="Corporate"/>
    <s v="United States"/>
    <s v="Nashville"/>
    <x v="18"/>
    <n v="37211"/>
    <x v="0"/>
    <x v="1841"/>
    <x v="1"/>
    <x v="10"/>
    <x v="1829"/>
    <n v="91.36"/>
    <s v="Medium"/>
    <n v="5"/>
    <n v="0.2"/>
    <x v="2"/>
    <x v="2"/>
    <n v="29.692"/>
    <n v="0.32500000000000001"/>
    <n v="0"/>
  </r>
  <r>
    <n v="8704"/>
    <s v="CA-2015-133494"/>
    <d v="2015-03-01T00:00:00"/>
    <x v="1"/>
    <s v="Q1"/>
    <x v="29"/>
    <d v="2015-03-05T00:00:00"/>
    <s v="Standard Class"/>
    <x v="261"/>
    <x v="261"/>
    <s v="Consumer"/>
    <s v="United States"/>
    <s v="Philadelphia"/>
    <x v="9"/>
    <n v="19120"/>
    <x v="3"/>
    <x v="1108"/>
    <x v="1"/>
    <x v="9"/>
    <x v="1097"/>
    <n v="3.552"/>
    <s v="Low"/>
    <n v="2"/>
    <n v="0.2"/>
    <x v="2"/>
    <x v="2"/>
    <n v="0.44400000000000001"/>
    <n v="0.125"/>
    <n v="0"/>
  </r>
  <r>
    <n v="8705"/>
    <s v="CA-2016-111318"/>
    <d v="2016-07-23T00:00:00"/>
    <x v="0"/>
    <s v="Q3"/>
    <x v="16"/>
    <d v="2016-07-26T00:00:00"/>
    <s v="First Class"/>
    <x v="582"/>
    <x v="582"/>
    <s v="Consumer"/>
    <s v="United States"/>
    <s v="Houston"/>
    <x v="5"/>
    <n v="77041"/>
    <x v="2"/>
    <x v="1763"/>
    <x v="2"/>
    <x v="7"/>
    <x v="1752"/>
    <n v="115.136"/>
    <s v="Medium"/>
    <n v="8"/>
    <n v="0.2"/>
    <x v="2"/>
    <x v="2"/>
    <n v="11.5136"/>
    <n v="0.1"/>
    <n v="0"/>
  </r>
  <r>
    <n v="8706"/>
    <s v="US-2014-132745"/>
    <d v="2014-10-01T00:00:00"/>
    <x v="2"/>
    <s v="Q4"/>
    <x v="18"/>
    <d v="2014-10-05T00:00:00"/>
    <s v="Standard Class"/>
    <x v="739"/>
    <x v="739"/>
    <s v="Home Office"/>
    <s v="United States"/>
    <s v="Reno"/>
    <x v="33"/>
    <n v="89502"/>
    <x v="1"/>
    <x v="1835"/>
    <x v="1"/>
    <x v="13"/>
    <x v="1823"/>
    <n v="4.71"/>
    <s v="Low"/>
    <n v="1"/>
    <n v="0"/>
    <x v="0"/>
    <x v="0"/>
    <n v="0"/>
    <n v="0"/>
    <n v="0"/>
  </r>
  <r>
    <n v="8707"/>
    <s v="CA-2014-146815"/>
    <d v="2014-09-08T00:00:00"/>
    <x v="2"/>
    <s v="Q3"/>
    <x v="30"/>
    <d v="2014-09-13T00:00:00"/>
    <s v="Standard Class"/>
    <x v="452"/>
    <x v="452"/>
    <s v="Home Office"/>
    <s v="United States"/>
    <s v="New York City"/>
    <x v="15"/>
    <n v="10009"/>
    <x v="3"/>
    <x v="992"/>
    <x v="0"/>
    <x v="1"/>
    <x v="984"/>
    <n v="172.76400000000001"/>
    <s v="High"/>
    <n v="2"/>
    <n v="0.1"/>
    <x v="3"/>
    <x v="8"/>
    <n v="13.437200000000001"/>
    <n v="7.7777777777777779E-2"/>
    <n v="0"/>
  </r>
  <r>
    <n v="8708"/>
    <s v="CA-2014-146815"/>
    <d v="2014-09-08T00:00:00"/>
    <x v="2"/>
    <s v="Q3"/>
    <x v="30"/>
    <d v="2014-09-13T00:00:00"/>
    <s v="Standard Class"/>
    <x v="452"/>
    <x v="452"/>
    <s v="Home Office"/>
    <s v="United States"/>
    <s v="New York City"/>
    <x v="15"/>
    <n v="10009"/>
    <x v="3"/>
    <x v="1273"/>
    <x v="1"/>
    <x v="6"/>
    <x v="1258"/>
    <n v="3.52"/>
    <s v="Low"/>
    <n v="2"/>
    <n v="0"/>
    <x v="0"/>
    <x v="0"/>
    <n v="1.6896"/>
    <n v="0.48"/>
    <n v="0"/>
  </r>
  <r>
    <n v="8709"/>
    <s v="CA-2014-119144"/>
    <d v="2014-11-16T00:00:00"/>
    <x v="2"/>
    <s v="Q4"/>
    <x v="7"/>
    <d v="2014-11-18T00:00:00"/>
    <s v="First Class"/>
    <x v="251"/>
    <x v="251"/>
    <s v="Corporate"/>
    <s v="United States"/>
    <s v="Los Angeles"/>
    <x v="1"/>
    <n v="90008"/>
    <x v="1"/>
    <x v="771"/>
    <x v="2"/>
    <x v="7"/>
    <x v="770"/>
    <n v="79.968000000000004"/>
    <s v="Medium"/>
    <n v="4"/>
    <n v="0.2"/>
    <x v="2"/>
    <x v="2"/>
    <n v="-17.992799999999999"/>
    <n v="-0.22499999999999998"/>
    <n v="1"/>
  </r>
  <r>
    <n v="8710"/>
    <s v="CA-2014-119144"/>
    <d v="2014-11-16T00:00:00"/>
    <x v="2"/>
    <s v="Q4"/>
    <x v="7"/>
    <d v="2014-11-18T00:00:00"/>
    <s v="First Class"/>
    <x v="251"/>
    <x v="251"/>
    <s v="Corporate"/>
    <s v="United States"/>
    <s v="Los Angeles"/>
    <x v="1"/>
    <n v="90008"/>
    <x v="1"/>
    <x v="574"/>
    <x v="0"/>
    <x v="0"/>
    <x v="574"/>
    <n v="305.97449999999998"/>
    <s v="High"/>
    <n v="3"/>
    <n v="0.15"/>
    <x v="2"/>
    <x v="2"/>
    <n v="25.197900000000001"/>
    <n v="8.2352941176470601E-2"/>
    <n v="0"/>
  </r>
  <r>
    <n v="8711"/>
    <s v="CA-2014-119144"/>
    <d v="2014-11-16T00:00:00"/>
    <x v="2"/>
    <s v="Q4"/>
    <x v="7"/>
    <d v="2014-11-18T00:00:00"/>
    <s v="First Class"/>
    <x v="251"/>
    <x v="251"/>
    <s v="Corporate"/>
    <s v="United States"/>
    <s v="Los Angeles"/>
    <x v="1"/>
    <n v="90008"/>
    <x v="1"/>
    <x v="156"/>
    <x v="1"/>
    <x v="4"/>
    <x v="157"/>
    <n v="344.91"/>
    <s v="High"/>
    <n v="3"/>
    <n v="0"/>
    <x v="0"/>
    <x v="0"/>
    <n v="10.347300000000001"/>
    <n v="0.03"/>
    <n v="0"/>
  </r>
  <r>
    <n v="8712"/>
    <s v="CA-2014-105648"/>
    <d v="2014-03-03T00:00:00"/>
    <x v="2"/>
    <s v="Q1"/>
    <x v="34"/>
    <d v="2014-03-07T00:00:00"/>
    <s v="Standard Class"/>
    <x v="412"/>
    <x v="412"/>
    <s v="Consumer"/>
    <s v="United States"/>
    <s v="San Diego"/>
    <x v="1"/>
    <n v="92037"/>
    <x v="1"/>
    <x v="971"/>
    <x v="0"/>
    <x v="3"/>
    <x v="965"/>
    <n v="626.35199999999998"/>
    <s v="High"/>
    <n v="3"/>
    <n v="0.2"/>
    <x v="2"/>
    <x v="2"/>
    <n v="-23.488199999999999"/>
    <n v="-3.7499999999999999E-2"/>
    <n v="1"/>
  </r>
  <r>
    <n v="8713"/>
    <s v="US-2015-145422"/>
    <d v="2015-12-03T00:00:00"/>
    <x v="1"/>
    <s v="Q4"/>
    <x v="14"/>
    <d v="2015-12-07T00:00:00"/>
    <s v="Standard Class"/>
    <x v="617"/>
    <x v="617"/>
    <s v="Consumer"/>
    <s v="United States"/>
    <s v="San Francisco"/>
    <x v="1"/>
    <n v="94110"/>
    <x v="1"/>
    <x v="1248"/>
    <x v="0"/>
    <x v="0"/>
    <x v="1334"/>
    <n v="359.49900000000002"/>
    <s v="High"/>
    <n v="3"/>
    <n v="0.15"/>
    <x v="2"/>
    <x v="2"/>
    <n v="-29.605799999999999"/>
    <n v="-8.2352941176470573E-2"/>
    <n v="1"/>
  </r>
  <r>
    <n v="8714"/>
    <s v="CA-2017-136623"/>
    <d v="2017-07-11T00:00:00"/>
    <x v="3"/>
    <s v="Q3"/>
    <x v="10"/>
    <d v="2017-07-16T00:00:00"/>
    <s v="Standard Class"/>
    <x v="747"/>
    <x v="747"/>
    <s v="Corporate"/>
    <s v="United States"/>
    <s v="San Diego"/>
    <x v="1"/>
    <n v="92105"/>
    <x v="1"/>
    <x v="611"/>
    <x v="2"/>
    <x v="7"/>
    <x v="611"/>
    <n v="71.951999999999998"/>
    <s v="Medium"/>
    <n v="6"/>
    <n v="0.2"/>
    <x v="2"/>
    <x v="2"/>
    <n v="5.3963999999999999"/>
    <n v="7.4999999999999997E-2"/>
    <n v="0"/>
  </r>
  <r>
    <n v="8715"/>
    <s v="CA-2017-136623"/>
    <d v="2017-07-11T00:00:00"/>
    <x v="3"/>
    <s v="Q3"/>
    <x v="10"/>
    <d v="2017-07-16T00:00:00"/>
    <s v="Standard Class"/>
    <x v="747"/>
    <x v="747"/>
    <s v="Corporate"/>
    <s v="United States"/>
    <s v="San Diego"/>
    <x v="1"/>
    <n v="92105"/>
    <x v="1"/>
    <x v="985"/>
    <x v="1"/>
    <x v="8"/>
    <x v="978"/>
    <n v="29.8"/>
    <s v="Medium"/>
    <n v="5"/>
    <n v="0.2"/>
    <x v="2"/>
    <x v="2"/>
    <n v="9.3125"/>
    <n v="0.3125"/>
    <n v="0"/>
  </r>
  <r>
    <n v="8716"/>
    <s v="CA-2017-121678"/>
    <d v="2017-11-16T00:00:00"/>
    <x v="3"/>
    <s v="Q4"/>
    <x v="23"/>
    <d v="2017-11-20T00:00:00"/>
    <s v="Second Class"/>
    <x v="312"/>
    <x v="312"/>
    <s v="Corporate"/>
    <s v="United States"/>
    <s v="Elyria"/>
    <x v="24"/>
    <n v="44035"/>
    <x v="3"/>
    <x v="525"/>
    <x v="1"/>
    <x v="8"/>
    <x v="525"/>
    <n v="1.8240000000000001"/>
    <s v="Low"/>
    <n v="1"/>
    <n v="0.7"/>
    <x v="1"/>
    <x v="5"/>
    <n v="-1.3984000000000001"/>
    <n v="-0.76666666666666672"/>
    <n v="1"/>
  </r>
  <r>
    <n v="8717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1429"/>
    <x v="1"/>
    <x v="9"/>
    <x v="1417"/>
    <n v="64.384"/>
    <s v="Medium"/>
    <n v="4"/>
    <n v="0.8"/>
    <x v="1"/>
    <x v="3"/>
    <n v="-160.96"/>
    <n v="-2.5"/>
    <n v="1"/>
  </r>
  <r>
    <n v="8718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698"/>
    <x v="0"/>
    <x v="5"/>
    <x v="698"/>
    <n v="6.984"/>
    <s v="Low"/>
    <n v="2"/>
    <n v="0.6"/>
    <x v="1"/>
    <x v="6"/>
    <n v="-4.5396000000000001"/>
    <n v="-0.65"/>
    <n v="1"/>
  </r>
  <r>
    <n v="8719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1273"/>
    <x v="1"/>
    <x v="6"/>
    <x v="1258"/>
    <n v="11.263999999999999"/>
    <s v="Low"/>
    <n v="8"/>
    <n v="0.2"/>
    <x v="2"/>
    <x v="2"/>
    <n v="3.9424000000000001"/>
    <n v="0.35000000000000003"/>
    <n v="0"/>
  </r>
  <r>
    <n v="8720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1641"/>
    <x v="1"/>
    <x v="10"/>
    <x v="1631"/>
    <n v="15.552"/>
    <s v="Low"/>
    <n v="3"/>
    <n v="0.2"/>
    <x v="2"/>
    <x v="2"/>
    <n v="5.6375999999999999"/>
    <n v="0.36249999999999999"/>
    <n v="0"/>
  </r>
  <r>
    <n v="8721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1631"/>
    <x v="0"/>
    <x v="1"/>
    <x v="1621"/>
    <n v="379.37200000000001"/>
    <s v="High"/>
    <n v="2"/>
    <n v="0.3"/>
    <x v="1"/>
    <x v="4"/>
    <n v="-119.2312"/>
    <n v="-0.31428571428571428"/>
    <n v="1"/>
  </r>
  <r>
    <n v="8722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1190"/>
    <x v="1"/>
    <x v="4"/>
    <x v="683"/>
    <n v="67.536000000000001"/>
    <s v="Medium"/>
    <n v="9"/>
    <n v="0.2"/>
    <x v="2"/>
    <x v="2"/>
    <n v="6.7535999999999996"/>
    <n v="9.9999999999999992E-2"/>
    <n v="0"/>
  </r>
  <r>
    <n v="8723"/>
    <s v="CA-2016-120824"/>
    <d v="2016-06-12T00:00:00"/>
    <x v="0"/>
    <s v="Q2"/>
    <x v="1"/>
    <d v="2016-06-16T00:00:00"/>
    <s v="Second Class"/>
    <x v="585"/>
    <x v="585"/>
    <s v="Home Office"/>
    <s v="United States"/>
    <s v="Houston"/>
    <x v="5"/>
    <n v="77070"/>
    <x v="2"/>
    <x v="31"/>
    <x v="1"/>
    <x v="8"/>
    <x v="31"/>
    <n v="1.524"/>
    <s v="Low"/>
    <n v="2"/>
    <n v="0.8"/>
    <x v="1"/>
    <x v="3"/>
    <n v="-2.6669999999999998"/>
    <n v="-1.7499999999999998"/>
    <n v="1"/>
  </r>
  <r>
    <n v="8724"/>
    <s v="US-2016-135209"/>
    <d v="2016-12-29T00:00:00"/>
    <x v="0"/>
    <s v="Q4"/>
    <x v="5"/>
    <d v="2016-12-31T00:00:00"/>
    <s v="Second Class"/>
    <x v="762"/>
    <x v="762"/>
    <s v="Home Office"/>
    <s v="United States"/>
    <s v="Miami"/>
    <x v="2"/>
    <n v="33178"/>
    <x v="0"/>
    <x v="481"/>
    <x v="1"/>
    <x v="10"/>
    <x v="482"/>
    <n v="37.408000000000001"/>
    <s v="Medium"/>
    <n v="7"/>
    <n v="0.2"/>
    <x v="2"/>
    <x v="2"/>
    <n v="13.0928"/>
    <n v="0.35"/>
    <n v="0"/>
  </r>
  <r>
    <n v="8725"/>
    <s v="US-2016-135209"/>
    <d v="2016-12-29T00:00:00"/>
    <x v="0"/>
    <s v="Q4"/>
    <x v="5"/>
    <d v="2016-12-31T00:00:00"/>
    <s v="Second Class"/>
    <x v="762"/>
    <x v="762"/>
    <s v="Home Office"/>
    <s v="United States"/>
    <s v="Miami"/>
    <x v="2"/>
    <n v="33178"/>
    <x v="0"/>
    <x v="1714"/>
    <x v="1"/>
    <x v="10"/>
    <x v="1701"/>
    <n v="25.344000000000001"/>
    <s v="Medium"/>
    <n v="6"/>
    <n v="0.2"/>
    <x v="2"/>
    <x v="2"/>
    <n v="8.8704000000000001"/>
    <n v="0.35"/>
    <n v="0"/>
  </r>
  <r>
    <n v="8726"/>
    <s v="CA-2017-148145"/>
    <d v="2017-03-18T00:00:00"/>
    <x v="3"/>
    <s v="Q1"/>
    <x v="42"/>
    <d v="2017-03-23T00:00:00"/>
    <s v="Standard Class"/>
    <x v="349"/>
    <x v="349"/>
    <s v="Consumer"/>
    <s v="United States"/>
    <s v="Seattle"/>
    <x v="4"/>
    <n v="98115"/>
    <x v="1"/>
    <x v="684"/>
    <x v="1"/>
    <x v="6"/>
    <x v="684"/>
    <n v="46.2"/>
    <s v="Medium"/>
    <n v="4"/>
    <n v="0"/>
    <x v="0"/>
    <x v="0"/>
    <n v="21.251999999999999"/>
    <n v="0.45999999999999996"/>
    <n v="0"/>
  </r>
  <r>
    <n v="8727"/>
    <s v="CA-2015-103870"/>
    <d v="2015-12-27T00:00:00"/>
    <x v="1"/>
    <s v="Q4"/>
    <x v="14"/>
    <d v="2015-12-31T00:00:00"/>
    <s v="Standard Class"/>
    <x v="133"/>
    <x v="133"/>
    <s v="Corporate"/>
    <s v="United States"/>
    <s v="Murfreesboro"/>
    <x v="18"/>
    <n v="37130"/>
    <x v="0"/>
    <x v="1837"/>
    <x v="2"/>
    <x v="11"/>
    <x v="1825"/>
    <n v="4.7279999999999998"/>
    <s v="Low"/>
    <n v="3"/>
    <n v="0.2"/>
    <x v="2"/>
    <x v="2"/>
    <n v="0.70920000000000005"/>
    <n v="0.15000000000000002"/>
    <n v="0"/>
  </r>
  <r>
    <n v="8728"/>
    <s v="CA-2015-103870"/>
    <d v="2015-12-27T00:00:00"/>
    <x v="1"/>
    <s v="Q4"/>
    <x v="14"/>
    <d v="2015-12-31T00:00:00"/>
    <s v="Standard Class"/>
    <x v="133"/>
    <x v="133"/>
    <s v="Corporate"/>
    <s v="United States"/>
    <s v="Murfreesboro"/>
    <x v="18"/>
    <n v="37130"/>
    <x v="0"/>
    <x v="1834"/>
    <x v="0"/>
    <x v="5"/>
    <x v="1822"/>
    <n v="53.351999999999997"/>
    <s v="Medium"/>
    <n v="3"/>
    <n v="0.2"/>
    <x v="2"/>
    <x v="2"/>
    <n v="16.005600000000001"/>
    <n v="0.30000000000000004"/>
    <n v="0"/>
  </r>
  <r>
    <n v="8729"/>
    <s v="CA-2015-103870"/>
    <d v="2015-12-27T00:00:00"/>
    <x v="1"/>
    <s v="Q4"/>
    <x v="14"/>
    <d v="2015-12-31T00:00:00"/>
    <s v="Standard Class"/>
    <x v="133"/>
    <x v="133"/>
    <s v="Corporate"/>
    <s v="United States"/>
    <s v="Murfreesboro"/>
    <x v="18"/>
    <n v="37130"/>
    <x v="0"/>
    <x v="1632"/>
    <x v="0"/>
    <x v="0"/>
    <x v="1622"/>
    <n v="131.10400000000001"/>
    <s v="High"/>
    <n v="2"/>
    <n v="0.2"/>
    <x v="2"/>
    <x v="2"/>
    <n v="8.1940000000000008"/>
    <n v="6.25E-2"/>
    <n v="0"/>
  </r>
  <r>
    <n v="8730"/>
    <s v="CA-2015-103870"/>
    <d v="2015-12-27T00:00:00"/>
    <x v="1"/>
    <s v="Q4"/>
    <x v="14"/>
    <d v="2015-12-31T00:00:00"/>
    <s v="Standard Class"/>
    <x v="133"/>
    <x v="133"/>
    <s v="Corporate"/>
    <s v="United States"/>
    <s v="Murfreesboro"/>
    <x v="18"/>
    <n v="37130"/>
    <x v="0"/>
    <x v="1190"/>
    <x v="1"/>
    <x v="4"/>
    <x v="683"/>
    <n v="22.512"/>
    <s v="Low"/>
    <n v="3"/>
    <n v="0.2"/>
    <x v="2"/>
    <x v="2"/>
    <n v="2.2511999999999999"/>
    <n v="9.9999999999999992E-2"/>
    <n v="0"/>
  </r>
  <r>
    <n v="8731"/>
    <s v="CA-2015-103870"/>
    <d v="2015-12-27T00:00:00"/>
    <x v="1"/>
    <s v="Q4"/>
    <x v="14"/>
    <d v="2015-12-31T00:00:00"/>
    <s v="Standard Class"/>
    <x v="133"/>
    <x v="133"/>
    <s v="Corporate"/>
    <s v="United States"/>
    <s v="Murfreesboro"/>
    <x v="18"/>
    <n v="37130"/>
    <x v="0"/>
    <x v="1421"/>
    <x v="2"/>
    <x v="11"/>
    <x v="1409"/>
    <n v="72.744"/>
    <s v="Medium"/>
    <n v="7"/>
    <n v="0.2"/>
    <x v="2"/>
    <x v="2"/>
    <n v="-12.7302"/>
    <n v="-0.17499999999999999"/>
    <n v="1"/>
  </r>
  <r>
    <n v="8732"/>
    <s v="CA-2015-111017"/>
    <d v="2015-07-31T00:00:00"/>
    <x v="1"/>
    <s v="Q3"/>
    <x v="38"/>
    <d v="2015-08-06T00:00:00"/>
    <s v="Standard Class"/>
    <x v="281"/>
    <x v="281"/>
    <s v="Corporate"/>
    <s v="United States"/>
    <s v="Saint Louis"/>
    <x v="25"/>
    <n v="63116"/>
    <x v="2"/>
    <x v="354"/>
    <x v="1"/>
    <x v="14"/>
    <x v="354"/>
    <n v="52.59"/>
    <s v="Medium"/>
    <n v="3"/>
    <n v="0"/>
    <x v="0"/>
    <x v="0"/>
    <n v="15.776999999999999"/>
    <n v="0.3"/>
    <n v="0"/>
  </r>
  <r>
    <n v="8733"/>
    <s v="CA-2017-116988"/>
    <d v="2017-06-27T00:00:00"/>
    <x v="3"/>
    <s v="Q2"/>
    <x v="27"/>
    <d v="2017-06-29T00:00:00"/>
    <s v="Second Class"/>
    <x v="463"/>
    <x v="463"/>
    <s v="Corporate"/>
    <s v="United States"/>
    <s v="Seattle"/>
    <x v="4"/>
    <n v="98105"/>
    <x v="1"/>
    <x v="1465"/>
    <x v="1"/>
    <x v="10"/>
    <x v="1451"/>
    <n v="19.440000000000001"/>
    <s v="Low"/>
    <n v="3"/>
    <n v="0"/>
    <x v="0"/>
    <x v="0"/>
    <n v="9.3312000000000008"/>
    <n v="0.48000000000000004"/>
    <n v="0"/>
  </r>
  <r>
    <n v="8734"/>
    <s v="CA-2017-116988"/>
    <d v="2017-06-27T00:00:00"/>
    <x v="3"/>
    <s v="Q2"/>
    <x v="27"/>
    <d v="2017-06-29T00:00:00"/>
    <s v="Second Class"/>
    <x v="463"/>
    <x v="463"/>
    <s v="Corporate"/>
    <s v="United States"/>
    <s v="Seattle"/>
    <x v="4"/>
    <n v="98105"/>
    <x v="1"/>
    <x v="451"/>
    <x v="0"/>
    <x v="5"/>
    <x v="452"/>
    <n v="126.3"/>
    <s v="High"/>
    <n v="3"/>
    <n v="0"/>
    <x v="0"/>
    <x v="0"/>
    <n v="40.415999999999997"/>
    <n v="0.32"/>
    <n v="0"/>
  </r>
  <r>
    <n v="8735"/>
    <s v="CA-2017-116988"/>
    <d v="2017-06-27T00:00:00"/>
    <x v="3"/>
    <s v="Q2"/>
    <x v="27"/>
    <d v="2017-06-29T00:00:00"/>
    <s v="Second Class"/>
    <x v="463"/>
    <x v="463"/>
    <s v="Corporate"/>
    <s v="United States"/>
    <s v="Seattle"/>
    <x v="4"/>
    <n v="98105"/>
    <x v="1"/>
    <x v="217"/>
    <x v="2"/>
    <x v="11"/>
    <x v="218"/>
    <n v="1287.45"/>
    <s v="High"/>
    <n v="5"/>
    <n v="0"/>
    <x v="0"/>
    <x v="0"/>
    <n v="244.6155"/>
    <n v="0.19"/>
    <n v="0"/>
  </r>
  <r>
    <n v="8736"/>
    <s v="US-2014-169390"/>
    <d v="2014-02-07T00:00:00"/>
    <x v="2"/>
    <s v="Q1"/>
    <x v="45"/>
    <d v="2014-02-10T00:00:00"/>
    <s v="Second Class"/>
    <x v="294"/>
    <x v="294"/>
    <s v="Corporate"/>
    <s v="United States"/>
    <s v="New York City"/>
    <x v="15"/>
    <n v="10024"/>
    <x v="3"/>
    <x v="720"/>
    <x v="1"/>
    <x v="4"/>
    <x v="719"/>
    <n v="64.959999999999994"/>
    <s v="Medium"/>
    <n v="4"/>
    <n v="0"/>
    <x v="0"/>
    <x v="0"/>
    <n v="9.7439999999999998"/>
    <n v="0.15000000000000002"/>
    <n v="0"/>
  </r>
  <r>
    <n v="8737"/>
    <s v="CA-2016-168774"/>
    <d v="2016-09-04T00:00:00"/>
    <x v="0"/>
    <s v="Q3"/>
    <x v="21"/>
    <d v="2016-09-09T00:00:00"/>
    <s v="Standard Class"/>
    <x v="532"/>
    <x v="532"/>
    <s v="Corporate"/>
    <s v="United States"/>
    <s v="Woodbury"/>
    <x v="11"/>
    <n v="55125"/>
    <x v="2"/>
    <x v="518"/>
    <x v="1"/>
    <x v="4"/>
    <x v="518"/>
    <n v="535.41"/>
    <s v="High"/>
    <n v="3"/>
    <n v="0"/>
    <x v="0"/>
    <x v="0"/>
    <n v="160.62299999999999"/>
    <n v="0.3"/>
    <n v="0"/>
  </r>
  <r>
    <n v="8738"/>
    <s v="CA-2017-161592"/>
    <d v="2017-04-06T00:00:00"/>
    <x v="3"/>
    <s v="Q2"/>
    <x v="4"/>
    <d v="2017-04-10T00:00:00"/>
    <s v="Standard Class"/>
    <x v="728"/>
    <x v="728"/>
    <s v="Corporate"/>
    <s v="United States"/>
    <s v="Chattanooga"/>
    <x v="18"/>
    <n v="37421"/>
    <x v="0"/>
    <x v="806"/>
    <x v="1"/>
    <x v="8"/>
    <x v="804"/>
    <n v="8.1"/>
    <s v="Low"/>
    <n v="5"/>
    <n v="0.7"/>
    <x v="1"/>
    <x v="5"/>
    <n v="-5.94"/>
    <n v="-0.73333333333333339"/>
    <n v="1"/>
  </r>
  <r>
    <n v="8739"/>
    <s v="US-2017-131961"/>
    <d v="2017-12-08T00:00:00"/>
    <x v="3"/>
    <s v="Q4"/>
    <x v="22"/>
    <d v="2017-12-11T00:00:00"/>
    <s v="First Class"/>
    <x v="77"/>
    <x v="77"/>
    <s v="Consumer"/>
    <s v="United States"/>
    <s v="Philadelphia"/>
    <x v="9"/>
    <n v="19140"/>
    <x v="3"/>
    <x v="154"/>
    <x v="1"/>
    <x v="6"/>
    <x v="155"/>
    <n v="13.247999999999999"/>
    <s v="Low"/>
    <n v="4"/>
    <n v="0.2"/>
    <x v="2"/>
    <x v="2"/>
    <n v="3.6432000000000002"/>
    <n v="0.27500000000000002"/>
    <n v="0"/>
  </r>
  <r>
    <n v="8740"/>
    <s v="US-2017-131961"/>
    <d v="2017-12-08T00:00:00"/>
    <x v="3"/>
    <s v="Q4"/>
    <x v="22"/>
    <d v="2017-12-11T00:00:00"/>
    <s v="First Class"/>
    <x v="77"/>
    <x v="77"/>
    <s v="Consumer"/>
    <s v="United States"/>
    <s v="Philadelphia"/>
    <x v="9"/>
    <n v="19140"/>
    <x v="3"/>
    <x v="431"/>
    <x v="2"/>
    <x v="7"/>
    <x v="431"/>
    <n v="83.988"/>
    <s v="Medium"/>
    <n v="2"/>
    <n v="0.4"/>
    <x v="1"/>
    <x v="7"/>
    <n v="-20.997"/>
    <n v="-0.25"/>
    <n v="1"/>
  </r>
  <r>
    <n v="8741"/>
    <s v="CA-2016-102498"/>
    <d v="2016-07-24T00:00:00"/>
    <x v="0"/>
    <s v="Q3"/>
    <x v="16"/>
    <d v="2016-07-25T00:00:00"/>
    <s v="First Class"/>
    <x v="506"/>
    <x v="506"/>
    <s v="Consumer"/>
    <s v="United States"/>
    <s v="Lafayette"/>
    <x v="28"/>
    <n v="70506"/>
    <x v="0"/>
    <x v="1064"/>
    <x v="1"/>
    <x v="6"/>
    <x v="1053"/>
    <n v="73.2"/>
    <s v="Medium"/>
    <n v="5"/>
    <n v="0"/>
    <x v="0"/>
    <x v="0"/>
    <n v="21.228000000000002"/>
    <n v="0.29000000000000004"/>
    <n v="0"/>
  </r>
  <r>
    <n v="8742"/>
    <s v="CA-2015-113222"/>
    <d v="2015-11-09T00:00:00"/>
    <x v="1"/>
    <s v="Q4"/>
    <x v="6"/>
    <d v="2015-11-09T00:00:00"/>
    <s v="Same Day"/>
    <x v="326"/>
    <x v="326"/>
    <s v="Home Office"/>
    <s v="United States"/>
    <s v="Lawrence"/>
    <x v="14"/>
    <n v="46226"/>
    <x v="2"/>
    <x v="175"/>
    <x v="1"/>
    <x v="8"/>
    <x v="176"/>
    <n v="10.74"/>
    <s v="Low"/>
    <n v="3"/>
    <n v="0"/>
    <x v="0"/>
    <x v="0"/>
    <n v="5.1551999999999998"/>
    <n v="0.48"/>
    <n v="0"/>
  </r>
  <r>
    <n v="8743"/>
    <s v="US-2015-144771"/>
    <d v="2015-10-02T00:00:00"/>
    <x v="1"/>
    <s v="Q4"/>
    <x v="2"/>
    <d v="2015-10-04T00:00:00"/>
    <s v="First Class"/>
    <x v="237"/>
    <x v="237"/>
    <s v="Consumer"/>
    <s v="United States"/>
    <s v="Hillsboro"/>
    <x v="21"/>
    <n v="97123"/>
    <x v="1"/>
    <x v="93"/>
    <x v="0"/>
    <x v="5"/>
    <x v="93"/>
    <n v="11.032"/>
    <s v="Low"/>
    <n v="1"/>
    <n v="0.2"/>
    <x v="2"/>
    <x v="2"/>
    <n v="3.0337999999999998"/>
    <n v="0.27499999999999997"/>
    <n v="0"/>
  </r>
  <r>
    <n v="8744"/>
    <s v="US-2015-144771"/>
    <d v="2015-10-02T00:00:00"/>
    <x v="1"/>
    <s v="Q4"/>
    <x v="2"/>
    <d v="2015-10-04T00:00:00"/>
    <s v="First Class"/>
    <x v="237"/>
    <x v="237"/>
    <s v="Consumer"/>
    <s v="United States"/>
    <s v="Hillsboro"/>
    <x v="21"/>
    <n v="97123"/>
    <x v="1"/>
    <x v="176"/>
    <x v="2"/>
    <x v="11"/>
    <x v="177"/>
    <n v="53.04"/>
    <s v="Medium"/>
    <n v="3"/>
    <n v="0.2"/>
    <x v="2"/>
    <x v="2"/>
    <n v="-4.641"/>
    <n v="-8.7500000000000008E-2"/>
    <n v="1"/>
  </r>
  <r>
    <n v="8745"/>
    <s v="CA-2015-162376"/>
    <d v="2015-11-22T00:00:00"/>
    <x v="1"/>
    <s v="Q4"/>
    <x v="6"/>
    <d v="2015-11-25T00:00:00"/>
    <s v="Second Class"/>
    <x v="787"/>
    <x v="787"/>
    <s v="Home Office"/>
    <s v="United States"/>
    <s v="Cambridge"/>
    <x v="31"/>
    <n v="2138"/>
    <x v="3"/>
    <x v="18"/>
    <x v="1"/>
    <x v="6"/>
    <x v="18"/>
    <n v="17.12"/>
    <s v="Low"/>
    <n v="4"/>
    <n v="0"/>
    <x v="0"/>
    <x v="0"/>
    <n v="4.9648000000000003"/>
    <n v="0.28999999999999998"/>
    <n v="0"/>
  </r>
  <r>
    <n v="8746"/>
    <s v="CA-2015-162376"/>
    <d v="2015-11-22T00:00:00"/>
    <x v="1"/>
    <s v="Q4"/>
    <x v="6"/>
    <d v="2015-11-25T00:00:00"/>
    <s v="Second Class"/>
    <x v="787"/>
    <x v="787"/>
    <s v="Home Office"/>
    <s v="United States"/>
    <s v="Cambridge"/>
    <x v="31"/>
    <n v="2138"/>
    <x v="3"/>
    <x v="1785"/>
    <x v="1"/>
    <x v="10"/>
    <x v="1775"/>
    <n v="59.94"/>
    <s v="Medium"/>
    <n v="3"/>
    <n v="0"/>
    <x v="0"/>
    <x v="0"/>
    <n v="28.171800000000001"/>
    <n v="0.47000000000000003"/>
    <n v="0"/>
  </r>
  <r>
    <n v="8747"/>
    <s v="CA-2017-128076"/>
    <d v="2017-02-02T00:00:00"/>
    <x v="3"/>
    <s v="Q1"/>
    <x v="31"/>
    <d v="2017-02-07T00:00:00"/>
    <s v="Standard Class"/>
    <x v="635"/>
    <x v="635"/>
    <s v="Corporate"/>
    <s v="United States"/>
    <s v="San Diego"/>
    <x v="1"/>
    <n v="92105"/>
    <x v="1"/>
    <x v="793"/>
    <x v="0"/>
    <x v="5"/>
    <x v="791"/>
    <n v="210.58"/>
    <s v="High"/>
    <n v="2"/>
    <n v="0"/>
    <x v="0"/>
    <x v="0"/>
    <n v="12.6348"/>
    <n v="0.06"/>
    <n v="0"/>
  </r>
  <r>
    <n v="8748"/>
    <s v="CA-2017-128076"/>
    <d v="2017-02-02T00:00:00"/>
    <x v="3"/>
    <s v="Q1"/>
    <x v="31"/>
    <d v="2017-02-07T00:00:00"/>
    <s v="Standard Class"/>
    <x v="635"/>
    <x v="635"/>
    <s v="Corporate"/>
    <s v="United States"/>
    <s v="San Diego"/>
    <x v="1"/>
    <n v="92105"/>
    <x v="1"/>
    <x v="612"/>
    <x v="1"/>
    <x v="8"/>
    <x v="612"/>
    <n v="30.96"/>
    <s v="Medium"/>
    <n v="2"/>
    <n v="0.2"/>
    <x v="2"/>
    <x v="2"/>
    <n v="10.061999999999999"/>
    <n v="0.32499999999999996"/>
    <n v="0"/>
  </r>
  <r>
    <n v="8749"/>
    <s v="CA-2017-128076"/>
    <d v="2017-02-02T00:00:00"/>
    <x v="3"/>
    <s v="Q1"/>
    <x v="31"/>
    <d v="2017-02-07T00:00:00"/>
    <s v="Standard Class"/>
    <x v="635"/>
    <x v="635"/>
    <s v="Corporate"/>
    <s v="United States"/>
    <s v="San Diego"/>
    <x v="1"/>
    <n v="92105"/>
    <x v="1"/>
    <x v="1748"/>
    <x v="2"/>
    <x v="15"/>
    <x v="1738"/>
    <n v="239.98400000000001"/>
    <s v="High"/>
    <n v="2"/>
    <n v="0.2"/>
    <x v="2"/>
    <x v="2"/>
    <n v="38.997399999999999"/>
    <n v="0.16249999999999998"/>
    <n v="0"/>
  </r>
  <r>
    <n v="8750"/>
    <s v="US-2015-163825"/>
    <d v="2015-06-16T00:00:00"/>
    <x v="1"/>
    <s v="Q2"/>
    <x v="40"/>
    <d v="2015-06-19T00:00:00"/>
    <s v="First Class"/>
    <x v="62"/>
    <x v="62"/>
    <s v="Consumer"/>
    <s v="United States"/>
    <s v="New York City"/>
    <x v="15"/>
    <n v="10009"/>
    <x v="3"/>
    <x v="450"/>
    <x v="1"/>
    <x v="8"/>
    <x v="451"/>
    <n v="3050.3760000000002"/>
    <s v="High"/>
    <n v="3"/>
    <n v="0.2"/>
    <x v="2"/>
    <x v="2"/>
    <n v="1143.8910000000001"/>
    <n v="0.375"/>
    <n v="0"/>
  </r>
  <r>
    <n v="8751"/>
    <s v="US-2015-163825"/>
    <d v="2015-06-16T00:00:00"/>
    <x v="1"/>
    <s v="Q2"/>
    <x v="40"/>
    <d v="2015-06-19T00:00:00"/>
    <s v="First Class"/>
    <x v="62"/>
    <x v="62"/>
    <s v="Consumer"/>
    <s v="United States"/>
    <s v="New York City"/>
    <x v="15"/>
    <n v="10009"/>
    <x v="3"/>
    <x v="1086"/>
    <x v="2"/>
    <x v="7"/>
    <x v="1076"/>
    <n v="133.97999999999999"/>
    <s v="High"/>
    <n v="2"/>
    <n v="0"/>
    <x v="0"/>
    <x v="0"/>
    <n v="33.494999999999997"/>
    <n v="0.25"/>
    <n v="0"/>
  </r>
  <r>
    <n v="8752"/>
    <s v="CA-2016-105662"/>
    <d v="2016-05-05T00:00:00"/>
    <x v="0"/>
    <s v="Q2"/>
    <x v="35"/>
    <d v="2016-05-09T00:00:00"/>
    <s v="Standard Class"/>
    <x v="46"/>
    <x v="46"/>
    <s v="Home Office"/>
    <s v="United States"/>
    <s v="Tallahassee"/>
    <x v="2"/>
    <n v="32303"/>
    <x v="0"/>
    <x v="1842"/>
    <x v="1"/>
    <x v="10"/>
    <x v="1830"/>
    <n v="93.248000000000005"/>
    <s v="Medium"/>
    <n v="4"/>
    <n v="0.2"/>
    <x v="2"/>
    <x v="2"/>
    <n v="31.4712"/>
    <n v="0.33749999999999997"/>
    <n v="0"/>
  </r>
  <r>
    <n v="8753"/>
    <s v="CA-2016-105662"/>
    <d v="2016-05-05T00:00:00"/>
    <x v="0"/>
    <s v="Q2"/>
    <x v="35"/>
    <d v="2016-05-09T00:00:00"/>
    <s v="Standard Class"/>
    <x v="46"/>
    <x v="46"/>
    <s v="Home Office"/>
    <s v="United States"/>
    <s v="Tallahassee"/>
    <x v="2"/>
    <n v="32303"/>
    <x v="0"/>
    <x v="1192"/>
    <x v="2"/>
    <x v="7"/>
    <x v="1177"/>
    <n v="177.48"/>
    <s v="High"/>
    <n v="3"/>
    <n v="0.2"/>
    <x v="2"/>
    <x v="2"/>
    <n v="19.9665"/>
    <n v="0.1125"/>
    <n v="0"/>
  </r>
  <r>
    <n v="8754"/>
    <s v="CA-2017-152198"/>
    <d v="2017-09-09T00:00:00"/>
    <x v="3"/>
    <s v="Q3"/>
    <x v="15"/>
    <d v="2017-09-10T00:00:00"/>
    <s v="First Class"/>
    <x v="557"/>
    <x v="557"/>
    <s v="Consumer"/>
    <s v="United States"/>
    <s v="Toledo"/>
    <x v="24"/>
    <n v="43615"/>
    <x v="3"/>
    <x v="1139"/>
    <x v="1"/>
    <x v="2"/>
    <x v="1127"/>
    <n v="17.712"/>
    <s v="Low"/>
    <n v="6"/>
    <n v="0.2"/>
    <x v="2"/>
    <x v="2"/>
    <n v="5.9778000000000002"/>
    <n v="0.33750000000000002"/>
    <n v="0"/>
  </r>
  <r>
    <n v="8755"/>
    <s v="CA-2017-152198"/>
    <d v="2017-09-09T00:00:00"/>
    <x v="3"/>
    <s v="Q3"/>
    <x v="15"/>
    <d v="2017-09-10T00:00:00"/>
    <s v="First Class"/>
    <x v="557"/>
    <x v="557"/>
    <s v="Consumer"/>
    <s v="United States"/>
    <s v="Toledo"/>
    <x v="24"/>
    <n v="43615"/>
    <x v="3"/>
    <x v="806"/>
    <x v="1"/>
    <x v="8"/>
    <x v="804"/>
    <n v="4.8600000000000003"/>
    <s v="Low"/>
    <n v="3"/>
    <n v="0.7"/>
    <x v="1"/>
    <x v="5"/>
    <n v="-3.5640000000000001"/>
    <n v="-0.73333333333333328"/>
    <n v="1"/>
  </r>
  <r>
    <n v="8756"/>
    <s v="CA-2017-152198"/>
    <d v="2017-09-09T00:00:00"/>
    <x v="3"/>
    <s v="Q3"/>
    <x v="15"/>
    <d v="2017-09-10T00:00:00"/>
    <s v="First Class"/>
    <x v="557"/>
    <x v="557"/>
    <s v="Consumer"/>
    <s v="United States"/>
    <s v="Toledo"/>
    <x v="24"/>
    <n v="43615"/>
    <x v="3"/>
    <x v="1124"/>
    <x v="1"/>
    <x v="8"/>
    <x v="1112"/>
    <n v="6.258"/>
    <s v="Low"/>
    <n v="2"/>
    <n v="0.7"/>
    <x v="1"/>
    <x v="5"/>
    <n v="-5.2149999999999999"/>
    <n v="-0.83333333333333326"/>
    <n v="1"/>
  </r>
  <r>
    <n v="8757"/>
    <s v="CA-2016-114307"/>
    <d v="2016-07-22T00:00:00"/>
    <x v="0"/>
    <s v="Q3"/>
    <x v="16"/>
    <d v="2016-07-26T00:00:00"/>
    <s v="Standard Class"/>
    <x v="716"/>
    <x v="716"/>
    <s v="Corporate"/>
    <s v="United States"/>
    <s v="Columbia"/>
    <x v="39"/>
    <n v="21044"/>
    <x v="3"/>
    <x v="551"/>
    <x v="1"/>
    <x v="9"/>
    <x v="550"/>
    <n v="37.68"/>
    <s v="Medium"/>
    <n v="2"/>
    <n v="0"/>
    <x v="0"/>
    <x v="0"/>
    <n v="10.5504"/>
    <n v="0.27999999999999997"/>
    <n v="0"/>
  </r>
  <r>
    <n v="8758"/>
    <s v="CA-2016-114307"/>
    <d v="2016-07-22T00:00:00"/>
    <x v="0"/>
    <s v="Q3"/>
    <x v="16"/>
    <d v="2016-07-26T00:00:00"/>
    <s v="Standard Class"/>
    <x v="716"/>
    <x v="716"/>
    <s v="Corporate"/>
    <s v="United States"/>
    <s v="Columbia"/>
    <x v="39"/>
    <n v="21044"/>
    <x v="3"/>
    <x v="260"/>
    <x v="1"/>
    <x v="10"/>
    <x v="260"/>
    <n v="51.84"/>
    <s v="Medium"/>
    <n v="8"/>
    <n v="0"/>
    <x v="0"/>
    <x v="0"/>
    <n v="24.883199999999999"/>
    <n v="0.47999999999999993"/>
    <n v="0"/>
  </r>
  <r>
    <n v="8759"/>
    <s v="CA-2016-114307"/>
    <d v="2016-07-22T00:00:00"/>
    <x v="0"/>
    <s v="Q3"/>
    <x v="16"/>
    <d v="2016-07-26T00:00:00"/>
    <s v="Standard Class"/>
    <x v="716"/>
    <x v="716"/>
    <s v="Corporate"/>
    <s v="United States"/>
    <s v="Columbia"/>
    <x v="39"/>
    <n v="21044"/>
    <x v="3"/>
    <x v="645"/>
    <x v="0"/>
    <x v="5"/>
    <x v="645"/>
    <n v="27.42"/>
    <s v="Medium"/>
    <n v="3"/>
    <n v="0"/>
    <x v="0"/>
    <x v="0"/>
    <n v="9.3228000000000009"/>
    <n v="0.34"/>
    <n v="0"/>
  </r>
  <r>
    <n v="8760"/>
    <s v="CA-2016-114307"/>
    <d v="2016-07-22T00:00:00"/>
    <x v="0"/>
    <s v="Q3"/>
    <x v="16"/>
    <d v="2016-07-26T00:00:00"/>
    <s v="Standard Class"/>
    <x v="716"/>
    <x v="716"/>
    <s v="Corporate"/>
    <s v="United States"/>
    <s v="Columbia"/>
    <x v="39"/>
    <n v="21044"/>
    <x v="3"/>
    <x v="751"/>
    <x v="1"/>
    <x v="8"/>
    <x v="749"/>
    <n v="5.4"/>
    <s v="Low"/>
    <n v="3"/>
    <n v="0"/>
    <x v="0"/>
    <x v="0"/>
    <n v="2.5920000000000001"/>
    <n v="0.48"/>
    <n v="0"/>
  </r>
  <r>
    <n v="8761"/>
    <s v="CA-2016-159891"/>
    <d v="2016-01-31T00:00:00"/>
    <x v="0"/>
    <s v="Q1"/>
    <x v="12"/>
    <d v="2016-02-06T00:00:00"/>
    <s v="Standard Class"/>
    <x v="408"/>
    <x v="408"/>
    <s v="Home Office"/>
    <s v="United States"/>
    <s v="Atlanta"/>
    <x v="32"/>
    <n v="30318"/>
    <x v="0"/>
    <x v="450"/>
    <x v="1"/>
    <x v="8"/>
    <x v="451"/>
    <n v="1270.99"/>
    <s v="High"/>
    <n v="1"/>
    <n v="0"/>
    <x v="0"/>
    <x v="0"/>
    <n v="635.495"/>
    <n v="0.5"/>
    <n v="0"/>
  </r>
  <r>
    <n v="8762"/>
    <s v="CA-2016-159891"/>
    <d v="2016-01-31T00:00:00"/>
    <x v="0"/>
    <s v="Q1"/>
    <x v="12"/>
    <d v="2016-02-06T00:00:00"/>
    <s v="Standard Class"/>
    <x v="408"/>
    <x v="408"/>
    <s v="Home Office"/>
    <s v="United States"/>
    <s v="Atlanta"/>
    <x v="32"/>
    <n v="30318"/>
    <x v="0"/>
    <x v="1358"/>
    <x v="1"/>
    <x v="12"/>
    <x v="1344"/>
    <n v="125.36"/>
    <s v="High"/>
    <n v="8"/>
    <n v="0"/>
    <x v="0"/>
    <x v="0"/>
    <n v="58.919199999999996"/>
    <n v="0.47"/>
    <n v="0"/>
  </r>
  <r>
    <n v="8763"/>
    <s v="CA-2016-112578"/>
    <d v="2016-12-29T00:00:00"/>
    <x v="0"/>
    <s v="Q4"/>
    <x v="5"/>
    <d v="2017-01-02T00:00:00"/>
    <s v="Standard Class"/>
    <x v="383"/>
    <x v="383"/>
    <s v="Consumer"/>
    <s v="United States"/>
    <s v="Sacramento"/>
    <x v="1"/>
    <n v="95823"/>
    <x v="1"/>
    <x v="768"/>
    <x v="1"/>
    <x v="4"/>
    <x v="767"/>
    <n v="14.03"/>
    <s v="Low"/>
    <n v="1"/>
    <n v="0"/>
    <x v="0"/>
    <x v="0"/>
    <n v="4.0686999999999998"/>
    <n v="0.28999999999999998"/>
    <n v="0"/>
  </r>
  <r>
    <n v="8764"/>
    <s v="CA-2016-112578"/>
    <d v="2016-12-29T00:00:00"/>
    <x v="0"/>
    <s v="Q4"/>
    <x v="5"/>
    <d v="2017-01-02T00:00:00"/>
    <s v="Standard Class"/>
    <x v="383"/>
    <x v="383"/>
    <s v="Consumer"/>
    <s v="United States"/>
    <s v="Sacramento"/>
    <x v="1"/>
    <n v="95823"/>
    <x v="1"/>
    <x v="1352"/>
    <x v="1"/>
    <x v="14"/>
    <x v="1338"/>
    <n v="27.96"/>
    <s v="Medium"/>
    <n v="2"/>
    <n v="0"/>
    <x v="0"/>
    <x v="0"/>
    <n v="7.2695999999999996"/>
    <n v="0.25999999999999995"/>
    <n v="0"/>
  </r>
  <r>
    <n v="8765"/>
    <s v="CA-2015-107083"/>
    <d v="2015-11-21T00:00:00"/>
    <x v="1"/>
    <s v="Q4"/>
    <x v="6"/>
    <d v="2015-11-27T00:00:00"/>
    <s v="Standard Class"/>
    <x v="179"/>
    <x v="179"/>
    <s v="Corporate"/>
    <s v="United States"/>
    <s v="Fort Worth"/>
    <x v="5"/>
    <n v="76106"/>
    <x v="2"/>
    <x v="1216"/>
    <x v="1"/>
    <x v="6"/>
    <x v="1200"/>
    <n v="5.3440000000000003"/>
    <s v="Low"/>
    <n v="2"/>
    <n v="0.2"/>
    <x v="2"/>
    <x v="2"/>
    <n v="0.73480000000000001"/>
    <n v="0.13749999999999998"/>
    <n v="0"/>
  </r>
  <r>
    <n v="8766"/>
    <s v="CA-2015-107083"/>
    <d v="2015-11-21T00:00:00"/>
    <x v="1"/>
    <s v="Q4"/>
    <x v="6"/>
    <d v="2015-11-27T00:00:00"/>
    <s v="Standard Class"/>
    <x v="179"/>
    <x v="179"/>
    <s v="Corporate"/>
    <s v="United States"/>
    <s v="Fort Worth"/>
    <x v="5"/>
    <n v="76106"/>
    <x v="2"/>
    <x v="15"/>
    <x v="1"/>
    <x v="8"/>
    <x v="15"/>
    <n v="1.696"/>
    <s v="Low"/>
    <n v="2"/>
    <n v="0.8"/>
    <x v="1"/>
    <x v="3"/>
    <n v="-2.544"/>
    <n v="-1.5"/>
    <n v="1"/>
  </r>
  <r>
    <n v="8767"/>
    <s v="CA-2015-107083"/>
    <d v="2015-11-21T00:00:00"/>
    <x v="1"/>
    <s v="Q4"/>
    <x v="6"/>
    <d v="2015-11-27T00:00:00"/>
    <s v="Standard Class"/>
    <x v="179"/>
    <x v="179"/>
    <s v="Corporate"/>
    <s v="United States"/>
    <s v="Fort Worth"/>
    <x v="5"/>
    <n v="76106"/>
    <x v="2"/>
    <x v="1836"/>
    <x v="1"/>
    <x v="9"/>
    <x v="1824"/>
    <n v="24.588000000000001"/>
    <s v="Low"/>
    <n v="3"/>
    <n v="0.8"/>
    <x v="1"/>
    <x v="3"/>
    <n v="-67.617000000000004"/>
    <n v="-2.75"/>
    <n v="1"/>
  </r>
  <r>
    <n v="8768"/>
    <s v="CA-2015-107083"/>
    <d v="2015-11-21T00:00:00"/>
    <x v="1"/>
    <s v="Q4"/>
    <x v="6"/>
    <d v="2015-11-27T00:00:00"/>
    <s v="Standard Class"/>
    <x v="179"/>
    <x v="179"/>
    <s v="Corporate"/>
    <s v="United States"/>
    <s v="Fort Worth"/>
    <x v="5"/>
    <n v="76106"/>
    <x v="2"/>
    <x v="416"/>
    <x v="1"/>
    <x v="8"/>
    <x v="416"/>
    <n v="7.98"/>
    <s v="Low"/>
    <n v="5"/>
    <n v="0.8"/>
    <x v="1"/>
    <x v="3"/>
    <n v="-13.167"/>
    <n v="-1.65"/>
    <n v="1"/>
  </r>
  <r>
    <n v="8769"/>
    <s v="CA-2015-151722"/>
    <d v="2015-10-05T00:00:00"/>
    <x v="1"/>
    <s v="Q4"/>
    <x v="2"/>
    <d v="2015-10-09T00:00:00"/>
    <s v="Standard Class"/>
    <x v="582"/>
    <x v="582"/>
    <s v="Consumer"/>
    <s v="United States"/>
    <s v="Columbus"/>
    <x v="24"/>
    <n v="43229"/>
    <x v="3"/>
    <x v="293"/>
    <x v="2"/>
    <x v="11"/>
    <x v="293"/>
    <n v="288"/>
    <s v="High"/>
    <n v="4"/>
    <n v="0.2"/>
    <x v="2"/>
    <x v="2"/>
    <n v="57.6"/>
    <n v="0.2"/>
    <n v="0"/>
  </r>
  <r>
    <n v="8770"/>
    <s v="CA-2016-151148"/>
    <d v="2016-09-12T00:00:00"/>
    <x v="0"/>
    <s v="Q3"/>
    <x v="21"/>
    <d v="2016-09-13T00:00:00"/>
    <s v="Same Day"/>
    <x v="178"/>
    <x v="178"/>
    <s v="Home Office"/>
    <s v="United States"/>
    <s v="Louisville"/>
    <x v="22"/>
    <n v="80027"/>
    <x v="1"/>
    <x v="1750"/>
    <x v="2"/>
    <x v="7"/>
    <x v="1740"/>
    <n v="146.952"/>
    <s v="High"/>
    <n v="3"/>
    <n v="0.2"/>
    <x v="2"/>
    <x v="2"/>
    <n v="9.1844999999999999"/>
    <n v="6.25E-2"/>
    <n v="0"/>
  </r>
  <r>
    <n v="8771"/>
    <s v="CA-2016-151148"/>
    <d v="2016-09-12T00:00:00"/>
    <x v="0"/>
    <s v="Q3"/>
    <x v="21"/>
    <d v="2016-09-13T00:00:00"/>
    <s v="Same Day"/>
    <x v="178"/>
    <x v="178"/>
    <s v="Home Office"/>
    <s v="United States"/>
    <s v="Louisville"/>
    <x v="22"/>
    <n v="80027"/>
    <x v="1"/>
    <x v="792"/>
    <x v="0"/>
    <x v="1"/>
    <x v="790"/>
    <n v="83.135999999999996"/>
    <s v="Medium"/>
    <n v="4"/>
    <n v="0.2"/>
    <x v="2"/>
    <x v="2"/>
    <n v="5.1959999999999997"/>
    <n v="6.25E-2"/>
    <n v="0"/>
  </r>
  <r>
    <n v="8772"/>
    <s v="CA-2017-115882"/>
    <d v="2017-09-14T00:00:00"/>
    <x v="3"/>
    <s v="Q3"/>
    <x v="15"/>
    <d v="2017-09-17T00:00:00"/>
    <s v="First Class"/>
    <x v="587"/>
    <x v="587"/>
    <s v="Corporate"/>
    <s v="United States"/>
    <s v="Raleigh"/>
    <x v="3"/>
    <n v="27604"/>
    <x v="0"/>
    <x v="1218"/>
    <x v="1"/>
    <x v="9"/>
    <x v="1202"/>
    <n v="942.78399999999999"/>
    <s v="High"/>
    <n v="4"/>
    <n v="0.2"/>
    <x v="2"/>
    <x v="2"/>
    <n v="94.278400000000005"/>
    <n v="0.1"/>
    <n v="0"/>
  </r>
  <r>
    <n v="8773"/>
    <s v="CA-2017-115882"/>
    <d v="2017-09-14T00:00:00"/>
    <x v="3"/>
    <s v="Q3"/>
    <x v="15"/>
    <d v="2017-09-17T00:00:00"/>
    <s v="First Class"/>
    <x v="587"/>
    <x v="587"/>
    <s v="Corporate"/>
    <s v="United States"/>
    <s v="Raleigh"/>
    <x v="3"/>
    <n v="27604"/>
    <x v="0"/>
    <x v="1030"/>
    <x v="1"/>
    <x v="10"/>
    <x v="1021"/>
    <n v="74.352000000000004"/>
    <s v="Medium"/>
    <n v="3"/>
    <n v="0.2"/>
    <x v="2"/>
    <x v="2"/>
    <n v="23.234999999999999"/>
    <n v="0.3125"/>
    <n v="0"/>
  </r>
  <r>
    <n v="8774"/>
    <s v="CA-2015-132276"/>
    <d v="2015-02-23T00:00:00"/>
    <x v="1"/>
    <s v="Q1"/>
    <x v="36"/>
    <d v="2015-02-28T00:00:00"/>
    <s v="Standard Class"/>
    <x v="784"/>
    <x v="784"/>
    <s v="Home Office"/>
    <s v="United States"/>
    <s v="New York City"/>
    <x v="15"/>
    <n v="10024"/>
    <x v="3"/>
    <x v="566"/>
    <x v="1"/>
    <x v="9"/>
    <x v="566"/>
    <n v="26.88"/>
    <s v="Medium"/>
    <n v="6"/>
    <n v="0"/>
    <x v="0"/>
    <x v="0"/>
    <n v="6.72"/>
    <n v="0.25"/>
    <n v="0"/>
  </r>
  <r>
    <n v="8775"/>
    <s v="CA-2015-132276"/>
    <d v="2015-02-23T00:00:00"/>
    <x v="1"/>
    <s v="Q1"/>
    <x v="36"/>
    <d v="2015-02-28T00:00:00"/>
    <s v="Standard Class"/>
    <x v="784"/>
    <x v="784"/>
    <s v="Home Office"/>
    <s v="United States"/>
    <s v="New York City"/>
    <x v="15"/>
    <n v="10024"/>
    <x v="3"/>
    <x v="1282"/>
    <x v="1"/>
    <x v="8"/>
    <x v="1267"/>
    <n v="10.896000000000001"/>
    <s v="Low"/>
    <n v="2"/>
    <n v="0.2"/>
    <x v="2"/>
    <x v="2"/>
    <n v="3.8136000000000001"/>
    <n v="0.35"/>
    <n v="0"/>
  </r>
  <r>
    <n v="8776"/>
    <s v="CA-2016-163636"/>
    <d v="2016-12-05T00:00:00"/>
    <x v="0"/>
    <s v="Q4"/>
    <x v="5"/>
    <d v="2016-12-09T00:00:00"/>
    <s v="Second Class"/>
    <x v="486"/>
    <x v="486"/>
    <s v="Home Office"/>
    <s v="United States"/>
    <s v="Chicago"/>
    <x v="10"/>
    <n v="60623"/>
    <x v="2"/>
    <x v="147"/>
    <x v="1"/>
    <x v="6"/>
    <x v="148"/>
    <n v="3.536"/>
    <s v="Low"/>
    <n v="2"/>
    <n v="0.2"/>
    <x v="2"/>
    <x v="2"/>
    <n v="0.30940000000000001"/>
    <n v="8.7500000000000008E-2"/>
    <n v="0"/>
  </r>
  <r>
    <n v="8777"/>
    <s v="CA-2016-102813"/>
    <d v="2016-07-02T00:00:00"/>
    <x v="0"/>
    <s v="Q3"/>
    <x v="16"/>
    <d v="2016-07-03T00:00:00"/>
    <s v="First Class"/>
    <x v="105"/>
    <x v="105"/>
    <s v="Corporate"/>
    <s v="United States"/>
    <s v="Huntsville"/>
    <x v="5"/>
    <n v="77340"/>
    <x v="2"/>
    <x v="662"/>
    <x v="0"/>
    <x v="1"/>
    <x v="662"/>
    <n v="528.42999999999995"/>
    <s v="High"/>
    <n v="5"/>
    <n v="0.3"/>
    <x v="1"/>
    <x v="4"/>
    <n v="0"/>
    <n v="0"/>
    <n v="0"/>
  </r>
  <r>
    <n v="8778"/>
    <s v="CA-2016-102813"/>
    <d v="2016-07-02T00:00:00"/>
    <x v="0"/>
    <s v="Q3"/>
    <x v="16"/>
    <d v="2016-07-03T00:00:00"/>
    <s v="First Class"/>
    <x v="105"/>
    <x v="105"/>
    <s v="Corporate"/>
    <s v="United States"/>
    <s v="Huntsville"/>
    <x v="5"/>
    <n v="77340"/>
    <x v="2"/>
    <x v="1440"/>
    <x v="1"/>
    <x v="10"/>
    <x v="1428"/>
    <n v="41.472000000000001"/>
    <s v="Medium"/>
    <n v="8"/>
    <n v="0.2"/>
    <x v="2"/>
    <x v="2"/>
    <n v="14.5152"/>
    <n v="0.35"/>
    <n v="0"/>
  </r>
  <r>
    <n v="8779"/>
    <s v="CA-2017-135377"/>
    <d v="2017-12-13T00:00:00"/>
    <x v="3"/>
    <s v="Q4"/>
    <x v="22"/>
    <d v="2017-12-18T00:00:00"/>
    <s v="Standard Class"/>
    <x v="162"/>
    <x v="162"/>
    <s v="Corporate"/>
    <s v="United States"/>
    <s v="New York City"/>
    <x v="15"/>
    <n v="10024"/>
    <x v="3"/>
    <x v="574"/>
    <x v="0"/>
    <x v="0"/>
    <x v="574"/>
    <n v="287.976"/>
    <s v="High"/>
    <n v="3"/>
    <n v="0.2"/>
    <x v="2"/>
    <x v="2"/>
    <n v="7.1993999999999998"/>
    <n v="2.4999999999999998E-2"/>
    <n v="0"/>
  </r>
  <r>
    <n v="8780"/>
    <s v="CA-2015-165813"/>
    <d v="2015-03-20T00:00:00"/>
    <x v="1"/>
    <s v="Q1"/>
    <x v="29"/>
    <d v="2015-03-22T00:00:00"/>
    <s v="Second Class"/>
    <x v="298"/>
    <x v="298"/>
    <s v="Consumer"/>
    <s v="United States"/>
    <s v="Salem"/>
    <x v="21"/>
    <n v="97301"/>
    <x v="1"/>
    <x v="762"/>
    <x v="1"/>
    <x v="4"/>
    <x v="761"/>
    <n v="29.303999999999998"/>
    <s v="Medium"/>
    <n v="3"/>
    <n v="0.2"/>
    <x v="2"/>
    <x v="2"/>
    <n v="2.5640999999999998"/>
    <n v="8.7499999999999994E-2"/>
    <n v="0"/>
  </r>
  <r>
    <n v="8781"/>
    <s v="CA-2015-133585"/>
    <d v="2015-03-01T00:00:00"/>
    <x v="1"/>
    <s v="Q1"/>
    <x v="29"/>
    <d v="2015-03-04T00:00:00"/>
    <s v="First Class"/>
    <x v="782"/>
    <x v="782"/>
    <s v="Corporate"/>
    <s v="United States"/>
    <s v="Houston"/>
    <x v="5"/>
    <n v="77070"/>
    <x v="2"/>
    <x v="1261"/>
    <x v="1"/>
    <x v="6"/>
    <x v="1245"/>
    <n v="55.328000000000003"/>
    <s v="Medium"/>
    <n v="2"/>
    <n v="0.2"/>
    <x v="2"/>
    <x v="2"/>
    <n v="6.2244000000000002"/>
    <n v="0.1125"/>
    <n v="0"/>
  </r>
  <r>
    <n v="8782"/>
    <s v="CA-2015-133585"/>
    <d v="2015-03-01T00:00:00"/>
    <x v="1"/>
    <s v="Q1"/>
    <x v="29"/>
    <d v="2015-03-04T00:00:00"/>
    <s v="First Class"/>
    <x v="782"/>
    <x v="782"/>
    <s v="Corporate"/>
    <s v="United States"/>
    <s v="Houston"/>
    <x v="5"/>
    <n v="77070"/>
    <x v="2"/>
    <x v="789"/>
    <x v="0"/>
    <x v="0"/>
    <x v="787"/>
    <n v="1227.9983999999999"/>
    <s v="High"/>
    <n v="6"/>
    <n v="0.32"/>
    <x v="1"/>
    <x v="7"/>
    <n v="-36.117600000000003"/>
    <n v="-2.9411764705882356E-2"/>
    <n v="1"/>
  </r>
  <r>
    <n v="8783"/>
    <s v="CA-2016-116911"/>
    <d v="2016-09-15T00:00:00"/>
    <x v="0"/>
    <s v="Q3"/>
    <x v="21"/>
    <d v="2016-09-20T00:00:00"/>
    <s v="Standard Class"/>
    <x v="251"/>
    <x v="251"/>
    <s v="Corporate"/>
    <s v="United States"/>
    <s v="Twin Falls"/>
    <x v="45"/>
    <n v="83301"/>
    <x v="1"/>
    <x v="1206"/>
    <x v="1"/>
    <x v="8"/>
    <x v="1191"/>
    <n v="20.416"/>
    <s v="Low"/>
    <n v="4"/>
    <n v="0.2"/>
    <x v="2"/>
    <x v="2"/>
    <n v="6.6352000000000002"/>
    <n v="0.32500000000000001"/>
    <n v="0"/>
  </r>
  <r>
    <n v="8784"/>
    <s v="CA-2016-116911"/>
    <d v="2016-09-15T00:00:00"/>
    <x v="0"/>
    <s v="Q3"/>
    <x v="21"/>
    <d v="2016-09-20T00:00:00"/>
    <s v="Standard Class"/>
    <x v="251"/>
    <x v="251"/>
    <s v="Corporate"/>
    <s v="United States"/>
    <s v="Twin Falls"/>
    <x v="45"/>
    <n v="83301"/>
    <x v="1"/>
    <x v="215"/>
    <x v="0"/>
    <x v="3"/>
    <x v="216"/>
    <n v="1128.3900000000001"/>
    <s v="High"/>
    <n v="3"/>
    <n v="0"/>
    <x v="0"/>
    <x v="0"/>
    <n v="259.52969999999999"/>
    <n v="0.22999999999999998"/>
    <n v="0"/>
  </r>
  <r>
    <n v="8785"/>
    <s v="US-2017-129224"/>
    <d v="2017-03-17T00:00:00"/>
    <x v="3"/>
    <s v="Q1"/>
    <x v="42"/>
    <d v="2017-03-23T00:00:00"/>
    <s v="Standard Class"/>
    <x v="357"/>
    <x v="357"/>
    <s v="Home Office"/>
    <s v="United States"/>
    <s v="Knoxville"/>
    <x v="18"/>
    <n v="37918"/>
    <x v="0"/>
    <x v="1186"/>
    <x v="1"/>
    <x v="2"/>
    <x v="1172"/>
    <n v="4.6079999999999997"/>
    <s v="Low"/>
    <n v="2"/>
    <n v="0.2"/>
    <x v="2"/>
    <x v="2"/>
    <n v="1.6704000000000001"/>
    <n v="0.36250000000000004"/>
    <n v="0"/>
  </r>
  <r>
    <n v="8786"/>
    <s v="CA-2017-145765"/>
    <d v="2017-05-28T00:00:00"/>
    <x v="3"/>
    <s v="Q2"/>
    <x v="24"/>
    <d v="2017-06-02T00:00:00"/>
    <s v="Standard Class"/>
    <x v="698"/>
    <x v="698"/>
    <s v="Corporate"/>
    <s v="United States"/>
    <s v="Phoenix"/>
    <x v="16"/>
    <n v="85023"/>
    <x v="1"/>
    <x v="1692"/>
    <x v="2"/>
    <x v="7"/>
    <x v="1680"/>
    <n v="195.96"/>
    <s v="High"/>
    <n v="5"/>
    <n v="0.2"/>
    <x v="2"/>
    <x v="2"/>
    <n v="19.596"/>
    <n v="9.9999999999999992E-2"/>
    <n v="0"/>
  </r>
  <r>
    <n v="8787"/>
    <s v="CA-2017-145765"/>
    <d v="2017-05-28T00:00:00"/>
    <x v="3"/>
    <s v="Q2"/>
    <x v="24"/>
    <d v="2017-06-02T00:00:00"/>
    <s v="Standard Class"/>
    <x v="698"/>
    <x v="698"/>
    <s v="Corporate"/>
    <s v="United States"/>
    <s v="Phoenix"/>
    <x v="16"/>
    <n v="85023"/>
    <x v="1"/>
    <x v="1483"/>
    <x v="1"/>
    <x v="10"/>
    <x v="1470"/>
    <n v="15.552"/>
    <s v="Low"/>
    <n v="3"/>
    <n v="0.2"/>
    <x v="2"/>
    <x v="2"/>
    <n v="5.4432"/>
    <n v="0.35000000000000003"/>
    <n v="0"/>
  </r>
  <r>
    <n v="8788"/>
    <s v="CA-2017-145765"/>
    <d v="2017-05-28T00:00:00"/>
    <x v="3"/>
    <s v="Q2"/>
    <x v="24"/>
    <d v="2017-06-02T00:00:00"/>
    <s v="Standard Class"/>
    <x v="698"/>
    <x v="698"/>
    <s v="Corporate"/>
    <s v="United States"/>
    <s v="Phoenix"/>
    <x v="16"/>
    <n v="85023"/>
    <x v="1"/>
    <x v="106"/>
    <x v="2"/>
    <x v="11"/>
    <x v="106"/>
    <n v="271.96800000000002"/>
    <s v="High"/>
    <n v="4"/>
    <n v="0.2"/>
    <x v="2"/>
    <x v="2"/>
    <n v="54.393599999999999"/>
    <n v="0.19999999999999998"/>
    <n v="0"/>
  </r>
  <r>
    <n v="8789"/>
    <s v="CA-2017-126914"/>
    <d v="2017-06-15T00:00:00"/>
    <x v="3"/>
    <s v="Q2"/>
    <x v="27"/>
    <d v="2017-06-19T00:00:00"/>
    <s v="Standard Class"/>
    <x v="555"/>
    <x v="555"/>
    <s v="Consumer"/>
    <s v="United States"/>
    <s v="Monroe"/>
    <x v="3"/>
    <n v="28110"/>
    <x v="0"/>
    <x v="1003"/>
    <x v="0"/>
    <x v="1"/>
    <x v="995"/>
    <n v="698.35199999999998"/>
    <s v="High"/>
    <n v="3"/>
    <n v="0.2"/>
    <x v="2"/>
    <x v="2"/>
    <n v="52.376399999999997"/>
    <n v="7.4999999999999997E-2"/>
    <n v="0"/>
  </r>
  <r>
    <n v="8790"/>
    <s v="CA-2017-126914"/>
    <d v="2017-06-15T00:00:00"/>
    <x v="3"/>
    <s v="Q2"/>
    <x v="27"/>
    <d v="2017-06-19T00:00:00"/>
    <s v="Standard Class"/>
    <x v="555"/>
    <x v="555"/>
    <s v="Consumer"/>
    <s v="United States"/>
    <s v="Monroe"/>
    <x v="3"/>
    <n v="28110"/>
    <x v="0"/>
    <x v="1195"/>
    <x v="0"/>
    <x v="0"/>
    <x v="1180"/>
    <n v="77.727999999999994"/>
    <s v="Medium"/>
    <n v="2"/>
    <n v="0.2"/>
    <x v="2"/>
    <x v="2"/>
    <n v="-3.8864000000000001"/>
    <n v="-0.05"/>
    <n v="1"/>
  </r>
  <r>
    <n v="8791"/>
    <s v="CA-2015-169572"/>
    <d v="2015-09-06T00:00:00"/>
    <x v="1"/>
    <s v="Q3"/>
    <x v="11"/>
    <d v="2015-09-12T00:00:00"/>
    <s v="Standard Class"/>
    <x v="132"/>
    <x v="132"/>
    <s v="Corporate"/>
    <s v="United States"/>
    <s v="Richmond"/>
    <x v="17"/>
    <n v="23223"/>
    <x v="0"/>
    <x v="1472"/>
    <x v="1"/>
    <x v="8"/>
    <x v="1459"/>
    <n v="46.62"/>
    <s v="Medium"/>
    <n v="9"/>
    <n v="0"/>
    <x v="0"/>
    <x v="0"/>
    <n v="21.4452"/>
    <n v="0.46"/>
    <n v="0"/>
  </r>
  <r>
    <n v="8792"/>
    <s v="CA-2017-162075"/>
    <d v="2017-03-18T00:00:00"/>
    <x v="3"/>
    <s v="Q1"/>
    <x v="42"/>
    <d v="2017-03-24T00:00:00"/>
    <s v="Standard Class"/>
    <x v="627"/>
    <x v="627"/>
    <s v="Consumer"/>
    <s v="United States"/>
    <s v="Houston"/>
    <x v="5"/>
    <n v="77041"/>
    <x v="2"/>
    <x v="664"/>
    <x v="2"/>
    <x v="7"/>
    <x v="664"/>
    <n v="537.54399999999998"/>
    <s v="High"/>
    <n v="7"/>
    <n v="0.2"/>
    <x v="2"/>
    <x v="2"/>
    <n v="47.0351"/>
    <n v="8.7500000000000008E-2"/>
    <n v="0"/>
  </r>
  <r>
    <n v="8793"/>
    <s v="CA-2014-162992"/>
    <d v="2014-12-19T00:00:00"/>
    <x v="2"/>
    <s v="Q4"/>
    <x v="20"/>
    <d v="2014-12-21T00:00:00"/>
    <s v="First Class"/>
    <x v="162"/>
    <x v="162"/>
    <s v="Corporate"/>
    <s v="United States"/>
    <s v="Los Angeles"/>
    <x v="1"/>
    <n v="90008"/>
    <x v="1"/>
    <x v="573"/>
    <x v="1"/>
    <x v="2"/>
    <x v="573"/>
    <n v="14.62"/>
    <s v="Low"/>
    <n v="2"/>
    <n v="0"/>
    <x v="0"/>
    <x v="0"/>
    <n v="6.8714000000000004"/>
    <n v="0.47000000000000003"/>
    <n v="0"/>
  </r>
  <r>
    <n v="8794"/>
    <s v="CA-2014-162992"/>
    <d v="2014-12-19T00:00:00"/>
    <x v="2"/>
    <s v="Q4"/>
    <x v="20"/>
    <d v="2014-12-21T00:00:00"/>
    <s v="First Class"/>
    <x v="162"/>
    <x v="162"/>
    <s v="Corporate"/>
    <s v="United States"/>
    <s v="Los Angeles"/>
    <x v="1"/>
    <n v="90008"/>
    <x v="1"/>
    <x v="485"/>
    <x v="1"/>
    <x v="13"/>
    <x v="485"/>
    <n v="22.55"/>
    <s v="Low"/>
    <n v="5"/>
    <n v="0"/>
    <x v="0"/>
    <x v="0"/>
    <n v="8.7944999999999993"/>
    <n v="0.38999999999999996"/>
    <n v="0"/>
  </r>
  <r>
    <n v="8795"/>
    <s v="CA-2014-162992"/>
    <d v="2014-12-19T00:00:00"/>
    <x v="2"/>
    <s v="Q4"/>
    <x v="20"/>
    <d v="2014-12-21T00:00:00"/>
    <s v="First Class"/>
    <x v="162"/>
    <x v="162"/>
    <s v="Corporate"/>
    <s v="United States"/>
    <s v="Los Angeles"/>
    <x v="1"/>
    <n v="90008"/>
    <x v="1"/>
    <x v="1285"/>
    <x v="2"/>
    <x v="7"/>
    <x v="1271"/>
    <n v="583.79999999999995"/>
    <s v="High"/>
    <n v="5"/>
    <n v="0.2"/>
    <x v="2"/>
    <x v="2"/>
    <n v="72.974999999999994"/>
    <n v="0.125"/>
    <n v="0"/>
  </r>
  <r>
    <n v="8796"/>
    <s v="CA-2014-162992"/>
    <d v="2014-12-19T00:00:00"/>
    <x v="2"/>
    <s v="Q4"/>
    <x v="20"/>
    <d v="2014-12-21T00:00:00"/>
    <s v="First Class"/>
    <x v="162"/>
    <x v="162"/>
    <s v="Corporate"/>
    <s v="United States"/>
    <s v="Los Angeles"/>
    <x v="1"/>
    <n v="90008"/>
    <x v="1"/>
    <x v="665"/>
    <x v="2"/>
    <x v="7"/>
    <x v="665"/>
    <n v="211.16800000000001"/>
    <s v="High"/>
    <n v="4"/>
    <n v="0.2"/>
    <x v="2"/>
    <x v="2"/>
    <n v="15.8376"/>
    <n v="7.4999999999999997E-2"/>
    <n v="0"/>
  </r>
  <r>
    <n v="8797"/>
    <s v="CA-2016-106397"/>
    <d v="2016-07-07T00:00:00"/>
    <x v="0"/>
    <s v="Q3"/>
    <x v="16"/>
    <d v="2016-07-13T00:00:00"/>
    <s v="Standard Class"/>
    <x v="77"/>
    <x v="77"/>
    <s v="Consumer"/>
    <s v="United States"/>
    <s v="Orem"/>
    <x v="7"/>
    <n v="84057"/>
    <x v="1"/>
    <x v="490"/>
    <x v="1"/>
    <x v="10"/>
    <x v="490"/>
    <n v="12.96"/>
    <s v="Low"/>
    <n v="2"/>
    <n v="0"/>
    <x v="0"/>
    <x v="0"/>
    <n v="6.2207999999999997"/>
    <n v="0.47999999999999993"/>
    <n v="0"/>
  </r>
  <r>
    <n v="8798"/>
    <s v="CA-2016-106397"/>
    <d v="2016-07-07T00:00:00"/>
    <x v="0"/>
    <s v="Q3"/>
    <x v="16"/>
    <d v="2016-07-13T00:00:00"/>
    <s v="Standard Class"/>
    <x v="77"/>
    <x v="77"/>
    <s v="Consumer"/>
    <s v="United States"/>
    <s v="Orem"/>
    <x v="7"/>
    <n v="84057"/>
    <x v="1"/>
    <x v="1243"/>
    <x v="1"/>
    <x v="6"/>
    <x v="1226"/>
    <n v="45.98"/>
    <s v="Medium"/>
    <n v="2"/>
    <n v="0"/>
    <x v="0"/>
    <x v="0"/>
    <n v="12.8744"/>
    <n v="0.28000000000000003"/>
    <n v="0"/>
  </r>
  <r>
    <n v="8799"/>
    <s v="US-2016-150140"/>
    <d v="2016-04-06T00:00:00"/>
    <x v="0"/>
    <s v="Q2"/>
    <x v="25"/>
    <d v="2016-04-10T00:00:00"/>
    <s v="Standard Class"/>
    <x v="91"/>
    <x v="91"/>
    <s v="Home Office"/>
    <s v="United States"/>
    <s v="Burlington"/>
    <x v="42"/>
    <s v="05408"/>
    <x v="3"/>
    <x v="1367"/>
    <x v="2"/>
    <x v="7"/>
    <x v="1352"/>
    <n v="1294.75"/>
    <s v="High"/>
    <n v="5"/>
    <n v="0"/>
    <x v="0"/>
    <x v="0"/>
    <n v="336.63499999999999"/>
    <n v="0.26"/>
    <n v="0"/>
  </r>
  <r>
    <n v="8800"/>
    <s v="CA-2014-116666"/>
    <d v="2014-05-08T00:00:00"/>
    <x v="2"/>
    <s v="Q2"/>
    <x v="8"/>
    <d v="2014-05-10T00:00:00"/>
    <s v="First Class"/>
    <x v="409"/>
    <x v="409"/>
    <s v="Consumer"/>
    <s v="United States"/>
    <s v="Philadelphia"/>
    <x v="9"/>
    <n v="19134"/>
    <x v="3"/>
    <x v="306"/>
    <x v="2"/>
    <x v="16"/>
    <x v="306"/>
    <n v="1799.97"/>
    <s v="High"/>
    <n v="5"/>
    <n v="0.4"/>
    <x v="1"/>
    <x v="7"/>
    <n v="239.99600000000001"/>
    <n v="0.13333333333333333"/>
    <n v="0"/>
  </r>
  <r>
    <n v="8801"/>
    <s v="CA-2017-148992"/>
    <d v="2017-11-23T00:00:00"/>
    <x v="3"/>
    <s v="Q4"/>
    <x v="23"/>
    <d v="2017-11-27T00:00:00"/>
    <s v="Standard Class"/>
    <x v="294"/>
    <x v="294"/>
    <s v="Corporate"/>
    <s v="United States"/>
    <s v="Chicago"/>
    <x v="10"/>
    <n v="60623"/>
    <x v="2"/>
    <x v="1283"/>
    <x v="1"/>
    <x v="10"/>
    <x v="1268"/>
    <n v="10.688000000000001"/>
    <s v="Low"/>
    <n v="2"/>
    <n v="0.2"/>
    <x v="2"/>
    <x v="2"/>
    <n v="3.7408000000000001"/>
    <n v="0.35"/>
    <n v="0"/>
  </r>
  <r>
    <n v="8802"/>
    <s v="CA-2016-140935"/>
    <d v="2016-11-10T00:00:00"/>
    <x v="0"/>
    <s v="Q4"/>
    <x v="0"/>
    <d v="2016-11-12T00:00:00"/>
    <s v="First Class"/>
    <x v="755"/>
    <x v="755"/>
    <s v="Consumer"/>
    <s v="United States"/>
    <s v="Oklahoma City"/>
    <x v="26"/>
    <n v="73120"/>
    <x v="2"/>
    <x v="1720"/>
    <x v="2"/>
    <x v="7"/>
    <x v="1707"/>
    <n v="221.98"/>
    <s v="High"/>
    <n v="2"/>
    <n v="0"/>
    <x v="0"/>
    <x v="0"/>
    <n v="62.154400000000003"/>
    <n v="0.28000000000000003"/>
    <n v="0"/>
  </r>
  <r>
    <n v="8803"/>
    <s v="CA-2016-140935"/>
    <d v="2016-11-10T00:00:00"/>
    <x v="0"/>
    <s v="Q4"/>
    <x v="0"/>
    <d v="2016-11-12T00:00:00"/>
    <s v="First Class"/>
    <x v="755"/>
    <x v="755"/>
    <s v="Consumer"/>
    <s v="United States"/>
    <s v="Oklahoma City"/>
    <x v="26"/>
    <n v="73120"/>
    <x v="2"/>
    <x v="1106"/>
    <x v="0"/>
    <x v="0"/>
    <x v="1095"/>
    <n v="341.96"/>
    <s v="High"/>
    <n v="2"/>
    <n v="0"/>
    <x v="0"/>
    <x v="0"/>
    <n v="54.7136"/>
    <n v="0.16"/>
    <n v="0"/>
  </r>
  <r>
    <n v="8804"/>
    <s v="CA-2014-157644"/>
    <d v="2014-12-31T00:00:00"/>
    <x v="2"/>
    <s v="Q4"/>
    <x v="20"/>
    <d v="2015-01-01T00:00:00"/>
    <s v="First Class"/>
    <x v="692"/>
    <x v="692"/>
    <s v="Corporate"/>
    <s v="United States"/>
    <s v="New York City"/>
    <x v="15"/>
    <n v="10035"/>
    <x v="3"/>
    <x v="567"/>
    <x v="2"/>
    <x v="11"/>
    <x v="567"/>
    <n v="34.770000000000003"/>
    <s v="Medium"/>
    <n v="3"/>
    <n v="0"/>
    <x v="0"/>
    <x v="0"/>
    <n v="11.4741"/>
    <n v="0.32999999999999996"/>
    <n v="0"/>
  </r>
  <r>
    <n v="8805"/>
    <s v="CA-2014-157644"/>
    <d v="2014-12-31T00:00:00"/>
    <x v="2"/>
    <s v="Q4"/>
    <x v="20"/>
    <d v="2015-01-01T00:00:00"/>
    <s v="First Class"/>
    <x v="692"/>
    <x v="692"/>
    <s v="Corporate"/>
    <s v="United States"/>
    <s v="New York City"/>
    <x v="15"/>
    <n v="10035"/>
    <x v="3"/>
    <x v="165"/>
    <x v="1"/>
    <x v="2"/>
    <x v="166"/>
    <n v="18.899999999999999"/>
    <s v="Low"/>
    <n v="3"/>
    <n v="0"/>
    <x v="0"/>
    <x v="0"/>
    <n v="8.6940000000000008"/>
    <n v="0.46000000000000008"/>
    <n v="0"/>
  </r>
  <r>
    <n v="8806"/>
    <s v="US-2017-100398"/>
    <d v="2017-08-19T00:00:00"/>
    <x v="3"/>
    <s v="Q3"/>
    <x v="43"/>
    <d v="2017-08-23T00:00:00"/>
    <s v="Standard Class"/>
    <x v="157"/>
    <x v="157"/>
    <s v="Consumer"/>
    <s v="United States"/>
    <s v="Salt Lake City"/>
    <x v="7"/>
    <n v="84106"/>
    <x v="1"/>
    <x v="1160"/>
    <x v="1"/>
    <x v="8"/>
    <x v="1147"/>
    <n v="102.72"/>
    <s v="Medium"/>
    <n v="3"/>
    <n v="0.2"/>
    <x v="2"/>
    <x v="2"/>
    <n v="37.235999999999997"/>
    <n v="0.36249999999999999"/>
    <n v="0"/>
  </r>
  <r>
    <n v="8807"/>
    <s v="CA-2016-113082"/>
    <d v="2016-09-12T00:00:00"/>
    <x v="0"/>
    <s v="Q3"/>
    <x v="21"/>
    <d v="2016-09-16T00:00:00"/>
    <s v="Standard Class"/>
    <x v="565"/>
    <x v="565"/>
    <s v="Corporate"/>
    <s v="United States"/>
    <s v="Utica"/>
    <x v="15"/>
    <n v="13501"/>
    <x v="3"/>
    <x v="1702"/>
    <x v="0"/>
    <x v="5"/>
    <x v="1691"/>
    <n v="40.479999999999997"/>
    <s v="Medium"/>
    <n v="2"/>
    <n v="0"/>
    <x v="0"/>
    <x v="0"/>
    <n v="14.572800000000001"/>
    <n v="0.36000000000000004"/>
    <n v="0"/>
  </r>
  <r>
    <n v="8808"/>
    <s v="US-2017-110646"/>
    <d v="2017-10-26T00:00:00"/>
    <x v="3"/>
    <s v="Q4"/>
    <x v="13"/>
    <d v="2017-10-31T00:00:00"/>
    <s v="Standard Class"/>
    <x v="440"/>
    <x v="440"/>
    <s v="Consumer"/>
    <s v="United States"/>
    <s v="Philadelphia"/>
    <x v="9"/>
    <n v="19134"/>
    <x v="3"/>
    <x v="805"/>
    <x v="1"/>
    <x v="8"/>
    <x v="803"/>
    <n v="33.281999999999996"/>
    <s v="Medium"/>
    <n v="3"/>
    <n v="0.7"/>
    <x v="1"/>
    <x v="5"/>
    <n v="-27.734999999999999"/>
    <n v="-0.83333333333333337"/>
    <n v="1"/>
  </r>
  <r>
    <n v="8809"/>
    <s v="US-2017-110646"/>
    <d v="2017-10-26T00:00:00"/>
    <x v="3"/>
    <s v="Q4"/>
    <x v="13"/>
    <d v="2017-10-31T00:00:00"/>
    <s v="Standard Class"/>
    <x v="440"/>
    <x v="440"/>
    <s v="Consumer"/>
    <s v="United States"/>
    <s v="Philadelphia"/>
    <x v="9"/>
    <n v="19134"/>
    <x v="3"/>
    <x v="1255"/>
    <x v="2"/>
    <x v="7"/>
    <x v="1239"/>
    <n v="118.65"/>
    <s v="Medium"/>
    <n v="5"/>
    <n v="0.4"/>
    <x v="1"/>
    <x v="7"/>
    <n v="19.774999999999999"/>
    <n v="0.16666666666666666"/>
    <n v="0"/>
  </r>
  <r>
    <n v="8810"/>
    <s v="US-2017-110646"/>
    <d v="2017-10-26T00:00:00"/>
    <x v="3"/>
    <s v="Q4"/>
    <x v="13"/>
    <d v="2017-10-31T00:00:00"/>
    <s v="Standard Class"/>
    <x v="440"/>
    <x v="440"/>
    <s v="Consumer"/>
    <s v="United States"/>
    <s v="Philadelphia"/>
    <x v="9"/>
    <n v="19134"/>
    <x v="3"/>
    <x v="932"/>
    <x v="1"/>
    <x v="2"/>
    <x v="925"/>
    <n v="14.76"/>
    <s v="Low"/>
    <n v="5"/>
    <n v="0.2"/>
    <x v="2"/>
    <x v="2"/>
    <n v="4.9814999999999996"/>
    <n v="0.33749999999999997"/>
    <n v="0"/>
  </r>
  <r>
    <n v="8811"/>
    <s v="CA-2017-120614"/>
    <d v="2017-05-30T00:00:00"/>
    <x v="3"/>
    <s v="Q2"/>
    <x v="24"/>
    <d v="2017-06-04T00:00:00"/>
    <s v="Standard Class"/>
    <x v="416"/>
    <x v="416"/>
    <s v="Corporate"/>
    <s v="United States"/>
    <s v="Los Angeles"/>
    <x v="1"/>
    <n v="90004"/>
    <x v="1"/>
    <x v="945"/>
    <x v="1"/>
    <x v="10"/>
    <x v="938"/>
    <n v="37.520000000000003"/>
    <s v="Medium"/>
    <n v="4"/>
    <n v="0"/>
    <x v="0"/>
    <x v="0"/>
    <n v="18.009599999999999"/>
    <n v="0.47999999999999993"/>
    <n v="0"/>
  </r>
  <r>
    <n v="8812"/>
    <s v="US-2016-140172"/>
    <d v="2016-03-08T00:00:00"/>
    <x v="0"/>
    <s v="Q1"/>
    <x v="17"/>
    <d v="2016-03-13T00:00:00"/>
    <s v="Standard Class"/>
    <x v="70"/>
    <x v="70"/>
    <s v="Corporate"/>
    <s v="United States"/>
    <s v="Jackson"/>
    <x v="12"/>
    <n v="49201"/>
    <x v="2"/>
    <x v="1143"/>
    <x v="1"/>
    <x v="9"/>
    <x v="1131"/>
    <n v="207.14400000000001"/>
    <s v="High"/>
    <n v="3"/>
    <n v="0.1"/>
    <x v="3"/>
    <x v="8"/>
    <n v="48.333599999999997"/>
    <n v="0.23333333333333331"/>
    <n v="0"/>
  </r>
  <r>
    <n v="8813"/>
    <s v="US-2016-140172"/>
    <d v="2016-03-08T00:00:00"/>
    <x v="0"/>
    <s v="Q1"/>
    <x v="17"/>
    <d v="2016-03-13T00:00:00"/>
    <s v="Standard Class"/>
    <x v="70"/>
    <x v="70"/>
    <s v="Corporate"/>
    <s v="United States"/>
    <s v="Jackson"/>
    <x v="12"/>
    <n v="49201"/>
    <x v="2"/>
    <x v="1622"/>
    <x v="1"/>
    <x v="6"/>
    <x v="1050"/>
    <n v="13.9"/>
    <s v="Low"/>
    <n v="5"/>
    <n v="0"/>
    <x v="0"/>
    <x v="0"/>
    <n v="3.7530000000000001"/>
    <n v="0.27"/>
    <n v="0"/>
  </r>
  <r>
    <n v="8814"/>
    <s v="CA-2015-127754"/>
    <d v="2015-07-26T00:00:00"/>
    <x v="1"/>
    <s v="Q3"/>
    <x v="38"/>
    <d v="2015-07-31T00:00:00"/>
    <s v="Standard Class"/>
    <x v="316"/>
    <x v="316"/>
    <s v="Corporate"/>
    <s v="United States"/>
    <s v="Glendale"/>
    <x v="16"/>
    <n v="85301"/>
    <x v="1"/>
    <x v="637"/>
    <x v="0"/>
    <x v="1"/>
    <x v="637"/>
    <n v="266.35199999999998"/>
    <s v="High"/>
    <n v="3"/>
    <n v="0.2"/>
    <x v="2"/>
    <x v="2"/>
    <n v="13.317600000000001"/>
    <n v="5.000000000000001E-2"/>
    <n v="0"/>
  </r>
  <r>
    <n v="8815"/>
    <s v="CA-2015-144274"/>
    <d v="2015-11-23T00:00:00"/>
    <x v="1"/>
    <s v="Q4"/>
    <x v="6"/>
    <d v="2015-11-25T00:00:00"/>
    <s v="Second Class"/>
    <x v="617"/>
    <x v="617"/>
    <s v="Consumer"/>
    <s v="United States"/>
    <s v="Wilmington"/>
    <x v="13"/>
    <n v="19805"/>
    <x v="3"/>
    <x v="348"/>
    <x v="2"/>
    <x v="7"/>
    <x v="348"/>
    <n v="307.98"/>
    <s v="High"/>
    <n v="2"/>
    <n v="0"/>
    <x v="0"/>
    <x v="0"/>
    <n v="89.3142"/>
    <n v="0.28999999999999998"/>
    <n v="0"/>
  </r>
  <r>
    <n v="8816"/>
    <s v="CA-2015-144274"/>
    <d v="2015-11-23T00:00:00"/>
    <x v="1"/>
    <s v="Q4"/>
    <x v="6"/>
    <d v="2015-11-25T00:00:00"/>
    <s v="Second Class"/>
    <x v="617"/>
    <x v="617"/>
    <s v="Consumer"/>
    <s v="United States"/>
    <s v="Wilmington"/>
    <x v="13"/>
    <n v="19805"/>
    <x v="3"/>
    <x v="1843"/>
    <x v="1"/>
    <x v="10"/>
    <x v="1831"/>
    <n v="44.1"/>
    <s v="Medium"/>
    <n v="6"/>
    <n v="0"/>
    <x v="0"/>
    <x v="0"/>
    <n v="20.727"/>
    <n v="0.47"/>
    <n v="0"/>
  </r>
  <r>
    <n v="8817"/>
    <s v="CA-2015-144274"/>
    <d v="2015-11-23T00:00:00"/>
    <x v="1"/>
    <s v="Q4"/>
    <x v="6"/>
    <d v="2015-11-25T00:00:00"/>
    <s v="Second Class"/>
    <x v="617"/>
    <x v="617"/>
    <s v="Consumer"/>
    <s v="United States"/>
    <s v="Wilmington"/>
    <x v="13"/>
    <n v="19805"/>
    <x v="3"/>
    <x v="169"/>
    <x v="1"/>
    <x v="6"/>
    <x v="170"/>
    <n v="13.12"/>
    <s v="Low"/>
    <n v="4"/>
    <n v="0"/>
    <x v="0"/>
    <x v="0"/>
    <n v="5.6416000000000004"/>
    <n v="0.43000000000000005"/>
    <n v="0"/>
  </r>
  <r>
    <n v="8818"/>
    <s v="CA-2015-144274"/>
    <d v="2015-11-23T00:00:00"/>
    <x v="1"/>
    <s v="Q4"/>
    <x v="6"/>
    <d v="2015-11-25T00:00:00"/>
    <s v="Second Class"/>
    <x v="617"/>
    <x v="617"/>
    <s v="Consumer"/>
    <s v="United States"/>
    <s v="Wilmington"/>
    <x v="13"/>
    <n v="19805"/>
    <x v="3"/>
    <x v="1451"/>
    <x v="1"/>
    <x v="12"/>
    <x v="153"/>
    <n v="16.559999999999999"/>
    <s v="Low"/>
    <n v="2"/>
    <n v="0"/>
    <x v="0"/>
    <x v="0"/>
    <n v="7.7831999999999999"/>
    <n v="0.47000000000000003"/>
    <n v="0"/>
  </r>
  <r>
    <n v="8819"/>
    <s v="CA-2015-144274"/>
    <d v="2015-11-23T00:00:00"/>
    <x v="1"/>
    <s v="Q4"/>
    <x v="6"/>
    <d v="2015-11-25T00:00:00"/>
    <s v="Second Class"/>
    <x v="617"/>
    <x v="617"/>
    <s v="Consumer"/>
    <s v="United States"/>
    <s v="Wilmington"/>
    <x v="13"/>
    <n v="19805"/>
    <x v="3"/>
    <x v="490"/>
    <x v="1"/>
    <x v="10"/>
    <x v="490"/>
    <n v="38.880000000000003"/>
    <s v="Medium"/>
    <n v="6"/>
    <n v="0"/>
    <x v="0"/>
    <x v="0"/>
    <n v="18.662400000000002"/>
    <n v="0.48000000000000004"/>
    <n v="0"/>
  </r>
  <r>
    <n v="8820"/>
    <s v="CA-2015-142930"/>
    <d v="2015-11-28T00:00:00"/>
    <x v="1"/>
    <s v="Q4"/>
    <x v="6"/>
    <d v="2015-12-02T00:00:00"/>
    <s v="Standard Class"/>
    <x v="432"/>
    <x v="432"/>
    <s v="Consumer"/>
    <s v="United States"/>
    <s v="Austin"/>
    <x v="5"/>
    <n v="78745"/>
    <x v="2"/>
    <x v="656"/>
    <x v="1"/>
    <x v="10"/>
    <x v="656"/>
    <n v="335.52"/>
    <s v="High"/>
    <n v="4"/>
    <n v="0.2"/>
    <x v="2"/>
    <x v="2"/>
    <n v="117.432"/>
    <n v="0.35000000000000003"/>
    <n v="0"/>
  </r>
  <r>
    <n v="8821"/>
    <s v="CA-2017-100622"/>
    <d v="2017-11-03T00:00:00"/>
    <x v="3"/>
    <s v="Q4"/>
    <x v="23"/>
    <d v="2017-11-07T00:00:00"/>
    <s v="Standard Class"/>
    <x v="54"/>
    <x v="54"/>
    <s v="Consumer"/>
    <s v="United States"/>
    <s v="Orlando"/>
    <x v="2"/>
    <n v="32839"/>
    <x v="0"/>
    <x v="455"/>
    <x v="2"/>
    <x v="16"/>
    <x v="456"/>
    <n v="959.98400000000004"/>
    <s v="High"/>
    <n v="2"/>
    <n v="0.2"/>
    <x v="2"/>
    <x v="2"/>
    <n v="311.9948"/>
    <n v="0.32500000000000001"/>
    <n v="0"/>
  </r>
  <r>
    <n v="8822"/>
    <s v="CA-2017-100622"/>
    <d v="2017-11-03T00:00:00"/>
    <x v="3"/>
    <s v="Q4"/>
    <x v="23"/>
    <d v="2017-11-07T00:00:00"/>
    <s v="Standard Class"/>
    <x v="54"/>
    <x v="54"/>
    <s v="Consumer"/>
    <s v="United States"/>
    <s v="Orlando"/>
    <x v="2"/>
    <n v="32839"/>
    <x v="0"/>
    <x v="1282"/>
    <x v="1"/>
    <x v="8"/>
    <x v="1267"/>
    <n v="4.0860000000000003"/>
    <s v="Low"/>
    <n v="2"/>
    <n v="0.7"/>
    <x v="1"/>
    <x v="5"/>
    <n v="-2.9964"/>
    <n v="-0.73333333333333328"/>
    <n v="1"/>
  </r>
  <r>
    <n v="8823"/>
    <s v="CA-2017-100622"/>
    <d v="2017-11-03T00:00:00"/>
    <x v="3"/>
    <s v="Q4"/>
    <x v="23"/>
    <d v="2017-11-07T00:00:00"/>
    <s v="Standard Class"/>
    <x v="54"/>
    <x v="54"/>
    <s v="Consumer"/>
    <s v="United States"/>
    <s v="Orlando"/>
    <x v="2"/>
    <n v="32839"/>
    <x v="0"/>
    <x v="1753"/>
    <x v="1"/>
    <x v="6"/>
    <x v="1743"/>
    <n v="55.984000000000002"/>
    <s v="Medium"/>
    <n v="2"/>
    <n v="0.2"/>
    <x v="2"/>
    <x v="2"/>
    <n v="4.1988000000000003"/>
    <n v="7.4999999999999997E-2"/>
    <n v="0"/>
  </r>
  <r>
    <n v="8824"/>
    <s v="CA-2017-100622"/>
    <d v="2017-11-03T00:00:00"/>
    <x v="3"/>
    <s v="Q4"/>
    <x v="23"/>
    <d v="2017-11-07T00:00:00"/>
    <s v="Standard Class"/>
    <x v="54"/>
    <x v="54"/>
    <s v="Consumer"/>
    <s v="United States"/>
    <s v="Orlando"/>
    <x v="2"/>
    <n v="32839"/>
    <x v="0"/>
    <x v="711"/>
    <x v="1"/>
    <x v="10"/>
    <x v="710"/>
    <n v="10.688000000000001"/>
    <s v="Low"/>
    <n v="2"/>
    <n v="0.2"/>
    <x v="2"/>
    <x v="2"/>
    <n v="3.7408000000000001"/>
    <n v="0.35"/>
    <n v="0"/>
  </r>
  <r>
    <n v="8825"/>
    <s v="CA-2017-117156"/>
    <d v="2017-03-21T00:00:00"/>
    <x v="3"/>
    <s v="Q1"/>
    <x v="42"/>
    <d v="2017-03-23T00:00:00"/>
    <s v="Second Class"/>
    <x v="26"/>
    <x v="26"/>
    <s v="Consumer"/>
    <s v="United States"/>
    <s v="Reading"/>
    <x v="9"/>
    <n v="19601"/>
    <x v="3"/>
    <x v="436"/>
    <x v="1"/>
    <x v="12"/>
    <x v="436"/>
    <n v="8.8559999999999999"/>
    <s v="Low"/>
    <n v="3"/>
    <n v="0.2"/>
    <x v="2"/>
    <x v="2"/>
    <n v="2.8782000000000001"/>
    <n v="0.32500000000000001"/>
    <n v="0"/>
  </r>
  <r>
    <n v="8826"/>
    <s v="CA-2015-115399"/>
    <d v="2015-12-19T00:00:00"/>
    <x v="1"/>
    <s v="Q4"/>
    <x v="14"/>
    <d v="2015-12-22T00:00:00"/>
    <s v="First Class"/>
    <x v="151"/>
    <x v="151"/>
    <s v="Consumer"/>
    <s v="United States"/>
    <s v="Philadelphia"/>
    <x v="9"/>
    <n v="19134"/>
    <x v="3"/>
    <x v="1186"/>
    <x v="1"/>
    <x v="2"/>
    <x v="1172"/>
    <n v="6.9119999999999999"/>
    <s v="Low"/>
    <n v="3"/>
    <n v="0.2"/>
    <x v="2"/>
    <x v="2"/>
    <n v="2.5055999999999998"/>
    <n v="0.36249999999999999"/>
    <n v="0"/>
  </r>
  <r>
    <n v="8827"/>
    <s v="US-2014-157847"/>
    <d v="2014-04-02T00:00:00"/>
    <x v="2"/>
    <s v="Q2"/>
    <x v="41"/>
    <d v="2014-04-06T00:00:00"/>
    <s v="Second Class"/>
    <x v="710"/>
    <x v="710"/>
    <s v="Consumer"/>
    <s v="United States"/>
    <s v="Houston"/>
    <x v="5"/>
    <n v="77095"/>
    <x v="2"/>
    <x v="481"/>
    <x v="1"/>
    <x v="10"/>
    <x v="482"/>
    <n v="26.72"/>
    <s v="Medium"/>
    <n v="5"/>
    <n v="0.2"/>
    <x v="2"/>
    <x v="2"/>
    <n v="9.3520000000000003"/>
    <n v="0.35000000000000003"/>
    <n v="0"/>
  </r>
  <r>
    <n v="8828"/>
    <s v="US-2014-157847"/>
    <d v="2014-04-02T00:00:00"/>
    <x v="2"/>
    <s v="Q2"/>
    <x v="41"/>
    <d v="2014-04-06T00:00:00"/>
    <s v="Second Class"/>
    <x v="710"/>
    <x v="710"/>
    <s v="Consumer"/>
    <s v="United States"/>
    <s v="Houston"/>
    <x v="5"/>
    <n v="77095"/>
    <x v="2"/>
    <x v="1774"/>
    <x v="1"/>
    <x v="10"/>
    <x v="1764"/>
    <n v="33.488"/>
    <s v="Medium"/>
    <n v="7"/>
    <n v="0.2"/>
    <x v="2"/>
    <x v="2"/>
    <n v="10.465"/>
    <n v="0.3125"/>
    <n v="0"/>
  </r>
  <r>
    <n v="8829"/>
    <s v="CA-2015-115168"/>
    <d v="2015-06-05T00:00:00"/>
    <x v="1"/>
    <s v="Q2"/>
    <x v="40"/>
    <d v="2015-06-09T00:00:00"/>
    <s v="Standard Class"/>
    <x v="179"/>
    <x v="179"/>
    <s v="Corporate"/>
    <s v="United States"/>
    <s v="Saint Charles"/>
    <x v="25"/>
    <n v="63301"/>
    <x v="2"/>
    <x v="1157"/>
    <x v="1"/>
    <x v="10"/>
    <x v="1145"/>
    <n v="10.56"/>
    <s v="Low"/>
    <n v="2"/>
    <n v="0"/>
    <x v="0"/>
    <x v="0"/>
    <n v="4.7519999999999998"/>
    <n v="0.44999999999999996"/>
    <n v="0"/>
  </r>
  <r>
    <n v="8830"/>
    <s v="CA-2014-109680"/>
    <d v="2014-10-06T00:00:00"/>
    <x v="2"/>
    <s v="Q4"/>
    <x v="18"/>
    <d v="2014-10-09T00:00:00"/>
    <s v="First Class"/>
    <x v="778"/>
    <x v="778"/>
    <s v="Corporate"/>
    <s v="United States"/>
    <s v="Indianapolis"/>
    <x v="14"/>
    <n v="46203"/>
    <x v="2"/>
    <x v="1662"/>
    <x v="1"/>
    <x v="4"/>
    <x v="1650"/>
    <n v="386.34"/>
    <s v="High"/>
    <n v="2"/>
    <n v="0"/>
    <x v="0"/>
    <x v="0"/>
    <n v="54.087600000000002"/>
    <n v="0.14000000000000001"/>
    <n v="0"/>
  </r>
  <r>
    <n v="8831"/>
    <s v="CA-2016-167983"/>
    <d v="2016-08-21T00:00:00"/>
    <x v="0"/>
    <s v="Q3"/>
    <x v="28"/>
    <d v="2016-08-24T00:00:00"/>
    <s v="Second Class"/>
    <x v="345"/>
    <x v="345"/>
    <s v="Corporate"/>
    <s v="United States"/>
    <s v="Seattle"/>
    <x v="4"/>
    <n v="98115"/>
    <x v="1"/>
    <x v="807"/>
    <x v="1"/>
    <x v="8"/>
    <x v="805"/>
    <n v="33.44"/>
    <s v="Medium"/>
    <n v="10"/>
    <n v="0.2"/>
    <x v="2"/>
    <x v="2"/>
    <n v="11.704000000000001"/>
    <n v="0.35000000000000003"/>
    <n v="0"/>
  </r>
  <r>
    <n v="8832"/>
    <s v="CA-2015-145324"/>
    <d v="2015-11-15T00:00:00"/>
    <x v="1"/>
    <s v="Q4"/>
    <x v="6"/>
    <d v="2015-11-19T00:00:00"/>
    <s v="Standard Class"/>
    <x v="723"/>
    <x v="723"/>
    <s v="Home Office"/>
    <s v="United States"/>
    <s v="Harrisonburg"/>
    <x v="17"/>
    <n v="22801"/>
    <x v="0"/>
    <x v="561"/>
    <x v="0"/>
    <x v="5"/>
    <x v="560"/>
    <n v="39.96"/>
    <s v="Medium"/>
    <n v="2"/>
    <n v="0"/>
    <x v="0"/>
    <x v="0"/>
    <n v="14.3856"/>
    <n v="0.36"/>
    <n v="0"/>
  </r>
  <r>
    <n v="8833"/>
    <s v="CA-2015-153423"/>
    <d v="2015-06-22T00:00:00"/>
    <x v="1"/>
    <s v="Q2"/>
    <x v="40"/>
    <d v="2015-06-27T00:00:00"/>
    <s v="Standard Class"/>
    <x v="517"/>
    <x v="517"/>
    <s v="Consumer"/>
    <s v="United States"/>
    <s v="Rochester"/>
    <x v="15"/>
    <n v="14609"/>
    <x v="3"/>
    <x v="692"/>
    <x v="1"/>
    <x v="8"/>
    <x v="692"/>
    <n v="1217.568"/>
    <s v="High"/>
    <n v="2"/>
    <n v="0.2"/>
    <x v="2"/>
    <x v="2"/>
    <n v="456.58800000000002"/>
    <n v="0.375"/>
    <n v="0"/>
  </r>
  <r>
    <n v="8834"/>
    <s v="US-2017-132675"/>
    <d v="2017-09-24T00:00:00"/>
    <x v="3"/>
    <s v="Q3"/>
    <x v="15"/>
    <d v="2017-09-28T00:00:00"/>
    <s v="Standard Class"/>
    <x v="580"/>
    <x v="580"/>
    <s v="Home Office"/>
    <s v="United States"/>
    <s v="Sandy Springs"/>
    <x v="32"/>
    <n v="30328"/>
    <x v="0"/>
    <x v="1018"/>
    <x v="1"/>
    <x v="4"/>
    <x v="1519"/>
    <n v="15.51"/>
    <s v="Low"/>
    <n v="1"/>
    <n v="0"/>
    <x v="0"/>
    <x v="0"/>
    <n v="3.8774999999999999"/>
    <n v="0.25"/>
    <n v="0"/>
  </r>
  <r>
    <n v="8835"/>
    <s v="US-2017-132675"/>
    <d v="2017-09-24T00:00:00"/>
    <x v="3"/>
    <s v="Q3"/>
    <x v="15"/>
    <d v="2017-09-28T00:00:00"/>
    <s v="Standard Class"/>
    <x v="580"/>
    <x v="580"/>
    <s v="Home Office"/>
    <s v="United States"/>
    <s v="Sandy Springs"/>
    <x v="32"/>
    <n v="30328"/>
    <x v="0"/>
    <x v="1517"/>
    <x v="2"/>
    <x v="7"/>
    <x v="1504"/>
    <n v="89.9"/>
    <s v="Medium"/>
    <n v="2"/>
    <n v="0"/>
    <x v="0"/>
    <x v="0"/>
    <n v="25.172000000000001"/>
    <n v="0.27999999999999997"/>
    <n v="0"/>
  </r>
  <r>
    <n v="8836"/>
    <s v="US-2017-132675"/>
    <d v="2017-09-24T00:00:00"/>
    <x v="3"/>
    <s v="Q3"/>
    <x v="15"/>
    <d v="2017-09-28T00:00:00"/>
    <s v="Standard Class"/>
    <x v="580"/>
    <x v="580"/>
    <s v="Home Office"/>
    <s v="United States"/>
    <s v="Sandy Springs"/>
    <x v="32"/>
    <n v="30328"/>
    <x v="0"/>
    <x v="1742"/>
    <x v="1"/>
    <x v="6"/>
    <x v="1731"/>
    <n v="14.28"/>
    <s v="Low"/>
    <n v="4"/>
    <n v="0"/>
    <x v="0"/>
    <x v="0"/>
    <n v="3.7128000000000001"/>
    <n v="0.26"/>
    <n v="0"/>
  </r>
  <r>
    <n v="8837"/>
    <s v="US-2017-132675"/>
    <d v="2017-09-24T00:00:00"/>
    <x v="3"/>
    <s v="Q3"/>
    <x v="15"/>
    <d v="2017-09-28T00:00:00"/>
    <s v="Standard Class"/>
    <x v="580"/>
    <x v="580"/>
    <s v="Home Office"/>
    <s v="United States"/>
    <s v="Sandy Springs"/>
    <x v="32"/>
    <n v="30328"/>
    <x v="0"/>
    <x v="753"/>
    <x v="1"/>
    <x v="6"/>
    <x v="751"/>
    <n v="12.72"/>
    <s v="Low"/>
    <n v="3"/>
    <n v="0"/>
    <x v="0"/>
    <x v="0"/>
    <n v="4.9607999999999999"/>
    <n v="0.38999999999999996"/>
    <n v="0"/>
  </r>
  <r>
    <n v="8838"/>
    <s v="US-2017-132675"/>
    <d v="2017-09-24T00:00:00"/>
    <x v="3"/>
    <s v="Q3"/>
    <x v="15"/>
    <d v="2017-09-28T00:00:00"/>
    <s v="Standard Class"/>
    <x v="580"/>
    <x v="580"/>
    <s v="Home Office"/>
    <s v="United States"/>
    <s v="Sandy Springs"/>
    <x v="32"/>
    <n v="30328"/>
    <x v="0"/>
    <x v="365"/>
    <x v="1"/>
    <x v="2"/>
    <x v="365"/>
    <n v="15.75"/>
    <s v="Low"/>
    <n v="5"/>
    <n v="0"/>
    <x v="0"/>
    <x v="0"/>
    <n v="7.56"/>
    <n v="0.48"/>
    <n v="0"/>
  </r>
  <r>
    <n v="8839"/>
    <s v="CA-2014-153808"/>
    <d v="2014-04-06T00:00:00"/>
    <x v="2"/>
    <s v="Q2"/>
    <x v="41"/>
    <d v="2014-04-10T00:00:00"/>
    <s v="Second Class"/>
    <x v="395"/>
    <x v="395"/>
    <s v="Corporate"/>
    <s v="United States"/>
    <s v="Los Angeles"/>
    <x v="1"/>
    <n v="90004"/>
    <x v="1"/>
    <x v="1559"/>
    <x v="1"/>
    <x v="6"/>
    <x v="1549"/>
    <n v="70.95"/>
    <s v="Medium"/>
    <n v="3"/>
    <n v="0"/>
    <x v="0"/>
    <x v="0"/>
    <n v="18.446999999999999"/>
    <n v="0.25999999999999995"/>
    <n v="0"/>
  </r>
  <r>
    <n v="8840"/>
    <s v="CA-2014-153808"/>
    <d v="2014-04-06T00:00:00"/>
    <x v="2"/>
    <s v="Q2"/>
    <x v="41"/>
    <d v="2014-04-10T00:00:00"/>
    <s v="Second Class"/>
    <x v="395"/>
    <x v="395"/>
    <s v="Corporate"/>
    <s v="United States"/>
    <s v="Los Angeles"/>
    <x v="1"/>
    <n v="90004"/>
    <x v="1"/>
    <x v="102"/>
    <x v="1"/>
    <x v="8"/>
    <x v="102"/>
    <n v="65.567999999999998"/>
    <s v="Medium"/>
    <n v="2"/>
    <n v="0.2"/>
    <x v="2"/>
    <x v="2"/>
    <n v="23.7684"/>
    <n v="0.36249999999999999"/>
    <n v="0"/>
  </r>
  <r>
    <n v="8841"/>
    <s v="CA-2014-153808"/>
    <d v="2014-04-06T00:00:00"/>
    <x v="2"/>
    <s v="Q2"/>
    <x v="41"/>
    <d v="2014-04-10T00:00:00"/>
    <s v="Second Class"/>
    <x v="395"/>
    <x v="395"/>
    <s v="Corporate"/>
    <s v="United States"/>
    <s v="Los Angeles"/>
    <x v="1"/>
    <n v="90004"/>
    <x v="1"/>
    <x v="1336"/>
    <x v="2"/>
    <x v="11"/>
    <x v="1321"/>
    <n v="299.97000000000003"/>
    <s v="High"/>
    <n v="3"/>
    <n v="0"/>
    <x v="0"/>
    <x v="0"/>
    <n v="131.98679999999999"/>
    <n v="0.43999999999999995"/>
    <n v="0"/>
  </r>
  <r>
    <n v="8842"/>
    <s v="US-2016-112396"/>
    <d v="2016-02-09T00:00:00"/>
    <x v="0"/>
    <s v="Q1"/>
    <x v="47"/>
    <d v="2016-02-13T00:00:00"/>
    <s v="Standard Class"/>
    <x v="335"/>
    <x v="335"/>
    <s v="Corporate"/>
    <s v="United States"/>
    <s v="San Francisco"/>
    <x v="1"/>
    <n v="94110"/>
    <x v="1"/>
    <x v="246"/>
    <x v="2"/>
    <x v="11"/>
    <x v="247"/>
    <n v="89.97"/>
    <s v="Medium"/>
    <n v="3"/>
    <n v="0"/>
    <x v="0"/>
    <x v="0"/>
    <n v="39.586799999999997"/>
    <n v="0.43999999999999995"/>
    <n v="0"/>
  </r>
  <r>
    <n v="8843"/>
    <s v="US-2016-112396"/>
    <d v="2016-02-09T00:00:00"/>
    <x v="0"/>
    <s v="Q1"/>
    <x v="47"/>
    <d v="2016-02-13T00:00:00"/>
    <s v="Standard Class"/>
    <x v="335"/>
    <x v="335"/>
    <s v="Corporate"/>
    <s v="United States"/>
    <s v="San Francisco"/>
    <x v="1"/>
    <n v="94110"/>
    <x v="1"/>
    <x v="788"/>
    <x v="2"/>
    <x v="11"/>
    <x v="786"/>
    <n v="31.86"/>
    <s v="Medium"/>
    <n v="2"/>
    <n v="0"/>
    <x v="0"/>
    <x v="0"/>
    <n v="11.151"/>
    <n v="0.35"/>
    <n v="0"/>
  </r>
  <r>
    <n v="8844"/>
    <s v="CA-2014-141173"/>
    <d v="2014-11-18T00:00:00"/>
    <x v="2"/>
    <s v="Q4"/>
    <x v="7"/>
    <d v="2014-11-20T00:00:00"/>
    <s v="Second Class"/>
    <x v="36"/>
    <x v="36"/>
    <s v="Corporate"/>
    <s v="United States"/>
    <s v="Minneapolis"/>
    <x v="11"/>
    <n v="55407"/>
    <x v="2"/>
    <x v="1678"/>
    <x v="1"/>
    <x v="4"/>
    <x v="1666"/>
    <n v="67.150000000000006"/>
    <s v="Medium"/>
    <n v="5"/>
    <n v="0"/>
    <x v="0"/>
    <x v="0"/>
    <n v="16.787500000000001"/>
    <n v="0.25"/>
    <n v="0"/>
  </r>
  <r>
    <n v="8845"/>
    <s v="CA-2017-156664"/>
    <d v="2017-12-18T00:00:00"/>
    <x v="3"/>
    <s v="Q4"/>
    <x v="22"/>
    <d v="2017-12-23T00:00:00"/>
    <s v="Standard Class"/>
    <x v="443"/>
    <x v="443"/>
    <s v="Consumer"/>
    <s v="United States"/>
    <s v="Columbus"/>
    <x v="24"/>
    <n v="43229"/>
    <x v="3"/>
    <x v="1232"/>
    <x v="1"/>
    <x v="8"/>
    <x v="1215"/>
    <n v="7.2359999999999998"/>
    <s v="Low"/>
    <n v="3"/>
    <n v="0.7"/>
    <x v="1"/>
    <x v="5"/>
    <n v="-6.03"/>
    <n v="-0.83333333333333337"/>
    <n v="1"/>
  </r>
  <r>
    <n v="8846"/>
    <s v="CA-2017-156664"/>
    <d v="2017-12-18T00:00:00"/>
    <x v="3"/>
    <s v="Q4"/>
    <x v="22"/>
    <d v="2017-12-23T00:00:00"/>
    <s v="Standard Class"/>
    <x v="443"/>
    <x v="443"/>
    <s v="Consumer"/>
    <s v="United States"/>
    <s v="Columbus"/>
    <x v="24"/>
    <n v="43229"/>
    <x v="3"/>
    <x v="131"/>
    <x v="1"/>
    <x v="13"/>
    <x v="132"/>
    <n v="4.8239999999999998"/>
    <s v="Low"/>
    <n v="3"/>
    <n v="0.2"/>
    <x v="2"/>
    <x v="2"/>
    <n v="1.7486999999999999"/>
    <n v="0.36249999999999999"/>
    <n v="0"/>
  </r>
  <r>
    <n v="8847"/>
    <s v="CA-2017-156664"/>
    <d v="2017-12-18T00:00:00"/>
    <x v="3"/>
    <s v="Q4"/>
    <x v="22"/>
    <d v="2017-12-23T00:00:00"/>
    <s v="Standard Class"/>
    <x v="443"/>
    <x v="443"/>
    <s v="Consumer"/>
    <s v="United States"/>
    <s v="Columbus"/>
    <x v="24"/>
    <n v="43229"/>
    <x v="3"/>
    <x v="393"/>
    <x v="1"/>
    <x v="10"/>
    <x v="394"/>
    <n v="91.36"/>
    <s v="Medium"/>
    <n v="5"/>
    <n v="0.2"/>
    <x v="2"/>
    <x v="2"/>
    <n v="29.692"/>
    <n v="0.32500000000000001"/>
    <n v="0"/>
  </r>
  <r>
    <n v="8848"/>
    <s v="CA-2017-156664"/>
    <d v="2017-12-18T00:00:00"/>
    <x v="3"/>
    <s v="Q4"/>
    <x v="22"/>
    <d v="2017-12-23T00:00:00"/>
    <s v="Standard Class"/>
    <x v="443"/>
    <x v="443"/>
    <s v="Consumer"/>
    <s v="United States"/>
    <s v="Columbus"/>
    <x v="24"/>
    <n v="43229"/>
    <x v="3"/>
    <x v="723"/>
    <x v="1"/>
    <x v="9"/>
    <x v="722"/>
    <n v="130.11199999999999"/>
    <s v="High"/>
    <n v="2"/>
    <n v="0.2"/>
    <x v="2"/>
    <x v="2"/>
    <n v="13.011200000000001"/>
    <n v="0.1"/>
    <n v="0"/>
  </r>
  <r>
    <n v="8849"/>
    <s v="CA-2015-140718"/>
    <d v="2015-07-02T00:00:00"/>
    <x v="1"/>
    <s v="Q3"/>
    <x v="38"/>
    <d v="2015-07-04T00:00:00"/>
    <s v="First Class"/>
    <x v="135"/>
    <x v="135"/>
    <s v="Corporate"/>
    <s v="United States"/>
    <s v="Raleigh"/>
    <x v="3"/>
    <n v="27604"/>
    <x v="0"/>
    <x v="918"/>
    <x v="2"/>
    <x v="7"/>
    <x v="910"/>
    <n v="74.239999999999995"/>
    <s v="Medium"/>
    <n v="1"/>
    <n v="0.2"/>
    <x v="2"/>
    <x v="2"/>
    <n v="8.3520000000000003"/>
    <n v="0.11250000000000002"/>
    <n v="0"/>
  </r>
  <r>
    <n v="8850"/>
    <s v="CA-2015-140718"/>
    <d v="2015-07-02T00:00:00"/>
    <x v="1"/>
    <s v="Q3"/>
    <x v="38"/>
    <d v="2015-07-04T00:00:00"/>
    <s v="First Class"/>
    <x v="135"/>
    <x v="135"/>
    <s v="Corporate"/>
    <s v="United States"/>
    <s v="Raleigh"/>
    <x v="3"/>
    <n v="27604"/>
    <x v="0"/>
    <x v="891"/>
    <x v="0"/>
    <x v="5"/>
    <x v="884"/>
    <n v="159.84"/>
    <s v="High"/>
    <n v="10"/>
    <n v="0.2"/>
    <x v="2"/>
    <x v="2"/>
    <n v="45.954000000000001"/>
    <n v="0.28749999999999998"/>
    <n v="0"/>
  </r>
  <r>
    <n v="8851"/>
    <s v="CA-2015-140718"/>
    <d v="2015-07-02T00:00:00"/>
    <x v="1"/>
    <s v="Q3"/>
    <x v="38"/>
    <d v="2015-07-04T00:00:00"/>
    <s v="First Class"/>
    <x v="135"/>
    <x v="135"/>
    <s v="Corporate"/>
    <s v="United States"/>
    <s v="Raleigh"/>
    <x v="3"/>
    <n v="27604"/>
    <x v="0"/>
    <x v="544"/>
    <x v="1"/>
    <x v="8"/>
    <x v="544"/>
    <n v="2.8919999999999999"/>
    <s v="Low"/>
    <n v="2"/>
    <n v="0.7"/>
    <x v="1"/>
    <x v="5"/>
    <n v="-2.3136000000000001"/>
    <n v="-0.8"/>
    <n v="1"/>
  </r>
  <r>
    <n v="8852"/>
    <s v="CA-2015-140718"/>
    <d v="2015-07-02T00:00:00"/>
    <x v="1"/>
    <s v="Q3"/>
    <x v="38"/>
    <d v="2015-07-04T00:00:00"/>
    <s v="First Class"/>
    <x v="135"/>
    <x v="135"/>
    <s v="Corporate"/>
    <s v="United States"/>
    <s v="Raleigh"/>
    <x v="3"/>
    <n v="27604"/>
    <x v="0"/>
    <x v="707"/>
    <x v="1"/>
    <x v="10"/>
    <x v="706"/>
    <n v="9.3919999999999995"/>
    <s v="Low"/>
    <n v="2"/>
    <n v="0.2"/>
    <x v="2"/>
    <x v="2"/>
    <n v="3.2871999999999999"/>
    <n v="0.35000000000000003"/>
    <n v="0"/>
  </r>
  <r>
    <n v="8853"/>
    <s v="CA-2014-119977"/>
    <d v="2014-10-08T00:00:00"/>
    <x v="2"/>
    <s v="Q4"/>
    <x v="18"/>
    <d v="2014-10-13T00:00:00"/>
    <s v="Second Class"/>
    <x v="35"/>
    <x v="35"/>
    <s v="Consumer"/>
    <s v="United States"/>
    <s v="New York City"/>
    <x v="15"/>
    <n v="10011"/>
    <x v="3"/>
    <x v="1019"/>
    <x v="1"/>
    <x v="10"/>
    <x v="1010"/>
    <n v="123.92"/>
    <s v="High"/>
    <n v="4"/>
    <n v="0"/>
    <x v="0"/>
    <x v="0"/>
    <n v="55.764000000000003"/>
    <n v="0.45"/>
    <n v="0"/>
  </r>
  <r>
    <n v="8854"/>
    <s v="US-2015-115343"/>
    <d v="2015-09-22T00:00:00"/>
    <x v="1"/>
    <s v="Q3"/>
    <x v="11"/>
    <d v="2015-09-25T00:00:00"/>
    <s v="First Class"/>
    <x v="383"/>
    <x v="383"/>
    <s v="Consumer"/>
    <s v="United States"/>
    <s v="Philadelphia"/>
    <x v="9"/>
    <n v="19143"/>
    <x v="3"/>
    <x v="1205"/>
    <x v="1"/>
    <x v="14"/>
    <x v="1190"/>
    <n v="55.6"/>
    <s v="Medium"/>
    <n v="5"/>
    <n v="0.2"/>
    <x v="2"/>
    <x v="2"/>
    <n v="6.2549999999999999"/>
    <n v="0.11249999999999999"/>
    <n v="0"/>
  </r>
  <r>
    <n v="8855"/>
    <s v="US-2015-115343"/>
    <d v="2015-09-22T00:00:00"/>
    <x v="1"/>
    <s v="Q3"/>
    <x v="11"/>
    <d v="2015-09-25T00:00:00"/>
    <s v="First Class"/>
    <x v="383"/>
    <x v="383"/>
    <s v="Consumer"/>
    <s v="United States"/>
    <s v="Philadelphia"/>
    <x v="9"/>
    <n v="19143"/>
    <x v="3"/>
    <x v="217"/>
    <x v="2"/>
    <x v="11"/>
    <x v="218"/>
    <n v="617.976"/>
    <s v="High"/>
    <n v="3"/>
    <n v="0.2"/>
    <x v="2"/>
    <x v="2"/>
    <n v="-7.7247000000000003"/>
    <n v="-1.2500000000000001E-2"/>
    <n v="1"/>
  </r>
  <r>
    <n v="8856"/>
    <s v="CA-2017-163671"/>
    <d v="2017-12-24T00:00:00"/>
    <x v="3"/>
    <s v="Q4"/>
    <x v="22"/>
    <d v="2017-12-30T00:00:00"/>
    <s v="Standard Class"/>
    <x v="317"/>
    <x v="317"/>
    <s v="Corporate"/>
    <s v="United States"/>
    <s v="Meridian"/>
    <x v="45"/>
    <n v="83642"/>
    <x v="1"/>
    <x v="213"/>
    <x v="1"/>
    <x v="8"/>
    <x v="214"/>
    <n v="21.312000000000001"/>
    <s v="Low"/>
    <n v="3"/>
    <n v="0.2"/>
    <x v="2"/>
    <x v="2"/>
    <n v="7.992"/>
    <n v="0.375"/>
    <n v="0"/>
  </r>
  <r>
    <n v="8857"/>
    <s v="CA-2017-135909"/>
    <d v="2017-10-13T00:00:00"/>
    <x v="3"/>
    <s v="Q4"/>
    <x v="13"/>
    <d v="2017-10-20T00:00:00"/>
    <s v="Standard Class"/>
    <x v="478"/>
    <x v="478"/>
    <s v="Corporate"/>
    <s v="United States"/>
    <s v="Sacramento"/>
    <x v="1"/>
    <n v="95823"/>
    <x v="1"/>
    <x v="343"/>
    <x v="2"/>
    <x v="11"/>
    <x v="343"/>
    <n v="209.94"/>
    <s v="High"/>
    <n v="6"/>
    <n v="0"/>
    <x v="0"/>
    <x v="0"/>
    <n v="39.888599999999997"/>
    <n v="0.18999999999999997"/>
    <n v="0"/>
  </r>
  <r>
    <n v="8858"/>
    <s v="CA-2017-135909"/>
    <d v="2017-10-13T00:00:00"/>
    <x v="3"/>
    <s v="Q4"/>
    <x v="13"/>
    <d v="2017-10-20T00:00:00"/>
    <s v="Standard Class"/>
    <x v="478"/>
    <x v="478"/>
    <s v="Corporate"/>
    <s v="United States"/>
    <s v="Sacramento"/>
    <x v="1"/>
    <n v="95823"/>
    <x v="1"/>
    <x v="1431"/>
    <x v="2"/>
    <x v="7"/>
    <x v="1419"/>
    <n v="31.984000000000002"/>
    <s v="Medium"/>
    <n v="2"/>
    <n v="0.2"/>
    <x v="2"/>
    <x v="2"/>
    <n v="-7.9960000000000004"/>
    <n v="-0.25"/>
    <n v="1"/>
  </r>
  <r>
    <n v="8859"/>
    <s v="CA-2017-135909"/>
    <d v="2017-10-13T00:00:00"/>
    <x v="3"/>
    <s v="Q4"/>
    <x v="13"/>
    <d v="2017-10-20T00:00:00"/>
    <s v="Standard Class"/>
    <x v="478"/>
    <x v="478"/>
    <s v="Corporate"/>
    <s v="United States"/>
    <s v="Sacramento"/>
    <x v="1"/>
    <n v="95823"/>
    <x v="1"/>
    <x v="450"/>
    <x v="1"/>
    <x v="8"/>
    <x v="451"/>
    <n v="5083.96"/>
    <s v="High"/>
    <n v="5"/>
    <n v="0.2"/>
    <x v="2"/>
    <x v="2"/>
    <n v="1906.4849999999999"/>
    <n v="0.375"/>
    <n v="0"/>
  </r>
  <r>
    <n v="8860"/>
    <s v="US-2017-114356"/>
    <d v="2017-08-20T00:00:00"/>
    <x v="3"/>
    <s v="Q3"/>
    <x v="43"/>
    <d v="2017-08-26T00:00:00"/>
    <s v="Standard Class"/>
    <x v="499"/>
    <x v="499"/>
    <s v="Home Office"/>
    <s v="United States"/>
    <s v="Charlotte"/>
    <x v="3"/>
    <n v="28205"/>
    <x v="0"/>
    <x v="1517"/>
    <x v="2"/>
    <x v="7"/>
    <x v="1504"/>
    <n v="35.96"/>
    <s v="Medium"/>
    <n v="1"/>
    <n v="0.2"/>
    <x v="2"/>
    <x v="2"/>
    <n v="3.5960000000000001"/>
    <n v="0.1"/>
    <n v="0"/>
  </r>
  <r>
    <n v="8861"/>
    <s v="CA-2015-125934"/>
    <d v="2015-09-11T00:00:00"/>
    <x v="1"/>
    <s v="Q3"/>
    <x v="11"/>
    <d v="2015-09-18T00:00:00"/>
    <s v="Standard Class"/>
    <x v="381"/>
    <x v="381"/>
    <s v="Home Office"/>
    <s v="United States"/>
    <s v="Paterson"/>
    <x v="30"/>
    <n v="7501"/>
    <x v="3"/>
    <x v="1655"/>
    <x v="1"/>
    <x v="2"/>
    <x v="1643"/>
    <n v="31.05"/>
    <s v="Medium"/>
    <n v="3"/>
    <n v="0"/>
    <x v="0"/>
    <x v="0"/>
    <n v="14.904"/>
    <n v="0.48"/>
    <n v="0"/>
  </r>
  <r>
    <n v="8862"/>
    <s v="CA-2015-125934"/>
    <d v="2015-09-11T00:00:00"/>
    <x v="1"/>
    <s v="Q3"/>
    <x v="11"/>
    <d v="2015-09-18T00:00:00"/>
    <s v="Standard Class"/>
    <x v="381"/>
    <x v="381"/>
    <s v="Home Office"/>
    <s v="United States"/>
    <s v="Paterson"/>
    <x v="30"/>
    <n v="7501"/>
    <x v="3"/>
    <x v="1348"/>
    <x v="0"/>
    <x v="5"/>
    <x v="1333"/>
    <n v="8.92"/>
    <s v="Low"/>
    <n v="4"/>
    <n v="0"/>
    <x v="0"/>
    <x v="0"/>
    <n v="3.9247999999999998"/>
    <n v="0.44"/>
    <n v="0"/>
  </r>
  <r>
    <n v="8863"/>
    <s v="CA-2015-125934"/>
    <d v="2015-09-11T00:00:00"/>
    <x v="1"/>
    <s v="Q3"/>
    <x v="11"/>
    <d v="2015-09-18T00:00:00"/>
    <s v="Standard Class"/>
    <x v="381"/>
    <x v="381"/>
    <s v="Home Office"/>
    <s v="United States"/>
    <s v="Paterson"/>
    <x v="30"/>
    <n v="7501"/>
    <x v="3"/>
    <x v="270"/>
    <x v="1"/>
    <x v="8"/>
    <x v="270"/>
    <n v="209.6"/>
    <s v="High"/>
    <n v="4"/>
    <n v="0"/>
    <x v="0"/>
    <x v="0"/>
    <n v="96.415999999999997"/>
    <n v="0.46"/>
    <n v="0"/>
  </r>
  <r>
    <n v="8864"/>
    <s v="CA-2015-125934"/>
    <d v="2015-09-11T00:00:00"/>
    <x v="1"/>
    <s v="Q3"/>
    <x v="11"/>
    <d v="2015-09-18T00:00:00"/>
    <s v="Standard Class"/>
    <x v="381"/>
    <x v="381"/>
    <s v="Home Office"/>
    <s v="United States"/>
    <s v="Paterson"/>
    <x v="30"/>
    <n v="7501"/>
    <x v="3"/>
    <x v="1109"/>
    <x v="1"/>
    <x v="9"/>
    <x v="1098"/>
    <n v="111.04"/>
    <s v="Medium"/>
    <n v="4"/>
    <n v="0"/>
    <x v="0"/>
    <x v="0"/>
    <n v="29.980799999999999"/>
    <n v="0.26999999999999996"/>
    <n v="0"/>
  </r>
  <r>
    <n v="8865"/>
    <s v="CA-2015-125934"/>
    <d v="2015-09-11T00:00:00"/>
    <x v="1"/>
    <s v="Q3"/>
    <x v="11"/>
    <d v="2015-09-18T00:00:00"/>
    <s v="Standard Class"/>
    <x v="381"/>
    <x v="381"/>
    <s v="Home Office"/>
    <s v="United States"/>
    <s v="Paterson"/>
    <x v="30"/>
    <n v="7501"/>
    <x v="3"/>
    <x v="1650"/>
    <x v="1"/>
    <x v="10"/>
    <x v="1639"/>
    <n v="38.880000000000003"/>
    <s v="Medium"/>
    <n v="6"/>
    <n v="0"/>
    <x v="0"/>
    <x v="0"/>
    <n v="18.662400000000002"/>
    <n v="0.48000000000000004"/>
    <n v="0"/>
  </r>
  <r>
    <n v="8866"/>
    <s v="CA-2015-158148"/>
    <d v="2015-12-20T00:00:00"/>
    <x v="1"/>
    <s v="Q4"/>
    <x v="14"/>
    <d v="2015-12-26T00:00:00"/>
    <s v="Standard Class"/>
    <x v="622"/>
    <x v="622"/>
    <s v="Consumer"/>
    <s v="United States"/>
    <s v="Arlington"/>
    <x v="17"/>
    <n v="22204"/>
    <x v="0"/>
    <x v="1204"/>
    <x v="1"/>
    <x v="9"/>
    <x v="1189"/>
    <n v="36.270000000000003"/>
    <s v="Medium"/>
    <n v="3"/>
    <n v="0"/>
    <x v="0"/>
    <x v="0"/>
    <n v="10.881"/>
    <n v="0.3"/>
    <n v="0"/>
  </r>
  <r>
    <n v="8867"/>
    <s v="CA-2014-120411"/>
    <d v="2014-09-20T00:00:00"/>
    <x v="2"/>
    <s v="Q3"/>
    <x v="30"/>
    <d v="2014-09-23T00:00:00"/>
    <s v="First Class"/>
    <x v="766"/>
    <x v="766"/>
    <s v="Consumer"/>
    <s v="United States"/>
    <s v="Chicago"/>
    <x v="10"/>
    <n v="60653"/>
    <x v="2"/>
    <x v="1601"/>
    <x v="0"/>
    <x v="0"/>
    <x v="1593"/>
    <n v="493.43"/>
    <s v="High"/>
    <n v="5"/>
    <n v="0.3"/>
    <x v="1"/>
    <x v="4"/>
    <n v="-70.489999999999995"/>
    <n v="-0.14285714285714285"/>
    <n v="1"/>
  </r>
  <r>
    <n v="8868"/>
    <s v="CA-2014-120411"/>
    <d v="2014-09-20T00:00:00"/>
    <x v="2"/>
    <s v="Q3"/>
    <x v="30"/>
    <d v="2014-09-23T00:00:00"/>
    <s v="First Class"/>
    <x v="766"/>
    <x v="766"/>
    <s v="Consumer"/>
    <s v="United States"/>
    <s v="Chicago"/>
    <x v="10"/>
    <n v="60653"/>
    <x v="2"/>
    <x v="1091"/>
    <x v="2"/>
    <x v="7"/>
    <x v="1081"/>
    <n v="11.12"/>
    <s v="Low"/>
    <n v="2"/>
    <n v="0.2"/>
    <x v="2"/>
    <x v="2"/>
    <n v="3.4750000000000001"/>
    <n v="0.31250000000000006"/>
    <n v="0"/>
  </r>
  <r>
    <n v="8869"/>
    <s v="CA-2016-158260"/>
    <d v="2016-11-04T00:00:00"/>
    <x v="0"/>
    <s v="Q4"/>
    <x v="0"/>
    <d v="2016-11-08T00:00:00"/>
    <s v="Standard Class"/>
    <x v="693"/>
    <x v="693"/>
    <s v="Consumer"/>
    <s v="United States"/>
    <s v="San Diego"/>
    <x v="1"/>
    <n v="92037"/>
    <x v="1"/>
    <x v="1771"/>
    <x v="2"/>
    <x v="15"/>
    <x v="1761"/>
    <n v="686.4"/>
    <s v="High"/>
    <n v="2"/>
    <n v="0.2"/>
    <x v="2"/>
    <x v="2"/>
    <n v="77.22"/>
    <n v="0.1125"/>
    <n v="0"/>
  </r>
  <r>
    <n v="8870"/>
    <s v="CA-2017-101805"/>
    <d v="2017-12-01T00:00:00"/>
    <x v="3"/>
    <s v="Q4"/>
    <x v="22"/>
    <d v="2017-12-06T00:00:00"/>
    <s v="Standard Class"/>
    <x v="64"/>
    <x v="64"/>
    <s v="Corporate"/>
    <s v="United States"/>
    <s v="Seattle"/>
    <x v="4"/>
    <n v="98105"/>
    <x v="1"/>
    <x v="1406"/>
    <x v="1"/>
    <x v="8"/>
    <x v="1393"/>
    <n v="15.92"/>
    <s v="Low"/>
    <n v="5"/>
    <n v="0.2"/>
    <x v="2"/>
    <x v="2"/>
    <n v="5.3730000000000002"/>
    <n v="0.33750000000000002"/>
    <n v="0"/>
  </r>
  <r>
    <n v="8871"/>
    <s v="CA-2017-101805"/>
    <d v="2017-12-01T00:00:00"/>
    <x v="3"/>
    <s v="Q4"/>
    <x v="22"/>
    <d v="2017-12-06T00:00:00"/>
    <s v="Standard Class"/>
    <x v="64"/>
    <x v="64"/>
    <s v="Corporate"/>
    <s v="United States"/>
    <s v="Seattle"/>
    <x v="4"/>
    <n v="98105"/>
    <x v="1"/>
    <x v="325"/>
    <x v="0"/>
    <x v="5"/>
    <x v="325"/>
    <n v="70.680000000000007"/>
    <s v="Medium"/>
    <n v="12"/>
    <n v="0"/>
    <x v="0"/>
    <x v="0"/>
    <n v="31.0992"/>
    <n v="0.43999999999999995"/>
    <n v="0"/>
  </r>
  <r>
    <n v="8872"/>
    <s v="CA-2017-101805"/>
    <d v="2017-12-01T00:00:00"/>
    <x v="3"/>
    <s v="Q4"/>
    <x v="22"/>
    <d v="2017-12-06T00:00:00"/>
    <s v="Standard Class"/>
    <x v="64"/>
    <x v="64"/>
    <s v="Corporate"/>
    <s v="United States"/>
    <s v="Seattle"/>
    <x v="4"/>
    <n v="98105"/>
    <x v="1"/>
    <x v="273"/>
    <x v="1"/>
    <x v="4"/>
    <x v="273"/>
    <n v="541.24"/>
    <s v="High"/>
    <n v="4"/>
    <n v="0"/>
    <x v="0"/>
    <x v="0"/>
    <n v="5.4123999999999999"/>
    <n v="0.01"/>
    <n v="0"/>
  </r>
  <r>
    <n v="8873"/>
    <s v="US-2014-105137"/>
    <d v="2014-10-10T00:00:00"/>
    <x v="2"/>
    <s v="Q4"/>
    <x v="18"/>
    <d v="2014-10-10T00:00:00"/>
    <s v="Same Day"/>
    <x v="579"/>
    <x v="579"/>
    <s v="Consumer"/>
    <s v="United States"/>
    <s v="Columbus"/>
    <x v="24"/>
    <n v="43229"/>
    <x v="3"/>
    <x v="1844"/>
    <x v="2"/>
    <x v="15"/>
    <x v="1832"/>
    <n v="101.994"/>
    <s v="Medium"/>
    <n v="2"/>
    <n v="0.7"/>
    <x v="1"/>
    <x v="5"/>
    <n v="-71.395799999999994"/>
    <n v="-0.7"/>
    <n v="1"/>
  </r>
  <r>
    <n v="8874"/>
    <s v="US-2014-105137"/>
    <d v="2014-10-10T00:00:00"/>
    <x v="2"/>
    <s v="Q4"/>
    <x v="18"/>
    <d v="2014-10-10T00:00:00"/>
    <s v="Same Day"/>
    <x v="579"/>
    <x v="579"/>
    <s v="Consumer"/>
    <s v="United States"/>
    <s v="Columbus"/>
    <x v="24"/>
    <n v="43229"/>
    <x v="3"/>
    <x v="471"/>
    <x v="1"/>
    <x v="8"/>
    <x v="472"/>
    <n v="18.263999999999999"/>
    <s v="Low"/>
    <n v="2"/>
    <n v="0.7"/>
    <x v="1"/>
    <x v="5"/>
    <n v="-13.393599999999999"/>
    <n v="-0.73333333333333328"/>
    <n v="1"/>
  </r>
  <r>
    <n v="8875"/>
    <s v="CA-2017-142489"/>
    <d v="2017-11-14T00:00:00"/>
    <x v="3"/>
    <s v="Q4"/>
    <x v="23"/>
    <d v="2017-11-16T00:00:00"/>
    <s v="Second Class"/>
    <x v="646"/>
    <x v="646"/>
    <s v="Consumer"/>
    <s v="United States"/>
    <s v="Houston"/>
    <x v="5"/>
    <n v="77095"/>
    <x v="2"/>
    <x v="715"/>
    <x v="1"/>
    <x v="8"/>
    <x v="714"/>
    <n v="21.99"/>
    <s v="Low"/>
    <n v="5"/>
    <n v="0.8"/>
    <x v="1"/>
    <x v="3"/>
    <n v="-32.984999999999999"/>
    <n v="-1.5"/>
    <n v="1"/>
  </r>
  <r>
    <n v="8876"/>
    <s v="US-2016-141264"/>
    <d v="2016-08-13T00:00:00"/>
    <x v="0"/>
    <s v="Q3"/>
    <x v="28"/>
    <d v="2016-08-19T00:00:00"/>
    <s v="Standard Class"/>
    <x v="564"/>
    <x v="564"/>
    <s v="Consumer"/>
    <s v="United States"/>
    <s v="Irving"/>
    <x v="5"/>
    <n v="75061"/>
    <x v="2"/>
    <x v="413"/>
    <x v="1"/>
    <x v="14"/>
    <x v="413"/>
    <n v="185.376"/>
    <s v="High"/>
    <n v="2"/>
    <n v="0.2"/>
    <x v="2"/>
    <x v="2"/>
    <n v="-34.758000000000003"/>
    <n v="-0.1875"/>
    <n v="1"/>
  </r>
  <r>
    <n v="8877"/>
    <s v="US-2016-141264"/>
    <d v="2016-08-13T00:00:00"/>
    <x v="0"/>
    <s v="Q3"/>
    <x v="28"/>
    <d v="2016-08-19T00:00:00"/>
    <s v="Standard Class"/>
    <x v="564"/>
    <x v="564"/>
    <s v="Consumer"/>
    <s v="United States"/>
    <s v="Irving"/>
    <x v="5"/>
    <n v="75061"/>
    <x v="2"/>
    <x v="1218"/>
    <x v="1"/>
    <x v="9"/>
    <x v="1202"/>
    <n v="58.923999999999999"/>
    <s v="Medium"/>
    <n v="1"/>
    <n v="0.8"/>
    <x v="1"/>
    <x v="3"/>
    <n v="-153.20240000000001"/>
    <n v="-2.6"/>
    <n v="1"/>
  </r>
  <r>
    <n v="8878"/>
    <s v="CA-2017-126928"/>
    <d v="2017-09-17T00:00:00"/>
    <x v="3"/>
    <s v="Q3"/>
    <x v="15"/>
    <d v="2017-09-23T00:00:00"/>
    <s v="Standard Class"/>
    <x v="47"/>
    <x v="47"/>
    <s v="Consumer"/>
    <s v="United States"/>
    <s v="Morristown"/>
    <x v="30"/>
    <n v="7960"/>
    <x v="3"/>
    <x v="1845"/>
    <x v="2"/>
    <x v="15"/>
    <x v="1833"/>
    <n v="480"/>
    <s v="High"/>
    <n v="4"/>
    <n v="0"/>
    <x v="0"/>
    <x v="0"/>
    <n v="225.6"/>
    <n v="0.47"/>
    <n v="0"/>
  </r>
  <r>
    <n v="8879"/>
    <s v="CA-2017-126928"/>
    <d v="2017-09-17T00:00:00"/>
    <x v="3"/>
    <s v="Q3"/>
    <x v="15"/>
    <d v="2017-09-23T00:00:00"/>
    <s v="Standard Class"/>
    <x v="47"/>
    <x v="47"/>
    <s v="Consumer"/>
    <s v="United States"/>
    <s v="Morristown"/>
    <x v="30"/>
    <n v="7960"/>
    <x v="3"/>
    <x v="75"/>
    <x v="1"/>
    <x v="4"/>
    <x v="75"/>
    <n v="34.049999999999997"/>
    <s v="Medium"/>
    <n v="3"/>
    <n v="0"/>
    <x v="0"/>
    <x v="0"/>
    <n v="9.5340000000000007"/>
    <n v="0.28000000000000003"/>
    <n v="0"/>
  </r>
  <r>
    <n v="8880"/>
    <s v="US-2015-107944"/>
    <d v="2015-03-23T00:00:00"/>
    <x v="1"/>
    <s v="Q1"/>
    <x v="29"/>
    <d v="2015-03-25T00:00:00"/>
    <s v="First Class"/>
    <x v="87"/>
    <x v="87"/>
    <s v="Corporate"/>
    <s v="United States"/>
    <s v="Los Angeles"/>
    <x v="1"/>
    <n v="90008"/>
    <x v="1"/>
    <x v="161"/>
    <x v="1"/>
    <x v="10"/>
    <x v="1295"/>
    <n v="192.72"/>
    <s v="High"/>
    <n v="11"/>
    <n v="0"/>
    <x v="0"/>
    <x v="0"/>
    <n v="92.505600000000001"/>
    <n v="0.48"/>
    <n v="0"/>
  </r>
  <r>
    <n v="8881"/>
    <s v="US-2015-107944"/>
    <d v="2015-03-23T00:00:00"/>
    <x v="1"/>
    <s v="Q1"/>
    <x v="29"/>
    <d v="2015-03-25T00:00:00"/>
    <s v="First Class"/>
    <x v="87"/>
    <x v="87"/>
    <s v="Corporate"/>
    <s v="United States"/>
    <s v="Los Angeles"/>
    <x v="1"/>
    <n v="90008"/>
    <x v="1"/>
    <x v="1105"/>
    <x v="2"/>
    <x v="11"/>
    <x v="1094"/>
    <n v="239.97"/>
    <s v="High"/>
    <n v="3"/>
    <n v="0"/>
    <x v="0"/>
    <x v="0"/>
    <n v="86.389200000000002"/>
    <n v="0.36"/>
    <n v="0"/>
  </r>
  <r>
    <n v="8882"/>
    <s v="CA-2016-135594"/>
    <d v="2016-06-30T00:00:00"/>
    <x v="0"/>
    <s v="Q2"/>
    <x v="1"/>
    <d v="2016-07-03T00:00:00"/>
    <s v="Second Class"/>
    <x v="571"/>
    <x v="571"/>
    <s v="Home Office"/>
    <s v="United States"/>
    <s v="Aurora"/>
    <x v="10"/>
    <n v="60505"/>
    <x v="2"/>
    <x v="1044"/>
    <x v="2"/>
    <x v="11"/>
    <x v="1033"/>
    <n v="50.12"/>
    <s v="Medium"/>
    <n v="7"/>
    <n v="0.2"/>
    <x v="2"/>
    <x v="2"/>
    <n v="-0.62649999999999995"/>
    <n v="-1.2499999999999999E-2"/>
    <n v="1"/>
  </r>
  <r>
    <n v="8883"/>
    <s v="US-2017-115252"/>
    <d v="2017-10-20T00:00:00"/>
    <x v="3"/>
    <s v="Q4"/>
    <x v="13"/>
    <d v="2017-10-25T00:00:00"/>
    <s v="Standard Class"/>
    <x v="501"/>
    <x v="501"/>
    <s v="Corporate"/>
    <s v="United States"/>
    <s v="Durham"/>
    <x v="3"/>
    <n v="27707"/>
    <x v="0"/>
    <x v="1557"/>
    <x v="2"/>
    <x v="7"/>
    <x v="1546"/>
    <n v="15.984"/>
    <s v="Low"/>
    <n v="2"/>
    <n v="0.2"/>
    <x v="2"/>
    <x v="2"/>
    <n v="1.3986000000000001"/>
    <n v="8.7500000000000008E-2"/>
    <n v="0"/>
  </r>
  <r>
    <n v="8884"/>
    <s v="US-2017-115252"/>
    <d v="2017-10-20T00:00:00"/>
    <x v="3"/>
    <s v="Q4"/>
    <x v="13"/>
    <d v="2017-10-25T00:00:00"/>
    <s v="Standard Class"/>
    <x v="501"/>
    <x v="501"/>
    <s v="Corporate"/>
    <s v="United States"/>
    <s v="Durham"/>
    <x v="3"/>
    <n v="27707"/>
    <x v="0"/>
    <x v="457"/>
    <x v="1"/>
    <x v="10"/>
    <x v="458"/>
    <n v="14.352"/>
    <s v="Low"/>
    <n v="3"/>
    <n v="0.2"/>
    <x v="2"/>
    <x v="2"/>
    <n v="4.4850000000000003"/>
    <n v="0.3125"/>
    <n v="0"/>
  </r>
  <r>
    <n v="8885"/>
    <s v="CA-2014-107398"/>
    <d v="2014-08-25T00:00:00"/>
    <x v="2"/>
    <s v="Q3"/>
    <x v="9"/>
    <d v="2014-08-30T00:00:00"/>
    <s v="Standard Class"/>
    <x v="29"/>
    <x v="29"/>
    <s v="Corporate"/>
    <s v="United States"/>
    <s v="Columbus"/>
    <x v="24"/>
    <n v="43229"/>
    <x v="3"/>
    <x v="304"/>
    <x v="1"/>
    <x v="8"/>
    <x v="304"/>
    <n v="6.5279999999999996"/>
    <s v="Low"/>
    <n v="4"/>
    <n v="0.7"/>
    <x v="1"/>
    <x v="5"/>
    <n v="-4.5696000000000003"/>
    <n v="-0.70000000000000007"/>
    <n v="1"/>
  </r>
  <r>
    <n v="8886"/>
    <s v="CA-2014-107398"/>
    <d v="2014-08-25T00:00:00"/>
    <x v="2"/>
    <s v="Q3"/>
    <x v="9"/>
    <d v="2014-08-30T00:00:00"/>
    <s v="Standard Class"/>
    <x v="29"/>
    <x v="29"/>
    <s v="Corporate"/>
    <s v="United States"/>
    <s v="Columbus"/>
    <x v="24"/>
    <n v="43229"/>
    <x v="3"/>
    <x v="1310"/>
    <x v="1"/>
    <x v="8"/>
    <x v="1296"/>
    <n v="2.8620000000000001"/>
    <s v="Low"/>
    <n v="3"/>
    <n v="0.7"/>
    <x v="1"/>
    <x v="5"/>
    <n v="-2.2896000000000001"/>
    <n v="-0.8"/>
    <n v="1"/>
  </r>
  <r>
    <n v="8887"/>
    <s v="CA-2014-107398"/>
    <d v="2014-08-25T00:00:00"/>
    <x v="2"/>
    <s v="Q3"/>
    <x v="9"/>
    <d v="2014-08-30T00:00:00"/>
    <s v="Standard Class"/>
    <x v="29"/>
    <x v="29"/>
    <s v="Corporate"/>
    <s v="United States"/>
    <s v="Columbus"/>
    <x v="24"/>
    <n v="43229"/>
    <x v="3"/>
    <x v="530"/>
    <x v="1"/>
    <x v="8"/>
    <x v="530"/>
    <n v="20.856000000000002"/>
    <s v="Low"/>
    <n v="8"/>
    <n v="0.7"/>
    <x v="1"/>
    <x v="5"/>
    <n v="-16.684799999999999"/>
    <n v="-0.79999999999999993"/>
    <n v="1"/>
  </r>
  <r>
    <n v="8888"/>
    <s v="CA-2014-169642"/>
    <d v="2014-07-27T00:00:00"/>
    <x v="2"/>
    <s v="Q3"/>
    <x v="39"/>
    <d v="2014-07-30T00:00:00"/>
    <s v="Second Class"/>
    <x v="121"/>
    <x v="121"/>
    <s v="Corporate"/>
    <s v="United States"/>
    <s v="Los Angeles"/>
    <x v="1"/>
    <n v="90036"/>
    <x v="1"/>
    <x v="942"/>
    <x v="1"/>
    <x v="4"/>
    <x v="935"/>
    <n v="276.27999999999997"/>
    <s v="High"/>
    <n v="2"/>
    <n v="0"/>
    <x v="0"/>
    <x v="0"/>
    <n v="0"/>
    <n v="0"/>
    <n v="0"/>
  </r>
  <r>
    <n v="8889"/>
    <s v="CA-2017-103968"/>
    <d v="2017-12-01T00:00:00"/>
    <x v="3"/>
    <s v="Q4"/>
    <x v="22"/>
    <d v="2017-12-07T00:00:00"/>
    <s v="Standard Class"/>
    <x v="529"/>
    <x v="529"/>
    <s v="Home Office"/>
    <s v="United States"/>
    <s v="Stockton"/>
    <x v="1"/>
    <n v="95207"/>
    <x v="1"/>
    <x v="583"/>
    <x v="0"/>
    <x v="5"/>
    <x v="583"/>
    <n v="629.64"/>
    <s v="High"/>
    <n v="9"/>
    <n v="0"/>
    <x v="0"/>
    <x v="0"/>
    <n v="107.03879999999999"/>
    <n v="0.16999999999999998"/>
    <n v="0"/>
  </r>
  <r>
    <n v="8890"/>
    <s v="CA-2016-147256"/>
    <d v="2016-10-17T00:00:00"/>
    <x v="0"/>
    <s v="Q4"/>
    <x v="32"/>
    <d v="2016-10-21T00:00:00"/>
    <s v="Second Class"/>
    <x v="763"/>
    <x v="763"/>
    <s v="Home Office"/>
    <s v="United States"/>
    <s v="Columbia"/>
    <x v="25"/>
    <n v="65203"/>
    <x v="2"/>
    <x v="1334"/>
    <x v="2"/>
    <x v="7"/>
    <x v="1319"/>
    <n v="449.97"/>
    <s v="High"/>
    <n v="3"/>
    <n v="0"/>
    <x v="0"/>
    <x v="0"/>
    <n v="220.4853"/>
    <n v="0.48999999999999994"/>
    <n v="0"/>
  </r>
  <r>
    <n v="8891"/>
    <s v="CA-2016-147256"/>
    <d v="2016-10-17T00:00:00"/>
    <x v="0"/>
    <s v="Q4"/>
    <x v="32"/>
    <d v="2016-10-21T00:00:00"/>
    <s v="Second Class"/>
    <x v="763"/>
    <x v="763"/>
    <s v="Home Office"/>
    <s v="United States"/>
    <s v="Columbia"/>
    <x v="25"/>
    <n v="65203"/>
    <x v="2"/>
    <x v="1341"/>
    <x v="1"/>
    <x v="9"/>
    <x v="1326"/>
    <n v="1927.59"/>
    <s v="High"/>
    <n v="7"/>
    <n v="0"/>
    <x v="0"/>
    <x v="0"/>
    <n v="751.76009999999997"/>
    <n v="0.39"/>
    <n v="0"/>
  </r>
  <r>
    <n v="8892"/>
    <s v="CA-2016-162159"/>
    <d v="2016-09-16T00:00:00"/>
    <x v="0"/>
    <s v="Q3"/>
    <x v="21"/>
    <d v="2016-09-18T00:00:00"/>
    <s v="First Class"/>
    <x v="128"/>
    <x v="128"/>
    <s v="Home Office"/>
    <s v="United States"/>
    <s v="Columbus"/>
    <x v="32"/>
    <n v="31907"/>
    <x v="0"/>
    <x v="64"/>
    <x v="0"/>
    <x v="1"/>
    <x v="64"/>
    <n v="121.78"/>
    <s v="Medium"/>
    <n v="2"/>
    <n v="0"/>
    <x v="0"/>
    <x v="0"/>
    <n v="30.445"/>
    <n v="0.25"/>
    <n v="0"/>
  </r>
  <r>
    <n v="8893"/>
    <s v="CA-2015-111038"/>
    <d v="2015-12-01T00:00:00"/>
    <x v="1"/>
    <s v="Q4"/>
    <x v="14"/>
    <d v="2015-12-06T00:00:00"/>
    <s v="Standard Class"/>
    <x v="784"/>
    <x v="784"/>
    <s v="Home Office"/>
    <s v="United States"/>
    <s v="San Diego"/>
    <x v="1"/>
    <n v="92037"/>
    <x v="1"/>
    <x v="873"/>
    <x v="0"/>
    <x v="1"/>
    <x v="867"/>
    <n v="2676.672"/>
    <s v="High"/>
    <n v="9"/>
    <n v="0.2"/>
    <x v="2"/>
    <x v="2"/>
    <n v="267.66719999999998"/>
    <n v="9.9999999999999992E-2"/>
    <n v="0"/>
  </r>
  <r>
    <n v="8894"/>
    <s v="CA-2014-124723"/>
    <d v="2014-08-05T00:00:00"/>
    <x v="2"/>
    <s v="Q3"/>
    <x v="9"/>
    <d v="2014-08-12T00:00:00"/>
    <s v="Standard Class"/>
    <x v="47"/>
    <x v="47"/>
    <s v="Consumer"/>
    <s v="United States"/>
    <s v="Texas City"/>
    <x v="5"/>
    <n v="77590"/>
    <x v="2"/>
    <x v="1110"/>
    <x v="0"/>
    <x v="3"/>
    <x v="1099"/>
    <n v="489.23"/>
    <s v="High"/>
    <n v="2"/>
    <n v="0.3"/>
    <x v="1"/>
    <x v="4"/>
    <n v="41.933999999999997"/>
    <n v="8.5714285714285701E-2"/>
    <n v="0"/>
  </r>
  <r>
    <n v="8895"/>
    <s v="CA-2016-167241"/>
    <d v="2016-08-15T00:00:00"/>
    <x v="0"/>
    <s v="Q3"/>
    <x v="28"/>
    <d v="2016-08-22T00:00:00"/>
    <s v="Standard Class"/>
    <x v="217"/>
    <x v="217"/>
    <s v="Consumer"/>
    <s v="United States"/>
    <s v="Los Angeles"/>
    <x v="1"/>
    <n v="90004"/>
    <x v="1"/>
    <x v="575"/>
    <x v="0"/>
    <x v="5"/>
    <x v="575"/>
    <n v="312.02999999999997"/>
    <s v="High"/>
    <n v="3"/>
    <n v="0"/>
    <x v="0"/>
    <x v="0"/>
    <n v="43.684199999999997"/>
    <n v="0.14000000000000001"/>
    <n v="0"/>
  </r>
  <r>
    <n v="8896"/>
    <s v="CA-2016-167241"/>
    <d v="2016-08-15T00:00:00"/>
    <x v="0"/>
    <s v="Q3"/>
    <x v="28"/>
    <d v="2016-08-22T00:00:00"/>
    <s v="Standard Class"/>
    <x v="217"/>
    <x v="217"/>
    <s v="Consumer"/>
    <s v="United States"/>
    <s v="Los Angeles"/>
    <x v="1"/>
    <n v="90004"/>
    <x v="1"/>
    <x v="1198"/>
    <x v="1"/>
    <x v="4"/>
    <x v="1183"/>
    <n v="17.940000000000001"/>
    <s v="Low"/>
    <n v="3"/>
    <n v="0"/>
    <x v="0"/>
    <x v="0"/>
    <n v="3.0497999999999998"/>
    <n v="0.16999999999999998"/>
    <n v="0"/>
  </r>
  <r>
    <n v="8897"/>
    <s v="CA-2016-167241"/>
    <d v="2016-08-15T00:00:00"/>
    <x v="0"/>
    <s v="Q3"/>
    <x v="28"/>
    <d v="2016-08-22T00:00:00"/>
    <s v="Standard Class"/>
    <x v="217"/>
    <x v="217"/>
    <s v="Consumer"/>
    <s v="United States"/>
    <s v="Los Angeles"/>
    <x v="1"/>
    <n v="90004"/>
    <x v="1"/>
    <x v="302"/>
    <x v="2"/>
    <x v="7"/>
    <x v="302"/>
    <n v="165.6"/>
    <s v="High"/>
    <n v="3"/>
    <n v="0.2"/>
    <x v="2"/>
    <x v="2"/>
    <n v="10.35"/>
    <n v="6.25E-2"/>
    <n v="0"/>
  </r>
  <r>
    <n v="8898"/>
    <s v="CA-2016-167241"/>
    <d v="2016-08-15T00:00:00"/>
    <x v="0"/>
    <s v="Q3"/>
    <x v="28"/>
    <d v="2016-08-22T00:00:00"/>
    <s v="Standard Class"/>
    <x v="217"/>
    <x v="217"/>
    <s v="Consumer"/>
    <s v="United States"/>
    <s v="Los Angeles"/>
    <x v="1"/>
    <n v="90004"/>
    <x v="1"/>
    <x v="945"/>
    <x v="1"/>
    <x v="10"/>
    <x v="938"/>
    <n v="37.520000000000003"/>
    <s v="Medium"/>
    <n v="4"/>
    <n v="0"/>
    <x v="0"/>
    <x v="0"/>
    <n v="18.009599999999999"/>
    <n v="0.47999999999999993"/>
    <n v="0"/>
  </r>
  <r>
    <n v="8899"/>
    <s v="CA-2015-163237"/>
    <d v="2015-08-07T00:00:00"/>
    <x v="1"/>
    <s v="Q3"/>
    <x v="37"/>
    <d v="2015-08-09T00:00:00"/>
    <s v="Second Class"/>
    <x v="313"/>
    <x v="313"/>
    <s v="Corporate"/>
    <s v="United States"/>
    <s v="Springfield"/>
    <x v="17"/>
    <n v="22153"/>
    <x v="0"/>
    <x v="1405"/>
    <x v="2"/>
    <x v="7"/>
    <x v="1392"/>
    <n v="494.97"/>
    <s v="High"/>
    <n v="3"/>
    <n v="0"/>
    <x v="0"/>
    <x v="0"/>
    <n v="148.49100000000001"/>
    <n v="0.3"/>
    <n v="0"/>
  </r>
  <r>
    <n v="8900"/>
    <s v="CA-2015-163237"/>
    <d v="2015-08-07T00:00:00"/>
    <x v="1"/>
    <s v="Q3"/>
    <x v="37"/>
    <d v="2015-08-09T00:00:00"/>
    <s v="Second Class"/>
    <x v="313"/>
    <x v="313"/>
    <s v="Corporate"/>
    <s v="United States"/>
    <s v="Springfield"/>
    <x v="17"/>
    <n v="22153"/>
    <x v="0"/>
    <x v="1351"/>
    <x v="1"/>
    <x v="2"/>
    <x v="1337"/>
    <n v="25.06"/>
    <s v="Medium"/>
    <n v="2"/>
    <n v="0"/>
    <x v="0"/>
    <x v="0"/>
    <n v="11.7782"/>
    <n v="0.47000000000000003"/>
    <n v="0"/>
  </r>
  <r>
    <n v="8901"/>
    <s v="CA-2016-150483"/>
    <d v="2016-05-31T00:00:00"/>
    <x v="0"/>
    <s v="Q2"/>
    <x v="35"/>
    <d v="2016-06-04T00:00:00"/>
    <s v="Standard Class"/>
    <x v="443"/>
    <x v="443"/>
    <s v="Consumer"/>
    <s v="United States"/>
    <s v="Decatur"/>
    <x v="10"/>
    <n v="62521"/>
    <x v="2"/>
    <x v="1831"/>
    <x v="0"/>
    <x v="5"/>
    <x v="1819"/>
    <n v="32.064"/>
    <s v="Medium"/>
    <n v="3"/>
    <n v="0.6"/>
    <x v="1"/>
    <x v="6"/>
    <n v="-12.8256"/>
    <n v="-0.39999999999999997"/>
    <n v="1"/>
  </r>
  <r>
    <n v="8902"/>
    <s v="CA-2016-150483"/>
    <d v="2016-05-31T00:00:00"/>
    <x v="0"/>
    <s v="Q2"/>
    <x v="35"/>
    <d v="2016-06-04T00:00:00"/>
    <s v="Standard Class"/>
    <x v="443"/>
    <x v="443"/>
    <s v="Consumer"/>
    <s v="United States"/>
    <s v="Decatur"/>
    <x v="10"/>
    <n v="62521"/>
    <x v="2"/>
    <x v="1828"/>
    <x v="1"/>
    <x v="10"/>
    <x v="1816"/>
    <n v="18.495999999999999"/>
    <s v="Low"/>
    <n v="4"/>
    <n v="0.2"/>
    <x v="2"/>
    <x v="2"/>
    <n v="6.7047999999999996"/>
    <n v="0.36249999999999999"/>
    <n v="0"/>
  </r>
  <r>
    <n v="8903"/>
    <s v="CA-2016-150483"/>
    <d v="2016-05-31T00:00:00"/>
    <x v="0"/>
    <s v="Q2"/>
    <x v="35"/>
    <d v="2016-06-04T00:00:00"/>
    <s v="Standard Class"/>
    <x v="443"/>
    <x v="443"/>
    <s v="Consumer"/>
    <s v="United States"/>
    <s v="Decatur"/>
    <x v="10"/>
    <n v="62521"/>
    <x v="2"/>
    <x v="1455"/>
    <x v="0"/>
    <x v="1"/>
    <x v="1441"/>
    <n v="191.07900000000001"/>
    <s v="High"/>
    <n v="3"/>
    <n v="0.3"/>
    <x v="1"/>
    <x v="4"/>
    <n v="-38.215800000000002"/>
    <n v="-0.2"/>
    <n v="1"/>
  </r>
  <r>
    <n v="8904"/>
    <s v="CA-2016-150483"/>
    <d v="2016-05-31T00:00:00"/>
    <x v="0"/>
    <s v="Q2"/>
    <x v="35"/>
    <d v="2016-06-04T00:00:00"/>
    <s v="Standard Class"/>
    <x v="443"/>
    <x v="443"/>
    <s v="Consumer"/>
    <s v="United States"/>
    <s v="Decatur"/>
    <x v="10"/>
    <n v="62521"/>
    <x v="2"/>
    <x v="747"/>
    <x v="1"/>
    <x v="10"/>
    <x v="745"/>
    <n v="10.368"/>
    <s v="Low"/>
    <n v="2"/>
    <n v="0.2"/>
    <x v="2"/>
    <x v="2"/>
    <n v="3.6288"/>
    <n v="0.35"/>
    <n v="0"/>
  </r>
  <r>
    <n v="8905"/>
    <s v="US-2016-126431"/>
    <d v="2016-07-01T00:00:00"/>
    <x v="0"/>
    <s v="Q3"/>
    <x v="16"/>
    <d v="2016-07-01T00:00:00"/>
    <s v="Same Day"/>
    <x v="711"/>
    <x v="711"/>
    <s v="Home Office"/>
    <s v="United States"/>
    <s v="New York City"/>
    <x v="15"/>
    <n v="10009"/>
    <x v="3"/>
    <x v="933"/>
    <x v="1"/>
    <x v="2"/>
    <x v="926"/>
    <n v="30.53"/>
    <s v="Medium"/>
    <n v="1"/>
    <n v="0"/>
    <x v="0"/>
    <x v="0"/>
    <n v="14.043799999999999"/>
    <n v="0.45999999999999996"/>
    <n v="0"/>
  </r>
  <r>
    <n v="8906"/>
    <s v="US-2016-126431"/>
    <d v="2016-07-01T00:00:00"/>
    <x v="0"/>
    <s v="Q3"/>
    <x v="16"/>
    <d v="2016-07-01T00:00:00"/>
    <s v="Same Day"/>
    <x v="711"/>
    <x v="711"/>
    <s v="Home Office"/>
    <s v="United States"/>
    <s v="New York City"/>
    <x v="15"/>
    <n v="10009"/>
    <x v="3"/>
    <x v="1386"/>
    <x v="2"/>
    <x v="11"/>
    <x v="1372"/>
    <n v="30.84"/>
    <s v="Medium"/>
    <n v="3"/>
    <n v="0"/>
    <x v="0"/>
    <x v="0"/>
    <n v="6.1680000000000001"/>
    <n v="0.2"/>
    <n v="0"/>
  </r>
  <r>
    <n v="8907"/>
    <s v="US-2016-126431"/>
    <d v="2016-07-01T00:00:00"/>
    <x v="0"/>
    <s v="Q3"/>
    <x v="16"/>
    <d v="2016-07-01T00:00:00"/>
    <s v="Same Day"/>
    <x v="711"/>
    <x v="711"/>
    <s v="Home Office"/>
    <s v="United States"/>
    <s v="New York City"/>
    <x v="15"/>
    <n v="10009"/>
    <x v="3"/>
    <x v="144"/>
    <x v="1"/>
    <x v="10"/>
    <x v="145"/>
    <n v="75.06"/>
    <s v="Medium"/>
    <n v="9"/>
    <n v="0"/>
    <x v="0"/>
    <x v="0"/>
    <n v="33.777000000000001"/>
    <n v="0.45"/>
    <n v="0"/>
  </r>
  <r>
    <n v="8908"/>
    <s v="CA-2016-139934"/>
    <d v="2016-12-18T00:00:00"/>
    <x v="0"/>
    <s v="Q4"/>
    <x v="5"/>
    <d v="2016-12-20T00:00:00"/>
    <s v="First Class"/>
    <x v="672"/>
    <x v="672"/>
    <s v="Corporate"/>
    <s v="United States"/>
    <s v="San Francisco"/>
    <x v="1"/>
    <n v="94110"/>
    <x v="1"/>
    <x v="179"/>
    <x v="2"/>
    <x v="7"/>
    <x v="180"/>
    <n v="66.975999999999999"/>
    <s v="Medium"/>
    <n v="7"/>
    <n v="0.2"/>
    <x v="2"/>
    <x v="2"/>
    <n v="6.6976000000000004"/>
    <n v="0.1"/>
    <n v="0"/>
  </r>
  <r>
    <n v="8909"/>
    <s v="CA-2015-109603"/>
    <d v="2015-01-26T00:00:00"/>
    <x v="1"/>
    <s v="Q1"/>
    <x v="26"/>
    <d v="2015-02-01T00:00:00"/>
    <s v="Standard Class"/>
    <x v="605"/>
    <x v="605"/>
    <s v="Corporate"/>
    <s v="United States"/>
    <s v="Moreno Valley"/>
    <x v="1"/>
    <n v="92553"/>
    <x v="1"/>
    <x v="1274"/>
    <x v="1"/>
    <x v="10"/>
    <x v="1259"/>
    <n v="182.72"/>
    <s v="High"/>
    <n v="8"/>
    <n v="0"/>
    <x v="0"/>
    <x v="0"/>
    <n v="84.051199999999994"/>
    <n v="0.45999999999999996"/>
    <n v="0"/>
  </r>
  <r>
    <n v="8910"/>
    <s v="CA-2017-160661"/>
    <d v="2017-10-28T00:00:00"/>
    <x v="3"/>
    <s v="Q4"/>
    <x v="13"/>
    <d v="2017-11-01T00:00:00"/>
    <s v="Standard Class"/>
    <x v="193"/>
    <x v="193"/>
    <s v="Consumer"/>
    <s v="United States"/>
    <s v="Everett"/>
    <x v="31"/>
    <n v="2149"/>
    <x v="3"/>
    <x v="148"/>
    <x v="1"/>
    <x v="2"/>
    <x v="149"/>
    <n v="21.93"/>
    <s v="Low"/>
    <n v="3"/>
    <n v="0"/>
    <x v="0"/>
    <x v="0"/>
    <n v="10.3071"/>
    <n v="0.47000000000000003"/>
    <n v="0"/>
  </r>
  <r>
    <n v="8911"/>
    <s v="CA-2017-102610"/>
    <d v="2017-11-04T00:00:00"/>
    <x v="3"/>
    <s v="Q4"/>
    <x v="23"/>
    <d v="2017-11-08T00:00:00"/>
    <s v="Standard Class"/>
    <x v="244"/>
    <x v="244"/>
    <s v="Consumer"/>
    <s v="United States"/>
    <s v="Chattanooga"/>
    <x v="18"/>
    <n v="37421"/>
    <x v="0"/>
    <x v="434"/>
    <x v="2"/>
    <x v="11"/>
    <x v="434"/>
    <n v="95.975999999999999"/>
    <s v="Medium"/>
    <n v="3"/>
    <n v="0.2"/>
    <x v="2"/>
    <x v="2"/>
    <n v="15.5961"/>
    <n v="0.16250000000000001"/>
    <n v="0"/>
  </r>
  <r>
    <n v="8912"/>
    <s v="CA-2017-102610"/>
    <d v="2017-11-04T00:00:00"/>
    <x v="3"/>
    <s v="Q4"/>
    <x v="23"/>
    <d v="2017-11-08T00:00:00"/>
    <s v="Standard Class"/>
    <x v="244"/>
    <x v="244"/>
    <s v="Consumer"/>
    <s v="United States"/>
    <s v="Chattanooga"/>
    <x v="18"/>
    <n v="37421"/>
    <x v="0"/>
    <x v="1777"/>
    <x v="2"/>
    <x v="7"/>
    <x v="1767"/>
    <n v="143.928"/>
    <s v="High"/>
    <n v="9"/>
    <n v="0.2"/>
    <x v="2"/>
    <x v="2"/>
    <n v="-32.383800000000001"/>
    <n v="-0.22500000000000001"/>
    <n v="1"/>
  </r>
  <r>
    <n v="8913"/>
    <s v="CA-2017-102610"/>
    <d v="2017-11-04T00:00:00"/>
    <x v="3"/>
    <s v="Q4"/>
    <x v="23"/>
    <d v="2017-11-08T00:00:00"/>
    <s v="Standard Class"/>
    <x v="244"/>
    <x v="244"/>
    <s v="Consumer"/>
    <s v="United States"/>
    <s v="Chattanooga"/>
    <x v="18"/>
    <n v="37421"/>
    <x v="0"/>
    <x v="990"/>
    <x v="1"/>
    <x v="8"/>
    <x v="305"/>
    <n v="3.5640000000000001"/>
    <s v="Low"/>
    <n v="2"/>
    <n v="0.7"/>
    <x v="1"/>
    <x v="5"/>
    <n v="-2.97"/>
    <n v="-0.83333333333333337"/>
    <n v="1"/>
  </r>
  <r>
    <n v="8914"/>
    <s v="CA-2017-102610"/>
    <d v="2017-11-04T00:00:00"/>
    <x v="3"/>
    <s v="Q4"/>
    <x v="23"/>
    <d v="2017-11-08T00:00:00"/>
    <s v="Standard Class"/>
    <x v="244"/>
    <x v="244"/>
    <s v="Consumer"/>
    <s v="United States"/>
    <s v="Chattanooga"/>
    <x v="18"/>
    <n v="37421"/>
    <x v="0"/>
    <x v="1038"/>
    <x v="1"/>
    <x v="2"/>
    <x v="1028"/>
    <n v="4.9279999999999999"/>
    <s v="Low"/>
    <n v="2"/>
    <n v="0.2"/>
    <x v="2"/>
    <x v="2"/>
    <n v="1.7248000000000001"/>
    <n v="0.35000000000000003"/>
    <n v="0"/>
  </r>
  <r>
    <n v="8915"/>
    <s v="US-2016-144057"/>
    <d v="2016-05-09T00:00:00"/>
    <x v="0"/>
    <s v="Q2"/>
    <x v="35"/>
    <d v="2016-05-13T00:00:00"/>
    <s v="Standard Class"/>
    <x v="51"/>
    <x v="51"/>
    <s v="Corporate"/>
    <s v="United States"/>
    <s v="Austin"/>
    <x v="5"/>
    <n v="78745"/>
    <x v="2"/>
    <x v="518"/>
    <x v="1"/>
    <x v="4"/>
    <x v="518"/>
    <n v="856.65599999999995"/>
    <s v="High"/>
    <n v="6"/>
    <n v="0.2"/>
    <x v="2"/>
    <x v="2"/>
    <n v="107.08199999999999"/>
    <n v="0.125"/>
    <n v="0"/>
  </r>
  <r>
    <n v="8916"/>
    <s v="US-2016-144057"/>
    <d v="2016-05-09T00:00:00"/>
    <x v="0"/>
    <s v="Q2"/>
    <x v="35"/>
    <d v="2016-05-13T00:00:00"/>
    <s v="Standard Class"/>
    <x v="51"/>
    <x v="51"/>
    <s v="Corporate"/>
    <s v="United States"/>
    <s v="Austin"/>
    <x v="5"/>
    <n v="78745"/>
    <x v="2"/>
    <x v="91"/>
    <x v="1"/>
    <x v="8"/>
    <x v="91"/>
    <n v="13.183999999999999"/>
    <s v="Low"/>
    <n v="4"/>
    <n v="0.8"/>
    <x v="1"/>
    <x v="3"/>
    <n v="-20.435199999999998"/>
    <n v="-1.55"/>
    <n v="1"/>
  </r>
  <r>
    <n v="8917"/>
    <s v="US-2016-144057"/>
    <d v="2016-05-09T00:00:00"/>
    <x v="0"/>
    <s v="Q2"/>
    <x v="35"/>
    <d v="2016-05-13T00:00:00"/>
    <s v="Standard Class"/>
    <x v="51"/>
    <x v="51"/>
    <s v="Corporate"/>
    <s v="United States"/>
    <s v="Austin"/>
    <x v="5"/>
    <n v="78745"/>
    <x v="2"/>
    <x v="1712"/>
    <x v="1"/>
    <x v="9"/>
    <x v="1700"/>
    <n v="48.783999999999999"/>
    <s v="Medium"/>
    <n v="4"/>
    <n v="0.8"/>
    <x v="1"/>
    <x v="3"/>
    <n v="-131.71680000000001"/>
    <n v="-2.7"/>
    <n v="1"/>
  </r>
  <r>
    <n v="8918"/>
    <s v="US-2016-144057"/>
    <d v="2016-05-09T00:00:00"/>
    <x v="0"/>
    <s v="Q2"/>
    <x v="35"/>
    <d v="2016-05-13T00:00:00"/>
    <s v="Standard Class"/>
    <x v="51"/>
    <x v="51"/>
    <s v="Corporate"/>
    <s v="United States"/>
    <s v="Austin"/>
    <x v="5"/>
    <n v="78745"/>
    <x v="2"/>
    <x v="136"/>
    <x v="1"/>
    <x v="10"/>
    <x v="137"/>
    <n v="76.64"/>
    <s v="Medium"/>
    <n v="2"/>
    <n v="0.2"/>
    <x v="2"/>
    <x v="2"/>
    <n v="26.824000000000002"/>
    <n v="0.35000000000000003"/>
    <n v="0"/>
  </r>
  <r>
    <n v="8919"/>
    <s v="US-2016-144057"/>
    <d v="2016-05-09T00:00:00"/>
    <x v="0"/>
    <s v="Q2"/>
    <x v="35"/>
    <d v="2016-05-13T00:00:00"/>
    <s v="Standard Class"/>
    <x v="51"/>
    <x v="51"/>
    <s v="Corporate"/>
    <s v="United States"/>
    <s v="Austin"/>
    <x v="5"/>
    <n v="78745"/>
    <x v="2"/>
    <x v="1087"/>
    <x v="1"/>
    <x v="8"/>
    <x v="1077"/>
    <n v="18.527999999999999"/>
    <s v="Low"/>
    <n v="6"/>
    <n v="0.8"/>
    <x v="1"/>
    <x v="3"/>
    <n v="-27.792000000000002"/>
    <n v="-1.5000000000000002"/>
    <n v="1"/>
  </r>
  <r>
    <n v="8920"/>
    <s v="CA-2014-160276"/>
    <d v="2014-04-02T00:00:00"/>
    <x v="2"/>
    <s v="Q2"/>
    <x v="41"/>
    <d v="2014-04-08T00:00:00"/>
    <s v="Standard Class"/>
    <x v="706"/>
    <x v="706"/>
    <s v="Corporate"/>
    <s v="United States"/>
    <s v="Virginia Beach"/>
    <x v="17"/>
    <n v="23464"/>
    <x v="0"/>
    <x v="1740"/>
    <x v="0"/>
    <x v="5"/>
    <x v="1729"/>
    <n v="177.68"/>
    <s v="High"/>
    <n v="2"/>
    <n v="0"/>
    <x v="0"/>
    <x v="0"/>
    <n v="46.196800000000003"/>
    <n v="0.26"/>
    <n v="0"/>
  </r>
  <r>
    <n v="8921"/>
    <s v="CA-2014-132983"/>
    <d v="2014-04-28T00:00:00"/>
    <x v="2"/>
    <s v="Q2"/>
    <x v="41"/>
    <d v="2014-05-03T00:00:00"/>
    <s v="Standard Class"/>
    <x v="103"/>
    <x v="103"/>
    <s v="Corporate"/>
    <s v="United States"/>
    <s v="Jamestown"/>
    <x v="15"/>
    <n v="14701"/>
    <x v="3"/>
    <x v="1105"/>
    <x v="2"/>
    <x v="11"/>
    <x v="1094"/>
    <n v="159.97999999999999"/>
    <s v="High"/>
    <n v="2"/>
    <n v="0"/>
    <x v="0"/>
    <x v="0"/>
    <n v="57.592799999999997"/>
    <n v="0.36"/>
    <n v="0"/>
  </r>
  <r>
    <n v="8922"/>
    <s v="CA-2016-145709"/>
    <d v="2016-10-04T00:00:00"/>
    <x v="0"/>
    <s v="Q4"/>
    <x v="32"/>
    <d v="2016-10-08T00:00:00"/>
    <s v="Standard Class"/>
    <x v="706"/>
    <x v="706"/>
    <s v="Corporate"/>
    <s v="United States"/>
    <s v="Coral Gables"/>
    <x v="2"/>
    <n v="33134"/>
    <x v="0"/>
    <x v="1513"/>
    <x v="2"/>
    <x v="7"/>
    <x v="1500"/>
    <n v="52.68"/>
    <s v="Medium"/>
    <n v="3"/>
    <n v="0.2"/>
    <x v="2"/>
    <x v="2"/>
    <n v="19.754999999999999"/>
    <n v="0.375"/>
    <n v="0"/>
  </r>
  <r>
    <n v="8923"/>
    <s v="CA-2016-145709"/>
    <d v="2016-10-04T00:00:00"/>
    <x v="0"/>
    <s v="Q4"/>
    <x v="32"/>
    <d v="2016-10-08T00:00:00"/>
    <s v="Standard Class"/>
    <x v="706"/>
    <x v="706"/>
    <s v="Corporate"/>
    <s v="United States"/>
    <s v="Coral Gables"/>
    <x v="2"/>
    <n v="33134"/>
    <x v="0"/>
    <x v="763"/>
    <x v="0"/>
    <x v="5"/>
    <x v="762"/>
    <n v="11.568"/>
    <s v="Low"/>
    <n v="3"/>
    <n v="0.2"/>
    <x v="2"/>
    <x v="2"/>
    <n v="2.6027999999999998"/>
    <n v="0.22499999999999998"/>
    <n v="0"/>
  </r>
  <r>
    <n v="8924"/>
    <s v="CA-2017-133928"/>
    <d v="2017-06-11T00:00:00"/>
    <x v="3"/>
    <s v="Q2"/>
    <x v="27"/>
    <d v="2017-06-17T00:00:00"/>
    <s v="Standard Class"/>
    <x v="233"/>
    <x v="233"/>
    <s v="Consumer"/>
    <s v="United States"/>
    <s v="Hickory"/>
    <x v="3"/>
    <n v="28601"/>
    <x v="0"/>
    <x v="31"/>
    <x v="1"/>
    <x v="8"/>
    <x v="31"/>
    <n v="4.5720000000000001"/>
    <s v="Low"/>
    <n v="4"/>
    <n v="0.7"/>
    <x v="1"/>
    <x v="5"/>
    <n v="-3.81"/>
    <n v="-0.83333333333333337"/>
    <n v="1"/>
  </r>
  <r>
    <n v="8925"/>
    <s v="CA-2016-168032"/>
    <d v="2016-01-30T00:00:00"/>
    <x v="0"/>
    <s v="Q1"/>
    <x v="12"/>
    <d v="2016-02-03T00:00:00"/>
    <s v="Standard Class"/>
    <x v="650"/>
    <x v="650"/>
    <s v="Consumer"/>
    <s v="United States"/>
    <s v="Rockford"/>
    <x v="10"/>
    <n v="61107"/>
    <x v="2"/>
    <x v="1846"/>
    <x v="2"/>
    <x v="7"/>
    <x v="1834"/>
    <n v="1439.9680000000001"/>
    <s v="High"/>
    <n v="4"/>
    <n v="0.2"/>
    <x v="2"/>
    <x v="2"/>
    <n v="143.99680000000001"/>
    <n v="0.1"/>
    <n v="0"/>
  </r>
  <r>
    <n v="8926"/>
    <s v="CA-2016-168032"/>
    <d v="2016-01-30T00:00:00"/>
    <x v="0"/>
    <s v="Q1"/>
    <x v="12"/>
    <d v="2016-02-03T00:00:00"/>
    <s v="Standard Class"/>
    <x v="650"/>
    <x v="650"/>
    <s v="Consumer"/>
    <s v="United States"/>
    <s v="Rockford"/>
    <x v="10"/>
    <n v="61107"/>
    <x v="2"/>
    <x v="614"/>
    <x v="1"/>
    <x v="8"/>
    <x v="614"/>
    <n v="1.728"/>
    <s v="Low"/>
    <n v="3"/>
    <n v="0.8"/>
    <x v="1"/>
    <x v="3"/>
    <n v="-2.6783999999999999"/>
    <n v="-1.55"/>
    <n v="1"/>
  </r>
  <r>
    <n v="8927"/>
    <s v="CA-2016-168032"/>
    <d v="2016-01-30T00:00:00"/>
    <x v="0"/>
    <s v="Q1"/>
    <x v="12"/>
    <d v="2016-02-03T00:00:00"/>
    <s v="Standard Class"/>
    <x v="650"/>
    <x v="650"/>
    <s v="Consumer"/>
    <s v="United States"/>
    <s v="Rockford"/>
    <x v="10"/>
    <n v="61107"/>
    <x v="2"/>
    <x v="489"/>
    <x v="0"/>
    <x v="3"/>
    <x v="489"/>
    <n v="626.1"/>
    <s v="High"/>
    <n v="3"/>
    <n v="0.5"/>
    <x v="1"/>
    <x v="1"/>
    <n v="-538.44600000000003"/>
    <n v="-0.86"/>
    <n v="1"/>
  </r>
  <r>
    <n v="8928"/>
    <s v="CA-2015-143616"/>
    <d v="2015-09-27T00:00:00"/>
    <x v="1"/>
    <s v="Q3"/>
    <x v="11"/>
    <d v="2015-09-29T00:00:00"/>
    <s v="Second Class"/>
    <x v="164"/>
    <x v="164"/>
    <s v="Corporate"/>
    <s v="United States"/>
    <s v="Seattle"/>
    <x v="4"/>
    <n v="98103"/>
    <x v="1"/>
    <x v="1167"/>
    <x v="1"/>
    <x v="6"/>
    <x v="1154"/>
    <n v="99.2"/>
    <s v="Medium"/>
    <n v="5"/>
    <n v="0"/>
    <x v="0"/>
    <x v="0"/>
    <n v="25.792000000000002"/>
    <n v="0.26"/>
    <n v="0"/>
  </r>
  <r>
    <n v="8929"/>
    <s v="US-2015-168704"/>
    <d v="2015-04-13T00:00:00"/>
    <x v="1"/>
    <s v="Q2"/>
    <x v="19"/>
    <d v="2015-04-17T00:00:00"/>
    <s v="Standard Class"/>
    <x v="224"/>
    <x v="224"/>
    <s v="Consumer"/>
    <s v="United States"/>
    <s v="Huntsville"/>
    <x v="5"/>
    <n v="77340"/>
    <x v="2"/>
    <x v="562"/>
    <x v="0"/>
    <x v="3"/>
    <x v="561"/>
    <n v="609.98"/>
    <s v="High"/>
    <n v="4"/>
    <n v="0.3"/>
    <x v="1"/>
    <x v="4"/>
    <n v="-113.282"/>
    <n v="-0.18571428571428569"/>
    <n v="1"/>
  </r>
  <r>
    <n v="8930"/>
    <s v="US-2015-168704"/>
    <d v="2015-04-13T00:00:00"/>
    <x v="1"/>
    <s v="Q2"/>
    <x v="19"/>
    <d v="2015-04-17T00:00:00"/>
    <s v="Standard Class"/>
    <x v="224"/>
    <x v="224"/>
    <s v="Consumer"/>
    <s v="United States"/>
    <s v="Huntsville"/>
    <x v="5"/>
    <n v="77340"/>
    <x v="2"/>
    <x v="1000"/>
    <x v="0"/>
    <x v="3"/>
    <x v="992"/>
    <n v="211.37200000000001"/>
    <s v="High"/>
    <n v="2"/>
    <n v="0.3"/>
    <x v="1"/>
    <x v="4"/>
    <n v="-45.293999999999997"/>
    <n v="-0.21428571428571425"/>
    <n v="1"/>
  </r>
  <r>
    <n v="8931"/>
    <s v="US-2015-168704"/>
    <d v="2015-04-13T00:00:00"/>
    <x v="1"/>
    <s v="Q2"/>
    <x v="19"/>
    <d v="2015-04-17T00:00:00"/>
    <s v="Standard Class"/>
    <x v="224"/>
    <x v="224"/>
    <s v="Consumer"/>
    <s v="United States"/>
    <s v="Huntsville"/>
    <x v="5"/>
    <n v="77340"/>
    <x v="2"/>
    <x v="835"/>
    <x v="2"/>
    <x v="7"/>
    <x v="830"/>
    <n v="239.976"/>
    <s v="High"/>
    <n v="3"/>
    <n v="0.2"/>
    <x v="2"/>
    <x v="2"/>
    <n v="17.998200000000001"/>
    <n v="7.4999999999999997E-2"/>
    <n v="0"/>
  </r>
  <r>
    <n v="8932"/>
    <s v="CA-2017-143252"/>
    <d v="2017-12-18T00:00:00"/>
    <x v="3"/>
    <s v="Q4"/>
    <x v="22"/>
    <d v="2017-12-24T00:00:00"/>
    <s v="Standard Class"/>
    <x v="785"/>
    <x v="785"/>
    <s v="Corporate"/>
    <s v="United States"/>
    <s v="Milwaukee"/>
    <x v="6"/>
    <n v="53209"/>
    <x v="2"/>
    <x v="1801"/>
    <x v="0"/>
    <x v="5"/>
    <x v="1791"/>
    <n v="99.95"/>
    <s v="Medium"/>
    <n v="5"/>
    <n v="0"/>
    <x v="0"/>
    <x v="0"/>
    <n v="22.988499999999998"/>
    <n v="0.22999999999999998"/>
    <n v="0"/>
  </r>
  <r>
    <n v="8933"/>
    <s v="CA-2017-143252"/>
    <d v="2017-12-18T00:00:00"/>
    <x v="3"/>
    <s v="Q4"/>
    <x v="22"/>
    <d v="2017-12-24T00:00:00"/>
    <s v="Standard Class"/>
    <x v="785"/>
    <x v="785"/>
    <s v="Corporate"/>
    <s v="United States"/>
    <s v="Milwaukee"/>
    <x v="6"/>
    <n v="53209"/>
    <x v="2"/>
    <x v="1599"/>
    <x v="2"/>
    <x v="11"/>
    <x v="1591"/>
    <n v="29.34"/>
    <s v="Medium"/>
    <n v="3"/>
    <n v="0"/>
    <x v="0"/>
    <x v="0"/>
    <n v="10.8558"/>
    <n v="0.37"/>
    <n v="0"/>
  </r>
  <r>
    <n v="8934"/>
    <s v="CA-2016-102134"/>
    <d v="2016-03-14T00:00:00"/>
    <x v="0"/>
    <s v="Q1"/>
    <x v="17"/>
    <d v="2016-03-19T00:00:00"/>
    <s v="Standard Class"/>
    <x v="259"/>
    <x v="259"/>
    <s v="Corporate"/>
    <s v="United States"/>
    <s v="Green Bay"/>
    <x v="6"/>
    <n v="54302"/>
    <x v="2"/>
    <x v="904"/>
    <x v="0"/>
    <x v="5"/>
    <x v="896"/>
    <n v="16.739999999999998"/>
    <s v="Low"/>
    <n v="2"/>
    <n v="0"/>
    <x v="0"/>
    <x v="0"/>
    <n v="4.3524000000000003"/>
    <n v="0.26000000000000006"/>
    <n v="0"/>
  </r>
  <r>
    <n v="8935"/>
    <s v="CA-2017-130036"/>
    <d v="2017-08-27T00:00:00"/>
    <x v="3"/>
    <s v="Q3"/>
    <x v="43"/>
    <d v="2017-08-27T00:00:00"/>
    <s v="Same Day"/>
    <x v="130"/>
    <x v="130"/>
    <s v="Corporate"/>
    <s v="United States"/>
    <s v="Philadelphia"/>
    <x v="9"/>
    <n v="19120"/>
    <x v="3"/>
    <x v="1157"/>
    <x v="1"/>
    <x v="10"/>
    <x v="1145"/>
    <n v="12.672000000000001"/>
    <s v="Low"/>
    <n v="3"/>
    <n v="0.2"/>
    <x v="2"/>
    <x v="2"/>
    <n v="3.96"/>
    <n v="0.3125"/>
    <n v="0"/>
  </r>
  <r>
    <n v="8936"/>
    <s v="CA-2017-130036"/>
    <d v="2017-08-27T00:00:00"/>
    <x v="3"/>
    <s v="Q3"/>
    <x v="43"/>
    <d v="2017-08-27T00:00:00"/>
    <s v="Same Day"/>
    <x v="130"/>
    <x v="130"/>
    <s v="Corporate"/>
    <s v="United States"/>
    <s v="Philadelphia"/>
    <x v="9"/>
    <n v="19120"/>
    <x v="3"/>
    <x v="295"/>
    <x v="2"/>
    <x v="11"/>
    <x v="295"/>
    <n v="1119.8879999999999"/>
    <s v="High"/>
    <n v="14"/>
    <n v="0.2"/>
    <x v="2"/>
    <x v="2"/>
    <n v="209.97900000000001"/>
    <n v="0.18750000000000003"/>
    <n v="0"/>
  </r>
  <r>
    <n v="8937"/>
    <s v="CA-2015-134117"/>
    <d v="2015-12-17T00:00:00"/>
    <x v="1"/>
    <s v="Q4"/>
    <x v="14"/>
    <d v="2015-12-19T00:00:00"/>
    <s v="Second Class"/>
    <x v="38"/>
    <x v="38"/>
    <s v="Consumer"/>
    <s v="United States"/>
    <s v="Los Angeles"/>
    <x v="1"/>
    <n v="90008"/>
    <x v="1"/>
    <x v="894"/>
    <x v="1"/>
    <x v="6"/>
    <x v="887"/>
    <n v="204.85"/>
    <s v="High"/>
    <n v="5"/>
    <n v="0"/>
    <x v="0"/>
    <x v="0"/>
    <n v="53.261000000000003"/>
    <n v="0.26"/>
    <n v="0"/>
  </r>
  <r>
    <n v="8938"/>
    <s v="CA-2015-134117"/>
    <d v="2015-12-17T00:00:00"/>
    <x v="1"/>
    <s v="Q4"/>
    <x v="14"/>
    <d v="2015-12-19T00:00:00"/>
    <s v="Second Class"/>
    <x v="38"/>
    <x v="38"/>
    <s v="Consumer"/>
    <s v="United States"/>
    <s v="Los Angeles"/>
    <x v="1"/>
    <n v="90008"/>
    <x v="1"/>
    <x v="1495"/>
    <x v="2"/>
    <x v="7"/>
    <x v="1483"/>
    <n v="135.98400000000001"/>
    <s v="High"/>
    <n v="2"/>
    <n v="0.2"/>
    <x v="2"/>
    <x v="2"/>
    <n v="16.998000000000001"/>
    <n v="0.125"/>
    <n v="0"/>
  </r>
  <r>
    <n v="8939"/>
    <s v="CA-2015-134117"/>
    <d v="2015-12-17T00:00:00"/>
    <x v="1"/>
    <s v="Q4"/>
    <x v="14"/>
    <d v="2015-12-19T00:00:00"/>
    <s v="Second Class"/>
    <x v="38"/>
    <x v="38"/>
    <s v="Consumer"/>
    <s v="United States"/>
    <s v="Los Angeles"/>
    <x v="1"/>
    <n v="90008"/>
    <x v="1"/>
    <x v="169"/>
    <x v="1"/>
    <x v="6"/>
    <x v="170"/>
    <n v="16.399999999999999"/>
    <s v="Low"/>
    <n v="5"/>
    <n v="0"/>
    <x v="0"/>
    <x v="0"/>
    <n v="7.0519999999999996"/>
    <n v="0.43"/>
    <n v="0"/>
  </r>
  <r>
    <n v="8940"/>
    <s v="CA-2015-134117"/>
    <d v="2015-12-17T00:00:00"/>
    <x v="1"/>
    <s v="Q4"/>
    <x v="14"/>
    <d v="2015-12-19T00:00:00"/>
    <s v="Second Class"/>
    <x v="38"/>
    <x v="38"/>
    <s v="Consumer"/>
    <s v="United States"/>
    <s v="Los Angeles"/>
    <x v="1"/>
    <n v="90008"/>
    <x v="1"/>
    <x v="920"/>
    <x v="1"/>
    <x v="8"/>
    <x v="912"/>
    <n v="92.96"/>
    <s v="Medium"/>
    <n v="2"/>
    <n v="0.2"/>
    <x v="2"/>
    <x v="2"/>
    <n v="31.373999999999999"/>
    <n v="0.33750000000000002"/>
    <n v="0"/>
  </r>
  <r>
    <n v="8941"/>
    <s v="CA-2014-130918"/>
    <d v="2014-08-22T00:00:00"/>
    <x v="2"/>
    <s v="Q3"/>
    <x v="9"/>
    <d v="2014-08-24T00:00:00"/>
    <s v="Second Class"/>
    <x v="187"/>
    <x v="187"/>
    <s v="Consumer"/>
    <s v="United States"/>
    <s v="North Miami"/>
    <x v="2"/>
    <n v="33161"/>
    <x v="0"/>
    <x v="1847"/>
    <x v="1"/>
    <x v="14"/>
    <x v="1835"/>
    <n v="7.6319999999999997"/>
    <s v="Low"/>
    <n v="3"/>
    <n v="0.2"/>
    <x v="2"/>
    <x v="2"/>
    <n v="-1.8126"/>
    <n v="-0.23750000000000002"/>
    <n v="1"/>
  </r>
  <r>
    <n v="8942"/>
    <s v="CA-2016-159023"/>
    <d v="2016-11-03T00:00:00"/>
    <x v="0"/>
    <s v="Q4"/>
    <x v="0"/>
    <d v="2016-11-05T00:00:00"/>
    <s v="First Class"/>
    <x v="508"/>
    <x v="508"/>
    <s v="Consumer"/>
    <s v="United States"/>
    <s v="Portland"/>
    <x v="21"/>
    <n v="97206"/>
    <x v="1"/>
    <x v="922"/>
    <x v="1"/>
    <x v="8"/>
    <x v="914"/>
    <n v="4.1580000000000004"/>
    <s v="Low"/>
    <n v="7"/>
    <n v="0.7"/>
    <x v="1"/>
    <x v="5"/>
    <n v="-3.4649999999999999"/>
    <n v="-0.83333333333333326"/>
    <n v="1"/>
  </r>
  <r>
    <n v="8943"/>
    <s v="CA-2016-159023"/>
    <d v="2016-11-03T00:00:00"/>
    <x v="0"/>
    <s v="Q4"/>
    <x v="0"/>
    <d v="2016-11-05T00:00:00"/>
    <s v="First Class"/>
    <x v="508"/>
    <x v="508"/>
    <s v="Consumer"/>
    <s v="United States"/>
    <s v="Portland"/>
    <x v="21"/>
    <n v="97206"/>
    <x v="1"/>
    <x v="1848"/>
    <x v="2"/>
    <x v="15"/>
    <x v="1836"/>
    <n v="179.99100000000001"/>
    <s v="High"/>
    <n v="3"/>
    <n v="0.7"/>
    <x v="1"/>
    <x v="5"/>
    <n v="-251.98740000000001"/>
    <n v="-1.4"/>
    <n v="1"/>
  </r>
  <r>
    <n v="8944"/>
    <s v="CA-2017-111717"/>
    <d v="2017-10-10T00:00:00"/>
    <x v="3"/>
    <s v="Q4"/>
    <x v="13"/>
    <d v="2017-10-16T00:00:00"/>
    <s v="Standard Class"/>
    <x v="573"/>
    <x v="573"/>
    <s v="Consumer"/>
    <s v="United States"/>
    <s v="Aurora"/>
    <x v="10"/>
    <n v="60505"/>
    <x v="2"/>
    <x v="1756"/>
    <x v="0"/>
    <x v="1"/>
    <x v="1746"/>
    <n v="239.358"/>
    <s v="High"/>
    <n v="3"/>
    <n v="0.3"/>
    <x v="1"/>
    <x v="4"/>
    <n v="-47.871600000000001"/>
    <n v="-0.2"/>
    <n v="1"/>
  </r>
  <r>
    <n v="8945"/>
    <s v="CA-2014-154592"/>
    <d v="2014-12-07T00:00:00"/>
    <x v="2"/>
    <s v="Q4"/>
    <x v="20"/>
    <d v="2014-12-08T00:00:00"/>
    <s v="First Class"/>
    <x v="382"/>
    <x v="382"/>
    <s v="Home Office"/>
    <s v="United States"/>
    <s v="San Francisco"/>
    <x v="1"/>
    <n v="94109"/>
    <x v="1"/>
    <x v="1397"/>
    <x v="1"/>
    <x v="10"/>
    <x v="1384"/>
    <n v="164.88"/>
    <s v="High"/>
    <n v="3"/>
    <n v="0"/>
    <x v="0"/>
    <x v="0"/>
    <n v="80.791200000000003"/>
    <n v="0.49000000000000005"/>
    <n v="0"/>
  </r>
  <r>
    <n v="8946"/>
    <s v="CA-2014-128622"/>
    <d v="2014-11-15T00:00:00"/>
    <x v="2"/>
    <s v="Q4"/>
    <x v="7"/>
    <d v="2014-11-17T00:00:00"/>
    <s v="Second Class"/>
    <x v="609"/>
    <x v="609"/>
    <s v="Corporate"/>
    <s v="United States"/>
    <s v="San Francisco"/>
    <x v="1"/>
    <n v="94110"/>
    <x v="1"/>
    <x v="503"/>
    <x v="1"/>
    <x v="14"/>
    <x v="503"/>
    <n v="10.95"/>
    <s v="Low"/>
    <n v="3"/>
    <n v="0"/>
    <x v="0"/>
    <x v="0"/>
    <n v="3.2850000000000001"/>
    <n v="0.30000000000000004"/>
    <n v="0"/>
  </r>
  <r>
    <n v="8947"/>
    <s v="CA-2017-148355"/>
    <d v="2017-12-24T00:00:00"/>
    <x v="3"/>
    <s v="Q4"/>
    <x v="22"/>
    <d v="2017-12-28T00:00:00"/>
    <s v="Standard Class"/>
    <x v="714"/>
    <x v="714"/>
    <s v="Corporate"/>
    <s v="United States"/>
    <s v="New Bedford"/>
    <x v="31"/>
    <n v="2740"/>
    <x v="3"/>
    <x v="1193"/>
    <x v="1"/>
    <x v="10"/>
    <x v="1178"/>
    <n v="19.440000000000001"/>
    <s v="Low"/>
    <n v="3"/>
    <n v="0"/>
    <x v="0"/>
    <x v="0"/>
    <n v="9.3312000000000008"/>
    <n v="0.48000000000000004"/>
    <n v="0"/>
  </r>
  <r>
    <n v="8948"/>
    <s v="CA-2017-148355"/>
    <d v="2017-12-24T00:00:00"/>
    <x v="3"/>
    <s v="Q4"/>
    <x v="22"/>
    <d v="2017-12-28T00:00:00"/>
    <s v="Standard Class"/>
    <x v="714"/>
    <x v="714"/>
    <s v="Corporate"/>
    <s v="United States"/>
    <s v="New Bedford"/>
    <x v="31"/>
    <n v="2740"/>
    <x v="3"/>
    <x v="1699"/>
    <x v="1"/>
    <x v="8"/>
    <x v="1687"/>
    <n v="12.3"/>
    <s v="Low"/>
    <n v="5"/>
    <n v="0"/>
    <x v="0"/>
    <x v="0"/>
    <n v="6.15"/>
    <n v="0.5"/>
    <n v="0"/>
  </r>
  <r>
    <n v="8949"/>
    <s v="CA-2014-132913"/>
    <d v="2014-12-24T00:00:00"/>
    <x v="2"/>
    <s v="Q4"/>
    <x v="20"/>
    <d v="2014-12-26T00:00:00"/>
    <s v="First Class"/>
    <x v="548"/>
    <x v="548"/>
    <s v="Consumer"/>
    <s v="United States"/>
    <s v="San Diego"/>
    <x v="1"/>
    <n v="92037"/>
    <x v="1"/>
    <x v="1803"/>
    <x v="1"/>
    <x v="9"/>
    <x v="1793"/>
    <n v="13.97"/>
    <s v="Low"/>
    <n v="1"/>
    <n v="0"/>
    <x v="0"/>
    <x v="0"/>
    <n v="3.6322000000000001"/>
    <n v="0.26"/>
    <n v="0"/>
  </r>
  <r>
    <n v="8950"/>
    <s v="CA-2017-150910"/>
    <d v="2017-12-22T00:00:00"/>
    <x v="3"/>
    <s v="Q4"/>
    <x v="22"/>
    <d v="2017-12-28T00:00:00"/>
    <s v="Standard Class"/>
    <x v="691"/>
    <x v="691"/>
    <s v="Consumer"/>
    <s v="United States"/>
    <s v="Jackson"/>
    <x v="18"/>
    <n v="38301"/>
    <x v="0"/>
    <x v="257"/>
    <x v="0"/>
    <x v="3"/>
    <x v="258"/>
    <n v="934.95600000000002"/>
    <s v="High"/>
    <n v="6"/>
    <n v="0.4"/>
    <x v="1"/>
    <x v="7"/>
    <n v="-249.32159999999999"/>
    <n v="-0.26666666666666666"/>
    <n v="1"/>
  </r>
  <r>
    <n v="8951"/>
    <s v="CA-2017-150910"/>
    <d v="2017-12-22T00:00:00"/>
    <x v="3"/>
    <s v="Q4"/>
    <x v="22"/>
    <d v="2017-12-28T00:00:00"/>
    <s v="Standard Class"/>
    <x v="691"/>
    <x v="691"/>
    <s v="Consumer"/>
    <s v="United States"/>
    <s v="Jackson"/>
    <x v="18"/>
    <n v="38301"/>
    <x v="0"/>
    <x v="825"/>
    <x v="2"/>
    <x v="11"/>
    <x v="821"/>
    <n v="46.863999999999997"/>
    <s v="Medium"/>
    <n v="2"/>
    <n v="0.2"/>
    <x v="2"/>
    <x v="2"/>
    <n v="7.6154000000000002"/>
    <n v="0.16250000000000001"/>
    <n v="0"/>
  </r>
  <r>
    <n v="8952"/>
    <s v="CA-2017-150910"/>
    <d v="2017-12-22T00:00:00"/>
    <x v="3"/>
    <s v="Q4"/>
    <x v="22"/>
    <d v="2017-12-28T00:00:00"/>
    <s v="Standard Class"/>
    <x v="691"/>
    <x v="691"/>
    <s v="Consumer"/>
    <s v="United States"/>
    <s v="Jackson"/>
    <x v="18"/>
    <n v="38301"/>
    <x v="0"/>
    <x v="376"/>
    <x v="1"/>
    <x v="4"/>
    <x v="377"/>
    <n v="26.16"/>
    <s v="Medium"/>
    <n v="3"/>
    <n v="0.2"/>
    <x v="2"/>
    <x v="2"/>
    <n v="1.962"/>
    <n v="7.4999999999999997E-2"/>
    <n v="0"/>
  </r>
  <r>
    <n v="8953"/>
    <s v="CA-2017-150910"/>
    <d v="2017-12-22T00:00:00"/>
    <x v="3"/>
    <s v="Q4"/>
    <x v="22"/>
    <d v="2017-12-28T00:00:00"/>
    <s v="Standard Class"/>
    <x v="691"/>
    <x v="691"/>
    <s v="Consumer"/>
    <s v="United States"/>
    <s v="Jackson"/>
    <x v="18"/>
    <n v="38301"/>
    <x v="0"/>
    <x v="1024"/>
    <x v="1"/>
    <x v="6"/>
    <x v="1015"/>
    <n v="23.128"/>
    <s v="Low"/>
    <n v="7"/>
    <n v="0.2"/>
    <x v="2"/>
    <x v="2"/>
    <n v="2.891"/>
    <n v="0.125"/>
    <n v="0"/>
  </r>
  <r>
    <n v="8954"/>
    <s v="CA-2017-150910"/>
    <d v="2017-12-22T00:00:00"/>
    <x v="3"/>
    <s v="Q4"/>
    <x v="22"/>
    <d v="2017-12-28T00:00:00"/>
    <s v="Standard Class"/>
    <x v="691"/>
    <x v="691"/>
    <s v="Consumer"/>
    <s v="United States"/>
    <s v="Jackson"/>
    <x v="18"/>
    <n v="38301"/>
    <x v="0"/>
    <x v="667"/>
    <x v="1"/>
    <x v="9"/>
    <x v="667"/>
    <n v="59.24"/>
    <s v="Medium"/>
    <n v="5"/>
    <n v="0.2"/>
    <x v="2"/>
    <x v="2"/>
    <n v="16.291"/>
    <n v="0.27500000000000002"/>
    <n v="0"/>
  </r>
  <r>
    <n v="8955"/>
    <s v="CA-2014-156790"/>
    <d v="2014-08-08T00:00:00"/>
    <x v="2"/>
    <s v="Q3"/>
    <x v="9"/>
    <d v="2014-08-10T00:00:00"/>
    <s v="Second Class"/>
    <x v="364"/>
    <x v="364"/>
    <s v="Consumer"/>
    <s v="United States"/>
    <s v="Jacksonville"/>
    <x v="2"/>
    <n v="32216"/>
    <x v="0"/>
    <x v="1195"/>
    <x v="0"/>
    <x v="0"/>
    <x v="1180"/>
    <n v="155.45599999999999"/>
    <s v="High"/>
    <n v="4"/>
    <n v="0.2"/>
    <x v="2"/>
    <x v="2"/>
    <n v="-7.7728000000000002"/>
    <n v="-0.05"/>
    <n v="1"/>
  </r>
  <r>
    <n v="8956"/>
    <s v="CA-2014-126480"/>
    <d v="2014-09-20T00:00:00"/>
    <x v="2"/>
    <s v="Q3"/>
    <x v="30"/>
    <d v="2014-09-24T00:00:00"/>
    <s v="Standard Class"/>
    <x v="428"/>
    <x v="428"/>
    <s v="Corporate"/>
    <s v="United States"/>
    <s v="San Diego"/>
    <x v="1"/>
    <n v="92024"/>
    <x v="1"/>
    <x v="1532"/>
    <x v="1"/>
    <x v="10"/>
    <x v="1520"/>
    <n v="8.56"/>
    <s v="Low"/>
    <n v="2"/>
    <n v="0"/>
    <x v="0"/>
    <x v="0"/>
    <n v="3.8519999999999999"/>
    <n v="0.44999999999999996"/>
    <n v="0"/>
  </r>
  <r>
    <n v="8957"/>
    <s v="CA-2017-105620"/>
    <d v="2017-12-25T00:00:00"/>
    <x v="3"/>
    <s v="Q4"/>
    <x v="22"/>
    <d v="2017-12-28T00:00:00"/>
    <s v="First Class"/>
    <x v="371"/>
    <x v="371"/>
    <s v="Consumer"/>
    <s v="United States"/>
    <s v="Hialeah"/>
    <x v="2"/>
    <n v="33012"/>
    <x v="0"/>
    <x v="1457"/>
    <x v="0"/>
    <x v="5"/>
    <x v="1443"/>
    <n v="21"/>
    <s v="Low"/>
    <n v="3"/>
    <n v="0.2"/>
    <x v="2"/>
    <x v="2"/>
    <n v="5.7750000000000004"/>
    <n v="0.27500000000000002"/>
    <n v="0"/>
  </r>
  <r>
    <n v="8958"/>
    <s v="CA-2017-105620"/>
    <d v="2017-12-25T00:00:00"/>
    <x v="3"/>
    <s v="Q4"/>
    <x v="22"/>
    <d v="2017-12-28T00:00:00"/>
    <s v="First Class"/>
    <x v="371"/>
    <x v="371"/>
    <s v="Consumer"/>
    <s v="United States"/>
    <s v="Hialeah"/>
    <x v="2"/>
    <n v="33012"/>
    <x v="0"/>
    <x v="1845"/>
    <x v="2"/>
    <x v="15"/>
    <x v="1833"/>
    <n v="120"/>
    <s v="Medium"/>
    <n v="2"/>
    <n v="0.5"/>
    <x v="1"/>
    <x v="1"/>
    <n v="-7.2"/>
    <n v="-6.0000000000000005E-2"/>
    <n v="1"/>
  </r>
  <r>
    <n v="8959"/>
    <s v="CA-2017-150266"/>
    <d v="2017-11-25T00:00:00"/>
    <x v="3"/>
    <s v="Q4"/>
    <x v="23"/>
    <d v="2017-11-30T00:00:00"/>
    <s v="Standard Class"/>
    <x v="197"/>
    <x v="197"/>
    <s v="Consumer"/>
    <s v="United States"/>
    <s v="Houston"/>
    <x v="5"/>
    <n v="77070"/>
    <x v="2"/>
    <x v="929"/>
    <x v="2"/>
    <x v="7"/>
    <x v="922"/>
    <n v="299.95999999999998"/>
    <s v="High"/>
    <n v="5"/>
    <n v="0.2"/>
    <x v="2"/>
    <x v="2"/>
    <n v="37.494999999999997"/>
    <n v="0.125"/>
    <n v="0"/>
  </r>
  <r>
    <n v="8960"/>
    <s v="CA-2017-150266"/>
    <d v="2017-11-25T00:00:00"/>
    <x v="3"/>
    <s v="Q4"/>
    <x v="23"/>
    <d v="2017-11-30T00:00:00"/>
    <s v="Standard Class"/>
    <x v="197"/>
    <x v="197"/>
    <s v="Consumer"/>
    <s v="United States"/>
    <s v="Houston"/>
    <x v="5"/>
    <n v="77070"/>
    <x v="2"/>
    <x v="1527"/>
    <x v="1"/>
    <x v="9"/>
    <x v="1514"/>
    <n v="67.84"/>
    <s v="Medium"/>
    <n v="5"/>
    <n v="0.8"/>
    <x v="1"/>
    <x v="3"/>
    <n v="-179.77600000000001"/>
    <n v="-2.65"/>
    <n v="1"/>
  </r>
  <r>
    <n v="8961"/>
    <s v="CA-2017-150266"/>
    <d v="2017-11-25T00:00:00"/>
    <x v="3"/>
    <s v="Q4"/>
    <x v="23"/>
    <d v="2017-11-30T00:00:00"/>
    <s v="Standard Class"/>
    <x v="197"/>
    <x v="197"/>
    <s v="Consumer"/>
    <s v="United States"/>
    <s v="Houston"/>
    <x v="5"/>
    <n v="77070"/>
    <x v="2"/>
    <x v="856"/>
    <x v="0"/>
    <x v="1"/>
    <x v="849"/>
    <n v="853.93"/>
    <s v="High"/>
    <n v="5"/>
    <n v="0.3"/>
    <x v="1"/>
    <x v="4"/>
    <n v="-24.398"/>
    <n v="-2.8571428571428574E-2"/>
    <n v="1"/>
  </r>
  <r>
    <n v="8962"/>
    <s v="CA-2017-150266"/>
    <d v="2017-11-25T00:00:00"/>
    <x v="3"/>
    <s v="Q4"/>
    <x v="23"/>
    <d v="2017-11-30T00:00:00"/>
    <s v="Standard Class"/>
    <x v="197"/>
    <x v="197"/>
    <s v="Consumer"/>
    <s v="United States"/>
    <s v="Houston"/>
    <x v="5"/>
    <n v="77070"/>
    <x v="2"/>
    <x v="1663"/>
    <x v="1"/>
    <x v="6"/>
    <x v="1651"/>
    <n v="18.687999999999999"/>
    <s v="Low"/>
    <n v="4"/>
    <n v="0.2"/>
    <x v="2"/>
    <x v="2"/>
    <n v="3.7376"/>
    <n v="0.2"/>
    <n v="0"/>
  </r>
  <r>
    <n v="8963"/>
    <s v="CA-2016-157280"/>
    <d v="2016-11-05T00:00:00"/>
    <x v="0"/>
    <s v="Q4"/>
    <x v="0"/>
    <d v="2016-11-07T00:00:00"/>
    <s v="First Class"/>
    <x v="752"/>
    <x v="752"/>
    <s v="Consumer"/>
    <s v="United States"/>
    <s v="Virginia Beach"/>
    <x v="17"/>
    <n v="23464"/>
    <x v="0"/>
    <x v="1369"/>
    <x v="0"/>
    <x v="5"/>
    <x v="1354"/>
    <n v="273.95999999999998"/>
    <s v="High"/>
    <n v="2"/>
    <n v="0"/>
    <x v="0"/>
    <x v="0"/>
    <n v="71.229600000000005"/>
    <n v="0.26000000000000006"/>
    <n v="0"/>
  </r>
  <r>
    <n v="8964"/>
    <s v="CA-2016-157280"/>
    <d v="2016-11-05T00:00:00"/>
    <x v="0"/>
    <s v="Q4"/>
    <x v="0"/>
    <d v="2016-11-07T00:00:00"/>
    <s v="First Class"/>
    <x v="752"/>
    <x v="752"/>
    <s v="Consumer"/>
    <s v="United States"/>
    <s v="Virginia Beach"/>
    <x v="17"/>
    <n v="23464"/>
    <x v="0"/>
    <x v="632"/>
    <x v="2"/>
    <x v="11"/>
    <x v="632"/>
    <n v="89.97"/>
    <s v="Medium"/>
    <n v="3"/>
    <n v="0"/>
    <x v="0"/>
    <x v="0"/>
    <n v="18.893699999999999"/>
    <n v="0.21"/>
    <n v="0"/>
  </r>
  <r>
    <n v="8965"/>
    <s v="CA-2016-157280"/>
    <d v="2016-11-05T00:00:00"/>
    <x v="0"/>
    <s v="Q4"/>
    <x v="0"/>
    <d v="2016-11-07T00:00:00"/>
    <s v="First Class"/>
    <x v="752"/>
    <x v="752"/>
    <s v="Consumer"/>
    <s v="United States"/>
    <s v="Virginia Beach"/>
    <x v="17"/>
    <n v="23464"/>
    <x v="0"/>
    <x v="1814"/>
    <x v="0"/>
    <x v="5"/>
    <x v="1804"/>
    <n v="756.8"/>
    <s v="High"/>
    <n v="5"/>
    <n v="0"/>
    <x v="0"/>
    <x v="0"/>
    <n v="75.680000000000007"/>
    <n v="0.10000000000000002"/>
    <n v="0"/>
  </r>
  <r>
    <n v="8966"/>
    <s v="CA-2017-106691"/>
    <d v="2017-11-06T00:00:00"/>
    <x v="3"/>
    <s v="Q4"/>
    <x v="23"/>
    <d v="2017-11-12T00:00:00"/>
    <s v="Standard Class"/>
    <x v="666"/>
    <x v="666"/>
    <s v="Consumer"/>
    <s v="United States"/>
    <s v="Houston"/>
    <x v="5"/>
    <n v="77070"/>
    <x v="2"/>
    <x v="744"/>
    <x v="1"/>
    <x v="8"/>
    <x v="742"/>
    <n v="1.248"/>
    <s v="Low"/>
    <n v="2"/>
    <n v="0.8"/>
    <x v="1"/>
    <x v="3"/>
    <n v="-1.9343999999999999"/>
    <n v="-1.5499999999999998"/>
    <n v="1"/>
  </r>
  <r>
    <n v="8967"/>
    <s v="CA-2016-134180"/>
    <d v="2016-11-03T00:00:00"/>
    <x v="0"/>
    <s v="Q4"/>
    <x v="0"/>
    <d v="2016-11-07T00:00:00"/>
    <s v="Standard Class"/>
    <x v="655"/>
    <x v="655"/>
    <s v="Home Office"/>
    <s v="United States"/>
    <s v="Philadelphia"/>
    <x v="9"/>
    <n v="19120"/>
    <x v="3"/>
    <x v="293"/>
    <x v="2"/>
    <x v="11"/>
    <x v="293"/>
    <n v="72"/>
    <s v="Medium"/>
    <n v="1"/>
    <n v="0.2"/>
    <x v="2"/>
    <x v="2"/>
    <n v="14.4"/>
    <n v="0.2"/>
    <n v="0"/>
  </r>
  <r>
    <n v="8968"/>
    <s v="CA-2016-134180"/>
    <d v="2016-11-03T00:00:00"/>
    <x v="0"/>
    <s v="Q4"/>
    <x v="0"/>
    <d v="2016-11-07T00:00:00"/>
    <s v="Standard Class"/>
    <x v="655"/>
    <x v="655"/>
    <s v="Home Office"/>
    <s v="United States"/>
    <s v="Philadelphia"/>
    <x v="9"/>
    <n v="19120"/>
    <x v="3"/>
    <x v="370"/>
    <x v="0"/>
    <x v="1"/>
    <x v="371"/>
    <n v="470.15499999999997"/>
    <s v="High"/>
    <n v="7"/>
    <n v="0.3"/>
    <x v="1"/>
    <x v="4"/>
    <n v="-13.433"/>
    <n v="-2.8571428571428574E-2"/>
    <n v="1"/>
  </r>
  <r>
    <n v="8969"/>
    <s v="CA-2014-166730"/>
    <d v="2014-12-30T00:00:00"/>
    <x v="2"/>
    <s v="Q4"/>
    <x v="20"/>
    <d v="2015-01-01T00:00:00"/>
    <s v="First Class"/>
    <x v="732"/>
    <x v="732"/>
    <s v="Consumer"/>
    <s v="United States"/>
    <s v="Memphis"/>
    <x v="18"/>
    <n v="38109"/>
    <x v="0"/>
    <x v="1166"/>
    <x v="1"/>
    <x v="4"/>
    <x v="1153"/>
    <n v="39.128"/>
    <s v="Medium"/>
    <n v="1"/>
    <n v="0.2"/>
    <x v="2"/>
    <x v="2"/>
    <n v="-8.8038000000000007"/>
    <n v="-0.22500000000000001"/>
    <n v="1"/>
  </r>
  <r>
    <n v="8970"/>
    <s v="CA-2017-157469"/>
    <d v="2017-12-02T00:00:00"/>
    <x v="3"/>
    <s v="Q4"/>
    <x v="22"/>
    <d v="2017-12-07T00:00:00"/>
    <s v="Standard Class"/>
    <x v="20"/>
    <x v="20"/>
    <s v="Corporate"/>
    <s v="United States"/>
    <s v="Lakewood"/>
    <x v="24"/>
    <n v="44107"/>
    <x v="3"/>
    <x v="448"/>
    <x v="1"/>
    <x v="6"/>
    <x v="448"/>
    <n v="19.728000000000002"/>
    <s v="Low"/>
    <n v="9"/>
    <n v="0.2"/>
    <x v="2"/>
    <x v="2"/>
    <n v="1.7262"/>
    <n v="8.7499999999999994E-2"/>
    <n v="0"/>
  </r>
  <r>
    <n v="8971"/>
    <s v="CA-2017-157469"/>
    <d v="2017-12-02T00:00:00"/>
    <x v="3"/>
    <s v="Q4"/>
    <x v="22"/>
    <d v="2017-12-07T00:00:00"/>
    <s v="Standard Class"/>
    <x v="20"/>
    <x v="20"/>
    <s v="Corporate"/>
    <s v="United States"/>
    <s v="Lakewood"/>
    <x v="24"/>
    <n v="44107"/>
    <x v="3"/>
    <x v="722"/>
    <x v="2"/>
    <x v="7"/>
    <x v="1404"/>
    <n v="151.18799999999999"/>
    <s v="High"/>
    <n v="2"/>
    <n v="0.4"/>
    <x v="1"/>
    <x v="7"/>
    <n v="-25.198"/>
    <n v="-0.16666666666666669"/>
    <n v="1"/>
  </r>
  <r>
    <n v="8972"/>
    <s v="CA-2017-122308"/>
    <d v="2017-03-24T00:00:00"/>
    <x v="3"/>
    <s v="Q1"/>
    <x v="42"/>
    <d v="2017-03-28T00:00:00"/>
    <s v="Standard Class"/>
    <x v="597"/>
    <x v="597"/>
    <s v="Consumer"/>
    <s v="United States"/>
    <s v="New York City"/>
    <x v="15"/>
    <n v="10011"/>
    <x v="3"/>
    <x v="662"/>
    <x v="0"/>
    <x v="1"/>
    <x v="662"/>
    <n v="271.76400000000001"/>
    <s v="High"/>
    <n v="2"/>
    <n v="0.1"/>
    <x v="3"/>
    <x v="8"/>
    <n v="60.392000000000003"/>
    <n v="0.22222222222222224"/>
    <n v="0"/>
  </r>
  <r>
    <n v="8973"/>
    <s v="US-2014-149034"/>
    <d v="2014-11-19T00:00:00"/>
    <x v="2"/>
    <s v="Q4"/>
    <x v="7"/>
    <d v="2014-11-21T00:00:00"/>
    <s v="First Class"/>
    <x v="76"/>
    <x v="76"/>
    <s v="Consumer"/>
    <s v="United States"/>
    <s v="Philadelphia"/>
    <x v="9"/>
    <n v="19120"/>
    <x v="3"/>
    <x v="1089"/>
    <x v="2"/>
    <x v="11"/>
    <x v="1079"/>
    <n v="47.496000000000002"/>
    <s v="Medium"/>
    <n v="1"/>
    <n v="0.2"/>
    <x v="2"/>
    <x v="2"/>
    <n v="-1.1874"/>
    <n v="-2.4999999999999998E-2"/>
    <n v="1"/>
  </r>
  <r>
    <n v="8974"/>
    <s v="CA-2017-159226"/>
    <d v="2017-04-25T00:00:00"/>
    <x v="3"/>
    <s v="Q2"/>
    <x v="4"/>
    <d v="2017-04-27T00:00:00"/>
    <s v="Second Class"/>
    <x v="210"/>
    <x v="210"/>
    <s v="Consumer"/>
    <s v="United States"/>
    <s v="Los Angeles"/>
    <x v="1"/>
    <n v="90008"/>
    <x v="1"/>
    <x v="266"/>
    <x v="0"/>
    <x v="0"/>
    <x v="266"/>
    <n v="344.98099999999999"/>
    <s v="High"/>
    <n v="7"/>
    <n v="0.15"/>
    <x v="2"/>
    <x v="2"/>
    <n v="28.4102"/>
    <n v="8.2352941176470587E-2"/>
    <n v="0"/>
  </r>
  <r>
    <n v="8975"/>
    <s v="CA-2017-156622"/>
    <d v="2017-11-23T00:00:00"/>
    <x v="3"/>
    <s v="Q4"/>
    <x v="23"/>
    <d v="2017-11-26T00:00:00"/>
    <s v="First Class"/>
    <x v="687"/>
    <x v="687"/>
    <s v="Corporate"/>
    <s v="United States"/>
    <s v="Dallas"/>
    <x v="5"/>
    <n v="75220"/>
    <x v="2"/>
    <x v="1231"/>
    <x v="1"/>
    <x v="10"/>
    <x v="1270"/>
    <n v="36.287999999999997"/>
    <s v="Medium"/>
    <n v="7"/>
    <n v="0.2"/>
    <x v="2"/>
    <x v="2"/>
    <n v="12.700799999999999"/>
    <n v="0.35000000000000003"/>
    <n v="0"/>
  </r>
  <r>
    <n v="8976"/>
    <s v="CA-2017-156622"/>
    <d v="2017-11-23T00:00:00"/>
    <x v="3"/>
    <s v="Q4"/>
    <x v="23"/>
    <d v="2017-11-26T00:00:00"/>
    <s v="First Class"/>
    <x v="687"/>
    <x v="687"/>
    <s v="Corporate"/>
    <s v="United States"/>
    <s v="Dallas"/>
    <x v="5"/>
    <n v="75220"/>
    <x v="2"/>
    <x v="1438"/>
    <x v="1"/>
    <x v="10"/>
    <x v="1426"/>
    <n v="78.304000000000002"/>
    <s v="Medium"/>
    <n v="2"/>
    <n v="0.2"/>
    <x v="2"/>
    <x v="2"/>
    <n v="29.364000000000001"/>
    <n v="0.375"/>
    <n v="0"/>
  </r>
  <r>
    <n v="8977"/>
    <s v="CA-2017-156622"/>
    <d v="2017-11-23T00:00:00"/>
    <x v="3"/>
    <s v="Q4"/>
    <x v="23"/>
    <d v="2017-11-26T00:00:00"/>
    <s v="First Class"/>
    <x v="687"/>
    <x v="687"/>
    <s v="Corporate"/>
    <s v="United States"/>
    <s v="Dallas"/>
    <x v="5"/>
    <n v="75220"/>
    <x v="2"/>
    <x v="962"/>
    <x v="0"/>
    <x v="3"/>
    <x v="955"/>
    <n v="127.785"/>
    <s v="High"/>
    <n v="1"/>
    <n v="0.3"/>
    <x v="1"/>
    <x v="4"/>
    <n v="-31.0335"/>
    <n v="-0.24285714285714285"/>
    <n v="1"/>
  </r>
  <r>
    <n v="8978"/>
    <s v="CA-2017-156622"/>
    <d v="2017-11-23T00:00:00"/>
    <x v="3"/>
    <s v="Q4"/>
    <x v="23"/>
    <d v="2017-11-26T00:00:00"/>
    <s v="First Class"/>
    <x v="687"/>
    <x v="687"/>
    <s v="Corporate"/>
    <s v="United States"/>
    <s v="Dallas"/>
    <x v="5"/>
    <n v="75220"/>
    <x v="2"/>
    <x v="785"/>
    <x v="1"/>
    <x v="8"/>
    <x v="784"/>
    <n v="6.1040000000000001"/>
    <s v="Low"/>
    <n v="2"/>
    <n v="0.8"/>
    <x v="1"/>
    <x v="3"/>
    <n v="-9.1560000000000006"/>
    <n v="-1.5"/>
    <n v="1"/>
  </r>
  <r>
    <n v="8979"/>
    <s v="CA-2014-119529"/>
    <d v="2014-11-03T00:00:00"/>
    <x v="2"/>
    <s v="Q4"/>
    <x v="7"/>
    <d v="2014-11-05T00:00:00"/>
    <s v="Second Class"/>
    <x v="664"/>
    <x v="664"/>
    <s v="Corporate"/>
    <s v="United States"/>
    <s v="Orange"/>
    <x v="30"/>
    <n v="7050"/>
    <x v="3"/>
    <x v="614"/>
    <x v="1"/>
    <x v="8"/>
    <x v="614"/>
    <n v="5.76"/>
    <s v="Low"/>
    <n v="2"/>
    <n v="0"/>
    <x v="0"/>
    <x v="0"/>
    <n v="2.8224"/>
    <n v="0.49000000000000005"/>
    <n v="0"/>
  </r>
  <r>
    <n v="8980"/>
    <s v="CA-2015-150413"/>
    <d v="2015-10-19T00:00:00"/>
    <x v="1"/>
    <s v="Q4"/>
    <x v="2"/>
    <d v="2015-10-24T00:00:00"/>
    <s v="Second Class"/>
    <x v="750"/>
    <x v="750"/>
    <s v="Consumer"/>
    <s v="United States"/>
    <s v="Dallas"/>
    <x v="5"/>
    <n v="75220"/>
    <x v="2"/>
    <x v="480"/>
    <x v="1"/>
    <x v="8"/>
    <x v="481"/>
    <n v="1.72"/>
    <s v="Low"/>
    <n v="1"/>
    <n v="0.8"/>
    <x v="1"/>
    <x v="3"/>
    <n v="-2.8380000000000001"/>
    <n v="-1.6500000000000001"/>
    <n v="1"/>
  </r>
  <r>
    <n v="8981"/>
    <s v="CA-2014-108182"/>
    <d v="2014-02-06T00:00:00"/>
    <x v="2"/>
    <s v="Q1"/>
    <x v="45"/>
    <d v="2014-02-10T00:00:00"/>
    <s v="Second Class"/>
    <x v="111"/>
    <x v="111"/>
    <s v="Consumer"/>
    <s v="United States"/>
    <s v="Romeoville"/>
    <x v="10"/>
    <n v="60441"/>
    <x v="2"/>
    <x v="1403"/>
    <x v="1"/>
    <x v="8"/>
    <x v="1390"/>
    <n v="8.952"/>
    <s v="Low"/>
    <n v="2"/>
    <n v="0.8"/>
    <x v="1"/>
    <x v="3"/>
    <n v="-14.770799999999999"/>
    <n v="-1.65"/>
    <n v="1"/>
  </r>
  <r>
    <n v="8982"/>
    <s v="CA-2016-110898"/>
    <d v="2016-03-06T00:00:00"/>
    <x v="0"/>
    <s v="Q1"/>
    <x v="17"/>
    <d v="2016-03-12T00:00:00"/>
    <s v="Standard Class"/>
    <x v="48"/>
    <x v="48"/>
    <s v="Consumer"/>
    <s v="United States"/>
    <s v="Chicago"/>
    <x v="10"/>
    <n v="60623"/>
    <x v="2"/>
    <x v="1034"/>
    <x v="1"/>
    <x v="9"/>
    <x v="1025"/>
    <n v="2.3340000000000001"/>
    <s v="Low"/>
    <n v="3"/>
    <n v="0.8"/>
    <x v="1"/>
    <x v="3"/>
    <n v="-6.3018000000000001"/>
    <n v="-2.6999999999999997"/>
    <n v="1"/>
  </r>
  <r>
    <n v="8983"/>
    <s v="CA-2016-110898"/>
    <d v="2016-03-06T00:00:00"/>
    <x v="0"/>
    <s v="Q1"/>
    <x v="17"/>
    <d v="2016-03-12T00:00:00"/>
    <s v="Standard Class"/>
    <x v="48"/>
    <x v="48"/>
    <s v="Consumer"/>
    <s v="United States"/>
    <s v="Chicago"/>
    <x v="10"/>
    <n v="60623"/>
    <x v="2"/>
    <x v="870"/>
    <x v="1"/>
    <x v="8"/>
    <x v="864"/>
    <n v="1.728"/>
    <s v="Low"/>
    <n v="4"/>
    <n v="0.8"/>
    <x v="1"/>
    <x v="3"/>
    <n v="-2.7648000000000001"/>
    <n v="-1.6"/>
    <n v="1"/>
  </r>
  <r>
    <n v="8984"/>
    <s v="CA-2016-110898"/>
    <d v="2016-03-06T00:00:00"/>
    <x v="0"/>
    <s v="Q1"/>
    <x v="17"/>
    <d v="2016-03-12T00:00:00"/>
    <s v="Standard Class"/>
    <x v="48"/>
    <x v="48"/>
    <s v="Consumer"/>
    <s v="United States"/>
    <s v="Chicago"/>
    <x v="10"/>
    <n v="60623"/>
    <x v="2"/>
    <x v="124"/>
    <x v="0"/>
    <x v="5"/>
    <x v="125"/>
    <n v="159.04"/>
    <s v="High"/>
    <n v="5"/>
    <n v="0.6"/>
    <x v="1"/>
    <x v="6"/>
    <n v="-194.82400000000001"/>
    <n v="-1.2250000000000001"/>
    <n v="1"/>
  </r>
  <r>
    <n v="8985"/>
    <s v="CA-2016-110898"/>
    <d v="2016-03-06T00:00:00"/>
    <x v="0"/>
    <s v="Q1"/>
    <x v="17"/>
    <d v="2016-03-12T00:00:00"/>
    <s v="Standard Class"/>
    <x v="48"/>
    <x v="48"/>
    <s v="Consumer"/>
    <s v="United States"/>
    <s v="Chicago"/>
    <x v="10"/>
    <n v="60623"/>
    <x v="2"/>
    <x v="1342"/>
    <x v="0"/>
    <x v="3"/>
    <x v="1327"/>
    <n v="145.97999999999999"/>
    <s v="High"/>
    <n v="2"/>
    <n v="0.5"/>
    <x v="1"/>
    <x v="1"/>
    <n v="-99.266400000000004"/>
    <n v="-0.68"/>
    <n v="1"/>
  </r>
  <r>
    <n v="8986"/>
    <s v="CA-2015-123092"/>
    <d v="2015-12-03T00:00:00"/>
    <x v="1"/>
    <s v="Q4"/>
    <x v="14"/>
    <d v="2015-12-07T00:00:00"/>
    <s v="Standard Class"/>
    <x v="161"/>
    <x v="161"/>
    <s v="Consumer"/>
    <s v="United States"/>
    <s v="Jacksonville"/>
    <x v="3"/>
    <n v="28540"/>
    <x v="0"/>
    <x v="596"/>
    <x v="0"/>
    <x v="5"/>
    <x v="596"/>
    <n v="77.951999999999998"/>
    <s v="Medium"/>
    <n v="3"/>
    <n v="0.2"/>
    <x v="2"/>
    <x v="2"/>
    <n v="12.667199999999999"/>
    <n v="0.16250000000000001"/>
    <n v="0"/>
  </r>
  <r>
    <n v="8987"/>
    <s v="CA-2015-123092"/>
    <d v="2015-12-03T00:00:00"/>
    <x v="1"/>
    <s v="Q4"/>
    <x v="14"/>
    <d v="2015-12-07T00:00:00"/>
    <s v="Standard Class"/>
    <x v="161"/>
    <x v="161"/>
    <s v="Consumer"/>
    <s v="United States"/>
    <s v="Jacksonville"/>
    <x v="3"/>
    <n v="28540"/>
    <x v="0"/>
    <x v="1242"/>
    <x v="1"/>
    <x v="8"/>
    <x v="1225"/>
    <n v="95.97"/>
    <s v="Medium"/>
    <n v="5"/>
    <n v="0.7"/>
    <x v="1"/>
    <x v="5"/>
    <n v="-73.576999999999998"/>
    <n v="-0.76666666666666661"/>
    <n v="1"/>
  </r>
  <r>
    <n v="8988"/>
    <s v="CA-2015-123092"/>
    <d v="2015-12-03T00:00:00"/>
    <x v="1"/>
    <s v="Q4"/>
    <x v="14"/>
    <d v="2015-12-07T00:00:00"/>
    <s v="Standard Class"/>
    <x v="161"/>
    <x v="161"/>
    <s v="Consumer"/>
    <s v="United States"/>
    <s v="Jacksonville"/>
    <x v="3"/>
    <n v="28540"/>
    <x v="0"/>
    <x v="194"/>
    <x v="2"/>
    <x v="7"/>
    <x v="195"/>
    <n v="105.584"/>
    <s v="Medium"/>
    <n v="2"/>
    <n v="0.2"/>
    <x v="2"/>
    <x v="2"/>
    <n v="9.2385999999999999"/>
    <n v="8.7499999999999994E-2"/>
    <n v="0"/>
  </r>
  <r>
    <n v="8989"/>
    <s v="CA-2015-123092"/>
    <d v="2015-12-03T00:00:00"/>
    <x v="1"/>
    <s v="Q4"/>
    <x v="14"/>
    <d v="2015-12-07T00:00:00"/>
    <s v="Standard Class"/>
    <x v="161"/>
    <x v="161"/>
    <s v="Consumer"/>
    <s v="United States"/>
    <s v="Jacksonville"/>
    <x v="3"/>
    <n v="28540"/>
    <x v="0"/>
    <x v="512"/>
    <x v="1"/>
    <x v="6"/>
    <x v="512"/>
    <n v="9.3439999999999994"/>
    <s v="Low"/>
    <n v="2"/>
    <n v="0.2"/>
    <x v="2"/>
    <x v="2"/>
    <n v="1.1679999999999999"/>
    <n v="0.125"/>
    <n v="0"/>
  </r>
  <r>
    <n v="8990"/>
    <s v="US-2015-128587"/>
    <d v="2015-12-24T00:00:00"/>
    <x v="1"/>
    <s v="Q4"/>
    <x v="14"/>
    <d v="2015-12-30T00:00:00"/>
    <s v="Standard Class"/>
    <x v="447"/>
    <x v="447"/>
    <s v="Corporate"/>
    <s v="United States"/>
    <s v="Springfield"/>
    <x v="25"/>
    <n v="65807"/>
    <x v="2"/>
    <x v="1573"/>
    <x v="0"/>
    <x v="5"/>
    <x v="1564"/>
    <n v="9.68"/>
    <s v="Low"/>
    <n v="2"/>
    <n v="0"/>
    <x v="0"/>
    <x v="0"/>
    <n v="3.7751999999999999"/>
    <n v="0.39"/>
    <n v="0"/>
  </r>
  <r>
    <n v="8991"/>
    <s v="US-2015-128587"/>
    <d v="2015-12-24T00:00:00"/>
    <x v="1"/>
    <s v="Q4"/>
    <x v="14"/>
    <d v="2015-12-30T00:00:00"/>
    <s v="Standard Class"/>
    <x v="447"/>
    <x v="447"/>
    <s v="Corporate"/>
    <s v="United States"/>
    <s v="Springfield"/>
    <x v="25"/>
    <n v="65807"/>
    <x v="2"/>
    <x v="1293"/>
    <x v="2"/>
    <x v="16"/>
    <x v="1279"/>
    <n v="4899.93"/>
    <s v="High"/>
    <n v="7"/>
    <n v="0"/>
    <x v="0"/>
    <x v="0"/>
    <n v="2302.9670999999998"/>
    <n v="0.46999999999999992"/>
    <n v="0"/>
  </r>
  <r>
    <n v="8992"/>
    <s v="US-2017-139577"/>
    <d v="2017-10-01T00:00:00"/>
    <x v="3"/>
    <s v="Q4"/>
    <x v="13"/>
    <d v="2017-10-06T00:00:00"/>
    <s v="Standard Class"/>
    <x v="184"/>
    <x v="184"/>
    <s v="Home Office"/>
    <s v="United States"/>
    <s v="San Francisco"/>
    <x v="1"/>
    <n v="94110"/>
    <x v="1"/>
    <x v="341"/>
    <x v="2"/>
    <x v="11"/>
    <x v="341"/>
    <n v="104.75"/>
    <s v="Medium"/>
    <n v="5"/>
    <n v="0"/>
    <x v="0"/>
    <x v="0"/>
    <n v="21.997499999999999"/>
    <n v="0.21"/>
    <n v="0"/>
  </r>
  <r>
    <n v="8993"/>
    <s v="CA-2017-159100"/>
    <d v="2017-10-16T00:00:00"/>
    <x v="3"/>
    <s v="Q4"/>
    <x v="13"/>
    <d v="2017-10-21T00:00:00"/>
    <s v="Standard Class"/>
    <x v="778"/>
    <x v="778"/>
    <s v="Corporate"/>
    <s v="United States"/>
    <s v="Columbia"/>
    <x v="18"/>
    <n v="38401"/>
    <x v="0"/>
    <x v="103"/>
    <x v="2"/>
    <x v="11"/>
    <x v="103"/>
    <n v="18.527999999999999"/>
    <s v="Low"/>
    <n v="2"/>
    <n v="0.2"/>
    <x v="2"/>
    <x v="2"/>
    <n v="4.4004000000000003"/>
    <n v="0.23750000000000004"/>
    <n v="0"/>
  </r>
  <r>
    <n v="8994"/>
    <s v="CA-2017-159100"/>
    <d v="2017-10-16T00:00:00"/>
    <x v="3"/>
    <s v="Q4"/>
    <x v="13"/>
    <d v="2017-10-21T00:00:00"/>
    <s v="Standard Class"/>
    <x v="778"/>
    <x v="778"/>
    <s v="Corporate"/>
    <s v="United States"/>
    <s v="Columbia"/>
    <x v="18"/>
    <n v="38401"/>
    <x v="0"/>
    <x v="1299"/>
    <x v="0"/>
    <x v="3"/>
    <x v="1284"/>
    <n v="1875.258"/>
    <s v="High"/>
    <n v="7"/>
    <n v="0.4"/>
    <x v="1"/>
    <x v="7"/>
    <n v="-968.88329999999996"/>
    <n v="-0.51666666666666661"/>
    <n v="1"/>
  </r>
  <r>
    <n v="8995"/>
    <s v="CA-2014-109043"/>
    <d v="2014-08-15T00:00:00"/>
    <x v="2"/>
    <s v="Q3"/>
    <x v="9"/>
    <d v="2014-08-17T00:00:00"/>
    <s v="First Class"/>
    <x v="394"/>
    <x v="394"/>
    <s v="Consumer"/>
    <s v="United States"/>
    <s v="Hollywood"/>
    <x v="2"/>
    <n v="33021"/>
    <x v="0"/>
    <x v="1841"/>
    <x v="1"/>
    <x v="10"/>
    <x v="1829"/>
    <n v="91.36"/>
    <s v="Medium"/>
    <n v="5"/>
    <n v="0.2"/>
    <x v="2"/>
    <x v="2"/>
    <n v="29.692"/>
    <n v="0.32500000000000001"/>
    <n v="0"/>
  </r>
  <r>
    <n v="8996"/>
    <s v="CA-2014-109043"/>
    <d v="2014-08-15T00:00:00"/>
    <x v="2"/>
    <s v="Q3"/>
    <x v="9"/>
    <d v="2014-08-17T00:00:00"/>
    <s v="First Class"/>
    <x v="394"/>
    <x v="394"/>
    <s v="Consumer"/>
    <s v="United States"/>
    <s v="Hollywood"/>
    <x v="2"/>
    <n v="33021"/>
    <x v="0"/>
    <x v="513"/>
    <x v="1"/>
    <x v="9"/>
    <x v="513"/>
    <n v="152.24"/>
    <s v="High"/>
    <n v="5"/>
    <n v="0.2"/>
    <x v="2"/>
    <x v="2"/>
    <n v="17.126999999999999"/>
    <n v="0.11249999999999999"/>
    <n v="0"/>
  </r>
  <r>
    <n v="8997"/>
    <s v="US-2017-116491"/>
    <d v="2017-11-11T00:00:00"/>
    <x v="3"/>
    <s v="Q4"/>
    <x v="23"/>
    <d v="2017-11-13T00:00:00"/>
    <s v="First Class"/>
    <x v="310"/>
    <x v="310"/>
    <s v="Consumer"/>
    <s v="United States"/>
    <s v="Dallas"/>
    <x v="5"/>
    <n v="75081"/>
    <x v="2"/>
    <x v="722"/>
    <x v="2"/>
    <x v="7"/>
    <x v="721"/>
    <n v="35.183999999999997"/>
    <s v="Medium"/>
    <n v="2"/>
    <n v="0.2"/>
    <x v="2"/>
    <x v="2"/>
    <n v="12.314399999999999"/>
    <n v="0.35"/>
    <n v="0"/>
  </r>
  <r>
    <n v="8998"/>
    <s v="CA-2017-122763"/>
    <d v="2017-03-20T00:00:00"/>
    <x v="3"/>
    <s v="Q1"/>
    <x v="42"/>
    <d v="2017-03-20T00:00:00"/>
    <s v="Same Day"/>
    <x v="668"/>
    <x v="668"/>
    <s v="Consumer"/>
    <s v="United States"/>
    <s v="Houston"/>
    <x v="5"/>
    <n v="77041"/>
    <x v="2"/>
    <x v="258"/>
    <x v="1"/>
    <x v="10"/>
    <x v="33"/>
    <n v="56.704000000000001"/>
    <s v="Medium"/>
    <n v="2"/>
    <n v="0.2"/>
    <x v="2"/>
    <x v="2"/>
    <n v="19.137599999999999"/>
    <n v="0.33749999999999997"/>
    <n v="0"/>
  </r>
  <r>
    <n v="8999"/>
    <s v="CA-2017-122763"/>
    <d v="2017-03-20T00:00:00"/>
    <x v="3"/>
    <s v="Q1"/>
    <x v="42"/>
    <d v="2017-03-20T00:00:00"/>
    <s v="Same Day"/>
    <x v="668"/>
    <x v="668"/>
    <s v="Consumer"/>
    <s v="United States"/>
    <s v="Houston"/>
    <x v="5"/>
    <n v="77041"/>
    <x v="2"/>
    <x v="126"/>
    <x v="1"/>
    <x v="10"/>
    <x v="127"/>
    <n v="274.06400000000002"/>
    <s v="High"/>
    <n v="7"/>
    <n v="0.2"/>
    <x v="2"/>
    <x v="2"/>
    <n v="102.774"/>
    <n v="0.375"/>
    <n v="0"/>
  </r>
  <r>
    <n v="9000"/>
    <s v="CA-2017-137785"/>
    <d v="2017-05-13T00:00:00"/>
    <x v="3"/>
    <s v="Q2"/>
    <x v="24"/>
    <d v="2017-05-17T00:00:00"/>
    <s v="Standard Class"/>
    <x v="414"/>
    <x v="414"/>
    <s v="Home Office"/>
    <s v="United States"/>
    <s v="Philadelphia"/>
    <x v="9"/>
    <n v="19140"/>
    <x v="3"/>
    <x v="541"/>
    <x v="0"/>
    <x v="1"/>
    <x v="541"/>
    <n v="458.43"/>
    <s v="High"/>
    <n v="5"/>
    <n v="0.3"/>
    <x v="1"/>
    <x v="4"/>
    <n v="-124.431"/>
    <n v="-0.27142857142857141"/>
    <n v="1"/>
  </r>
  <r>
    <n v="9001"/>
    <s v="CA-2014-133389"/>
    <d v="2014-06-22T00:00:00"/>
    <x v="2"/>
    <s v="Q2"/>
    <x v="3"/>
    <d v="2014-06-22T00:00:00"/>
    <s v="Same Day"/>
    <x v="509"/>
    <x v="509"/>
    <s v="Consumer"/>
    <s v="United States"/>
    <s v="Phoenix"/>
    <x v="16"/>
    <n v="85023"/>
    <x v="1"/>
    <x v="1316"/>
    <x v="1"/>
    <x v="8"/>
    <x v="1302"/>
    <n v="8.2260000000000009"/>
    <s v="Low"/>
    <n v="3"/>
    <n v="0.7"/>
    <x v="1"/>
    <x v="5"/>
    <n v="-6.0324"/>
    <n v="-0.73333333333333328"/>
    <n v="1"/>
  </r>
  <r>
    <n v="9002"/>
    <s v="CA-2014-103807"/>
    <d v="2014-12-02T00:00:00"/>
    <x v="2"/>
    <s v="Q4"/>
    <x v="20"/>
    <d v="2014-12-09T00:00:00"/>
    <s v="Standard Class"/>
    <x v="605"/>
    <x v="605"/>
    <s v="Corporate"/>
    <s v="United States"/>
    <s v="Sandy Springs"/>
    <x v="32"/>
    <n v="30328"/>
    <x v="0"/>
    <x v="1628"/>
    <x v="2"/>
    <x v="11"/>
    <x v="1618"/>
    <n v="5.95"/>
    <s v="Low"/>
    <n v="1"/>
    <n v="0"/>
    <x v="0"/>
    <x v="0"/>
    <n v="0.83299999999999996"/>
    <n v="0.13999999999999999"/>
    <n v="0"/>
  </r>
  <r>
    <n v="9003"/>
    <s v="CA-2014-103807"/>
    <d v="2014-12-02T00:00:00"/>
    <x v="2"/>
    <s v="Q4"/>
    <x v="20"/>
    <d v="2014-12-09T00:00:00"/>
    <s v="Standard Class"/>
    <x v="605"/>
    <x v="605"/>
    <s v="Corporate"/>
    <s v="United States"/>
    <s v="Sandy Springs"/>
    <x v="32"/>
    <n v="30328"/>
    <x v="0"/>
    <x v="727"/>
    <x v="1"/>
    <x v="10"/>
    <x v="726"/>
    <n v="15.24"/>
    <s v="Low"/>
    <n v="3"/>
    <n v="0"/>
    <x v="0"/>
    <x v="0"/>
    <n v="7.1627999999999998"/>
    <n v="0.47"/>
    <n v="0"/>
  </r>
  <r>
    <n v="9004"/>
    <s v="CA-2015-102855"/>
    <d v="2015-04-05T00:00:00"/>
    <x v="1"/>
    <s v="Q2"/>
    <x v="19"/>
    <d v="2015-04-06T00:00:00"/>
    <s v="Same Day"/>
    <x v="226"/>
    <x v="226"/>
    <s v="Consumer"/>
    <s v="United States"/>
    <s v="Spokane"/>
    <x v="4"/>
    <n v="99207"/>
    <x v="1"/>
    <x v="97"/>
    <x v="2"/>
    <x v="11"/>
    <x v="97"/>
    <n v="239.94"/>
    <s v="High"/>
    <n v="6"/>
    <n v="0"/>
    <x v="0"/>
    <x v="0"/>
    <n v="26.3934"/>
    <n v="0.11"/>
    <n v="0"/>
  </r>
  <r>
    <n v="9005"/>
    <s v="CA-2015-102855"/>
    <d v="2015-04-05T00:00:00"/>
    <x v="1"/>
    <s v="Q2"/>
    <x v="19"/>
    <d v="2015-04-06T00:00:00"/>
    <s v="Same Day"/>
    <x v="226"/>
    <x v="226"/>
    <s v="Consumer"/>
    <s v="United States"/>
    <s v="Spokane"/>
    <x v="4"/>
    <n v="99207"/>
    <x v="1"/>
    <x v="1701"/>
    <x v="1"/>
    <x v="6"/>
    <x v="1690"/>
    <n v="23.84"/>
    <s v="Low"/>
    <n v="8"/>
    <n v="0"/>
    <x v="0"/>
    <x v="0"/>
    <n v="6.4367999999999999"/>
    <n v="0.27"/>
    <n v="0"/>
  </r>
  <r>
    <n v="9006"/>
    <s v="CA-2017-107825"/>
    <d v="2017-11-18T00:00:00"/>
    <x v="3"/>
    <s v="Q4"/>
    <x v="23"/>
    <d v="2017-11-18T00:00:00"/>
    <s v="Same Day"/>
    <x v="240"/>
    <x v="240"/>
    <s v="Corporate"/>
    <s v="United States"/>
    <s v="Milwaukee"/>
    <x v="6"/>
    <n v="53209"/>
    <x v="2"/>
    <x v="421"/>
    <x v="1"/>
    <x v="4"/>
    <x v="421"/>
    <n v="92.52"/>
    <s v="Medium"/>
    <n v="6"/>
    <n v="0"/>
    <x v="0"/>
    <x v="0"/>
    <n v="24.980399999999999"/>
    <n v="0.27"/>
    <n v="0"/>
  </r>
  <r>
    <n v="9007"/>
    <s v="CA-2017-107825"/>
    <d v="2017-11-18T00:00:00"/>
    <x v="3"/>
    <s v="Q4"/>
    <x v="23"/>
    <d v="2017-11-18T00:00:00"/>
    <s v="Same Day"/>
    <x v="240"/>
    <x v="240"/>
    <s v="Corporate"/>
    <s v="United States"/>
    <s v="Milwaukee"/>
    <x v="6"/>
    <n v="53209"/>
    <x v="2"/>
    <x v="117"/>
    <x v="1"/>
    <x v="4"/>
    <x v="117"/>
    <n v="37.76"/>
    <s v="Medium"/>
    <n v="1"/>
    <n v="0"/>
    <x v="0"/>
    <x v="0"/>
    <n v="10.572800000000001"/>
    <n v="0.28000000000000003"/>
    <n v="0"/>
  </r>
  <r>
    <n v="9008"/>
    <s v="CA-2017-107825"/>
    <d v="2017-11-18T00:00:00"/>
    <x v="3"/>
    <s v="Q4"/>
    <x v="23"/>
    <d v="2017-11-18T00:00:00"/>
    <s v="Same Day"/>
    <x v="240"/>
    <x v="240"/>
    <s v="Corporate"/>
    <s v="United States"/>
    <s v="Milwaukee"/>
    <x v="6"/>
    <n v="53209"/>
    <x v="2"/>
    <x v="1647"/>
    <x v="1"/>
    <x v="2"/>
    <x v="1636"/>
    <n v="7.38"/>
    <s v="Low"/>
    <n v="2"/>
    <n v="0"/>
    <x v="0"/>
    <x v="0"/>
    <n v="3.4685999999999999"/>
    <n v="0.47"/>
    <n v="0"/>
  </r>
  <r>
    <n v="9009"/>
    <s v="CA-2017-107825"/>
    <d v="2017-11-18T00:00:00"/>
    <x v="3"/>
    <s v="Q4"/>
    <x v="23"/>
    <d v="2017-11-18T00:00:00"/>
    <s v="Same Day"/>
    <x v="240"/>
    <x v="240"/>
    <s v="Corporate"/>
    <s v="United States"/>
    <s v="Milwaukee"/>
    <x v="6"/>
    <n v="53209"/>
    <x v="2"/>
    <x v="396"/>
    <x v="0"/>
    <x v="5"/>
    <x v="397"/>
    <n v="5.82"/>
    <s v="Low"/>
    <n v="2"/>
    <n v="0"/>
    <x v="0"/>
    <x v="0"/>
    <n v="2.7353999999999998"/>
    <n v="0.47"/>
    <n v="0"/>
  </r>
  <r>
    <n v="9010"/>
    <s v="CA-2017-106047"/>
    <d v="2017-07-12T00:00:00"/>
    <x v="3"/>
    <s v="Q3"/>
    <x v="10"/>
    <d v="2017-07-18T00:00:00"/>
    <s v="Standard Class"/>
    <x v="750"/>
    <x v="750"/>
    <s v="Consumer"/>
    <s v="United States"/>
    <s v="Fairfield"/>
    <x v="24"/>
    <n v="45014"/>
    <x v="3"/>
    <x v="1446"/>
    <x v="1"/>
    <x v="10"/>
    <x v="1433"/>
    <n v="3.8159999999999998"/>
    <s v="Low"/>
    <n v="1"/>
    <n v="0.2"/>
    <x v="2"/>
    <x v="2"/>
    <n v="1.1924999999999999"/>
    <n v="0.3125"/>
    <n v="0"/>
  </r>
  <r>
    <n v="9011"/>
    <s v="CA-2017-127803"/>
    <d v="2017-05-19T00:00:00"/>
    <x v="3"/>
    <s v="Q2"/>
    <x v="24"/>
    <d v="2017-05-23T00:00:00"/>
    <s v="Standard Class"/>
    <x v="540"/>
    <x v="540"/>
    <s v="Corporate"/>
    <s v="United States"/>
    <s v="Huntsville"/>
    <x v="19"/>
    <n v="35810"/>
    <x v="0"/>
    <x v="1504"/>
    <x v="1"/>
    <x v="8"/>
    <x v="1491"/>
    <n v="26.16"/>
    <s v="Medium"/>
    <n v="4"/>
    <n v="0"/>
    <x v="0"/>
    <x v="0"/>
    <n v="12.8184"/>
    <n v="0.49"/>
    <n v="0"/>
  </r>
  <r>
    <n v="9012"/>
    <s v="CA-2015-137071"/>
    <d v="2015-12-20T00:00:00"/>
    <x v="1"/>
    <s v="Q4"/>
    <x v="14"/>
    <d v="2015-12-21T00:00:00"/>
    <s v="First Class"/>
    <x v="525"/>
    <x v="525"/>
    <s v="Home Office"/>
    <s v="United States"/>
    <s v="Houston"/>
    <x v="5"/>
    <n v="77036"/>
    <x v="2"/>
    <x v="725"/>
    <x v="2"/>
    <x v="11"/>
    <x v="724"/>
    <n v="100.8"/>
    <s v="Medium"/>
    <n v="2"/>
    <n v="0.2"/>
    <x v="2"/>
    <x v="2"/>
    <n v="21.42"/>
    <n v="0.21250000000000002"/>
    <n v="0"/>
  </r>
  <r>
    <n v="9013"/>
    <s v="CA-2016-121447"/>
    <d v="2016-02-21T00:00:00"/>
    <x v="0"/>
    <s v="Q1"/>
    <x v="47"/>
    <d v="2016-02-22T00:00:00"/>
    <s v="First Class"/>
    <x v="105"/>
    <x v="105"/>
    <s v="Corporate"/>
    <s v="United States"/>
    <s v="New York City"/>
    <x v="15"/>
    <n v="10011"/>
    <x v="3"/>
    <x v="275"/>
    <x v="0"/>
    <x v="5"/>
    <x v="275"/>
    <n v="135.80000000000001"/>
    <s v="High"/>
    <n v="7"/>
    <n v="0"/>
    <x v="0"/>
    <x v="0"/>
    <n v="66.542000000000002"/>
    <n v="0.49"/>
    <n v="0"/>
  </r>
  <r>
    <n v="9014"/>
    <s v="CA-2017-143084"/>
    <d v="2017-03-18T00:00:00"/>
    <x v="3"/>
    <s v="Q1"/>
    <x v="42"/>
    <d v="2017-03-22T00:00:00"/>
    <s v="Standard Class"/>
    <x v="771"/>
    <x v="771"/>
    <s v="Corporate"/>
    <s v="United States"/>
    <s v="Los Angeles"/>
    <x v="1"/>
    <n v="90008"/>
    <x v="1"/>
    <x v="1622"/>
    <x v="1"/>
    <x v="6"/>
    <x v="1050"/>
    <n v="13.9"/>
    <s v="Low"/>
    <n v="5"/>
    <n v="0"/>
    <x v="0"/>
    <x v="0"/>
    <n v="3.7530000000000001"/>
    <n v="0.27"/>
    <n v="0"/>
  </r>
  <r>
    <n v="9015"/>
    <s v="CA-2017-143084"/>
    <d v="2017-03-18T00:00:00"/>
    <x v="3"/>
    <s v="Q1"/>
    <x v="42"/>
    <d v="2017-03-22T00:00:00"/>
    <s v="Standard Class"/>
    <x v="771"/>
    <x v="771"/>
    <s v="Corporate"/>
    <s v="United States"/>
    <s v="Los Angeles"/>
    <x v="1"/>
    <n v="90008"/>
    <x v="1"/>
    <x v="776"/>
    <x v="1"/>
    <x v="12"/>
    <x v="775"/>
    <n v="19.399999999999999"/>
    <s v="Low"/>
    <n v="5"/>
    <n v="0"/>
    <x v="0"/>
    <x v="0"/>
    <n v="9.3119999999999994"/>
    <n v="0.48"/>
    <n v="0"/>
  </r>
  <r>
    <n v="9016"/>
    <s v="CA-2016-131639"/>
    <d v="2016-12-17T00:00:00"/>
    <x v="0"/>
    <s v="Q4"/>
    <x v="5"/>
    <d v="2016-12-23T00:00:00"/>
    <s v="Standard Class"/>
    <x v="374"/>
    <x v="374"/>
    <s v="Corporate"/>
    <s v="United States"/>
    <s v="Carlsbad"/>
    <x v="27"/>
    <n v="88220"/>
    <x v="1"/>
    <x v="674"/>
    <x v="1"/>
    <x v="8"/>
    <x v="674"/>
    <n v="13.488"/>
    <s v="Low"/>
    <n v="2"/>
    <n v="0.2"/>
    <x v="2"/>
    <x v="2"/>
    <n v="4.3836000000000004"/>
    <n v="0.32500000000000007"/>
    <n v="0"/>
  </r>
  <r>
    <n v="9017"/>
    <s v="CA-2016-131639"/>
    <d v="2016-12-17T00:00:00"/>
    <x v="0"/>
    <s v="Q4"/>
    <x v="5"/>
    <d v="2016-12-23T00:00:00"/>
    <s v="Standard Class"/>
    <x v="374"/>
    <x v="374"/>
    <s v="Corporate"/>
    <s v="United States"/>
    <s v="Carlsbad"/>
    <x v="27"/>
    <n v="88220"/>
    <x v="1"/>
    <x v="1395"/>
    <x v="1"/>
    <x v="8"/>
    <x v="1382"/>
    <n v="11.416"/>
    <s v="Low"/>
    <n v="1"/>
    <n v="0.2"/>
    <x v="2"/>
    <x v="2"/>
    <n v="3.8529"/>
    <n v="0.33749999999999997"/>
    <n v="0"/>
  </r>
  <r>
    <n v="9018"/>
    <s v="CA-2016-161361"/>
    <d v="2016-03-26T00:00:00"/>
    <x v="0"/>
    <s v="Q1"/>
    <x v="17"/>
    <d v="2016-03-28T00:00:00"/>
    <s v="Second Class"/>
    <x v="597"/>
    <x v="597"/>
    <s v="Consumer"/>
    <s v="United States"/>
    <s v="Pocatello"/>
    <x v="45"/>
    <n v="83201"/>
    <x v="1"/>
    <x v="1017"/>
    <x v="1"/>
    <x v="10"/>
    <x v="1008"/>
    <n v="17.64"/>
    <s v="Low"/>
    <n v="3"/>
    <n v="0"/>
    <x v="0"/>
    <x v="0"/>
    <n v="8.6435999999999993"/>
    <n v="0.48999999999999994"/>
    <n v="0"/>
  </r>
  <r>
    <n v="9019"/>
    <s v="CA-2016-161361"/>
    <d v="2016-03-26T00:00:00"/>
    <x v="0"/>
    <s v="Q1"/>
    <x v="17"/>
    <d v="2016-03-28T00:00:00"/>
    <s v="Second Class"/>
    <x v="597"/>
    <x v="597"/>
    <s v="Consumer"/>
    <s v="United States"/>
    <s v="Pocatello"/>
    <x v="45"/>
    <n v="83201"/>
    <x v="1"/>
    <x v="20"/>
    <x v="1"/>
    <x v="8"/>
    <x v="20"/>
    <n v="17.04"/>
    <s v="Low"/>
    <n v="3"/>
    <n v="0.2"/>
    <x v="2"/>
    <x v="2"/>
    <n v="5.5380000000000003"/>
    <n v="0.32500000000000001"/>
    <n v="0"/>
  </r>
  <r>
    <n v="9020"/>
    <s v="CA-2014-100706"/>
    <d v="2014-12-16T00:00:00"/>
    <x v="2"/>
    <s v="Q4"/>
    <x v="20"/>
    <d v="2014-12-18T00:00:00"/>
    <s v="Second Class"/>
    <x v="97"/>
    <x v="97"/>
    <s v="Consumer"/>
    <s v="United States"/>
    <s v="Springfield"/>
    <x v="17"/>
    <n v="22153"/>
    <x v="0"/>
    <x v="959"/>
    <x v="2"/>
    <x v="11"/>
    <x v="952"/>
    <n v="99.98"/>
    <s v="Medium"/>
    <n v="2"/>
    <n v="0"/>
    <x v="0"/>
    <x v="0"/>
    <n v="7.9984000000000002"/>
    <n v="0.08"/>
    <n v="0"/>
  </r>
  <r>
    <n v="9021"/>
    <s v="CA-2014-100706"/>
    <d v="2014-12-16T00:00:00"/>
    <x v="2"/>
    <s v="Q4"/>
    <x v="20"/>
    <d v="2014-12-18T00:00:00"/>
    <s v="Second Class"/>
    <x v="97"/>
    <x v="97"/>
    <s v="Consumer"/>
    <s v="United States"/>
    <s v="Springfield"/>
    <x v="17"/>
    <n v="22153"/>
    <x v="0"/>
    <x v="875"/>
    <x v="0"/>
    <x v="5"/>
    <x v="869"/>
    <n v="29.46"/>
    <s v="Medium"/>
    <n v="6"/>
    <n v="0"/>
    <x v="0"/>
    <x v="0"/>
    <n v="9.7218"/>
    <n v="0.33"/>
    <n v="0"/>
  </r>
  <r>
    <n v="9022"/>
    <s v="CA-2015-129525"/>
    <d v="2015-11-15T00:00:00"/>
    <x v="1"/>
    <s v="Q4"/>
    <x v="6"/>
    <d v="2015-11-20T00:00:00"/>
    <s v="Standard Class"/>
    <x v="778"/>
    <x v="778"/>
    <s v="Corporate"/>
    <s v="United States"/>
    <s v="Toledo"/>
    <x v="24"/>
    <n v="43615"/>
    <x v="3"/>
    <x v="1160"/>
    <x v="1"/>
    <x v="8"/>
    <x v="1147"/>
    <n v="166.92"/>
    <s v="High"/>
    <n v="13"/>
    <n v="0.7"/>
    <x v="1"/>
    <x v="5"/>
    <n v="-116.84399999999999"/>
    <n v="-0.70000000000000007"/>
    <n v="1"/>
  </r>
  <r>
    <n v="9023"/>
    <s v="US-2016-141880"/>
    <d v="2016-08-22T00:00:00"/>
    <x v="0"/>
    <s v="Q3"/>
    <x v="28"/>
    <d v="2016-08-23T00:00:00"/>
    <s v="First Class"/>
    <x v="679"/>
    <x v="679"/>
    <s v="Home Office"/>
    <s v="United States"/>
    <s v="Fort Collins"/>
    <x v="22"/>
    <n v="80525"/>
    <x v="1"/>
    <x v="514"/>
    <x v="0"/>
    <x v="5"/>
    <x v="514"/>
    <n v="98.328000000000003"/>
    <s v="Medium"/>
    <n v="3"/>
    <n v="0.2"/>
    <x v="2"/>
    <x v="2"/>
    <n v="9.8328000000000007"/>
    <n v="0.1"/>
    <n v="0"/>
  </r>
  <r>
    <n v="9024"/>
    <s v="CA-2015-165799"/>
    <d v="2015-06-29T00:00:00"/>
    <x v="1"/>
    <s v="Q2"/>
    <x v="40"/>
    <d v="2015-07-02T00:00:00"/>
    <s v="First Class"/>
    <x v="495"/>
    <x v="495"/>
    <s v="Consumer"/>
    <s v="United States"/>
    <s v="New York City"/>
    <x v="15"/>
    <n v="10024"/>
    <x v="3"/>
    <x v="541"/>
    <x v="0"/>
    <x v="1"/>
    <x v="541"/>
    <n v="117.88200000000001"/>
    <s v="Medium"/>
    <n v="1"/>
    <n v="0.1"/>
    <x v="3"/>
    <x v="8"/>
    <n v="1.3098000000000001"/>
    <n v="1.1111111111111112E-2"/>
    <n v="0"/>
  </r>
  <r>
    <n v="9025"/>
    <s v="CA-2016-102127"/>
    <d v="2016-06-26T00:00:00"/>
    <x v="0"/>
    <s v="Q2"/>
    <x v="1"/>
    <d v="2016-07-02T00:00:00"/>
    <s v="Standard Class"/>
    <x v="778"/>
    <x v="778"/>
    <s v="Corporate"/>
    <s v="United States"/>
    <s v="New York City"/>
    <x v="15"/>
    <n v="10035"/>
    <x v="3"/>
    <x v="1695"/>
    <x v="2"/>
    <x v="11"/>
    <x v="1683"/>
    <n v="20.97"/>
    <s v="Low"/>
    <n v="3"/>
    <n v="0"/>
    <x v="0"/>
    <x v="0"/>
    <n v="9.0170999999999992"/>
    <n v="0.43"/>
    <n v="0"/>
  </r>
  <r>
    <n v="9026"/>
    <s v="CA-2016-102127"/>
    <d v="2016-06-26T00:00:00"/>
    <x v="0"/>
    <s v="Q2"/>
    <x v="1"/>
    <d v="2016-07-02T00:00:00"/>
    <s v="Standard Class"/>
    <x v="778"/>
    <x v="778"/>
    <s v="Corporate"/>
    <s v="United States"/>
    <s v="New York City"/>
    <x v="15"/>
    <n v="10035"/>
    <x v="3"/>
    <x v="1481"/>
    <x v="2"/>
    <x v="11"/>
    <x v="1468"/>
    <n v="139.96"/>
    <s v="High"/>
    <n v="4"/>
    <n v="0"/>
    <x v="0"/>
    <x v="0"/>
    <n v="9.7972000000000001"/>
    <n v="6.9999999999999993E-2"/>
    <n v="0"/>
  </r>
  <r>
    <n v="9027"/>
    <s v="CA-2016-102127"/>
    <d v="2016-06-26T00:00:00"/>
    <x v="0"/>
    <s v="Q2"/>
    <x v="1"/>
    <d v="2016-07-02T00:00:00"/>
    <s v="Standard Class"/>
    <x v="778"/>
    <x v="778"/>
    <s v="Corporate"/>
    <s v="United States"/>
    <s v="New York City"/>
    <x v="15"/>
    <n v="10035"/>
    <x v="3"/>
    <x v="980"/>
    <x v="0"/>
    <x v="5"/>
    <x v="973"/>
    <n v="37.74"/>
    <s v="Medium"/>
    <n v="3"/>
    <n v="0"/>
    <x v="0"/>
    <x v="0"/>
    <n v="12.8316"/>
    <n v="0.33999999999999997"/>
    <n v="0"/>
  </r>
  <r>
    <n v="9028"/>
    <s v="US-2016-152415"/>
    <d v="2016-09-17T00:00:00"/>
    <x v="0"/>
    <s v="Q3"/>
    <x v="21"/>
    <d v="2016-09-22T00:00:00"/>
    <s v="Standard Class"/>
    <x v="22"/>
    <x v="22"/>
    <s v="Consumer"/>
    <s v="United States"/>
    <s v="Marlborough"/>
    <x v="31"/>
    <n v="1752"/>
    <x v="3"/>
    <x v="627"/>
    <x v="0"/>
    <x v="5"/>
    <x v="627"/>
    <n v="14.82"/>
    <s v="Low"/>
    <n v="3"/>
    <n v="0"/>
    <x v="0"/>
    <x v="0"/>
    <n v="6.2244000000000002"/>
    <n v="0.42"/>
    <n v="0"/>
  </r>
  <r>
    <n v="9029"/>
    <s v="US-2016-152415"/>
    <d v="2016-09-17T00:00:00"/>
    <x v="0"/>
    <s v="Q3"/>
    <x v="21"/>
    <d v="2016-09-22T00:00:00"/>
    <s v="Standard Class"/>
    <x v="22"/>
    <x v="22"/>
    <s v="Consumer"/>
    <s v="United States"/>
    <s v="Marlborough"/>
    <x v="31"/>
    <n v="1752"/>
    <x v="3"/>
    <x v="441"/>
    <x v="0"/>
    <x v="5"/>
    <x v="441"/>
    <n v="191.82"/>
    <s v="High"/>
    <n v="3"/>
    <n v="0"/>
    <x v="0"/>
    <x v="0"/>
    <n v="61.382399999999997"/>
    <n v="0.32"/>
    <n v="0"/>
  </r>
  <r>
    <n v="9030"/>
    <s v="CA-2014-138198"/>
    <d v="2014-07-18T00:00:00"/>
    <x v="2"/>
    <s v="Q3"/>
    <x v="39"/>
    <d v="2014-07-23T00:00:00"/>
    <s v="Standard Class"/>
    <x v="691"/>
    <x v="691"/>
    <s v="Consumer"/>
    <s v="United States"/>
    <s v="New Rochelle"/>
    <x v="15"/>
    <n v="10801"/>
    <x v="3"/>
    <x v="530"/>
    <x v="1"/>
    <x v="8"/>
    <x v="530"/>
    <n v="13.904"/>
    <s v="Low"/>
    <n v="2"/>
    <n v="0.2"/>
    <x v="2"/>
    <x v="2"/>
    <n v="4.5187999999999997"/>
    <n v="0.32499999999999996"/>
    <n v="0"/>
  </r>
  <r>
    <n v="9031"/>
    <s v="CA-2017-128041"/>
    <d v="2017-09-01T00:00:00"/>
    <x v="3"/>
    <s v="Q3"/>
    <x v="15"/>
    <d v="2017-09-01T00:00:00"/>
    <s v="Same Day"/>
    <x v="459"/>
    <x v="459"/>
    <s v="Corporate"/>
    <s v="United States"/>
    <s v="Seattle"/>
    <x v="4"/>
    <n v="98103"/>
    <x v="1"/>
    <x v="1152"/>
    <x v="1"/>
    <x v="9"/>
    <x v="1140"/>
    <n v="314.60000000000002"/>
    <s v="High"/>
    <n v="4"/>
    <n v="0"/>
    <x v="0"/>
    <x v="0"/>
    <n v="103.818"/>
    <n v="0.32999999999999996"/>
    <n v="0"/>
  </r>
  <r>
    <n v="9032"/>
    <s v="CA-2017-128041"/>
    <d v="2017-09-01T00:00:00"/>
    <x v="3"/>
    <s v="Q3"/>
    <x v="15"/>
    <d v="2017-09-01T00:00:00"/>
    <s v="Same Day"/>
    <x v="459"/>
    <x v="459"/>
    <s v="Corporate"/>
    <s v="United States"/>
    <s v="Seattle"/>
    <x v="4"/>
    <n v="98103"/>
    <x v="1"/>
    <x v="223"/>
    <x v="0"/>
    <x v="3"/>
    <x v="224"/>
    <n v="283.56"/>
    <s v="High"/>
    <n v="4"/>
    <n v="0"/>
    <x v="0"/>
    <x v="0"/>
    <n v="45.369599999999998"/>
    <n v="0.16"/>
    <n v="0"/>
  </r>
  <r>
    <n v="9033"/>
    <s v="CA-2017-105823"/>
    <d v="2017-06-22T00:00:00"/>
    <x v="3"/>
    <s v="Q2"/>
    <x v="27"/>
    <d v="2017-06-26T00:00:00"/>
    <s v="Standard Class"/>
    <x v="46"/>
    <x v="46"/>
    <s v="Home Office"/>
    <s v="United States"/>
    <s v="Detroit"/>
    <x v="12"/>
    <n v="48227"/>
    <x v="2"/>
    <x v="1"/>
    <x v="0"/>
    <x v="1"/>
    <x v="1"/>
    <n v="487.96"/>
    <s v="High"/>
    <n v="2"/>
    <n v="0"/>
    <x v="0"/>
    <x v="0"/>
    <n v="146.38800000000001"/>
    <n v="0.30000000000000004"/>
    <n v="0"/>
  </r>
  <r>
    <n v="9034"/>
    <s v="CA-2014-152268"/>
    <d v="2014-09-02T00:00:00"/>
    <x v="2"/>
    <s v="Q3"/>
    <x v="30"/>
    <d v="2014-09-07T00:00:00"/>
    <s v="Standard Class"/>
    <x v="183"/>
    <x v="183"/>
    <s v="Consumer"/>
    <s v="United States"/>
    <s v="Fayetteville"/>
    <x v="36"/>
    <n v="72701"/>
    <x v="0"/>
    <x v="1176"/>
    <x v="1"/>
    <x v="8"/>
    <x v="1162"/>
    <n v="1793.98"/>
    <s v="High"/>
    <n v="2"/>
    <n v="0"/>
    <x v="0"/>
    <x v="0"/>
    <n v="843.17060000000004"/>
    <n v="0.47000000000000003"/>
    <n v="0"/>
  </r>
  <r>
    <n v="9035"/>
    <s v="CA-2015-148873"/>
    <d v="2015-10-01T00:00:00"/>
    <x v="1"/>
    <s v="Q4"/>
    <x v="2"/>
    <d v="2015-10-05T00:00:00"/>
    <s v="Standard Class"/>
    <x v="75"/>
    <x v="75"/>
    <s v="Consumer"/>
    <s v="United States"/>
    <s v="Quincy"/>
    <x v="10"/>
    <n v="62301"/>
    <x v="2"/>
    <x v="1390"/>
    <x v="1"/>
    <x v="8"/>
    <x v="1376"/>
    <n v="2.992"/>
    <s v="Low"/>
    <n v="4"/>
    <n v="0.8"/>
    <x v="1"/>
    <x v="3"/>
    <n v="-4.4880000000000004"/>
    <n v="-1.5000000000000002"/>
    <n v="1"/>
  </r>
  <r>
    <n v="9036"/>
    <s v="CA-2015-148873"/>
    <d v="2015-10-01T00:00:00"/>
    <x v="1"/>
    <s v="Q4"/>
    <x v="2"/>
    <d v="2015-10-05T00:00:00"/>
    <s v="Standard Class"/>
    <x v="75"/>
    <x v="75"/>
    <s v="Consumer"/>
    <s v="United States"/>
    <s v="Quincy"/>
    <x v="10"/>
    <n v="62301"/>
    <x v="2"/>
    <x v="151"/>
    <x v="2"/>
    <x v="11"/>
    <x v="152"/>
    <n v="108.768"/>
    <s v="Medium"/>
    <n v="4"/>
    <n v="0.2"/>
    <x v="2"/>
    <x v="2"/>
    <n v="2.7191999999999998"/>
    <n v="2.4999999999999998E-2"/>
    <n v="0"/>
  </r>
  <r>
    <n v="9037"/>
    <s v="CA-2015-166492"/>
    <d v="2015-04-07T00:00:00"/>
    <x v="1"/>
    <s v="Q2"/>
    <x v="19"/>
    <d v="2015-04-10T00:00:00"/>
    <s v="First Class"/>
    <x v="261"/>
    <x v="261"/>
    <s v="Consumer"/>
    <s v="United States"/>
    <s v="New York City"/>
    <x v="15"/>
    <n v="10035"/>
    <x v="3"/>
    <x v="1009"/>
    <x v="1"/>
    <x v="10"/>
    <x v="1001"/>
    <n v="25.92"/>
    <s v="Medium"/>
    <n v="4"/>
    <n v="0"/>
    <x v="0"/>
    <x v="0"/>
    <n v="12.441599999999999"/>
    <n v="0.47999999999999993"/>
    <n v="0"/>
  </r>
  <r>
    <n v="9038"/>
    <s v="CA-2015-166492"/>
    <d v="2015-04-07T00:00:00"/>
    <x v="1"/>
    <s v="Q2"/>
    <x v="19"/>
    <d v="2015-04-10T00:00:00"/>
    <s v="First Class"/>
    <x v="261"/>
    <x v="261"/>
    <s v="Consumer"/>
    <s v="United States"/>
    <s v="New York City"/>
    <x v="15"/>
    <n v="10035"/>
    <x v="3"/>
    <x v="1011"/>
    <x v="1"/>
    <x v="4"/>
    <x v="1003"/>
    <n v="22.58"/>
    <s v="Low"/>
    <n v="2"/>
    <n v="0"/>
    <x v="0"/>
    <x v="0"/>
    <n v="5.8708"/>
    <n v="0.26"/>
    <n v="0"/>
  </r>
  <r>
    <n v="9039"/>
    <s v="CA-2017-157420"/>
    <d v="2017-11-21T00:00:00"/>
    <x v="3"/>
    <s v="Q4"/>
    <x v="23"/>
    <d v="2017-11-21T00:00:00"/>
    <s v="Same Day"/>
    <x v="521"/>
    <x v="521"/>
    <s v="Consumer"/>
    <s v="United States"/>
    <s v="Houston"/>
    <x v="5"/>
    <n v="77095"/>
    <x v="2"/>
    <x v="461"/>
    <x v="2"/>
    <x v="7"/>
    <x v="462"/>
    <n v="55.176000000000002"/>
    <s v="Medium"/>
    <n v="3"/>
    <n v="0.2"/>
    <x v="2"/>
    <x v="2"/>
    <n v="-12.4146"/>
    <n v="-0.22500000000000001"/>
    <n v="1"/>
  </r>
  <r>
    <n v="9040"/>
    <s v="CA-2016-117121"/>
    <d v="2016-12-17T00:00:00"/>
    <x v="0"/>
    <s v="Q4"/>
    <x v="5"/>
    <d v="2016-12-21T00:00:00"/>
    <s v="Standard Class"/>
    <x v="455"/>
    <x v="455"/>
    <s v="Consumer"/>
    <s v="United States"/>
    <s v="Detroit"/>
    <x v="12"/>
    <n v="48205"/>
    <x v="2"/>
    <x v="692"/>
    <x v="1"/>
    <x v="8"/>
    <x v="692"/>
    <n v="9892.74"/>
    <s v="High"/>
    <n v="13"/>
    <n v="0"/>
    <x v="0"/>
    <x v="0"/>
    <n v="4946.37"/>
    <n v="0.5"/>
    <n v="0"/>
  </r>
  <r>
    <n v="9041"/>
    <s v="CA-2014-138177"/>
    <d v="2014-09-19T00:00:00"/>
    <x v="2"/>
    <s v="Q3"/>
    <x v="30"/>
    <d v="2014-09-24T00:00:00"/>
    <s v="Standard Class"/>
    <x v="540"/>
    <x v="540"/>
    <s v="Corporate"/>
    <s v="United States"/>
    <s v="Chandler"/>
    <x v="16"/>
    <n v="85224"/>
    <x v="1"/>
    <x v="1116"/>
    <x v="0"/>
    <x v="3"/>
    <x v="1104"/>
    <n v="73.915000000000006"/>
    <s v="Medium"/>
    <n v="1"/>
    <n v="0.5"/>
    <x v="1"/>
    <x v="1"/>
    <n v="-45.827300000000001"/>
    <n v="-0.62"/>
    <n v="1"/>
  </r>
  <r>
    <n v="9042"/>
    <s v="CA-2014-114335"/>
    <d v="2014-09-28T00:00:00"/>
    <x v="2"/>
    <s v="Q3"/>
    <x v="30"/>
    <d v="2014-10-03T00:00:00"/>
    <s v="Standard Class"/>
    <x v="190"/>
    <x v="190"/>
    <s v="Consumer"/>
    <s v="United States"/>
    <s v="Hollywood"/>
    <x v="2"/>
    <n v="33021"/>
    <x v="0"/>
    <x v="1805"/>
    <x v="0"/>
    <x v="5"/>
    <x v="1795"/>
    <n v="337.08800000000002"/>
    <s v="High"/>
    <n v="4"/>
    <n v="0.2"/>
    <x v="2"/>
    <x v="2"/>
    <n v="16.854399999999998"/>
    <n v="4.9999999999999989E-2"/>
    <n v="0"/>
  </r>
  <r>
    <n v="9043"/>
    <s v="CA-2015-168760"/>
    <d v="2015-09-22T00:00:00"/>
    <x v="1"/>
    <s v="Q3"/>
    <x v="11"/>
    <d v="2015-09-26T00:00:00"/>
    <s v="Second Class"/>
    <x v="152"/>
    <x v="152"/>
    <s v="Corporate"/>
    <s v="United States"/>
    <s v="Los Angeles"/>
    <x v="1"/>
    <n v="90049"/>
    <x v="1"/>
    <x v="564"/>
    <x v="1"/>
    <x v="9"/>
    <x v="564"/>
    <n v="61.44"/>
    <s v="Medium"/>
    <n v="3"/>
    <n v="0"/>
    <x v="0"/>
    <x v="0"/>
    <n v="16.588799999999999"/>
    <n v="0.27"/>
    <n v="0"/>
  </r>
  <r>
    <n v="9044"/>
    <s v="CA-2016-168830"/>
    <d v="2016-11-07T00:00:00"/>
    <x v="0"/>
    <s v="Q4"/>
    <x v="0"/>
    <d v="2016-11-13T00:00:00"/>
    <s v="Standard Class"/>
    <x v="504"/>
    <x v="504"/>
    <s v="Corporate"/>
    <s v="United States"/>
    <s v="San Francisco"/>
    <x v="1"/>
    <n v="94122"/>
    <x v="1"/>
    <x v="331"/>
    <x v="2"/>
    <x v="11"/>
    <x v="331"/>
    <n v="479.97"/>
    <s v="High"/>
    <n v="3"/>
    <n v="0"/>
    <x v="0"/>
    <x v="0"/>
    <n v="163.18979999999999"/>
    <n v="0.33999999999999997"/>
    <n v="0"/>
  </r>
  <r>
    <n v="9045"/>
    <s v="CA-2017-137463"/>
    <d v="2017-12-16T00:00:00"/>
    <x v="3"/>
    <s v="Q4"/>
    <x v="22"/>
    <d v="2017-12-20T00:00:00"/>
    <s v="Second Class"/>
    <x v="366"/>
    <x v="366"/>
    <s v="Corporate"/>
    <s v="United States"/>
    <s v="Sunnyvale"/>
    <x v="1"/>
    <n v="94086"/>
    <x v="1"/>
    <x v="1390"/>
    <x v="1"/>
    <x v="8"/>
    <x v="1376"/>
    <n v="5.984"/>
    <s v="Low"/>
    <n v="2"/>
    <n v="0.2"/>
    <x v="2"/>
    <x v="2"/>
    <n v="2.2440000000000002"/>
    <n v="0.37500000000000006"/>
    <n v="0"/>
  </r>
  <r>
    <n v="9046"/>
    <s v="CA-2017-137463"/>
    <d v="2017-12-16T00:00:00"/>
    <x v="3"/>
    <s v="Q4"/>
    <x v="22"/>
    <d v="2017-12-20T00:00:00"/>
    <s v="Second Class"/>
    <x v="366"/>
    <x v="366"/>
    <s v="Corporate"/>
    <s v="United States"/>
    <s v="Sunnyvale"/>
    <x v="1"/>
    <n v="94086"/>
    <x v="1"/>
    <x v="1302"/>
    <x v="2"/>
    <x v="11"/>
    <x v="1287"/>
    <n v="189.95"/>
    <s v="High"/>
    <n v="5"/>
    <n v="0"/>
    <x v="0"/>
    <x v="0"/>
    <n v="45.588000000000001"/>
    <n v="0.24000000000000002"/>
    <n v="0"/>
  </r>
  <r>
    <n v="9047"/>
    <s v="CA-2017-137463"/>
    <d v="2017-12-16T00:00:00"/>
    <x v="3"/>
    <s v="Q4"/>
    <x v="22"/>
    <d v="2017-12-20T00:00:00"/>
    <s v="Second Class"/>
    <x v="366"/>
    <x v="366"/>
    <s v="Corporate"/>
    <s v="United States"/>
    <s v="Sunnyvale"/>
    <x v="1"/>
    <n v="94086"/>
    <x v="1"/>
    <x v="632"/>
    <x v="2"/>
    <x v="11"/>
    <x v="632"/>
    <n v="149.94999999999999"/>
    <s v="High"/>
    <n v="5"/>
    <n v="0"/>
    <x v="0"/>
    <x v="0"/>
    <n v="31.4895"/>
    <n v="0.21000000000000002"/>
    <n v="0"/>
  </r>
  <r>
    <n v="9048"/>
    <s v="CA-2017-137463"/>
    <d v="2017-12-16T00:00:00"/>
    <x v="3"/>
    <s v="Q4"/>
    <x v="22"/>
    <d v="2017-12-20T00:00:00"/>
    <s v="Second Class"/>
    <x v="366"/>
    <x v="366"/>
    <s v="Corporate"/>
    <s v="United States"/>
    <s v="Sunnyvale"/>
    <x v="1"/>
    <n v="94086"/>
    <x v="1"/>
    <x v="758"/>
    <x v="1"/>
    <x v="6"/>
    <x v="756"/>
    <n v="29.95"/>
    <s v="Medium"/>
    <n v="5"/>
    <n v="0"/>
    <x v="0"/>
    <x v="0"/>
    <n v="8.6854999999999993"/>
    <n v="0.28999999999999998"/>
    <n v="0"/>
  </r>
  <r>
    <n v="9049"/>
    <s v="CA-2017-137463"/>
    <d v="2017-12-16T00:00:00"/>
    <x v="3"/>
    <s v="Q4"/>
    <x v="22"/>
    <d v="2017-12-20T00:00:00"/>
    <s v="Second Class"/>
    <x v="366"/>
    <x v="366"/>
    <s v="Corporate"/>
    <s v="United States"/>
    <s v="Sunnyvale"/>
    <x v="1"/>
    <n v="94086"/>
    <x v="1"/>
    <x v="1760"/>
    <x v="1"/>
    <x v="2"/>
    <x v="1749"/>
    <n v="44.4"/>
    <s v="Medium"/>
    <n v="3"/>
    <n v="0"/>
    <x v="0"/>
    <x v="0"/>
    <n v="22.2"/>
    <n v="0.5"/>
    <n v="0"/>
  </r>
  <r>
    <n v="9050"/>
    <s v="CA-2014-124513"/>
    <d v="2014-09-21T00:00:00"/>
    <x v="2"/>
    <s v="Q3"/>
    <x v="30"/>
    <d v="2014-09-25T00:00:00"/>
    <s v="Standard Class"/>
    <x v="359"/>
    <x v="359"/>
    <s v="Home Office"/>
    <s v="United States"/>
    <s v="New York City"/>
    <x v="15"/>
    <n v="10011"/>
    <x v="3"/>
    <x v="666"/>
    <x v="1"/>
    <x v="6"/>
    <x v="666"/>
    <n v="66.03"/>
    <s v="Medium"/>
    <n v="3"/>
    <n v="0"/>
    <x v="0"/>
    <x v="0"/>
    <n v="17.1678"/>
    <n v="0.26"/>
    <n v="0"/>
  </r>
  <r>
    <n v="9051"/>
    <s v="CA-2015-165554"/>
    <d v="2015-05-18T00:00:00"/>
    <x v="1"/>
    <s v="Q2"/>
    <x v="33"/>
    <d v="2015-05-22T00:00:00"/>
    <s v="Standard Class"/>
    <x v="321"/>
    <x v="321"/>
    <s v="Corporate"/>
    <s v="United States"/>
    <s v="Los Angeles"/>
    <x v="1"/>
    <n v="90004"/>
    <x v="1"/>
    <x v="362"/>
    <x v="1"/>
    <x v="10"/>
    <x v="362"/>
    <n v="10.86"/>
    <s v="Low"/>
    <n v="2"/>
    <n v="0"/>
    <x v="0"/>
    <x v="0"/>
    <n v="5.3213999999999997"/>
    <n v="0.49"/>
    <n v="0"/>
  </r>
  <r>
    <n v="9052"/>
    <s v="CA-2014-141838"/>
    <d v="2014-03-26T00:00:00"/>
    <x v="2"/>
    <s v="Q1"/>
    <x v="34"/>
    <d v="2014-03-31T00:00:00"/>
    <s v="Second Class"/>
    <x v="460"/>
    <x v="460"/>
    <s v="Corporate"/>
    <s v="United States"/>
    <s v="San Francisco"/>
    <x v="1"/>
    <n v="94122"/>
    <x v="1"/>
    <x v="1245"/>
    <x v="1"/>
    <x v="6"/>
    <x v="1229"/>
    <n v="3.36"/>
    <s v="Low"/>
    <n v="2"/>
    <n v="0"/>
    <x v="0"/>
    <x v="0"/>
    <n v="0.84"/>
    <n v="0.25"/>
    <n v="0"/>
  </r>
  <r>
    <n v="9053"/>
    <s v="CA-2014-141838"/>
    <d v="2014-03-26T00:00:00"/>
    <x v="2"/>
    <s v="Q1"/>
    <x v="34"/>
    <d v="2014-03-31T00:00:00"/>
    <s v="Second Class"/>
    <x v="460"/>
    <x v="460"/>
    <s v="Corporate"/>
    <s v="United States"/>
    <s v="San Francisco"/>
    <x v="1"/>
    <n v="94122"/>
    <x v="1"/>
    <x v="44"/>
    <x v="1"/>
    <x v="8"/>
    <x v="44"/>
    <n v="27.936"/>
    <s v="Medium"/>
    <n v="4"/>
    <n v="0.2"/>
    <x v="2"/>
    <x v="2"/>
    <n v="9.4283999999999999"/>
    <n v="0.33750000000000002"/>
    <n v="0"/>
  </r>
  <r>
    <n v="9054"/>
    <s v="CA-2014-141838"/>
    <d v="2014-03-26T00:00:00"/>
    <x v="2"/>
    <s v="Q1"/>
    <x v="34"/>
    <d v="2014-03-31T00:00:00"/>
    <s v="Second Class"/>
    <x v="460"/>
    <x v="460"/>
    <s v="Corporate"/>
    <s v="United States"/>
    <s v="San Francisco"/>
    <x v="1"/>
    <n v="94122"/>
    <x v="1"/>
    <x v="1763"/>
    <x v="2"/>
    <x v="7"/>
    <x v="1752"/>
    <n v="28.783999999999999"/>
    <s v="Medium"/>
    <n v="2"/>
    <n v="0.2"/>
    <x v="2"/>
    <x v="2"/>
    <n v="2.8784000000000001"/>
    <n v="0.1"/>
    <n v="0"/>
  </r>
  <r>
    <n v="9055"/>
    <s v="CA-2017-117009"/>
    <d v="2017-09-22T00:00:00"/>
    <x v="3"/>
    <s v="Q3"/>
    <x v="15"/>
    <d v="2017-09-28T00:00:00"/>
    <s v="Standard Class"/>
    <x v="318"/>
    <x v="318"/>
    <s v="Consumer"/>
    <s v="United States"/>
    <s v="Santa Ana"/>
    <x v="1"/>
    <n v="92704"/>
    <x v="1"/>
    <x v="133"/>
    <x v="1"/>
    <x v="14"/>
    <x v="134"/>
    <n v="21.96"/>
    <s v="Low"/>
    <n v="2"/>
    <n v="0"/>
    <x v="0"/>
    <x v="0"/>
    <n v="6.1487999999999996"/>
    <n v="0.27999999999999997"/>
    <n v="0"/>
  </r>
  <r>
    <n v="9056"/>
    <s v="CA-2015-128993"/>
    <d v="2015-09-12T00:00:00"/>
    <x v="1"/>
    <s v="Q3"/>
    <x v="11"/>
    <d v="2015-09-17T00:00:00"/>
    <s v="Second Class"/>
    <x v="113"/>
    <x v="113"/>
    <s v="Consumer"/>
    <s v="United States"/>
    <s v="Seattle"/>
    <x v="4"/>
    <n v="98103"/>
    <x v="1"/>
    <x v="916"/>
    <x v="2"/>
    <x v="11"/>
    <x v="908"/>
    <n v="21.98"/>
    <s v="Low"/>
    <n v="2"/>
    <n v="0"/>
    <x v="0"/>
    <x v="0"/>
    <n v="8.5722000000000005"/>
    <n v="0.39"/>
    <n v="0"/>
  </r>
  <r>
    <n v="9057"/>
    <s v="CA-2015-160227"/>
    <d v="2015-11-02T00:00:00"/>
    <x v="1"/>
    <s v="Q4"/>
    <x v="6"/>
    <d v="2015-11-04T00:00:00"/>
    <s v="First Class"/>
    <x v="525"/>
    <x v="525"/>
    <s v="Home Office"/>
    <s v="United States"/>
    <s v="New York City"/>
    <x v="15"/>
    <n v="10011"/>
    <x v="3"/>
    <x v="1802"/>
    <x v="0"/>
    <x v="1"/>
    <x v="1792"/>
    <n v="2621.3220000000001"/>
    <s v="High"/>
    <n v="11"/>
    <n v="0.1"/>
    <x v="3"/>
    <x v="8"/>
    <n v="553.39020000000005"/>
    <n v="0.21111111111111111"/>
    <n v="0"/>
  </r>
  <r>
    <n v="9058"/>
    <s v="CA-2015-149097"/>
    <d v="2015-10-20T00:00:00"/>
    <x v="1"/>
    <s v="Q4"/>
    <x v="2"/>
    <d v="2015-10-24T00:00:00"/>
    <s v="Standard Class"/>
    <x v="647"/>
    <x v="647"/>
    <s v="Consumer"/>
    <s v="United States"/>
    <s v="Los Angeles"/>
    <x v="1"/>
    <n v="90045"/>
    <x v="1"/>
    <x v="1680"/>
    <x v="0"/>
    <x v="5"/>
    <x v="1668"/>
    <n v="74.760000000000005"/>
    <s v="Medium"/>
    <n v="7"/>
    <n v="0"/>
    <x v="0"/>
    <x v="0"/>
    <n v="23.923200000000001"/>
    <n v="0.32"/>
    <n v="0"/>
  </r>
  <r>
    <n v="9059"/>
    <s v="CA-2015-149097"/>
    <d v="2015-10-20T00:00:00"/>
    <x v="1"/>
    <s v="Q4"/>
    <x v="2"/>
    <d v="2015-10-24T00:00:00"/>
    <s v="Standard Class"/>
    <x v="647"/>
    <x v="647"/>
    <s v="Consumer"/>
    <s v="United States"/>
    <s v="Los Angeles"/>
    <x v="1"/>
    <n v="90045"/>
    <x v="1"/>
    <x v="1746"/>
    <x v="0"/>
    <x v="3"/>
    <x v="1736"/>
    <n v="364.77600000000001"/>
    <s v="High"/>
    <n v="3"/>
    <n v="0.2"/>
    <x v="2"/>
    <x v="2"/>
    <n v="27.3582"/>
    <n v="7.4999999999999997E-2"/>
    <n v="0"/>
  </r>
  <r>
    <n v="9060"/>
    <s v="CA-2016-132304"/>
    <d v="2016-06-14T00:00:00"/>
    <x v="0"/>
    <s v="Q2"/>
    <x v="1"/>
    <d v="2016-06-18T00:00:00"/>
    <s v="Standard Class"/>
    <x v="255"/>
    <x v="255"/>
    <s v="Corporate"/>
    <s v="United States"/>
    <s v="Seattle"/>
    <x v="4"/>
    <n v="98103"/>
    <x v="1"/>
    <x v="898"/>
    <x v="0"/>
    <x v="3"/>
    <x v="891"/>
    <n v="1115.17"/>
    <s v="High"/>
    <n v="7"/>
    <n v="0"/>
    <x v="0"/>
    <x v="0"/>
    <n v="334.55099999999999"/>
    <n v="0.3"/>
    <n v="0"/>
  </r>
  <r>
    <n v="9061"/>
    <s v="CA-2015-136420"/>
    <d v="2015-11-20T00:00:00"/>
    <x v="1"/>
    <s v="Q4"/>
    <x v="6"/>
    <d v="2015-11-21T00:00:00"/>
    <s v="First Class"/>
    <x v="294"/>
    <x v="294"/>
    <s v="Corporate"/>
    <s v="United States"/>
    <s v="San Diego"/>
    <x v="1"/>
    <n v="92024"/>
    <x v="1"/>
    <x v="912"/>
    <x v="1"/>
    <x v="8"/>
    <x v="904"/>
    <n v="89.695999999999998"/>
    <s v="Medium"/>
    <n v="4"/>
    <n v="0.2"/>
    <x v="2"/>
    <x v="2"/>
    <n v="33.636000000000003"/>
    <n v="0.37500000000000006"/>
    <n v="0"/>
  </r>
  <r>
    <n v="9062"/>
    <s v="CA-2015-136420"/>
    <d v="2015-11-20T00:00:00"/>
    <x v="1"/>
    <s v="Q4"/>
    <x v="6"/>
    <d v="2015-11-21T00:00:00"/>
    <s v="First Class"/>
    <x v="294"/>
    <x v="294"/>
    <s v="Corporate"/>
    <s v="United States"/>
    <s v="San Diego"/>
    <x v="1"/>
    <n v="92024"/>
    <x v="1"/>
    <x v="49"/>
    <x v="1"/>
    <x v="2"/>
    <x v="49"/>
    <n v="50.12"/>
    <s v="Medium"/>
    <n v="4"/>
    <n v="0"/>
    <x v="0"/>
    <x v="0"/>
    <n v="23.5564"/>
    <n v="0.47000000000000003"/>
    <n v="0"/>
  </r>
  <r>
    <n v="9063"/>
    <s v="CA-2016-101623"/>
    <d v="2016-02-28T00:00:00"/>
    <x v="0"/>
    <s v="Q1"/>
    <x v="47"/>
    <d v="2016-03-06T00:00:00"/>
    <s v="Standard Class"/>
    <x v="645"/>
    <x v="645"/>
    <s v="Corporate"/>
    <s v="United States"/>
    <s v="New York City"/>
    <x v="15"/>
    <n v="10035"/>
    <x v="3"/>
    <x v="829"/>
    <x v="1"/>
    <x v="13"/>
    <x v="128"/>
    <n v="36.479999999999997"/>
    <s v="Medium"/>
    <n v="6"/>
    <n v="0"/>
    <x v="0"/>
    <x v="0"/>
    <n v="18.239999999999998"/>
    <n v="0.5"/>
    <n v="0"/>
  </r>
  <r>
    <n v="9064"/>
    <s v="US-2014-151015"/>
    <d v="2014-10-14T00:00:00"/>
    <x v="2"/>
    <s v="Q4"/>
    <x v="18"/>
    <d v="2014-10-20T00:00:00"/>
    <s v="Standard Class"/>
    <x v="214"/>
    <x v="214"/>
    <s v="Consumer"/>
    <s v="United States"/>
    <s v="Chicago"/>
    <x v="10"/>
    <n v="60653"/>
    <x v="2"/>
    <x v="1323"/>
    <x v="1"/>
    <x v="10"/>
    <x v="1309"/>
    <n v="322.19200000000001"/>
    <s v="High"/>
    <n v="13"/>
    <n v="0.2"/>
    <x v="2"/>
    <x v="2"/>
    <n v="100.685"/>
    <n v="0.3125"/>
    <n v="0"/>
  </r>
  <r>
    <n v="9065"/>
    <s v="US-2014-151015"/>
    <d v="2014-10-14T00:00:00"/>
    <x v="2"/>
    <s v="Q4"/>
    <x v="18"/>
    <d v="2014-10-20T00:00:00"/>
    <s v="Standard Class"/>
    <x v="214"/>
    <x v="214"/>
    <s v="Consumer"/>
    <s v="United States"/>
    <s v="Chicago"/>
    <x v="10"/>
    <n v="60653"/>
    <x v="2"/>
    <x v="185"/>
    <x v="1"/>
    <x v="8"/>
    <x v="186"/>
    <n v="2.9460000000000002"/>
    <s v="Low"/>
    <n v="3"/>
    <n v="0.8"/>
    <x v="1"/>
    <x v="3"/>
    <n v="-4.8609"/>
    <n v="-1.65"/>
    <n v="1"/>
  </r>
  <r>
    <n v="9066"/>
    <s v="US-2014-151015"/>
    <d v="2014-10-14T00:00:00"/>
    <x v="2"/>
    <s v="Q4"/>
    <x v="18"/>
    <d v="2014-10-20T00:00:00"/>
    <s v="Standard Class"/>
    <x v="214"/>
    <x v="214"/>
    <s v="Consumer"/>
    <s v="United States"/>
    <s v="Chicago"/>
    <x v="10"/>
    <n v="60653"/>
    <x v="2"/>
    <x v="1331"/>
    <x v="1"/>
    <x v="10"/>
    <x v="1316"/>
    <n v="19.135999999999999"/>
    <s v="Low"/>
    <n v="4"/>
    <n v="0.2"/>
    <x v="2"/>
    <x v="2"/>
    <n v="6.9367999999999999"/>
    <n v="0.36249999999999999"/>
    <n v="0"/>
  </r>
  <r>
    <n v="9067"/>
    <s v="CA-2017-152968"/>
    <d v="2017-05-26T00:00:00"/>
    <x v="3"/>
    <s v="Q2"/>
    <x v="24"/>
    <d v="2017-05-30T00:00:00"/>
    <s v="Standard Class"/>
    <x v="298"/>
    <x v="298"/>
    <s v="Consumer"/>
    <s v="United States"/>
    <s v="Harrisonburg"/>
    <x v="17"/>
    <n v="22801"/>
    <x v="0"/>
    <x v="1575"/>
    <x v="2"/>
    <x v="11"/>
    <x v="1566"/>
    <n v="23.08"/>
    <s v="Low"/>
    <n v="2"/>
    <n v="0"/>
    <x v="0"/>
    <x v="0"/>
    <n v="6.9240000000000004"/>
    <n v="0.30000000000000004"/>
    <n v="0"/>
  </r>
  <r>
    <n v="9068"/>
    <s v="CA-2016-150077"/>
    <d v="2016-02-04T00:00:00"/>
    <x v="0"/>
    <s v="Q1"/>
    <x v="47"/>
    <d v="2016-02-10T00:00:00"/>
    <s v="Standard Class"/>
    <x v="333"/>
    <x v="333"/>
    <s v="Consumer"/>
    <s v="United States"/>
    <s v="Rockville"/>
    <x v="39"/>
    <n v="20852"/>
    <x v="3"/>
    <x v="1409"/>
    <x v="2"/>
    <x v="7"/>
    <x v="1396"/>
    <n v="90.48"/>
    <s v="Medium"/>
    <n v="2"/>
    <n v="0"/>
    <x v="0"/>
    <x v="0"/>
    <n v="23.524799999999999"/>
    <n v="0.25999999999999995"/>
    <n v="0"/>
  </r>
  <r>
    <n v="9069"/>
    <s v="CA-2016-106278"/>
    <d v="2016-09-02T00:00:00"/>
    <x v="0"/>
    <s v="Q3"/>
    <x v="21"/>
    <d v="2016-09-05T00:00:00"/>
    <s v="Second Class"/>
    <x v="78"/>
    <x v="78"/>
    <s v="Consumer"/>
    <s v="United States"/>
    <s v="Des Moines"/>
    <x v="4"/>
    <n v="98198"/>
    <x v="1"/>
    <x v="51"/>
    <x v="0"/>
    <x v="1"/>
    <x v="51"/>
    <n v="215.976"/>
    <s v="High"/>
    <n v="3"/>
    <n v="0.2"/>
    <x v="2"/>
    <x v="2"/>
    <n v="-2.6997"/>
    <n v="-1.2500000000000001E-2"/>
    <n v="1"/>
  </r>
  <r>
    <n v="9070"/>
    <s v="CA-2016-106278"/>
    <d v="2016-09-02T00:00:00"/>
    <x v="0"/>
    <s v="Q3"/>
    <x v="21"/>
    <d v="2016-09-05T00:00:00"/>
    <s v="Second Class"/>
    <x v="78"/>
    <x v="78"/>
    <s v="Consumer"/>
    <s v="United States"/>
    <s v="Des Moines"/>
    <x v="4"/>
    <n v="98198"/>
    <x v="1"/>
    <x v="1664"/>
    <x v="1"/>
    <x v="12"/>
    <x v="1652"/>
    <n v="65.94"/>
    <s v="Medium"/>
    <n v="3"/>
    <n v="0"/>
    <x v="0"/>
    <x v="0"/>
    <n v="30.991800000000001"/>
    <n v="0.47000000000000003"/>
    <n v="0"/>
  </r>
  <r>
    <n v="9071"/>
    <s v="CA-2017-147550"/>
    <d v="2017-12-04T00:00:00"/>
    <x v="3"/>
    <s v="Q4"/>
    <x v="22"/>
    <d v="2017-12-05T00:00:00"/>
    <s v="First Class"/>
    <x v="722"/>
    <x v="722"/>
    <s v="Corporate"/>
    <s v="United States"/>
    <s v="Philadelphia"/>
    <x v="9"/>
    <n v="19134"/>
    <x v="3"/>
    <x v="283"/>
    <x v="0"/>
    <x v="5"/>
    <x v="283"/>
    <n v="11.352"/>
    <s v="Low"/>
    <n v="3"/>
    <n v="0.2"/>
    <x v="2"/>
    <x v="2"/>
    <n v="2.6960999999999999"/>
    <n v="0.23749999999999999"/>
    <n v="0"/>
  </r>
  <r>
    <n v="9072"/>
    <s v="CA-2015-136105"/>
    <d v="2015-06-12T00:00:00"/>
    <x v="1"/>
    <s v="Q2"/>
    <x v="40"/>
    <d v="2015-06-16T00:00:00"/>
    <s v="Standard Class"/>
    <x v="449"/>
    <x v="449"/>
    <s v="Home Office"/>
    <s v="United States"/>
    <s v="Columbus"/>
    <x v="14"/>
    <n v="47201"/>
    <x v="2"/>
    <x v="576"/>
    <x v="1"/>
    <x v="4"/>
    <x v="576"/>
    <n v="24.56"/>
    <s v="Low"/>
    <n v="2"/>
    <n v="0"/>
    <x v="0"/>
    <x v="0"/>
    <n v="6.8768000000000002"/>
    <n v="0.28000000000000003"/>
    <n v="0"/>
  </r>
  <r>
    <n v="9073"/>
    <s v="CA-2016-142524"/>
    <d v="2016-09-04T00:00:00"/>
    <x v="0"/>
    <s v="Q3"/>
    <x v="21"/>
    <d v="2016-09-08T00:00:00"/>
    <s v="Standard Class"/>
    <x v="469"/>
    <x v="469"/>
    <s v="Consumer"/>
    <s v="United States"/>
    <s v="Springfield"/>
    <x v="25"/>
    <n v="65807"/>
    <x v="2"/>
    <x v="1451"/>
    <x v="1"/>
    <x v="12"/>
    <x v="153"/>
    <n v="16.559999999999999"/>
    <s v="Low"/>
    <n v="2"/>
    <n v="0"/>
    <x v="0"/>
    <x v="0"/>
    <n v="7.7831999999999999"/>
    <n v="0.47000000000000003"/>
    <n v="0"/>
  </r>
  <r>
    <n v="9074"/>
    <s v="CA-2016-142524"/>
    <d v="2016-09-04T00:00:00"/>
    <x v="0"/>
    <s v="Q3"/>
    <x v="21"/>
    <d v="2016-09-08T00:00:00"/>
    <s v="Standard Class"/>
    <x v="469"/>
    <x v="469"/>
    <s v="Consumer"/>
    <s v="United States"/>
    <s v="Springfield"/>
    <x v="25"/>
    <n v="65807"/>
    <x v="2"/>
    <x v="201"/>
    <x v="2"/>
    <x v="11"/>
    <x v="202"/>
    <n v="279.95"/>
    <s v="High"/>
    <n v="5"/>
    <n v="0"/>
    <x v="0"/>
    <x v="0"/>
    <n v="67.188000000000002"/>
    <n v="0.24000000000000002"/>
    <n v="0"/>
  </r>
  <r>
    <n v="9075"/>
    <s v="CA-2014-136336"/>
    <d v="2014-04-21T00:00:00"/>
    <x v="2"/>
    <s v="Q2"/>
    <x v="41"/>
    <d v="2014-04-26T00:00:00"/>
    <s v="Standard Class"/>
    <x v="587"/>
    <x v="587"/>
    <s v="Corporate"/>
    <s v="United States"/>
    <s v="Henderson"/>
    <x v="0"/>
    <n v="42420"/>
    <x v="0"/>
    <x v="942"/>
    <x v="1"/>
    <x v="4"/>
    <x v="935"/>
    <n v="828.84"/>
    <s v="High"/>
    <n v="6"/>
    <n v="0"/>
    <x v="0"/>
    <x v="0"/>
    <n v="0"/>
    <n v="0"/>
    <n v="0"/>
  </r>
  <r>
    <n v="9076"/>
    <s v="US-2015-136259"/>
    <d v="2015-11-05T00:00:00"/>
    <x v="1"/>
    <s v="Q4"/>
    <x v="6"/>
    <d v="2015-11-08T00:00:00"/>
    <s v="First Class"/>
    <x v="558"/>
    <x v="558"/>
    <s v="Consumer"/>
    <s v="United States"/>
    <s v="Lakewood"/>
    <x v="24"/>
    <n v="44107"/>
    <x v="3"/>
    <x v="385"/>
    <x v="1"/>
    <x v="8"/>
    <x v="386"/>
    <n v="7.218"/>
    <s v="Low"/>
    <n v="3"/>
    <n v="0.7"/>
    <x v="1"/>
    <x v="5"/>
    <n v="-5.5338000000000003"/>
    <n v="-0.76666666666666672"/>
    <n v="1"/>
  </r>
  <r>
    <n v="9077"/>
    <s v="US-2015-136259"/>
    <d v="2015-11-05T00:00:00"/>
    <x v="1"/>
    <s v="Q4"/>
    <x v="6"/>
    <d v="2015-11-08T00:00:00"/>
    <s v="First Class"/>
    <x v="558"/>
    <x v="558"/>
    <s v="Consumer"/>
    <s v="United States"/>
    <s v="Lakewood"/>
    <x v="24"/>
    <n v="44107"/>
    <x v="3"/>
    <x v="1768"/>
    <x v="1"/>
    <x v="14"/>
    <x v="1757"/>
    <n v="27.2"/>
    <s v="Medium"/>
    <n v="4"/>
    <n v="0.2"/>
    <x v="2"/>
    <x v="2"/>
    <n v="2.04"/>
    <n v="7.4999999999999997E-2"/>
    <n v="0"/>
  </r>
  <r>
    <n v="9078"/>
    <s v="US-2014-124625"/>
    <d v="2014-11-03T00:00:00"/>
    <x v="2"/>
    <s v="Q4"/>
    <x v="7"/>
    <d v="2014-11-07T00:00:00"/>
    <s v="Standard Class"/>
    <x v="70"/>
    <x v="70"/>
    <s v="Corporate"/>
    <s v="United States"/>
    <s v="Omaha"/>
    <x v="8"/>
    <n v="68104"/>
    <x v="2"/>
    <x v="1048"/>
    <x v="2"/>
    <x v="11"/>
    <x v="1037"/>
    <n v="89.97"/>
    <s v="Medium"/>
    <n v="3"/>
    <n v="0"/>
    <x v="0"/>
    <x v="0"/>
    <n v="18.893699999999999"/>
    <n v="0.21"/>
    <n v="0"/>
  </r>
  <r>
    <n v="9079"/>
    <s v="CA-2016-108105"/>
    <d v="2016-02-16T00:00:00"/>
    <x v="0"/>
    <s v="Q1"/>
    <x v="47"/>
    <d v="2016-02-23T00:00:00"/>
    <s v="Standard Class"/>
    <x v="543"/>
    <x v="543"/>
    <s v="Consumer"/>
    <s v="United States"/>
    <s v="Henderson"/>
    <x v="0"/>
    <n v="42420"/>
    <x v="0"/>
    <x v="124"/>
    <x v="0"/>
    <x v="5"/>
    <x v="125"/>
    <n v="318.08"/>
    <s v="High"/>
    <n v="4"/>
    <n v="0"/>
    <x v="0"/>
    <x v="0"/>
    <n v="34.988799999999998"/>
    <n v="0.11"/>
    <n v="0"/>
  </r>
  <r>
    <n v="9080"/>
    <s v="CA-2016-108105"/>
    <d v="2016-02-16T00:00:00"/>
    <x v="0"/>
    <s v="Q1"/>
    <x v="47"/>
    <d v="2016-02-23T00:00:00"/>
    <s v="Standard Class"/>
    <x v="543"/>
    <x v="543"/>
    <s v="Consumer"/>
    <s v="United States"/>
    <s v="Henderson"/>
    <x v="0"/>
    <n v="42420"/>
    <x v="0"/>
    <x v="326"/>
    <x v="1"/>
    <x v="8"/>
    <x v="326"/>
    <n v="5.8"/>
    <s v="Low"/>
    <n v="1"/>
    <n v="0"/>
    <x v="0"/>
    <x v="0"/>
    <n v="2.61"/>
    <n v="0.45"/>
    <n v="0"/>
  </r>
  <r>
    <n v="9081"/>
    <s v="CA-2017-166898"/>
    <d v="2017-09-11T00:00:00"/>
    <x v="3"/>
    <s v="Q3"/>
    <x v="15"/>
    <d v="2017-09-13T00:00:00"/>
    <s v="Second Class"/>
    <x v="175"/>
    <x v="175"/>
    <s v="Corporate"/>
    <s v="United States"/>
    <s v="Santa Ana"/>
    <x v="1"/>
    <n v="92704"/>
    <x v="1"/>
    <x v="993"/>
    <x v="2"/>
    <x v="7"/>
    <x v="985"/>
    <n v="143.952"/>
    <s v="High"/>
    <n v="6"/>
    <n v="0.2"/>
    <x v="2"/>
    <x v="2"/>
    <n v="17.994"/>
    <n v="0.125"/>
    <n v="0"/>
  </r>
  <r>
    <n v="9082"/>
    <s v="CA-2017-166898"/>
    <d v="2017-09-11T00:00:00"/>
    <x v="3"/>
    <s v="Q3"/>
    <x v="15"/>
    <d v="2017-09-13T00:00:00"/>
    <s v="Second Class"/>
    <x v="175"/>
    <x v="175"/>
    <s v="Corporate"/>
    <s v="United States"/>
    <s v="Santa Ana"/>
    <x v="1"/>
    <n v="92704"/>
    <x v="1"/>
    <x v="1009"/>
    <x v="1"/>
    <x v="10"/>
    <x v="1001"/>
    <n v="19.440000000000001"/>
    <s v="Low"/>
    <n v="3"/>
    <n v="0"/>
    <x v="0"/>
    <x v="0"/>
    <n v="9.3312000000000008"/>
    <n v="0.48000000000000004"/>
    <n v="0"/>
  </r>
  <r>
    <n v="9083"/>
    <s v="CA-2017-169005"/>
    <d v="2017-11-02T00:00:00"/>
    <x v="3"/>
    <s v="Q4"/>
    <x v="23"/>
    <d v="2017-11-06T00:00:00"/>
    <s v="Standard Class"/>
    <x v="767"/>
    <x v="767"/>
    <s v="Consumer"/>
    <s v="United States"/>
    <s v="Springfield"/>
    <x v="17"/>
    <n v="22153"/>
    <x v="0"/>
    <x v="21"/>
    <x v="1"/>
    <x v="6"/>
    <x v="21"/>
    <n v="5.56"/>
    <s v="Low"/>
    <n v="2"/>
    <n v="0"/>
    <x v="0"/>
    <x v="0"/>
    <n v="1.4456"/>
    <n v="0.26"/>
    <n v="0"/>
  </r>
  <r>
    <n v="9084"/>
    <s v="CA-2015-104038"/>
    <d v="2015-02-06T00:00:00"/>
    <x v="1"/>
    <s v="Q1"/>
    <x v="36"/>
    <d v="2015-02-08T00:00:00"/>
    <s v="First Class"/>
    <x v="628"/>
    <x v="628"/>
    <s v="Corporate"/>
    <s v="United States"/>
    <s v="Suffolk"/>
    <x v="17"/>
    <n v="23434"/>
    <x v="0"/>
    <x v="1166"/>
    <x v="1"/>
    <x v="4"/>
    <x v="1153"/>
    <n v="146.72999999999999"/>
    <s v="High"/>
    <n v="3"/>
    <n v="0"/>
    <x v="0"/>
    <x v="0"/>
    <n v="2.9346000000000001"/>
    <n v="0.02"/>
    <n v="0"/>
  </r>
  <r>
    <n v="9085"/>
    <s v="CA-2015-104038"/>
    <d v="2015-02-06T00:00:00"/>
    <x v="1"/>
    <s v="Q1"/>
    <x v="36"/>
    <d v="2015-02-08T00:00:00"/>
    <s v="First Class"/>
    <x v="628"/>
    <x v="628"/>
    <s v="Corporate"/>
    <s v="United States"/>
    <s v="Suffolk"/>
    <x v="17"/>
    <n v="23434"/>
    <x v="0"/>
    <x v="150"/>
    <x v="1"/>
    <x v="10"/>
    <x v="151"/>
    <n v="29.9"/>
    <s v="Medium"/>
    <n v="5"/>
    <n v="0"/>
    <x v="0"/>
    <x v="0"/>
    <n v="13.455"/>
    <n v="0.45"/>
    <n v="0"/>
  </r>
  <r>
    <n v="9086"/>
    <s v="CA-2016-126102"/>
    <d v="2016-09-10T00:00:00"/>
    <x v="0"/>
    <s v="Q3"/>
    <x v="21"/>
    <d v="2016-09-12T00:00:00"/>
    <s v="Second Class"/>
    <x v="231"/>
    <x v="231"/>
    <s v="Consumer"/>
    <s v="United States"/>
    <s v="Los Angeles"/>
    <x v="1"/>
    <n v="90049"/>
    <x v="1"/>
    <x v="1591"/>
    <x v="1"/>
    <x v="8"/>
    <x v="1583"/>
    <n v="276.78399999999999"/>
    <s v="High"/>
    <n v="2"/>
    <n v="0.2"/>
    <x v="2"/>
    <x v="2"/>
    <n v="89.954800000000006"/>
    <n v="0.32500000000000001"/>
    <n v="0"/>
  </r>
  <r>
    <n v="9087"/>
    <s v="CA-2016-143406"/>
    <d v="2016-09-26T00:00:00"/>
    <x v="0"/>
    <s v="Q3"/>
    <x v="21"/>
    <d v="2016-09-30T00:00:00"/>
    <s v="Standard Class"/>
    <x v="756"/>
    <x v="756"/>
    <s v="Corporate"/>
    <s v="United States"/>
    <s v="Houston"/>
    <x v="5"/>
    <n v="77041"/>
    <x v="2"/>
    <x v="1778"/>
    <x v="1"/>
    <x v="9"/>
    <x v="1768"/>
    <n v="93.031999999999996"/>
    <s v="Medium"/>
    <n v="2"/>
    <n v="0.8"/>
    <x v="1"/>
    <x v="3"/>
    <n v="-251.18639999999999"/>
    <n v="-2.7"/>
    <n v="1"/>
  </r>
  <r>
    <n v="9088"/>
    <s v="CA-2016-143406"/>
    <d v="2016-09-26T00:00:00"/>
    <x v="0"/>
    <s v="Q3"/>
    <x v="21"/>
    <d v="2016-09-30T00:00:00"/>
    <s v="Standard Class"/>
    <x v="756"/>
    <x v="756"/>
    <s v="Corporate"/>
    <s v="United States"/>
    <s v="Houston"/>
    <x v="5"/>
    <n v="77041"/>
    <x v="2"/>
    <x v="70"/>
    <x v="0"/>
    <x v="1"/>
    <x v="70"/>
    <n v="454.96499999999997"/>
    <s v="High"/>
    <n v="5"/>
    <n v="0.3"/>
    <x v="1"/>
    <x v="4"/>
    <n v="-136.48949999999999"/>
    <n v="-0.3"/>
    <n v="1"/>
  </r>
  <r>
    <n v="9089"/>
    <s v="CA-2015-150308"/>
    <d v="2015-12-15T00:00:00"/>
    <x v="1"/>
    <s v="Q4"/>
    <x v="14"/>
    <d v="2015-12-20T00:00:00"/>
    <s v="Standard Class"/>
    <x v="645"/>
    <x v="645"/>
    <s v="Corporate"/>
    <s v="United States"/>
    <s v="Cary"/>
    <x v="3"/>
    <n v="27511"/>
    <x v="0"/>
    <x v="239"/>
    <x v="2"/>
    <x v="7"/>
    <x v="240"/>
    <n v="246.16800000000001"/>
    <s v="High"/>
    <n v="3"/>
    <n v="0.2"/>
    <x v="2"/>
    <x v="2"/>
    <n v="21.5397"/>
    <n v="8.7499999999999994E-2"/>
    <n v="0"/>
  </r>
  <r>
    <n v="9090"/>
    <s v="CA-2016-131093"/>
    <d v="2016-09-17T00:00:00"/>
    <x v="0"/>
    <s v="Q3"/>
    <x v="21"/>
    <d v="2016-09-20T00:00:00"/>
    <s v="Second Class"/>
    <x v="59"/>
    <x v="59"/>
    <s v="Consumer"/>
    <s v="United States"/>
    <s v="Springfield"/>
    <x v="24"/>
    <n v="45503"/>
    <x v="3"/>
    <x v="235"/>
    <x v="1"/>
    <x v="4"/>
    <x v="236"/>
    <n v="295.39999999999998"/>
    <s v="High"/>
    <n v="5"/>
    <n v="0.2"/>
    <x v="2"/>
    <x v="2"/>
    <n v="-62.772500000000001"/>
    <n v="-0.21250000000000002"/>
    <n v="1"/>
  </r>
  <r>
    <n v="9091"/>
    <s v="US-2017-148831"/>
    <d v="2017-10-13T00:00:00"/>
    <x v="3"/>
    <s v="Q4"/>
    <x v="13"/>
    <d v="2017-10-15T00:00:00"/>
    <s v="First Class"/>
    <x v="117"/>
    <x v="117"/>
    <s v="Consumer"/>
    <s v="United States"/>
    <s v="Louisville"/>
    <x v="0"/>
    <n v="40214"/>
    <x v="0"/>
    <x v="123"/>
    <x v="1"/>
    <x v="4"/>
    <x v="123"/>
    <n v="348.56"/>
    <s v="High"/>
    <n v="8"/>
    <n v="0"/>
    <x v="0"/>
    <x v="0"/>
    <n v="104.568"/>
    <n v="0.3"/>
    <n v="0"/>
  </r>
  <r>
    <n v="9092"/>
    <s v="CA-2015-162950"/>
    <d v="2015-06-28T00:00:00"/>
    <x v="1"/>
    <s v="Q2"/>
    <x v="40"/>
    <d v="2015-07-03T00:00:00"/>
    <s v="Second Class"/>
    <x v="61"/>
    <x v="61"/>
    <s v="Corporate"/>
    <s v="United States"/>
    <s v="Troy"/>
    <x v="24"/>
    <n v="45373"/>
    <x v="3"/>
    <x v="89"/>
    <x v="1"/>
    <x v="10"/>
    <x v="89"/>
    <n v="15.552"/>
    <s v="Low"/>
    <n v="3"/>
    <n v="0.2"/>
    <x v="2"/>
    <x v="2"/>
    <n v="5.4432"/>
    <n v="0.35000000000000003"/>
    <n v="0"/>
  </r>
  <r>
    <n v="9093"/>
    <s v="CA-2015-162950"/>
    <d v="2015-06-28T00:00:00"/>
    <x v="1"/>
    <s v="Q2"/>
    <x v="40"/>
    <d v="2015-07-03T00:00:00"/>
    <s v="Second Class"/>
    <x v="61"/>
    <x v="61"/>
    <s v="Corporate"/>
    <s v="United States"/>
    <s v="Troy"/>
    <x v="24"/>
    <n v="45373"/>
    <x v="3"/>
    <x v="1162"/>
    <x v="0"/>
    <x v="0"/>
    <x v="1149"/>
    <n v="482.94"/>
    <s v="High"/>
    <n v="6"/>
    <n v="0.5"/>
    <x v="1"/>
    <x v="1"/>
    <n v="-376.69319999999999"/>
    <n v="-0.78"/>
    <n v="1"/>
  </r>
  <r>
    <n v="9094"/>
    <s v="US-2015-132836"/>
    <d v="2015-06-01T00:00:00"/>
    <x v="1"/>
    <s v="Q2"/>
    <x v="40"/>
    <d v="2015-06-05T00:00:00"/>
    <s v="Standard Class"/>
    <x v="219"/>
    <x v="219"/>
    <s v="Consumer"/>
    <s v="United States"/>
    <s v="Detroit"/>
    <x v="12"/>
    <n v="48227"/>
    <x v="2"/>
    <x v="1501"/>
    <x v="2"/>
    <x v="7"/>
    <x v="1489"/>
    <n v="299.98"/>
    <s v="High"/>
    <n v="2"/>
    <n v="0"/>
    <x v="0"/>
    <x v="0"/>
    <n v="83.994399999999999"/>
    <n v="0.27999999999999997"/>
    <n v="0"/>
  </r>
  <r>
    <n v="9095"/>
    <s v="US-2015-132836"/>
    <d v="2015-06-01T00:00:00"/>
    <x v="1"/>
    <s v="Q2"/>
    <x v="40"/>
    <d v="2015-06-05T00:00:00"/>
    <s v="Standard Class"/>
    <x v="219"/>
    <x v="219"/>
    <s v="Consumer"/>
    <s v="United States"/>
    <s v="Detroit"/>
    <x v="12"/>
    <n v="48227"/>
    <x v="2"/>
    <x v="1080"/>
    <x v="1"/>
    <x v="8"/>
    <x v="1070"/>
    <n v="403.68"/>
    <s v="High"/>
    <n v="6"/>
    <n v="0"/>
    <x v="0"/>
    <x v="0"/>
    <n v="181.65600000000001"/>
    <n v="0.45"/>
    <n v="0"/>
  </r>
  <r>
    <n v="9096"/>
    <s v="US-2015-132836"/>
    <d v="2015-06-01T00:00:00"/>
    <x v="1"/>
    <s v="Q2"/>
    <x v="40"/>
    <d v="2015-06-05T00:00:00"/>
    <s v="Standard Class"/>
    <x v="219"/>
    <x v="219"/>
    <s v="Consumer"/>
    <s v="United States"/>
    <s v="Detroit"/>
    <x v="12"/>
    <n v="48227"/>
    <x v="2"/>
    <x v="1020"/>
    <x v="2"/>
    <x v="7"/>
    <x v="1011"/>
    <n v="41.9"/>
    <s v="Medium"/>
    <n v="2"/>
    <n v="0"/>
    <x v="0"/>
    <x v="0"/>
    <n v="11.731999999999999"/>
    <n v="0.27999999999999997"/>
    <n v="0"/>
  </r>
  <r>
    <n v="9097"/>
    <s v="US-2015-132836"/>
    <d v="2015-06-01T00:00:00"/>
    <x v="1"/>
    <s v="Q2"/>
    <x v="40"/>
    <d v="2015-06-05T00:00:00"/>
    <s v="Standard Class"/>
    <x v="219"/>
    <x v="219"/>
    <s v="Consumer"/>
    <s v="United States"/>
    <s v="Detroit"/>
    <x v="12"/>
    <n v="48227"/>
    <x v="2"/>
    <x v="1722"/>
    <x v="1"/>
    <x v="2"/>
    <x v="1709"/>
    <n v="28.91"/>
    <s v="Medium"/>
    <n v="7"/>
    <n v="0"/>
    <x v="0"/>
    <x v="0"/>
    <n v="13.2986"/>
    <n v="0.46"/>
    <n v="0"/>
  </r>
  <r>
    <n v="9098"/>
    <s v="US-2014-158365"/>
    <d v="2014-04-12T00:00:00"/>
    <x v="2"/>
    <s v="Q2"/>
    <x v="41"/>
    <d v="2014-04-17T00:00:00"/>
    <s v="Standard Class"/>
    <x v="647"/>
    <x v="647"/>
    <s v="Consumer"/>
    <s v="United States"/>
    <s v="Bloomington"/>
    <x v="14"/>
    <n v="47401"/>
    <x v="2"/>
    <x v="730"/>
    <x v="1"/>
    <x v="10"/>
    <x v="729"/>
    <n v="32.4"/>
    <s v="Medium"/>
    <n v="5"/>
    <n v="0"/>
    <x v="0"/>
    <x v="0"/>
    <n v="15.552"/>
    <n v="0.48"/>
    <n v="0"/>
  </r>
  <r>
    <n v="9099"/>
    <s v="CA-2017-152933"/>
    <d v="2017-10-12T00:00:00"/>
    <x v="3"/>
    <s v="Q4"/>
    <x v="13"/>
    <d v="2017-10-16T00:00:00"/>
    <s v="Standard Class"/>
    <x v="377"/>
    <x v="377"/>
    <s v="Home Office"/>
    <s v="United States"/>
    <s v="Dallas"/>
    <x v="5"/>
    <n v="75081"/>
    <x v="2"/>
    <x v="665"/>
    <x v="2"/>
    <x v="7"/>
    <x v="665"/>
    <n v="369.54399999999998"/>
    <s v="High"/>
    <n v="7"/>
    <n v="0.2"/>
    <x v="2"/>
    <x v="2"/>
    <n v="27.715800000000002"/>
    <n v="7.5000000000000011E-2"/>
    <n v="0"/>
  </r>
  <r>
    <n v="9100"/>
    <s v="CA-2017-152933"/>
    <d v="2017-10-12T00:00:00"/>
    <x v="3"/>
    <s v="Q4"/>
    <x v="13"/>
    <d v="2017-10-16T00:00:00"/>
    <s v="Standard Class"/>
    <x v="377"/>
    <x v="377"/>
    <s v="Home Office"/>
    <s v="United States"/>
    <s v="Dallas"/>
    <x v="5"/>
    <n v="75081"/>
    <x v="2"/>
    <x v="548"/>
    <x v="1"/>
    <x v="10"/>
    <x v="548"/>
    <n v="10.368"/>
    <s v="Low"/>
    <n v="2"/>
    <n v="0.2"/>
    <x v="2"/>
    <x v="2"/>
    <n v="3.7584"/>
    <n v="0.36249999999999999"/>
    <n v="0"/>
  </r>
  <r>
    <n v="9101"/>
    <s v="CA-2017-152933"/>
    <d v="2017-10-12T00:00:00"/>
    <x v="3"/>
    <s v="Q4"/>
    <x v="13"/>
    <d v="2017-10-16T00:00:00"/>
    <s v="Standard Class"/>
    <x v="377"/>
    <x v="377"/>
    <s v="Home Office"/>
    <s v="United States"/>
    <s v="Dallas"/>
    <x v="5"/>
    <n v="75081"/>
    <x v="2"/>
    <x v="764"/>
    <x v="2"/>
    <x v="11"/>
    <x v="763"/>
    <n v="791.88"/>
    <s v="High"/>
    <n v="3"/>
    <n v="0.2"/>
    <x v="2"/>
    <x v="2"/>
    <n v="128.68049999999999"/>
    <n v="0.16250000000000001"/>
    <n v="0"/>
  </r>
  <r>
    <n v="9102"/>
    <s v="CA-2015-163181"/>
    <d v="2015-11-07T00:00:00"/>
    <x v="1"/>
    <s v="Q4"/>
    <x v="6"/>
    <d v="2015-11-12T00:00:00"/>
    <s v="Standard Class"/>
    <x v="455"/>
    <x v="455"/>
    <s v="Consumer"/>
    <s v="United States"/>
    <s v="Houston"/>
    <x v="5"/>
    <n v="77041"/>
    <x v="2"/>
    <x v="32"/>
    <x v="1"/>
    <x v="6"/>
    <x v="32"/>
    <n v="23.64"/>
    <s v="Low"/>
    <n v="3"/>
    <n v="0.2"/>
    <x v="2"/>
    <x v="2"/>
    <n v="5.319"/>
    <n v="0.22500000000000001"/>
    <n v="0"/>
  </r>
  <r>
    <n v="9103"/>
    <s v="CA-2015-163181"/>
    <d v="2015-11-07T00:00:00"/>
    <x v="1"/>
    <s v="Q4"/>
    <x v="6"/>
    <d v="2015-11-12T00:00:00"/>
    <s v="Standard Class"/>
    <x v="455"/>
    <x v="455"/>
    <s v="Consumer"/>
    <s v="United States"/>
    <s v="Houston"/>
    <x v="5"/>
    <n v="77041"/>
    <x v="2"/>
    <x v="45"/>
    <x v="1"/>
    <x v="4"/>
    <x v="45"/>
    <n v="84.784000000000006"/>
    <s v="Medium"/>
    <n v="2"/>
    <n v="0.2"/>
    <x v="2"/>
    <x v="2"/>
    <n v="-16.956800000000001"/>
    <n v="-0.2"/>
    <n v="1"/>
  </r>
  <r>
    <n v="9104"/>
    <s v="CA-2015-163181"/>
    <d v="2015-11-07T00:00:00"/>
    <x v="1"/>
    <s v="Q4"/>
    <x v="6"/>
    <d v="2015-11-12T00:00:00"/>
    <s v="Standard Class"/>
    <x v="455"/>
    <x v="455"/>
    <s v="Consumer"/>
    <s v="United States"/>
    <s v="Houston"/>
    <x v="5"/>
    <n v="77041"/>
    <x v="2"/>
    <x v="1525"/>
    <x v="0"/>
    <x v="5"/>
    <x v="1512"/>
    <n v="64.959999999999994"/>
    <s v="Medium"/>
    <n v="5"/>
    <n v="0.6"/>
    <x v="1"/>
    <x v="6"/>
    <n v="-84.447999999999993"/>
    <n v="-1.3"/>
    <n v="1"/>
  </r>
  <r>
    <n v="9105"/>
    <s v="CA-2015-163181"/>
    <d v="2015-11-07T00:00:00"/>
    <x v="1"/>
    <s v="Q4"/>
    <x v="6"/>
    <d v="2015-11-12T00:00:00"/>
    <s v="Standard Class"/>
    <x v="455"/>
    <x v="455"/>
    <s v="Consumer"/>
    <s v="United States"/>
    <s v="Houston"/>
    <x v="5"/>
    <n v="77041"/>
    <x v="2"/>
    <x v="27"/>
    <x v="1"/>
    <x v="8"/>
    <x v="27"/>
    <n v="32.06"/>
    <s v="Medium"/>
    <n v="10"/>
    <n v="0.8"/>
    <x v="1"/>
    <x v="3"/>
    <n v="-51.295999999999999"/>
    <n v="-1.5999999999999999"/>
    <n v="1"/>
  </r>
  <r>
    <n v="9106"/>
    <s v="CA-2015-163181"/>
    <d v="2015-11-07T00:00:00"/>
    <x v="1"/>
    <s v="Q4"/>
    <x v="6"/>
    <d v="2015-11-12T00:00:00"/>
    <s v="Standard Class"/>
    <x v="455"/>
    <x v="455"/>
    <s v="Consumer"/>
    <s v="United States"/>
    <s v="Houston"/>
    <x v="5"/>
    <n v="77041"/>
    <x v="2"/>
    <x v="1667"/>
    <x v="1"/>
    <x v="4"/>
    <x v="1655"/>
    <n v="177.648"/>
    <s v="High"/>
    <n v="2"/>
    <n v="0.2"/>
    <x v="2"/>
    <x v="2"/>
    <n v="-28.867799999999999"/>
    <n v="-0.16250000000000001"/>
    <n v="1"/>
  </r>
  <r>
    <n v="9107"/>
    <s v="CA-2015-163181"/>
    <d v="2015-11-07T00:00:00"/>
    <x v="1"/>
    <s v="Q4"/>
    <x v="6"/>
    <d v="2015-11-12T00:00:00"/>
    <s v="Standard Class"/>
    <x v="455"/>
    <x v="455"/>
    <s v="Consumer"/>
    <s v="United States"/>
    <s v="Houston"/>
    <x v="5"/>
    <n v="77041"/>
    <x v="2"/>
    <x v="1616"/>
    <x v="2"/>
    <x v="15"/>
    <x v="1607"/>
    <n v="287.91000000000003"/>
    <s v="High"/>
    <n v="3"/>
    <n v="0.4"/>
    <x v="1"/>
    <x v="7"/>
    <n v="33.589500000000001"/>
    <n v="0.11666666666666665"/>
    <n v="0"/>
  </r>
  <r>
    <n v="9108"/>
    <s v="CA-2015-132941"/>
    <d v="2015-05-25T00:00:00"/>
    <x v="1"/>
    <s v="Q2"/>
    <x v="33"/>
    <d v="2015-05-28T00:00:00"/>
    <s v="First Class"/>
    <x v="152"/>
    <x v="152"/>
    <s v="Corporate"/>
    <s v="United States"/>
    <s v="Haltom City"/>
    <x v="5"/>
    <n v="76117"/>
    <x v="2"/>
    <x v="1352"/>
    <x v="1"/>
    <x v="14"/>
    <x v="1338"/>
    <n v="22.367999999999999"/>
    <s v="Low"/>
    <n v="2"/>
    <n v="0.2"/>
    <x v="2"/>
    <x v="2"/>
    <n v="1.6776"/>
    <n v="7.4999999999999997E-2"/>
    <n v="0"/>
  </r>
  <r>
    <n v="9109"/>
    <s v="CA-2015-132941"/>
    <d v="2015-05-25T00:00:00"/>
    <x v="1"/>
    <s v="Q2"/>
    <x v="33"/>
    <d v="2015-05-28T00:00:00"/>
    <s v="First Class"/>
    <x v="152"/>
    <x v="152"/>
    <s v="Corporate"/>
    <s v="United States"/>
    <s v="Haltom City"/>
    <x v="5"/>
    <n v="76117"/>
    <x v="2"/>
    <x v="1215"/>
    <x v="1"/>
    <x v="10"/>
    <x v="1199"/>
    <n v="32.368000000000002"/>
    <s v="Medium"/>
    <n v="7"/>
    <n v="0.2"/>
    <x v="2"/>
    <x v="2"/>
    <n v="11.7334"/>
    <n v="0.36249999999999999"/>
    <n v="0"/>
  </r>
  <r>
    <n v="9110"/>
    <s v="CA-2015-132941"/>
    <d v="2015-05-25T00:00:00"/>
    <x v="1"/>
    <s v="Q2"/>
    <x v="33"/>
    <d v="2015-05-28T00:00:00"/>
    <s v="First Class"/>
    <x v="152"/>
    <x v="152"/>
    <s v="Corporate"/>
    <s v="United States"/>
    <s v="Haltom City"/>
    <x v="5"/>
    <n v="76117"/>
    <x v="2"/>
    <x v="1301"/>
    <x v="2"/>
    <x v="11"/>
    <x v="1286"/>
    <n v="207.98400000000001"/>
    <s v="High"/>
    <n v="2"/>
    <n v="0.2"/>
    <x v="2"/>
    <x v="2"/>
    <n v="36.397199999999998"/>
    <n v="0.17499999999999999"/>
    <n v="0"/>
  </r>
  <r>
    <n v="9111"/>
    <s v="CA-2014-132010"/>
    <d v="2014-10-13T00:00:00"/>
    <x v="2"/>
    <s v="Q4"/>
    <x v="18"/>
    <d v="2014-10-15T00:00:00"/>
    <s v="First Class"/>
    <x v="671"/>
    <x v="671"/>
    <s v="Home Office"/>
    <s v="United States"/>
    <s v="Richmond"/>
    <x v="17"/>
    <n v="23223"/>
    <x v="0"/>
    <x v="1047"/>
    <x v="1"/>
    <x v="12"/>
    <x v="1036"/>
    <n v="36.4"/>
    <s v="Medium"/>
    <n v="5"/>
    <n v="0"/>
    <x v="0"/>
    <x v="0"/>
    <n v="17.472000000000001"/>
    <n v="0.48000000000000004"/>
    <n v="0"/>
  </r>
  <r>
    <n v="9112"/>
    <s v="CA-2014-132010"/>
    <d v="2014-10-13T00:00:00"/>
    <x v="2"/>
    <s v="Q4"/>
    <x v="18"/>
    <d v="2014-10-15T00:00:00"/>
    <s v="First Class"/>
    <x v="671"/>
    <x v="671"/>
    <s v="Home Office"/>
    <s v="United States"/>
    <s v="Richmond"/>
    <x v="17"/>
    <n v="23223"/>
    <x v="0"/>
    <x v="1690"/>
    <x v="2"/>
    <x v="11"/>
    <x v="1678"/>
    <n v="22.96"/>
    <s v="Low"/>
    <n v="2"/>
    <n v="0"/>
    <x v="0"/>
    <x v="0"/>
    <n v="4.3624000000000001"/>
    <n v="0.19"/>
    <n v="0"/>
  </r>
  <r>
    <n v="9113"/>
    <s v="CA-2014-132010"/>
    <d v="2014-10-13T00:00:00"/>
    <x v="2"/>
    <s v="Q4"/>
    <x v="18"/>
    <d v="2014-10-15T00:00:00"/>
    <s v="First Class"/>
    <x v="671"/>
    <x v="671"/>
    <s v="Home Office"/>
    <s v="United States"/>
    <s v="Richmond"/>
    <x v="17"/>
    <n v="23223"/>
    <x v="0"/>
    <x v="1819"/>
    <x v="1"/>
    <x v="4"/>
    <x v="1808"/>
    <n v="315.2"/>
    <s v="High"/>
    <n v="4"/>
    <n v="0"/>
    <x v="0"/>
    <x v="0"/>
    <n v="6.3040000000000003"/>
    <n v="0.02"/>
    <n v="0"/>
  </r>
  <r>
    <n v="9114"/>
    <s v="CA-2014-132010"/>
    <d v="2014-10-13T00:00:00"/>
    <x v="2"/>
    <s v="Q4"/>
    <x v="18"/>
    <d v="2014-10-15T00:00:00"/>
    <s v="First Class"/>
    <x v="671"/>
    <x v="671"/>
    <s v="Home Office"/>
    <s v="United States"/>
    <s v="Richmond"/>
    <x v="17"/>
    <n v="23223"/>
    <x v="0"/>
    <x v="881"/>
    <x v="1"/>
    <x v="8"/>
    <x v="875"/>
    <n v="15.18"/>
    <s v="Low"/>
    <n v="3"/>
    <n v="0"/>
    <x v="0"/>
    <x v="0"/>
    <n v="7.1345999999999998"/>
    <n v="0.47"/>
    <n v="0"/>
  </r>
  <r>
    <n v="9115"/>
    <s v="CA-2016-135461"/>
    <d v="2016-02-07T00:00:00"/>
    <x v="0"/>
    <s v="Q1"/>
    <x v="47"/>
    <d v="2016-02-10T00:00:00"/>
    <s v="Second Class"/>
    <x v="424"/>
    <x v="424"/>
    <s v="Corporate"/>
    <s v="United States"/>
    <s v="Los Angeles"/>
    <x v="1"/>
    <n v="90049"/>
    <x v="1"/>
    <x v="1807"/>
    <x v="2"/>
    <x v="7"/>
    <x v="1797"/>
    <n v="623.96"/>
    <s v="High"/>
    <n v="5"/>
    <n v="0.2"/>
    <x v="2"/>
    <x v="2"/>
    <n v="38.997500000000002"/>
    <n v="6.25E-2"/>
    <n v="0"/>
  </r>
  <r>
    <n v="9116"/>
    <s v="CA-2017-153045"/>
    <d v="2017-01-19T00:00:00"/>
    <x v="3"/>
    <s v="Q1"/>
    <x v="44"/>
    <d v="2017-01-24T00:00:00"/>
    <s v="Second Class"/>
    <x v="515"/>
    <x v="515"/>
    <s v="Consumer"/>
    <s v="United States"/>
    <s v="Philadelphia"/>
    <x v="9"/>
    <n v="19140"/>
    <x v="3"/>
    <x v="1118"/>
    <x v="2"/>
    <x v="7"/>
    <x v="1106"/>
    <n v="429.6"/>
    <s v="High"/>
    <n v="2"/>
    <n v="0.4"/>
    <x v="1"/>
    <x v="7"/>
    <n v="-93.08"/>
    <n v="-0.21666666666666665"/>
    <n v="1"/>
  </r>
  <r>
    <n v="9117"/>
    <s v="CA-2017-153045"/>
    <d v="2017-01-19T00:00:00"/>
    <x v="3"/>
    <s v="Q1"/>
    <x v="44"/>
    <d v="2017-01-24T00:00:00"/>
    <s v="Second Class"/>
    <x v="515"/>
    <x v="515"/>
    <s v="Consumer"/>
    <s v="United States"/>
    <s v="Philadelphia"/>
    <x v="9"/>
    <n v="19140"/>
    <x v="3"/>
    <x v="561"/>
    <x v="0"/>
    <x v="5"/>
    <x v="560"/>
    <n v="31.968"/>
    <s v="Medium"/>
    <n v="2"/>
    <n v="0.2"/>
    <x v="2"/>
    <x v="2"/>
    <n v="6.3936000000000002"/>
    <n v="0.2"/>
    <n v="0"/>
  </r>
  <r>
    <n v="9118"/>
    <s v="CA-2017-153045"/>
    <d v="2017-01-19T00:00:00"/>
    <x v="3"/>
    <s v="Q1"/>
    <x v="44"/>
    <d v="2017-01-24T00:00:00"/>
    <s v="Second Class"/>
    <x v="515"/>
    <x v="515"/>
    <s v="Consumer"/>
    <s v="United States"/>
    <s v="Philadelphia"/>
    <x v="9"/>
    <n v="19140"/>
    <x v="3"/>
    <x v="774"/>
    <x v="0"/>
    <x v="1"/>
    <x v="773"/>
    <n v="887.27099999999996"/>
    <s v="High"/>
    <n v="3"/>
    <n v="0.3"/>
    <x v="1"/>
    <x v="4"/>
    <n v="-63.3765"/>
    <n v="-7.1428571428571438E-2"/>
    <n v="1"/>
  </r>
  <r>
    <n v="9119"/>
    <s v="CA-2017-153045"/>
    <d v="2017-01-19T00:00:00"/>
    <x v="3"/>
    <s v="Q1"/>
    <x v="44"/>
    <d v="2017-01-24T00:00:00"/>
    <s v="Second Class"/>
    <x v="515"/>
    <x v="515"/>
    <s v="Consumer"/>
    <s v="United States"/>
    <s v="Philadelphia"/>
    <x v="9"/>
    <n v="19140"/>
    <x v="3"/>
    <x v="987"/>
    <x v="1"/>
    <x v="10"/>
    <x v="980"/>
    <n v="21.696000000000002"/>
    <s v="Low"/>
    <n v="4"/>
    <n v="0.2"/>
    <x v="2"/>
    <x v="2"/>
    <n v="7.0511999999999997"/>
    <n v="0.32499999999999996"/>
    <n v="0"/>
  </r>
  <r>
    <n v="9120"/>
    <s v="US-2016-155971"/>
    <d v="2016-06-06T00:00:00"/>
    <x v="0"/>
    <s v="Q2"/>
    <x v="1"/>
    <d v="2016-06-12T00:00:00"/>
    <s v="Standard Class"/>
    <x v="176"/>
    <x v="176"/>
    <s v="Home Office"/>
    <s v="United States"/>
    <s v="Los Angeles"/>
    <x v="1"/>
    <n v="90036"/>
    <x v="1"/>
    <x v="816"/>
    <x v="1"/>
    <x v="2"/>
    <x v="812"/>
    <n v="22.05"/>
    <s v="Low"/>
    <n v="7"/>
    <n v="0"/>
    <x v="0"/>
    <x v="0"/>
    <n v="10.584"/>
    <n v="0.48"/>
    <n v="0"/>
  </r>
  <r>
    <n v="9121"/>
    <s v="US-2016-155971"/>
    <d v="2016-06-06T00:00:00"/>
    <x v="0"/>
    <s v="Q2"/>
    <x v="1"/>
    <d v="2016-06-12T00:00:00"/>
    <s v="Standard Class"/>
    <x v="176"/>
    <x v="176"/>
    <s v="Home Office"/>
    <s v="United States"/>
    <s v="Los Angeles"/>
    <x v="1"/>
    <n v="90036"/>
    <x v="1"/>
    <x v="1849"/>
    <x v="1"/>
    <x v="10"/>
    <x v="1837"/>
    <n v="99.9"/>
    <s v="Medium"/>
    <n v="5"/>
    <n v="0"/>
    <x v="0"/>
    <x v="0"/>
    <n v="46.953000000000003"/>
    <n v="0.47000000000000003"/>
    <n v="0"/>
  </r>
  <r>
    <n v="9122"/>
    <s v="CA-2017-122007"/>
    <d v="2017-03-18T00:00:00"/>
    <x v="3"/>
    <s v="Q1"/>
    <x v="42"/>
    <d v="2017-03-20T00:00:00"/>
    <s v="Second Class"/>
    <x v="759"/>
    <x v="759"/>
    <s v="Corporate"/>
    <s v="United States"/>
    <s v="Los Angeles"/>
    <x v="1"/>
    <n v="90032"/>
    <x v="1"/>
    <x v="95"/>
    <x v="1"/>
    <x v="9"/>
    <x v="95"/>
    <n v="90.86"/>
    <s v="Medium"/>
    <n v="7"/>
    <n v="0"/>
    <x v="0"/>
    <x v="0"/>
    <n v="26.349399999999999"/>
    <n v="0.28999999999999998"/>
    <n v="0"/>
  </r>
  <r>
    <n v="9123"/>
    <s v="CA-2017-162250"/>
    <d v="2017-11-24T00:00:00"/>
    <x v="3"/>
    <s v="Q4"/>
    <x v="23"/>
    <d v="2017-11-24T00:00:00"/>
    <s v="Same Day"/>
    <x v="701"/>
    <x v="701"/>
    <s v="Consumer"/>
    <s v="United States"/>
    <s v="San Francisco"/>
    <x v="1"/>
    <n v="94109"/>
    <x v="1"/>
    <x v="565"/>
    <x v="1"/>
    <x v="10"/>
    <x v="565"/>
    <n v="7.78"/>
    <s v="Low"/>
    <n v="1"/>
    <n v="0"/>
    <x v="0"/>
    <x v="0"/>
    <n v="3.5009999999999999"/>
    <n v="0.44999999999999996"/>
    <n v="0"/>
  </r>
  <r>
    <n v="9124"/>
    <s v="US-2016-158288"/>
    <d v="2016-11-26T00:00:00"/>
    <x v="0"/>
    <s v="Q4"/>
    <x v="0"/>
    <d v="2016-11-28T00:00:00"/>
    <s v="Second Class"/>
    <x v="13"/>
    <x v="13"/>
    <s v="Consumer"/>
    <s v="United States"/>
    <s v="Philadelphia"/>
    <x v="9"/>
    <n v="19120"/>
    <x v="3"/>
    <x v="705"/>
    <x v="1"/>
    <x v="8"/>
    <x v="705"/>
    <n v="78.759"/>
    <s v="Medium"/>
    <n v="9"/>
    <n v="0.7"/>
    <x v="1"/>
    <x v="5"/>
    <n v="-57.756599999999999"/>
    <n v="-0.73333333333333328"/>
    <n v="1"/>
  </r>
  <r>
    <n v="9125"/>
    <s v="CA-2016-128916"/>
    <d v="2016-08-18T00:00:00"/>
    <x v="0"/>
    <s v="Q3"/>
    <x v="28"/>
    <d v="2016-08-20T00:00:00"/>
    <s v="Second Class"/>
    <x v="15"/>
    <x v="15"/>
    <s v="Home Office"/>
    <s v="United States"/>
    <s v="Houston"/>
    <x v="5"/>
    <n v="77070"/>
    <x v="2"/>
    <x v="740"/>
    <x v="0"/>
    <x v="5"/>
    <x v="222"/>
    <n v="9.5519999999999996"/>
    <s v="Low"/>
    <n v="3"/>
    <n v="0.6"/>
    <x v="1"/>
    <x v="6"/>
    <n v="-3.8208000000000002"/>
    <n v="-0.4"/>
    <n v="1"/>
  </r>
  <r>
    <n v="9126"/>
    <s v="CA-2016-128916"/>
    <d v="2016-08-18T00:00:00"/>
    <x v="0"/>
    <s v="Q3"/>
    <x v="28"/>
    <d v="2016-08-20T00:00:00"/>
    <s v="Second Class"/>
    <x v="15"/>
    <x v="15"/>
    <s v="Home Office"/>
    <s v="United States"/>
    <s v="Houston"/>
    <x v="5"/>
    <n v="77070"/>
    <x v="2"/>
    <x v="1533"/>
    <x v="0"/>
    <x v="5"/>
    <x v="1521"/>
    <n v="5.3440000000000003"/>
    <s v="Low"/>
    <n v="4"/>
    <n v="0.6"/>
    <x v="1"/>
    <x v="6"/>
    <n v="-2.1375999999999999"/>
    <n v="-0.39999999999999997"/>
    <n v="1"/>
  </r>
  <r>
    <n v="9127"/>
    <s v="CA-2015-157028"/>
    <d v="2015-11-28T00:00:00"/>
    <x v="1"/>
    <s v="Q4"/>
    <x v="6"/>
    <d v="2015-12-03T00:00:00"/>
    <s v="Standard Class"/>
    <x v="671"/>
    <x v="671"/>
    <s v="Home Office"/>
    <s v="United States"/>
    <s v="Las Cruces"/>
    <x v="27"/>
    <n v="88001"/>
    <x v="1"/>
    <x v="154"/>
    <x v="1"/>
    <x v="6"/>
    <x v="155"/>
    <n v="8.2799999999999994"/>
    <s v="Low"/>
    <n v="2"/>
    <n v="0"/>
    <x v="0"/>
    <x v="0"/>
    <n v="3.4775999999999998"/>
    <n v="0.42"/>
    <n v="0"/>
  </r>
  <r>
    <n v="9128"/>
    <s v="CA-2017-112473"/>
    <d v="2017-05-25T00:00:00"/>
    <x v="3"/>
    <s v="Q2"/>
    <x v="24"/>
    <d v="2017-06-01T00:00:00"/>
    <s v="Standard Class"/>
    <x v="145"/>
    <x v="145"/>
    <s v="Consumer"/>
    <s v="United States"/>
    <s v="Houston"/>
    <x v="5"/>
    <n v="77070"/>
    <x v="2"/>
    <x v="1751"/>
    <x v="1"/>
    <x v="4"/>
    <x v="1741"/>
    <n v="50.136000000000003"/>
    <s v="Medium"/>
    <n v="3"/>
    <n v="0.2"/>
    <x v="2"/>
    <x v="2"/>
    <n v="-11.2806"/>
    <n v="-0.22499999999999998"/>
    <n v="1"/>
  </r>
  <r>
    <n v="9129"/>
    <s v="US-2017-147655"/>
    <d v="2017-09-04T00:00:00"/>
    <x v="3"/>
    <s v="Q3"/>
    <x v="15"/>
    <d v="2017-09-05T00:00:00"/>
    <s v="First Class"/>
    <x v="442"/>
    <x v="442"/>
    <s v="Corporate"/>
    <s v="United States"/>
    <s v="Redmond"/>
    <x v="21"/>
    <n v="97756"/>
    <x v="1"/>
    <x v="735"/>
    <x v="1"/>
    <x v="8"/>
    <x v="734"/>
    <n v="88.073999999999998"/>
    <s v="Medium"/>
    <n v="7"/>
    <n v="0.7"/>
    <x v="1"/>
    <x v="5"/>
    <n v="-58.716000000000001"/>
    <n v="-0.66666666666666674"/>
    <n v="1"/>
  </r>
  <r>
    <n v="9130"/>
    <s v="CA-2016-130911"/>
    <d v="2016-03-24T00:00:00"/>
    <x v="0"/>
    <s v="Q1"/>
    <x v="17"/>
    <d v="2016-03-26T00:00:00"/>
    <s v="Second Class"/>
    <x v="419"/>
    <x v="419"/>
    <s v="Consumer"/>
    <s v="United States"/>
    <s v="Cleveland"/>
    <x v="24"/>
    <n v="44105"/>
    <x v="3"/>
    <x v="1373"/>
    <x v="0"/>
    <x v="0"/>
    <x v="1358"/>
    <n v="301.47000000000003"/>
    <s v="High"/>
    <n v="3"/>
    <n v="0.5"/>
    <x v="1"/>
    <x v="1"/>
    <n v="-241.17599999999999"/>
    <n v="-0.79999999999999993"/>
    <n v="1"/>
  </r>
  <r>
    <n v="9131"/>
    <s v="CA-2016-130911"/>
    <d v="2016-03-24T00:00:00"/>
    <x v="0"/>
    <s v="Q1"/>
    <x v="17"/>
    <d v="2016-03-26T00:00:00"/>
    <s v="Second Class"/>
    <x v="419"/>
    <x v="419"/>
    <s v="Consumer"/>
    <s v="United States"/>
    <s v="Cleveland"/>
    <x v="24"/>
    <n v="44105"/>
    <x v="3"/>
    <x v="1132"/>
    <x v="1"/>
    <x v="6"/>
    <x v="1120"/>
    <n v="18.655999999999999"/>
    <s v="Low"/>
    <n v="2"/>
    <n v="0.2"/>
    <x v="2"/>
    <x v="2"/>
    <n v="1.6324000000000001"/>
    <n v="8.7500000000000008E-2"/>
    <n v="0"/>
  </r>
  <r>
    <n v="9132"/>
    <s v="CA-2017-100055"/>
    <d v="2017-05-28T00:00:00"/>
    <x v="3"/>
    <s v="Q2"/>
    <x v="24"/>
    <d v="2017-06-01T00:00:00"/>
    <s v="Standard Class"/>
    <x v="550"/>
    <x v="550"/>
    <s v="Corporate"/>
    <s v="United States"/>
    <s v="Laurel"/>
    <x v="39"/>
    <n v="20707"/>
    <x v="3"/>
    <x v="1001"/>
    <x v="0"/>
    <x v="5"/>
    <x v="993"/>
    <n v="27.46"/>
    <s v="Medium"/>
    <n v="2"/>
    <n v="0"/>
    <x v="0"/>
    <x v="0"/>
    <n v="9.8856000000000002"/>
    <n v="0.36"/>
    <n v="0"/>
  </r>
  <r>
    <n v="9133"/>
    <s v="CA-2017-100055"/>
    <d v="2017-05-28T00:00:00"/>
    <x v="3"/>
    <s v="Q2"/>
    <x v="24"/>
    <d v="2017-06-01T00:00:00"/>
    <s v="Standard Class"/>
    <x v="550"/>
    <x v="550"/>
    <s v="Corporate"/>
    <s v="United States"/>
    <s v="Laurel"/>
    <x v="39"/>
    <n v="20707"/>
    <x v="3"/>
    <x v="586"/>
    <x v="1"/>
    <x v="9"/>
    <x v="586"/>
    <n v="125.13"/>
    <s v="High"/>
    <n v="3"/>
    <n v="0"/>
    <x v="0"/>
    <x v="0"/>
    <n v="36.287700000000001"/>
    <n v="0.29000000000000004"/>
    <n v="0"/>
  </r>
  <r>
    <n v="9134"/>
    <s v="CA-2015-157805"/>
    <d v="2015-08-31T00:00:00"/>
    <x v="1"/>
    <s v="Q3"/>
    <x v="37"/>
    <d v="2015-09-04T00:00:00"/>
    <s v="Standard Class"/>
    <x v="563"/>
    <x v="563"/>
    <s v="Home Office"/>
    <s v="United States"/>
    <s v="San Diego"/>
    <x v="1"/>
    <n v="92037"/>
    <x v="1"/>
    <x v="872"/>
    <x v="2"/>
    <x v="7"/>
    <x v="866"/>
    <n v="555.96"/>
    <s v="High"/>
    <n v="5"/>
    <n v="0.2"/>
    <x v="2"/>
    <x v="2"/>
    <n v="41.697000000000003"/>
    <n v="7.4999999999999997E-2"/>
    <n v="0"/>
  </r>
  <r>
    <n v="9135"/>
    <s v="CA-2016-124254"/>
    <d v="2016-04-12T00:00:00"/>
    <x v="0"/>
    <s v="Q2"/>
    <x v="25"/>
    <d v="2016-04-17T00:00:00"/>
    <s v="Standard Class"/>
    <x v="533"/>
    <x v="533"/>
    <s v="Corporate"/>
    <s v="United States"/>
    <s v="Wilson"/>
    <x v="3"/>
    <n v="27893"/>
    <x v="0"/>
    <x v="398"/>
    <x v="1"/>
    <x v="4"/>
    <x v="399"/>
    <n v="129.55199999999999"/>
    <s v="High"/>
    <n v="3"/>
    <n v="0.2"/>
    <x v="2"/>
    <x v="2"/>
    <n v="-22.671600000000002"/>
    <n v="-0.17500000000000002"/>
    <n v="1"/>
  </r>
  <r>
    <n v="9136"/>
    <s v="CA-2016-124254"/>
    <d v="2016-04-12T00:00:00"/>
    <x v="0"/>
    <s v="Q2"/>
    <x v="25"/>
    <d v="2016-04-17T00:00:00"/>
    <s v="Standard Class"/>
    <x v="533"/>
    <x v="533"/>
    <s v="Corporate"/>
    <s v="United States"/>
    <s v="Wilson"/>
    <x v="3"/>
    <n v="27893"/>
    <x v="0"/>
    <x v="391"/>
    <x v="1"/>
    <x v="4"/>
    <x v="392"/>
    <n v="51.984000000000002"/>
    <s v="Medium"/>
    <n v="1"/>
    <n v="0.2"/>
    <x v="2"/>
    <x v="2"/>
    <n v="-5.1984000000000004"/>
    <n v="-0.1"/>
    <n v="1"/>
  </r>
  <r>
    <n v="9137"/>
    <s v="CA-2016-124254"/>
    <d v="2016-04-12T00:00:00"/>
    <x v="0"/>
    <s v="Q2"/>
    <x v="25"/>
    <d v="2016-04-17T00:00:00"/>
    <s v="Standard Class"/>
    <x v="533"/>
    <x v="533"/>
    <s v="Corporate"/>
    <s v="United States"/>
    <s v="Wilson"/>
    <x v="3"/>
    <n v="27893"/>
    <x v="0"/>
    <x v="1671"/>
    <x v="1"/>
    <x v="10"/>
    <x v="1659"/>
    <n v="10.272"/>
    <s v="Low"/>
    <n v="3"/>
    <n v="0.2"/>
    <x v="2"/>
    <x v="2"/>
    <n v="3.4668000000000001"/>
    <n v="0.33750000000000002"/>
    <n v="0"/>
  </r>
  <r>
    <n v="9138"/>
    <s v="CA-2014-123400"/>
    <d v="2014-02-02T00:00:00"/>
    <x v="2"/>
    <s v="Q1"/>
    <x v="45"/>
    <d v="2014-02-09T00:00:00"/>
    <s v="Standard Class"/>
    <x v="518"/>
    <x v="518"/>
    <s v="Consumer"/>
    <s v="United States"/>
    <s v="Saint Petersburg"/>
    <x v="2"/>
    <n v="33710"/>
    <x v="0"/>
    <x v="997"/>
    <x v="1"/>
    <x v="8"/>
    <x v="989"/>
    <n v="18.335999999999999"/>
    <s v="Low"/>
    <n v="2"/>
    <n v="0.7"/>
    <x v="1"/>
    <x v="5"/>
    <n v="-12.224"/>
    <n v="-0.66666666666666674"/>
    <n v="1"/>
  </r>
  <r>
    <n v="9139"/>
    <s v="CA-2014-123400"/>
    <d v="2014-02-02T00:00:00"/>
    <x v="2"/>
    <s v="Q1"/>
    <x v="45"/>
    <d v="2014-02-09T00:00:00"/>
    <s v="Standard Class"/>
    <x v="518"/>
    <x v="518"/>
    <s v="Consumer"/>
    <s v="United States"/>
    <s v="Saint Petersburg"/>
    <x v="2"/>
    <n v="33710"/>
    <x v="0"/>
    <x v="1409"/>
    <x v="2"/>
    <x v="7"/>
    <x v="1396"/>
    <n v="180.96"/>
    <s v="High"/>
    <n v="5"/>
    <n v="0.2"/>
    <x v="2"/>
    <x v="2"/>
    <n v="13.571999999999999"/>
    <n v="7.4999999999999997E-2"/>
    <n v="0"/>
  </r>
  <r>
    <n v="9140"/>
    <s v="CA-2014-106971"/>
    <d v="2014-09-02T00:00:00"/>
    <x v="2"/>
    <s v="Q3"/>
    <x v="30"/>
    <d v="2014-09-08T00:00:00"/>
    <s v="Standard Class"/>
    <x v="298"/>
    <x v="298"/>
    <s v="Consumer"/>
    <s v="United States"/>
    <s v="Buffalo Grove"/>
    <x v="10"/>
    <n v="60089"/>
    <x v="2"/>
    <x v="106"/>
    <x v="2"/>
    <x v="11"/>
    <x v="106"/>
    <n v="475.94400000000002"/>
    <s v="High"/>
    <n v="7"/>
    <n v="0.2"/>
    <x v="2"/>
    <x v="2"/>
    <n v="95.188800000000001"/>
    <n v="0.19999999999999998"/>
    <n v="0"/>
  </r>
  <r>
    <n v="9141"/>
    <s v="CA-2017-123029"/>
    <d v="2017-09-30T00:00:00"/>
    <x v="3"/>
    <s v="Q3"/>
    <x v="15"/>
    <d v="2017-10-02T00:00:00"/>
    <s v="Second Class"/>
    <x v="404"/>
    <x v="404"/>
    <s v="Home Office"/>
    <s v="United States"/>
    <s v="Los Angeles"/>
    <x v="1"/>
    <n v="90049"/>
    <x v="1"/>
    <x v="657"/>
    <x v="2"/>
    <x v="11"/>
    <x v="657"/>
    <n v="159.97999999999999"/>
    <s v="High"/>
    <n v="2"/>
    <n v="0"/>
    <x v="0"/>
    <x v="0"/>
    <n v="47.994"/>
    <n v="0.30000000000000004"/>
    <n v="0"/>
  </r>
  <r>
    <n v="9142"/>
    <s v="CA-2016-139409"/>
    <d v="2016-09-05T00:00:00"/>
    <x v="0"/>
    <s v="Q3"/>
    <x v="21"/>
    <d v="2016-09-07T00:00:00"/>
    <s v="First Class"/>
    <x v="783"/>
    <x v="783"/>
    <s v="Corporate"/>
    <s v="United States"/>
    <s v="New York City"/>
    <x v="15"/>
    <n v="10011"/>
    <x v="3"/>
    <x v="47"/>
    <x v="2"/>
    <x v="7"/>
    <x v="47"/>
    <n v="43.6"/>
    <s v="Medium"/>
    <n v="4"/>
    <n v="0"/>
    <x v="0"/>
    <x v="0"/>
    <n v="12.208"/>
    <n v="0.27999999999999997"/>
    <n v="0"/>
  </r>
  <r>
    <n v="9143"/>
    <s v="US-2017-166688"/>
    <d v="2017-05-20T00:00:00"/>
    <x v="3"/>
    <s v="Q2"/>
    <x v="24"/>
    <d v="2017-05-26T00:00:00"/>
    <s v="Standard Class"/>
    <x v="502"/>
    <x v="502"/>
    <s v="Consumer"/>
    <s v="United States"/>
    <s v="Las Vegas"/>
    <x v="33"/>
    <n v="89115"/>
    <x v="1"/>
    <x v="1499"/>
    <x v="1"/>
    <x v="8"/>
    <x v="1487"/>
    <n v="8.2880000000000003"/>
    <s v="Low"/>
    <n v="2"/>
    <n v="0.2"/>
    <x v="2"/>
    <x v="2"/>
    <n v="3.0044"/>
    <n v="0.36249999999999999"/>
    <n v="0"/>
  </r>
  <r>
    <n v="9144"/>
    <s v="US-2017-166688"/>
    <d v="2017-05-20T00:00:00"/>
    <x v="3"/>
    <s v="Q2"/>
    <x v="24"/>
    <d v="2017-05-26T00:00:00"/>
    <s v="Standard Class"/>
    <x v="502"/>
    <x v="502"/>
    <s v="Consumer"/>
    <s v="United States"/>
    <s v="Las Vegas"/>
    <x v="33"/>
    <n v="89115"/>
    <x v="1"/>
    <x v="1807"/>
    <x v="2"/>
    <x v="7"/>
    <x v="1797"/>
    <n v="1123.1279999999999"/>
    <s v="High"/>
    <n v="9"/>
    <n v="0.2"/>
    <x v="2"/>
    <x v="2"/>
    <n v="70.195499999999996"/>
    <n v="6.25E-2"/>
    <n v="0"/>
  </r>
  <r>
    <n v="9145"/>
    <s v="US-2017-166688"/>
    <d v="2017-05-20T00:00:00"/>
    <x v="3"/>
    <s v="Q2"/>
    <x v="24"/>
    <d v="2017-05-26T00:00:00"/>
    <s v="Standard Class"/>
    <x v="502"/>
    <x v="502"/>
    <s v="Consumer"/>
    <s v="United States"/>
    <s v="Las Vegas"/>
    <x v="33"/>
    <n v="89115"/>
    <x v="1"/>
    <x v="95"/>
    <x v="1"/>
    <x v="9"/>
    <x v="95"/>
    <n v="64.900000000000006"/>
    <s v="Medium"/>
    <n v="5"/>
    <n v="0"/>
    <x v="0"/>
    <x v="0"/>
    <n v="18.821000000000002"/>
    <n v="0.28999999999999998"/>
    <n v="0"/>
  </r>
  <r>
    <n v="9146"/>
    <s v="CA-2015-126970"/>
    <d v="2015-09-20T00:00:00"/>
    <x v="1"/>
    <s v="Q3"/>
    <x v="11"/>
    <d v="2015-09-24T00:00:00"/>
    <s v="Standard Class"/>
    <x v="236"/>
    <x v="236"/>
    <s v="Consumer"/>
    <s v="United States"/>
    <s v="Naperville"/>
    <x v="10"/>
    <n v="60540"/>
    <x v="2"/>
    <x v="605"/>
    <x v="1"/>
    <x v="8"/>
    <x v="605"/>
    <n v="2.8079999999999998"/>
    <s v="Low"/>
    <n v="3"/>
    <n v="0.8"/>
    <x v="1"/>
    <x v="3"/>
    <n v="-4.4927999999999999"/>
    <n v="-1.6"/>
    <n v="1"/>
  </r>
  <r>
    <n v="9147"/>
    <s v="US-2016-165505"/>
    <d v="2016-01-23T00:00:00"/>
    <x v="0"/>
    <s v="Q1"/>
    <x v="12"/>
    <d v="2016-01-27T00:00:00"/>
    <s v="Standard Class"/>
    <x v="118"/>
    <x v="118"/>
    <s v="Corporate"/>
    <s v="United States"/>
    <s v="Burlington"/>
    <x v="42"/>
    <s v="05408"/>
    <x v="3"/>
    <x v="1135"/>
    <x v="2"/>
    <x v="11"/>
    <x v="1123"/>
    <n v="99.98"/>
    <s v="Medium"/>
    <n v="2"/>
    <n v="0"/>
    <x v="0"/>
    <x v="0"/>
    <n v="42.991399999999999"/>
    <n v="0.43"/>
    <n v="0"/>
  </r>
  <r>
    <n v="9148"/>
    <s v="US-2016-165505"/>
    <d v="2016-01-23T00:00:00"/>
    <x v="0"/>
    <s v="Q1"/>
    <x v="12"/>
    <d v="2016-01-27T00:00:00"/>
    <s v="Standard Class"/>
    <x v="118"/>
    <x v="118"/>
    <s v="Corporate"/>
    <s v="United States"/>
    <s v="Burlington"/>
    <x v="42"/>
    <s v="05408"/>
    <x v="3"/>
    <x v="1850"/>
    <x v="1"/>
    <x v="6"/>
    <x v="1838"/>
    <n v="8.0399999999999991"/>
    <s v="Low"/>
    <n v="6"/>
    <n v="0"/>
    <x v="0"/>
    <x v="0"/>
    <n v="2.7336"/>
    <n v="0.34"/>
    <n v="0"/>
  </r>
  <r>
    <n v="9149"/>
    <s v="US-2016-165505"/>
    <d v="2016-01-23T00:00:00"/>
    <x v="0"/>
    <s v="Q1"/>
    <x v="12"/>
    <d v="2016-01-27T00:00:00"/>
    <s v="Standard Class"/>
    <x v="118"/>
    <x v="118"/>
    <s v="Corporate"/>
    <s v="United States"/>
    <s v="Burlington"/>
    <x v="42"/>
    <s v="05408"/>
    <x v="3"/>
    <x v="772"/>
    <x v="1"/>
    <x v="4"/>
    <x v="771"/>
    <n v="1564.29"/>
    <s v="High"/>
    <n v="13"/>
    <n v="0"/>
    <x v="0"/>
    <x v="0"/>
    <n v="406.71539999999999"/>
    <n v="0.26"/>
    <n v="0"/>
  </r>
  <r>
    <n v="9150"/>
    <s v="US-2014-157070"/>
    <d v="2014-06-01T00:00:00"/>
    <x v="2"/>
    <s v="Q2"/>
    <x v="3"/>
    <d v="2014-06-06T00:00:00"/>
    <s v="Standard Class"/>
    <x v="425"/>
    <x v="425"/>
    <s v="Corporate"/>
    <s v="United States"/>
    <s v="Detroit"/>
    <x v="12"/>
    <n v="48234"/>
    <x v="2"/>
    <x v="1002"/>
    <x v="1"/>
    <x v="8"/>
    <x v="994"/>
    <n v="138.56"/>
    <s v="High"/>
    <n v="4"/>
    <n v="0"/>
    <x v="0"/>
    <x v="0"/>
    <n v="66.508799999999994"/>
    <n v="0.47999999999999993"/>
    <n v="0"/>
  </r>
  <r>
    <n v="9151"/>
    <s v="US-2014-157070"/>
    <d v="2014-06-01T00:00:00"/>
    <x v="2"/>
    <s v="Q2"/>
    <x v="3"/>
    <d v="2014-06-06T00:00:00"/>
    <s v="Standard Class"/>
    <x v="425"/>
    <x v="425"/>
    <s v="Corporate"/>
    <s v="United States"/>
    <s v="Detroit"/>
    <x v="12"/>
    <n v="48234"/>
    <x v="2"/>
    <x v="937"/>
    <x v="1"/>
    <x v="9"/>
    <x v="930"/>
    <n v="65.52"/>
    <s v="Medium"/>
    <n v="5"/>
    <n v="0.1"/>
    <x v="3"/>
    <x v="8"/>
    <n v="12.375999999999999"/>
    <n v="0.18888888888888888"/>
    <n v="0"/>
  </r>
  <r>
    <n v="9152"/>
    <s v="US-2015-106873"/>
    <d v="2015-09-24T00:00:00"/>
    <x v="1"/>
    <s v="Q3"/>
    <x v="11"/>
    <d v="2015-09-29T00:00:00"/>
    <s v="Second Class"/>
    <x v="27"/>
    <x v="27"/>
    <s v="Consumer"/>
    <s v="United States"/>
    <s v="Avondale"/>
    <x v="16"/>
    <n v="85323"/>
    <x v="1"/>
    <x v="1583"/>
    <x v="1"/>
    <x v="6"/>
    <x v="1574"/>
    <n v="14.576000000000001"/>
    <s v="Low"/>
    <n v="2"/>
    <n v="0.2"/>
    <x v="2"/>
    <x v="2"/>
    <n v="2.3685999999999998"/>
    <n v="0.16249999999999998"/>
    <n v="0"/>
  </r>
  <r>
    <n v="9153"/>
    <s v="US-2015-106873"/>
    <d v="2015-09-24T00:00:00"/>
    <x v="1"/>
    <s v="Q3"/>
    <x v="11"/>
    <d v="2015-09-29T00:00:00"/>
    <s v="Second Class"/>
    <x v="27"/>
    <x v="27"/>
    <s v="Consumer"/>
    <s v="United States"/>
    <s v="Avondale"/>
    <x v="16"/>
    <n v="85323"/>
    <x v="1"/>
    <x v="174"/>
    <x v="2"/>
    <x v="11"/>
    <x v="175"/>
    <n v="23.2"/>
    <s v="Low"/>
    <n v="2"/>
    <n v="0.2"/>
    <x v="2"/>
    <x v="2"/>
    <n v="1.45"/>
    <n v="6.25E-2"/>
    <n v="0"/>
  </r>
  <r>
    <n v="9154"/>
    <s v="US-2015-106873"/>
    <d v="2015-09-24T00:00:00"/>
    <x v="1"/>
    <s v="Q3"/>
    <x v="11"/>
    <d v="2015-09-29T00:00:00"/>
    <s v="Second Class"/>
    <x v="27"/>
    <x v="27"/>
    <s v="Consumer"/>
    <s v="United States"/>
    <s v="Avondale"/>
    <x v="16"/>
    <n v="85323"/>
    <x v="1"/>
    <x v="454"/>
    <x v="1"/>
    <x v="6"/>
    <x v="455"/>
    <n v="16.463999999999999"/>
    <s v="Low"/>
    <n v="7"/>
    <n v="0.2"/>
    <x v="2"/>
    <x v="2"/>
    <n v="1.8522000000000001"/>
    <n v="0.11250000000000002"/>
    <n v="0"/>
  </r>
  <r>
    <n v="9155"/>
    <s v="CA-2016-132990"/>
    <d v="2016-08-01T00:00:00"/>
    <x v="0"/>
    <s v="Q3"/>
    <x v="28"/>
    <d v="2016-08-03T00:00:00"/>
    <s v="Second Class"/>
    <x v="730"/>
    <x v="730"/>
    <s v="Consumer"/>
    <s v="United States"/>
    <s v="Philadelphia"/>
    <x v="9"/>
    <n v="19140"/>
    <x v="3"/>
    <x v="441"/>
    <x v="0"/>
    <x v="5"/>
    <x v="1719"/>
    <n v="19.312000000000001"/>
    <s v="Low"/>
    <n v="2"/>
    <n v="0.2"/>
    <x v="2"/>
    <x v="2"/>
    <n v="3.1381999999999999"/>
    <n v="0.16249999999999998"/>
    <n v="0"/>
  </r>
  <r>
    <n v="9156"/>
    <s v="CA-2014-102645"/>
    <d v="2014-01-23T00:00:00"/>
    <x v="2"/>
    <s v="Q1"/>
    <x v="46"/>
    <d v="2014-01-28T00:00:00"/>
    <s v="Standard Class"/>
    <x v="780"/>
    <x v="780"/>
    <s v="Consumer"/>
    <s v="United States"/>
    <s v="Las Vegas"/>
    <x v="33"/>
    <n v="89115"/>
    <x v="1"/>
    <x v="128"/>
    <x v="1"/>
    <x v="10"/>
    <x v="129"/>
    <n v="40.08"/>
    <s v="Medium"/>
    <n v="6"/>
    <n v="0"/>
    <x v="0"/>
    <x v="0"/>
    <n v="19.238399999999999"/>
    <n v="0.48"/>
    <n v="0"/>
  </r>
  <r>
    <n v="9157"/>
    <s v="CA-2014-134215"/>
    <d v="2014-08-04T00:00:00"/>
    <x v="2"/>
    <s v="Q3"/>
    <x v="9"/>
    <d v="2014-08-08T00:00:00"/>
    <s v="Standard Class"/>
    <x v="504"/>
    <x v="504"/>
    <s v="Corporate"/>
    <s v="United States"/>
    <s v="Bangor"/>
    <x v="43"/>
    <n v="4401"/>
    <x v="3"/>
    <x v="473"/>
    <x v="1"/>
    <x v="9"/>
    <x v="474"/>
    <n v="101.96"/>
    <s v="Medium"/>
    <n v="2"/>
    <n v="0"/>
    <x v="0"/>
    <x v="0"/>
    <n v="27.529199999999999"/>
    <n v="0.27"/>
    <n v="0"/>
  </r>
  <r>
    <n v="9158"/>
    <s v="CA-2014-134215"/>
    <d v="2014-08-04T00:00:00"/>
    <x v="2"/>
    <s v="Q3"/>
    <x v="9"/>
    <d v="2014-08-08T00:00:00"/>
    <s v="Standard Class"/>
    <x v="504"/>
    <x v="504"/>
    <s v="Corporate"/>
    <s v="United States"/>
    <s v="Bangor"/>
    <x v="43"/>
    <n v="4401"/>
    <x v="3"/>
    <x v="1673"/>
    <x v="1"/>
    <x v="10"/>
    <x v="1661"/>
    <n v="259.74"/>
    <s v="High"/>
    <n v="13"/>
    <n v="0"/>
    <x v="0"/>
    <x v="0"/>
    <n v="124.6752"/>
    <n v="0.48"/>
    <n v="0"/>
  </r>
  <r>
    <n v="9159"/>
    <s v="CA-2014-134215"/>
    <d v="2014-08-04T00:00:00"/>
    <x v="2"/>
    <s v="Q3"/>
    <x v="9"/>
    <d v="2014-08-08T00:00:00"/>
    <s v="Standard Class"/>
    <x v="504"/>
    <x v="504"/>
    <s v="Corporate"/>
    <s v="United States"/>
    <s v="Bangor"/>
    <x v="43"/>
    <n v="4401"/>
    <x v="3"/>
    <x v="721"/>
    <x v="2"/>
    <x v="11"/>
    <x v="720"/>
    <n v="255.42"/>
    <s v="High"/>
    <n v="9"/>
    <n v="0"/>
    <x v="0"/>
    <x v="0"/>
    <n v="104.7222"/>
    <n v="0.41000000000000003"/>
    <n v="0"/>
  </r>
  <r>
    <n v="9160"/>
    <s v="CA-2016-118934"/>
    <d v="2016-08-09T00:00:00"/>
    <x v="0"/>
    <s v="Q3"/>
    <x v="28"/>
    <d v="2016-08-14T00:00:00"/>
    <s v="Standard Class"/>
    <x v="689"/>
    <x v="689"/>
    <s v="Home Office"/>
    <s v="United States"/>
    <s v="Hendersonville"/>
    <x v="18"/>
    <n v="37075"/>
    <x v="0"/>
    <x v="308"/>
    <x v="1"/>
    <x v="8"/>
    <x v="308"/>
    <n v="4.3380000000000001"/>
    <s v="Low"/>
    <n v="3"/>
    <n v="0.7"/>
    <x v="1"/>
    <x v="5"/>
    <n v="-3.0366"/>
    <n v="-0.7"/>
    <n v="1"/>
  </r>
  <r>
    <n v="9161"/>
    <s v="CA-2016-118934"/>
    <d v="2016-08-09T00:00:00"/>
    <x v="0"/>
    <s v="Q3"/>
    <x v="28"/>
    <d v="2016-08-14T00:00:00"/>
    <s v="Standard Class"/>
    <x v="689"/>
    <x v="689"/>
    <s v="Home Office"/>
    <s v="United States"/>
    <s v="Hendersonville"/>
    <x v="18"/>
    <n v="37075"/>
    <x v="0"/>
    <x v="741"/>
    <x v="1"/>
    <x v="8"/>
    <x v="739"/>
    <n v="11.88"/>
    <s v="Low"/>
    <n v="5"/>
    <n v="0.7"/>
    <x v="1"/>
    <x v="5"/>
    <n v="-7.92"/>
    <n v="-0.66666666666666663"/>
    <n v="1"/>
  </r>
  <r>
    <n v="9162"/>
    <s v="CA-2016-160108"/>
    <d v="2016-12-08T00:00:00"/>
    <x v="0"/>
    <s v="Q4"/>
    <x v="5"/>
    <d v="2016-12-12T00:00:00"/>
    <s v="Standard Class"/>
    <x v="151"/>
    <x v="151"/>
    <s v="Consumer"/>
    <s v="United States"/>
    <s v="Eau Claire"/>
    <x v="6"/>
    <n v="54703"/>
    <x v="2"/>
    <x v="1368"/>
    <x v="0"/>
    <x v="0"/>
    <x v="1353"/>
    <n v="405.86"/>
    <s v="High"/>
    <n v="7"/>
    <n v="0"/>
    <x v="0"/>
    <x v="0"/>
    <n v="32.468800000000002"/>
    <n v="0.08"/>
    <n v="0"/>
  </r>
  <r>
    <n v="9163"/>
    <s v="CA-2016-160108"/>
    <d v="2016-12-08T00:00:00"/>
    <x v="0"/>
    <s v="Q4"/>
    <x v="5"/>
    <d v="2016-12-12T00:00:00"/>
    <s v="Standard Class"/>
    <x v="151"/>
    <x v="151"/>
    <s v="Consumer"/>
    <s v="United States"/>
    <s v="Eau Claire"/>
    <x v="6"/>
    <n v="54703"/>
    <x v="2"/>
    <x v="629"/>
    <x v="0"/>
    <x v="1"/>
    <x v="629"/>
    <n v="680.01"/>
    <s v="High"/>
    <n v="3"/>
    <n v="0"/>
    <x v="0"/>
    <x v="0"/>
    <n v="176.80260000000001"/>
    <n v="0.26"/>
    <n v="0"/>
  </r>
  <r>
    <n v="9164"/>
    <s v="CA-2015-164007"/>
    <d v="2015-06-08T00:00:00"/>
    <x v="1"/>
    <s v="Q2"/>
    <x v="40"/>
    <d v="2015-06-12T00:00:00"/>
    <s v="Standard Class"/>
    <x v="726"/>
    <x v="726"/>
    <s v="Consumer"/>
    <s v="United States"/>
    <s v="Chicago"/>
    <x v="10"/>
    <n v="60610"/>
    <x v="2"/>
    <x v="1430"/>
    <x v="2"/>
    <x v="11"/>
    <x v="1418"/>
    <n v="2.3759999999999999"/>
    <s v="Low"/>
    <n v="3"/>
    <n v="0.2"/>
    <x v="2"/>
    <x v="2"/>
    <n v="0.74250000000000005"/>
    <n v="0.31250000000000006"/>
    <n v="0"/>
  </r>
  <r>
    <n v="9165"/>
    <s v="CA-2015-164007"/>
    <d v="2015-06-08T00:00:00"/>
    <x v="1"/>
    <s v="Q2"/>
    <x v="40"/>
    <d v="2015-06-12T00:00:00"/>
    <s v="Standard Class"/>
    <x v="726"/>
    <x v="726"/>
    <s v="Consumer"/>
    <s v="United States"/>
    <s v="Chicago"/>
    <x v="10"/>
    <n v="60610"/>
    <x v="2"/>
    <x v="847"/>
    <x v="1"/>
    <x v="9"/>
    <x v="841"/>
    <n v="143.12799999999999"/>
    <s v="High"/>
    <n v="2"/>
    <n v="0.8"/>
    <x v="1"/>
    <x v="3"/>
    <n v="-393.60199999999998"/>
    <n v="-2.75"/>
    <n v="1"/>
  </r>
  <r>
    <n v="9166"/>
    <s v="CA-2016-100300"/>
    <d v="2016-06-24T00:00:00"/>
    <x v="0"/>
    <s v="Q2"/>
    <x v="1"/>
    <d v="2016-06-26T00:00:00"/>
    <s v="Second Class"/>
    <x v="77"/>
    <x v="77"/>
    <s v="Consumer"/>
    <s v="United States"/>
    <s v="San Diego"/>
    <x v="1"/>
    <n v="92037"/>
    <x v="1"/>
    <x v="1832"/>
    <x v="2"/>
    <x v="15"/>
    <x v="1820"/>
    <n v="4476.8"/>
    <s v="High"/>
    <n v="4"/>
    <n v="0.2"/>
    <x v="2"/>
    <x v="2"/>
    <n v="503.64"/>
    <n v="0.11249999999999999"/>
    <n v="0"/>
  </r>
  <r>
    <n v="9167"/>
    <s v="CA-2016-100300"/>
    <d v="2016-06-24T00:00:00"/>
    <x v="0"/>
    <s v="Q2"/>
    <x v="1"/>
    <d v="2016-06-26T00:00:00"/>
    <s v="Second Class"/>
    <x v="77"/>
    <x v="77"/>
    <s v="Consumer"/>
    <s v="United States"/>
    <s v="San Diego"/>
    <x v="1"/>
    <n v="92037"/>
    <x v="1"/>
    <x v="976"/>
    <x v="1"/>
    <x v="10"/>
    <x v="970"/>
    <n v="104.85"/>
    <s v="Medium"/>
    <n v="1"/>
    <n v="0"/>
    <x v="0"/>
    <x v="0"/>
    <n v="50.328000000000003"/>
    <n v="0.48000000000000004"/>
    <n v="0"/>
  </r>
  <r>
    <n v="9168"/>
    <s v="CA-2016-100300"/>
    <d v="2016-06-24T00:00:00"/>
    <x v="0"/>
    <s v="Q2"/>
    <x v="1"/>
    <d v="2016-06-26T00:00:00"/>
    <s v="Second Class"/>
    <x v="77"/>
    <x v="77"/>
    <s v="Consumer"/>
    <s v="United States"/>
    <s v="San Diego"/>
    <x v="1"/>
    <n v="92037"/>
    <x v="1"/>
    <x v="1429"/>
    <x v="1"/>
    <x v="9"/>
    <x v="1417"/>
    <n v="241.44"/>
    <s v="High"/>
    <n v="3"/>
    <n v="0"/>
    <x v="0"/>
    <x v="0"/>
    <n v="72.432000000000002"/>
    <n v="0.3"/>
    <n v="0"/>
  </r>
  <r>
    <n v="9169"/>
    <s v="CA-2016-140571"/>
    <d v="2016-03-15T00:00:00"/>
    <x v="0"/>
    <s v="Q1"/>
    <x v="17"/>
    <d v="2016-03-19T00:00:00"/>
    <s v="Standard Class"/>
    <x v="319"/>
    <x v="319"/>
    <s v="Home Office"/>
    <s v="United States"/>
    <s v="Jackson"/>
    <x v="35"/>
    <n v="39212"/>
    <x v="0"/>
    <x v="600"/>
    <x v="1"/>
    <x v="10"/>
    <x v="600"/>
    <n v="319.76"/>
    <s v="High"/>
    <n v="14"/>
    <n v="0"/>
    <x v="0"/>
    <x v="0"/>
    <n v="147.08959999999999"/>
    <n v="0.45999999999999996"/>
    <n v="0"/>
  </r>
  <r>
    <n v="9170"/>
    <s v="CA-2016-140571"/>
    <d v="2016-03-15T00:00:00"/>
    <x v="0"/>
    <s v="Q1"/>
    <x v="17"/>
    <d v="2016-03-19T00:00:00"/>
    <s v="Standard Class"/>
    <x v="319"/>
    <x v="319"/>
    <s v="Home Office"/>
    <s v="United States"/>
    <s v="Jackson"/>
    <x v="35"/>
    <n v="39212"/>
    <x v="0"/>
    <x v="600"/>
    <x v="1"/>
    <x v="10"/>
    <x v="600"/>
    <n v="45.68"/>
    <s v="Medium"/>
    <n v="2"/>
    <n v="0"/>
    <x v="0"/>
    <x v="0"/>
    <n v="21.012799999999999"/>
    <n v="0.45999999999999996"/>
    <n v="0"/>
  </r>
  <r>
    <n v="9171"/>
    <s v="US-2016-155768"/>
    <d v="2016-12-01T00:00:00"/>
    <x v="0"/>
    <s v="Q4"/>
    <x v="5"/>
    <d v="2016-12-01T00:00:00"/>
    <s v="Same Day"/>
    <x v="697"/>
    <x v="697"/>
    <s v="Home Office"/>
    <s v="United States"/>
    <s v="Oxnard"/>
    <x v="1"/>
    <n v="93030"/>
    <x v="1"/>
    <x v="468"/>
    <x v="0"/>
    <x v="5"/>
    <x v="469"/>
    <n v="31.96"/>
    <s v="Medium"/>
    <n v="2"/>
    <n v="0"/>
    <x v="0"/>
    <x v="0"/>
    <n v="1.5980000000000001"/>
    <n v="0.05"/>
    <n v="0"/>
  </r>
  <r>
    <n v="9172"/>
    <s v="US-2016-155768"/>
    <d v="2016-12-01T00:00:00"/>
    <x v="0"/>
    <s v="Q4"/>
    <x v="5"/>
    <d v="2016-12-01T00:00:00"/>
    <s v="Same Day"/>
    <x v="697"/>
    <x v="697"/>
    <s v="Home Office"/>
    <s v="United States"/>
    <s v="Oxnard"/>
    <x v="1"/>
    <n v="93030"/>
    <x v="1"/>
    <x v="1052"/>
    <x v="1"/>
    <x v="10"/>
    <x v="1041"/>
    <n v="47.9"/>
    <s v="Medium"/>
    <n v="1"/>
    <n v="0"/>
    <x v="0"/>
    <x v="0"/>
    <n v="22.992000000000001"/>
    <n v="0.48000000000000004"/>
    <n v="0"/>
  </r>
  <r>
    <n v="9173"/>
    <s v="US-2016-155768"/>
    <d v="2016-12-01T00:00:00"/>
    <x v="0"/>
    <s v="Q4"/>
    <x v="5"/>
    <d v="2016-12-01T00:00:00"/>
    <s v="Same Day"/>
    <x v="697"/>
    <x v="697"/>
    <s v="Home Office"/>
    <s v="United States"/>
    <s v="Oxnard"/>
    <x v="1"/>
    <n v="93030"/>
    <x v="1"/>
    <x v="878"/>
    <x v="1"/>
    <x v="4"/>
    <x v="872"/>
    <n v="1112.94"/>
    <s v="High"/>
    <n v="3"/>
    <n v="0"/>
    <x v="0"/>
    <x v="0"/>
    <n v="222.58799999999999"/>
    <n v="0.19999999999999998"/>
    <n v="0"/>
  </r>
  <r>
    <n v="9174"/>
    <s v="US-2016-155768"/>
    <d v="2016-12-01T00:00:00"/>
    <x v="0"/>
    <s v="Q4"/>
    <x v="5"/>
    <d v="2016-12-01T00:00:00"/>
    <s v="Same Day"/>
    <x v="697"/>
    <x v="697"/>
    <s v="Home Office"/>
    <s v="United States"/>
    <s v="Oxnard"/>
    <x v="1"/>
    <n v="93030"/>
    <x v="1"/>
    <x v="588"/>
    <x v="1"/>
    <x v="12"/>
    <x v="588"/>
    <n v="22.92"/>
    <s v="Low"/>
    <n v="3"/>
    <n v="0"/>
    <x v="0"/>
    <x v="0"/>
    <n v="11.2308"/>
    <n v="0.49"/>
    <n v="0"/>
  </r>
  <r>
    <n v="9175"/>
    <s v="CA-2017-119424"/>
    <d v="2017-06-12T00:00:00"/>
    <x v="3"/>
    <s v="Q2"/>
    <x v="27"/>
    <d v="2017-06-14T00:00:00"/>
    <s v="Second Class"/>
    <x v="766"/>
    <x v="766"/>
    <s v="Consumer"/>
    <s v="United States"/>
    <s v="Kent"/>
    <x v="4"/>
    <n v="98031"/>
    <x v="1"/>
    <x v="993"/>
    <x v="2"/>
    <x v="7"/>
    <x v="985"/>
    <n v="71.975999999999999"/>
    <s v="Medium"/>
    <n v="3"/>
    <n v="0.2"/>
    <x v="2"/>
    <x v="2"/>
    <n v="8.9969999999999999"/>
    <n v="0.125"/>
    <n v="0"/>
  </r>
  <r>
    <n v="9176"/>
    <s v="CA-2017-119424"/>
    <d v="2017-06-12T00:00:00"/>
    <x v="3"/>
    <s v="Q2"/>
    <x v="27"/>
    <d v="2017-06-14T00:00:00"/>
    <s v="Second Class"/>
    <x v="766"/>
    <x v="766"/>
    <s v="Consumer"/>
    <s v="United States"/>
    <s v="Kent"/>
    <x v="4"/>
    <n v="98031"/>
    <x v="1"/>
    <x v="988"/>
    <x v="1"/>
    <x v="10"/>
    <x v="981"/>
    <n v="19.440000000000001"/>
    <s v="Low"/>
    <n v="3"/>
    <n v="0"/>
    <x v="0"/>
    <x v="0"/>
    <n v="9.3312000000000008"/>
    <n v="0.48000000000000004"/>
    <n v="0"/>
  </r>
  <r>
    <n v="9177"/>
    <s v="CA-2016-118178"/>
    <d v="2016-03-19T00:00:00"/>
    <x v="0"/>
    <s v="Q1"/>
    <x v="17"/>
    <d v="2016-03-24T00:00:00"/>
    <s v="Standard Class"/>
    <x v="566"/>
    <x v="566"/>
    <s v="Corporate"/>
    <s v="United States"/>
    <s v="Nashville"/>
    <x v="18"/>
    <n v="37211"/>
    <x v="0"/>
    <x v="303"/>
    <x v="1"/>
    <x v="8"/>
    <x v="303"/>
    <n v="31.085999999999999"/>
    <s v="Medium"/>
    <n v="3"/>
    <n v="0.7"/>
    <x v="1"/>
    <x v="5"/>
    <n v="-20.724"/>
    <n v="-0.66666666666666674"/>
    <n v="1"/>
  </r>
  <r>
    <n v="9178"/>
    <s v="CA-2016-166618"/>
    <d v="2016-11-14T00:00:00"/>
    <x v="0"/>
    <s v="Q4"/>
    <x v="0"/>
    <d v="2016-11-18T00:00:00"/>
    <s v="Standard Class"/>
    <x v="24"/>
    <x v="24"/>
    <s v="Consumer"/>
    <s v="United States"/>
    <s v="New York City"/>
    <x v="15"/>
    <n v="10035"/>
    <x v="3"/>
    <x v="1709"/>
    <x v="2"/>
    <x v="7"/>
    <x v="1698"/>
    <n v="13.98"/>
    <s v="Low"/>
    <n v="2"/>
    <n v="0"/>
    <x v="0"/>
    <x v="0"/>
    <n v="3.9144000000000001"/>
    <n v="0.27999999999999997"/>
    <n v="0"/>
  </r>
  <r>
    <n v="9179"/>
    <s v="CA-2016-166618"/>
    <d v="2016-11-14T00:00:00"/>
    <x v="0"/>
    <s v="Q4"/>
    <x v="0"/>
    <d v="2016-11-18T00:00:00"/>
    <s v="Standard Class"/>
    <x v="24"/>
    <x v="24"/>
    <s v="Consumer"/>
    <s v="United States"/>
    <s v="New York City"/>
    <x v="15"/>
    <n v="10035"/>
    <x v="3"/>
    <x v="1559"/>
    <x v="1"/>
    <x v="6"/>
    <x v="1549"/>
    <n v="23.65"/>
    <s v="Low"/>
    <n v="1"/>
    <n v="0"/>
    <x v="0"/>
    <x v="0"/>
    <n v="6.149"/>
    <n v="0.26"/>
    <n v="0"/>
  </r>
  <r>
    <n v="9180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1538"/>
    <x v="2"/>
    <x v="7"/>
    <x v="1526"/>
    <n v="707.88"/>
    <s v="High"/>
    <n v="3"/>
    <n v="0.2"/>
    <x v="2"/>
    <x v="2"/>
    <n v="44.2425"/>
    <n v="6.25E-2"/>
    <n v="0"/>
  </r>
  <r>
    <n v="9181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591"/>
    <x v="1"/>
    <x v="8"/>
    <x v="591"/>
    <n v="11.952"/>
    <s v="Low"/>
    <n v="3"/>
    <n v="0.2"/>
    <x v="2"/>
    <x v="2"/>
    <n v="4.1832000000000003"/>
    <n v="0.35000000000000003"/>
    <n v="0"/>
  </r>
  <r>
    <n v="9182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1645"/>
    <x v="1"/>
    <x v="8"/>
    <x v="1634"/>
    <n v="31.128"/>
    <s v="Medium"/>
    <n v="3"/>
    <n v="0.2"/>
    <x v="2"/>
    <x v="2"/>
    <n v="11.673"/>
    <n v="0.375"/>
    <n v="0"/>
  </r>
  <r>
    <n v="9183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1775"/>
    <x v="2"/>
    <x v="11"/>
    <x v="1765"/>
    <n v="55.76"/>
    <s v="Medium"/>
    <n v="4"/>
    <n v="0"/>
    <x v="0"/>
    <x v="0"/>
    <n v="7.8064"/>
    <n v="0.14000000000000001"/>
    <n v="0"/>
  </r>
  <r>
    <n v="9184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314"/>
    <x v="1"/>
    <x v="10"/>
    <x v="314"/>
    <n v="24.56"/>
    <s v="Low"/>
    <n v="2"/>
    <n v="0"/>
    <x v="0"/>
    <x v="0"/>
    <n v="11.543200000000001"/>
    <n v="0.47000000000000003"/>
    <n v="0"/>
  </r>
  <r>
    <n v="9185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28"/>
    <x v="0"/>
    <x v="5"/>
    <x v="28"/>
    <n v="51.75"/>
    <s v="Medium"/>
    <n v="1"/>
    <n v="0"/>
    <x v="0"/>
    <x v="0"/>
    <n v="15.525"/>
    <n v="0.3"/>
    <n v="0"/>
  </r>
  <r>
    <n v="9186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1851"/>
    <x v="0"/>
    <x v="1"/>
    <x v="1839"/>
    <n v="207.184"/>
    <s v="High"/>
    <n v="1"/>
    <n v="0.2"/>
    <x v="2"/>
    <x v="2"/>
    <n v="25.898"/>
    <n v="0.125"/>
    <n v="0"/>
  </r>
  <r>
    <n v="9187"/>
    <s v="CA-2017-156776"/>
    <d v="2017-08-07T00:00:00"/>
    <x v="3"/>
    <s v="Q3"/>
    <x v="43"/>
    <d v="2017-08-11T00:00:00"/>
    <s v="Standard Class"/>
    <x v="145"/>
    <x v="145"/>
    <s v="Consumer"/>
    <s v="United States"/>
    <s v="Westminster"/>
    <x v="1"/>
    <n v="92683"/>
    <x v="1"/>
    <x v="1218"/>
    <x v="1"/>
    <x v="9"/>
    <x v="1202"/>
    <n v="1473.1"/>
    <s v="High"/>
    <n v="5"/>
    <n v="0"/>
    <x v="0"/>
    <x v="0"/>
    <n v="412.46800000000002"/>
    <n v="0.28000000000000003"/>
    <n v="0"/>
  </r>
  <r>
    <n v="9188"/>
    <s v="US-2015-130512"/>
    <d v="2015-08-21T00:00:00"/>
    <x v="1"/>
    <s v="Q3"/>
    <x v="37"/>
    <d v="2015-08-25T00:00:00"/>
    <s v="Standard Class"/>
    <x v="598"/>
    <x v="598"/>
    <s v="Home Office"/>
    <s v="United States"/>
    <s v="Allentown"/>
    <x v="9"/>
    <n v="18103"/>
    <x v="3"/>
    <x v="482"/>
    <x v="1"/>
    <x v="14"/>
    <x v="327"/>
    <n v="3.488"/>
    <s v="Low"/>
    <n v="2"/>
    <n v="0.2"/>
    <x v="2"/>
    <x v="2"/>
    <n v="-0.6976"/>
    <n v="-0.2"/>
    <n v="1"/>
  </r>
  <r>
    <n v="9189"/>
    <s v="US-2015-130512"/>
    <d v="2015-08-21T00:00:00"/>
    <x v="1"/>
    <s v="Q3"/>
    <x v="37"/>
    <d v="2015-08-25T00:00:00"/>
    <s v="Standard Class"/>
    <x v="598"/>
    <x v="598"/>
    <s v="Home Office"/>
    <s v="United States"/>
    <s v="Allentown"/>
    <x v="9"/>
    <n v="18103"/>
    <x v="3"/>
    <x v="234"/>
    <x v="2"/>
    <x v="11"/>
    <x v="235"/>
    <n v="21.728000000000002"/>
    <s v="Low"/>
    <n v="4"/>
    <n v="0.2"/>
    <x v="2"/>
    <x v="2"/>
    <n v="3.8024"/>
    <n v="0.17499999999999999"/>
    <n v="0"/>
  </r>
  <r>
    <n v="9190"/>
    <s v="US-2015-130512"/>
    <d v="2015-08-21T00:00:00"/>
    <x v="1"/>
    <s v="Q3"/>
    <x v="37"/>
    <d v="2015-08-25T00:00:00"/>
    <s v="Standard Class"/>
    <x v="598"/>
    <x v="598"/>
    <s v="Home Office"/>
    <s v="United States"/>
    <s v="Allentown"/>
    <x v="9"/>
    <n v="18103"/>
    <x v="3"/>
    <x v="942"/>
    <x v="1"/>
    <x v="4"/>
    <x v="935"/>
    <n v="663.072"/>
    <s v="High"/>
    <n v="6"/>
    <n v="0.2"/>
    <x v="2"/>
    <x v="2"/>
    <n v="-165.768"/>
    <n v="-0.25"/>
    <n v="1"/>
  </r>
  <r>
    <n v="9191"/>
    <s v="US-2015-130512"/>
    <d v="2015-08-21T00:00:00"/>
    <x v="1"/>
    <s v="Q3"/>
    <x v="37"/>
    <d v="2015-08-25T00:00:00"/>
    <s v="Standard Class"/>
    <x v="598"/>
    <x v="598"/>
    <s v="Home Office"/>
    <s v="United States"/>
    <s v="Allentown"/>
    <x v="9"/>
    <n v="18103"/>
    <x v="3"/>
    <x v="896"/>
    <x v="1"/>
    <x v="8"/>
    <x v="889"/>
    <n v="99.587999999999994"/>
    <s v="Medium"/>
    <n v="2"/>
    <n v="0.7"/>
    <x v="1"/>
    <x v="5"/>
    <n v="-82.99"/>
    <n v="-0.83333333333333337"/>
    <n v="1"/>
  </r>
  <r>
    <n v="9192"/>
    <s v="US-2015-130512"/>
    <d v="2015-08-21T00:00:00"/>
    <x v="1"/>
    <s v="Q3"/>
    <x v="37"/>
    <d v="2015-08-25T00:00:00"/>
    <s v="Standard Class"/>
    <x v="598"/>
    <x v="598"/>
    <s v="Home Office"/>
    <s v="United States"/>
    <s v="Allentown"/>
    <x v="9"/>
    <n v="18103"/>
    <x v="3"/>
    <x v="759"/>
    <x v="1"/>
    <x v="10"/>
    <x v="757"/>
    <n v="49.567999999999998"/>
    <s v="Medium"/>
    <n v="2"/>
    <n v="0.2"/>
    <x v="2"/>
    <x v="2"/>
    <n v="15.49"/>
    <n v="0.3125"/>
    <n v="0"/>
  </r>
  <r>
    <n v="9193"/>
    <s v="CA-2015-141810"/>
    <d v="2015-11-02T00:00:00"/>
    <x v="1"/>
    <s v="Q4"/>
    <x v="6"/>
    <d v="2015-11-07T00:00:00"/>
    <s v="Standard Class"/>
    <x v="121"/>
    <x v="121"/>
    <s v="Corporate"/>
    <s v="United States"/>
    <s v="San Antonio"/>
    <x v="5"/>
    <n v="78207"/>
    <x v="2"/>
    <x v="301"/>
    <x v="1"/>
    <x v="8"/>
    <x v="301"/>
    <n v="29.372"/>
    <s v="Medium"/>
    <n v="7"/>
    <n v="0.8"/>
    <x v="1"/>
    <x v="3"/>
    <n v="-46.995199999999997"/>
    <n v="-1.5999999999999999"/>
    <n v="1"/>
  </r>
  <r>
    <n v="9194"/>
    <s v="CA-2015-141810"/>
    <d v="2015-11-02T00:00:00"/>
    <x v="1"/>
    <s v="Q4"/>
    <x v="6"/>
    <d v="2015-11-07T00:00:00"/>
    <s v="Standard Class"/>
    <x v="121"/>
    <x v="121"/>
    <s v="Corporate"/>
    <s v="United States"/>
    <s v="San Antonio"/>
    <x v="5"/>
    <n v="78207"/>
    <x v="2"/>
    <x v="883"/>
    <x v="2"/>
    <x v="7"/>
    <x v="1480"/>
    <n v="344.70400000000001"/>
    <s v="High"/>
    <n v="2"/>
    <n v="0.2"/>
    <x v="2"/>
    <x v="2"/>
    <n v="38.779200000000003"/>
    <n v="0.1125"/>
    <n v="0"/>
  </r>
  <r>
    <n v="9195"/>
    <s v="CA-2014-146843"/>
    <d v="2014-11-30T00:00:00"/>
    <x v="2"/>
    <s v="Q4"/>
    <x v="7"/>
    <d v="2014-12-06T00:00:00"/>
    <s v="Standard Class"/>
    <x v="171"/>
    <x v="171"/>
    <s v="Consumer"/>
    <s v="United States"/>
    <s v="Avondale"/>
    <x v="16"/>
    <n v="85323"/>
    <x v="1"/>
    <x v="1257"/>
    <x v="1"/>
    <x v="14"/>
    <x v="1241"/>
    <n v="47.991999999999997"/>
    <s v="Medium"/>
    <n v="7"/>
    <n v="0.2"/>
    <x v="2"/>
    <x v="2"/>
    <n v="3.5994000000000002"/>
    <n v="7.5000000000000011E-2"/>
    <n v="0"/>
  </r>
  <r>
    <n v="9196"/>
    <s v="CA-2014-146843"/>
    <d v="2014-11-30T00:00:00"/>
    <x v="2"/>
    <s v="Q4"/>
    <x v="7"/>
    <d v="2014-12-06T00:00:00"/>
    <s v="Standard Class"/>
    <x v="171"/>
    <x v="171"/>
    <s v="Consumer"/>
    <s v="United States"/>
    <s v="Avondale"/>
    <x v="16"/>
    <n v="85323"/>
    <x v="1"/>
    <x v="1365"/>
    <x v="2"/>
    <x v="11"/>
    <x v="1548"/>
    <n v="102.24"/>
    <s v="Medium"/>
    <n v="4"/>
    <n v="0.2"/>
    <x v="2"/>
    <x v="2"/>
    <n v="-16.614000000000001"/>
    <n v="-0.16250000000000001"/>
    <n v="1"/>
  </r>
  <r>
    <n v="9197"/>
    <s v="CA-2014-103310"/>
    <d v="2014-05-10T00:00:00"/>
    <x v="2"/>
    <s v="Q2"/>
    <x v="8"/>
    <d v="2014-05-15T00:00:00"/>
    <s v="Standard Class"/>
    <x v="411"/>
    <x v="411"/>
    <s v="Consumer"/>
    <s v="United States"/>
    <s v="San Jose"/>
    <x v="1"/>
    <n v="95123"/>
    <x v="1"/>
    <x v="1673"/>
    <x v="1"/>
    <x v="10"/>
    <x v="1661"/>
    <n v="39.96"/>
    <s v="Medium"/>
    <n v="2"/>
    <n v="0"/>
    <x v="0"/>
    <x v="0"/>
    <n v="19.180800000000001"/>
    <n v="0.48000000000000004"/>
    <n v="0"/>
  </r>
  <r>
    <n v="9198"/>
    <s v="CA-2014-103310"/>
    <d v="2014-05-10T00:00:00"/>
    <x v="2"/>
    <s v="Q2"/>
    <x v="8"/>
    <d v="2014-05-15T00:00:00"/>
    <s v="Standard Class"/>
    <x v="411"/>
    <x v="411"/>
    <s v="Consumer"/>
    <s v="United States"/>
    <s v="San Jose"/>
    <x v="1"/>
    <n v="95123"/>
    <x v="1"/>
    <x v="1118"/>
    <x v="2"/>
    <x v="7"/>
    <x v="1106"/>
    <n v="1432"/>
    <s v="High"/>
    <n v="5"/>
    <n v="0.2"/>
    <x v="2"/>
    <x v="2"/>
    <n v="125.3"/>
    <n v="8.7499999999999994E-2"/>
    <n v="0"/>
  </r>
  <r>
    <n v="9199"/>
    <s v="CA-2014-103310"/>
    <d v="2014-05-10T00:00:00"/>
    <x v="2"/>
    <s v="Q2"/>
    <x v="8"/>
    <d v="2014-05-15T00:00:00"/>
    <s v="Standard Class"/>
    <x v="411"/>
    <x v="411"/>
    <s v="Consumer"/>
    <s v="United States"/>
    <s v="San Jose"/>
    <x v="1"/>
    <n v="95123"/>
    <x v="1"/>
    <x v="1726"/>
    <x v="1"/>
    <x v="14"/>
    <x v="1713"/>
    <n v="41.04"/>
    <s v="Medium"/>
    <n v="6"/>
    <n v="0"/>
    <x v="0"/>
    <x v="0"/>
    <n v="11.0808"/>
    <n v="0.27"/>
    <n v="0"/>
  </r>
  <r>
    <n v="9200"/>
    <s v="CA-2014-103310"/>
    <d v="2014-05-10T00:00:00"/>
    <x v="2"/>
    <s v="Q2"/>
    <x v="8"/>
    <d v="2014-05-15T00:00:00"/>
    <s v="Standard Class"/>
    <x v="411"/>
    <x v="411"/>
    <s v="Consumer"/>
    <s v="United States"/>
    <s v="San Jose"/>
    <x v="1"/>
    <n v="95123"/>
    <x v="1"/>
    <x v="1476"/>
    <x v="0"/>
    <x v="1"/>
    <x v="1463"/>
    <n v="256.78399999999999"/>
    <s v="High"/>
    <n v="1"/>
    <n v="0.2"/>
    <x v="2"/>
    <x v="2"/>
    <n v="32.097999999999999"/>
    <n v="0.125"/>
    <n v="0"/>
  </r>
  <r>
    <n v="9201"/>
    <s v="CA-2016-152688"/>
    <d v="2016-10-17T00:00:00"/>
    <x v="0"/>
    <s v="Q4"/>
    <x v="32"/>
    <d v="2016-10-20T00:00:00"/>
    <s v="First Class"/>
    <x v="749"/>
    <x v="749"/>
    <s v="Consumer"/>
    <s v="United States"/>
    <s v="Perth Amboy"/>
    <x v="30"/>
    <n v="8861"/>
    <x v="3"/>
    <x v="430"/>
    <x v="0"/>
    <x v="0"/>
    <x v="430"/>
    <n v="120.98"/>
    <s v="Medium"/>
    <n v="1"/>
    <n v="0"/>
    <x v="0"/>
    <x v="0"/>
    <n v="12.098000000000001"/>
    <n v="0.1"/>
    <n v="0"/>
  </r>
  <r>
    <n v="9202"/>
    <s v="CA-2016-152688"/>
    <d v="2016-10-17T00:00:00"/>
    <x v="0"/>
    <s v="Q4"/>
    <x v="32"/>
    <d v="2016-10-20T00:00:00"/>
    <s v="First Class"/>
    <x v="749"/>
    <x v="749"/>
    <s v="Consumer"/>
    <s v="United States"/>
    <s v="Perth Amboy"/>
    <x v="30"/>
    <n v="8861"/>
    <x v="3"/>
    <x v="382"/>
    <x v="1"/>
    <x v="8"/>
    <x v="383"/>
    <n v="315.98"/>
    <s v="High"/>
    <n v="1"/>
    <n v="0"/>
    <x v="0"/>
    <x v="0"/>
    <n v="148.51060000000001"/>
    <n v="0.47000000000000003"/>
    <n v="0"/>
  </r>
  <r>
    <n v="9203"/>
    <s v="CA-2016-153836"/>
    <d v="2016-10-30T00:00:00"/>
    <x v="0"/>
    <s v="Q4"/>
    <x v="32"/>
    <d v="2016-11-03T00:00:00"/>
    <s v="Standard Class"/>
    <x v="553"/>
    <x v="553"/>
    <s v="Corporate"/>
    <s v="United States"/>
    <s v="New York City"/>
    <x v="15"/>
    <n v="10011"/>
    <x v="3"/>
    <x v="1224"/>
    <x v="1"/>
    <x v="8"/>
    <x v="1208"/>
    <n v="28.751999999999999"/>
    <s v="Medium"/>
    <n v="3"/>
    <n v="0.2"/>
    <x v="2"/>
    <x v="2"/>
    <n v="10.0632"/>
    <n v="0.35000000000000003"/>
    <n v="0"/>
  </r>
  <r>
    <n v="9204"/>
    <s v="CA-2016-153836"/>
    <d v="2016-10-30T00:00:00"/>
    <x v="0"/>
    <s v="Q4"/>
    <x v="32"/>
    <d v="2016-11-03T00:00:00"/>
    <s v="Standard Class"/>
    <x v="553"/>
    <x v="553"/>
    <s v="Corporate"/>
    <s v="United States"/>
    <s v="New York City"/>
    <x v="15"/>
    <n v="10011"/>
    <x v="3"/>
    <x v="1243"/>
    <x v="1"/>
    <x v="6"/>
    <x v="1226"/>
    <n v="114.95"/>
    <s v="Medium"/>
    <n v="5"/>
    <n v="0"/>
    <x v="0"/>
    <x v="0"/>
    <n v="32.186"/>
    <n v="0.27999999999999997"/>
    <n v="0"/>
  </r>
  <r>
    <n v="9205"/>
    <s v="CA-2016-104689"/>
    <d v="2016-12-01T00:00:00"/>
    <x v="0"/>
    <s v="Q4"/>
    <x v="5"/>
    <d v="2016-12-05T00:00:00"/>
    <s v="Standard Class"/>
    <x v="92"/>
    <x v="92"/>
    <s v="Corporate"/>
    <s v="United States"/>
    <s v="Los Angeles"/>
    <x v="1"/>
    <n v="90004"/>
    <x v="1"/>
    <x v="130"/>
    <x v="1"/>
    <x v="6"/>
    <x v="131"/>
    <n v="23.04"/>
    <s v="Low"/>
    <n v="8"/>
    <n v="0"/>
    <x v="0"/>
    <x v="0"/>
    <n v="6.9119999999999999"/>
    <n v="0.3"/>
    <n v="0"/>
  </r>
  <r>
    <n v="9206"/>
    <s v="CA-2016-146423"/>
    <d v="2016-04-21T00:00:00"/>
    <x v="0"/>
    <s v="Q2"/>
    <x v="25"/>
    <d v="2016-04-21T00:00:00"/>
    <s v="Same Day"/>
    <x v="537"/>
    <x v="537"/>
    <s v="Consumer"/>
    <s v="United States"/>
    <s v="Milford"/>
    <x v="29"/>
    <n v="6460"/>
    <x v="3"/>
    <x v="923"/>
    <x v="1"/>
    <x v="6"/>
    <x v="915"/>
    <n v="15.48"/>
    <s v="Low"/>
    <n v="3"/>
    <n v="0"/>
    <x v="0"/>
    <x v="0"/>
    <n v="4.4892000000000003"/>
    <n v="0.29000000000000004"/>
    <n v="0"/>
  </r>
  <r>
    <n v="9207"/>
    <s v="CA-2016-146423"/>
    <d v="2016-04-21T00:00:00"/>
    <x v="0"/>
    <s v="Q2"/>
    <x v="25"/>
    <d v="2016-04-21T00:00:00"/>
    <s v="Same Day"/>
    <x v="537"/>
    <x v="537"/>
    <s v="Consumer"/>
    <s v="United States"/>
    <s v="Milford"/>
    <x v="29"/>
    <n v="6460"/>
    <x v="3"/>
    <x v="1723"/>
    <x v="1"/>
    <x v="10"/>
    <x v="1710"/>
    <n v="51.84"/>
    <s v="Medium"/>
    <n v="8"/>
    <n v="0"/>
    <x v="0"/>
    <x v="0"/>
    <n v="24.883199999999999"/>
    <n v="0.47999999999999993"/>
    <n v="0"/>
  </r>
  <r>
    <n v="9208"/>
    <s v="CA-2017-140781"/>
    <d v="2017-08-03T00:00:00"/>
    <x v="3"/>
    <s v="Q3"/>
    <x v="43"/>
    <d v="2017-08-07T00:00:00"/>
    <s v="Standard Class"/>
    <x v="455"/>
    <x v="455"/>
    <s v="Consumer"/>
    <s v="United States"/>
    <s v="Bloomington"/>
    <x v="10"/>
    <n v="61701"/>
    <x v="2"/>
    <x v="1350"/>
    <x v="2"/>
    <x v="11"/>
    <x v="1336"/>
    <n v="39.816000000000003"/>
    <s v="Medium"/>
    <n v="3"/>
    <n v="0.2"/>
    <x v="2"/>
    <x v="2"/>
    <n v="7.4654999999999996"/>
    <n v="0.18749999999999997"/>
    <n v="0"/>
  </r>
  <r>
    <n v="9209"/>
    <s v="CA-2017-141747"/>
    <d v="2017-08-03T00:00:00"/>
    <x v="3"/>
    <s v="Q3"/>
    <x v="43"/>
    <d v="2017-08-08T00:00:00"/>
    <s v="Second Class"/>
    <x v="554"/>
    <x v="554"/>
    <s v="Corporate"/>
    <s v="United States"/>
    <s v="Seattle"/>
    <x v="4"/>
    <n v="98105"/>
    <x v="1"/>
    <x v="1229"/>
    <x v="1"/>
    <x v="4"/>
    <x v="1212"/>
    <n v="16.059999999999999"/>
    <s v="Low"/>
    <n v="1"/>
    <n v="0"/>
    <x v="0"/>
    <x v="0"/>
    <n v="4.1756000000000002"/>
    <n v="0.26"/>
    <n v="0"/>
  </r>
  <r>
    <n v="9210"/>
    <s v="CA-2017-142776"/>
    <d v="2017-12-11T00:00:00"/>
    <x v="3"/>
    <s v="Q4"/>
    <x v="22"/>
    <d v="2017-12-14T00:00:00"/>
    <s v="Second Class"/>
    <x v="789"/>
    <x v="789"/>
    <s v="Home Office"/>
    <s v="United States"/>
    <s v="Burlington"/>
    <x v="23"/>
    <n v="52601"/>
    <x v="2"/>
    <x v="1047"/>
    <x v="1"/>
    <x v="12"/>
    <x v="1036"/>
    <n v="7.28"/>
    <s v="Low"/>
    <n v="1"/>
    <n v="0"/>
    <x v="0"/>
    <x v="0"/>
    <n v="3.4944000000000002"/>
    <n v="0.48"/>
    <n v="0"/>
  </r>
  <r>
    <n v="9211"/>
    <s v="CA-2017-142776"/>
    <d v="2017-12-11T00:00:00"/>
    <x v="3"/>
    <s v="Q4"/>
    <x v="22"/>
    <d v="2017-12-14T00:00:00"/>
    <s v="Second Class"/>
    <x v="789"/>
    <x v="789"/>
    <s v="Home Office"/>
    <s v="United States"/>
    <s v="Burlington"/>
    <x v="23"/>
    <n v="52601"/>
    <x v="2"/>
    <x v="751"/>
    <x v="1"/>
    <x v="8"/>
    <x v="749"/>
    <n v="5.4"/>
    <s v="Low"/>
    <n v="3"/>
    <n v="0"/>
    <x v="0"/>
    <x v="0"/>
    <n v="2.5920000000000001"/>
    <n v="0.48"/>
    <n v="0"/>
  </r>
  <r>
    <n v="9212"/>
    <s v="CA-2015-167479"/>
    <d v="2015-03-14T00:00:00"/>
    <x v="1"/>
    <s v="Q1"/>
    <x v="29"/>
    <d v="2015-03-19T00:00:00"/>
    <s v="Standard Class"/>
    <x v="482"/>
    <x v="482"/>
    <s v="Consumer"/>
    <s v="United States"/>
    <s v="Roseville"/>
    <x v="1"/>
    <n v="95661"/>
    <x v="1"/>
    <x v="272"/>
    <x v="1"/>
    <x v="10"/>
    <x v="272"/>
    <n v="19.440000000000001"/>
    <s v="Low"/>
    <n v="3"/>
    <n v="0"/>
    <x v="0"/>
    <x v="0"/>
    <n v="9.3312000000000008"/>
    <n v="0.48000000000000004"/>
    <n v="0"/>
  </r>
  <r>
    <n v="9213"/>
    <s v="CA-2014-144071"/>
    <d v="2014-12-08T00:00:00"/>
    <x v="2"/>
    <s v="Q4"/>
    <x v="20"/>
    <d v="2014-12-15T00:00:00"/>
    <s v="Standard Class"/>
    <x v="249"/>
    <x v="249"/>
    <s v="Corporate"/>
    <s v="United States"/>
    <s v="San Francisco"/>
    <x v="1"/>
    <n v="94110"/>
    <x v="1"/>
    <x v="63"/>
    <x v="0"/>
    <x v="5"/>
    <x v="63"/>
    <n v="39.880000000000003"/>
    <s v="Medium"/>
    <n v="2"/>
    <n v="0"/>
    <x v="0"/>
    <x v="0"/>
    <n v="11.166399999999999"/>
    <n v="0.27999999999999997"/>
    <n v="0"/>
  </r>
  <r>
    <n v="9214"/>
    <s v="CA-2014-144071"/>
    <d v="2014-12-08T00:00:00"/>
    <x v="2"/>
    <s v="Q4"/>
    <x v="20"/>
    <d v="2014-12-15T00:00:00"/>
    <s v="Standard Class"/>
    <x v="249"/>
    <x v="249"/>
    <s v="Corporate"/>
    <s v="United States"/>
    <s v="San Francisco"/>
    <x v="1"/>
    <n v="94110"/>
    <x v="1"/>
    <x v="1092"/>
    <x v="0"/>
    <x v="5"/>
    <x v="1082"/>
    <n v="79.44"/>
    <s v="Medium"/>
    <n v="3"/>
    <n v="0"/>
    <x v="0"/>
    <x v="0"/>
    <n v="28.598400000000002"/>
    <n v="0.36000000000000004"/>
    <n v="0"/>
  </r>
  <r>
    <n v="9215"/>
    <s v="US-2017-120908"/>
    <d v="2017-09-30T00:00:00"/>
    <x v="3"/>
    <s v="Q3"/>
    <x v="15"/>
    <d v="2017-10-02T00:00:00"/>
    <s v="First Class"/>
    <x v="541"/>
    <x v="541"/>
    <s v="Corporate"/>
    <s v="United States"/>
    <s v="Philadelphia"/>
    <x v="9"/>
    <n v="19120"/>
    <x v="3"/>
    <x v="1852"/>
    <x v="1"/>
    <x v="2"/>
    <x v="1840"/>
    <n v="20.664000000000001"/>
    <s v="Low"/>
    <n v="7"/>
    <n v="0.2"/>
    <x v="2"/>
    <x v="2"/>
    <n v="6.9741"/>
    <n v="0.33749999999999997"/>
    <n v="0"/>
  </r>
  <r>
    <n v="9216"/>
    <s v="CA-2016-152646"/>
    <d v="2016-11-21T00:00:00"/>
    <x v="0"/>
    <s v="Q4"/>
    <x v="0"/>
    <d v="2016-11-26T00:00:00"/>
    <s v="Standard Class"/>
    <x v="260"/>
    <x v="260"/>
    <s v="Corporate"/>
    <s v="United States"/>
    <s v="Los Angeles"/>
    <x v="1"/>
    <n v="90049"/>
    <x v="1"/>
    <x v="498"/>
    <x v="1"/>
    <x v="10"/>
    <x v="498"/>
    <n v="32.4"/>
    <s v="Medium"/>
    <n v="5"/>
    <n v="0"/>
    <x v="0"/>
    <x v="0"/>
    <n v="15.552"/>
    <n v="0.48"/>
    <n v="0"/>
  </r>
  <r>
    <n v="9217"/>
    <s v="CA-2017-103765"/>
    <d v="2017-11-24T00:00:00"/>
    <x v="3"/>
    <s v="Q4"/>
    <x v="23"/>
    <d v="2017-11-30T00:00:00"/>
    <s v="Standard Class"/>
    <x v="684"/>
    <x v="684"/>
    <s v="Corporate"/>
    <s v="United States"/>
    <s v="Odessa"/>
    <x v="5"/>
    <n v="79762"/>
    <x v="2"/>
    <x v="14"/>
    <x v="1"/>
    <x v="9"/>
    <x v="14"/>
    <n v="13.762"/>
    <s v="Low"/>
    <n v="1"/>
    <n v="0.8"/>
    <x v="1"/>
    <x v="3"/>
    <n v="-24.771599999999999"/>
    <n v="-1.7999999999999998"/>
    <n v="1"/>
  </r>
  <r>
    <n v="9218"/>
    <s v="US-2017-118157"/>
    <d v="2017-11-14T00:00:00"/>
    <x v="3"/>
    <s v="Q4"/>
    <x v="23"/>
    <d v="2017-11-17T00:00:00"/>
    <s v="First Class"/>
    <x v="585"/>
    <x v="585"/>
    <s v="Home Office"/>
    <s v="United States"/>
    <s v="Minneapolis"/>
    <x v="11"/>
    <n v="55407"/>
    <x v="2"/>
    <x v="661"/>
    <x v="1"/>
    <x v="12"/>
    <x v="661"/>
    <n v="15.28"/>
    <s v="Low"/>
    <n v="2"/>
    <n v="0"/>
    <x v="0"/>
    <x v="0"/>
    <n v="7.4871999999999996"/>
    <n v="0.49"/>
    <n v="0"/>
  </r>
  <r>
    <n v="9219"/>
    <s v="US-2015-164238"/>
    <d v="2015-08-16T00:00:00"/>
    <x v="1"/>
    <s v="Q3"/>
    <x v="37"/>
    <d v="2015-08-20T00:00:00"/>
    <s v="Standard Class"/>
    <x v="527"/>
    <x v="527"/>
    <s v="Consumer"/>
    <s v="United States"/>
    <s v="Philadelphia"/>
    <x v="9"/>
    <n v="19120"/>
    <x v="3"/>
    <x v="861"/>
    <x v="1"/>
    <x v="4"/>
    <x v="855"/>
    <n v="44.688000000000002"/>
    <s v="Medium"/>
    <n v="7"/>
    <n v="0.2"/>
    <x v="2"/>
    <x v="2"/>
    <n v="3.3515999999999999"/>
    <n v="7.4999999999999997E-2"/>
    <n v="0"/>
  </r>
  <r>
    <n v="9220"/>
    <s v="US-2015-164238"/>
    <d v="2015-08-16T00:00:00"/>
    <x v="1"/>
    <s v="Q3"/>
    <x v="37"/>
    <d v="2015-08-20T00:00:00"/>
    <s v="Standard Class"/>
    <x v="527"/>
    <x v="527"/>
    <s v="Consumer"/>
    <s v="United States"/>
    <s v="Philadelphia"/>
    <x v="9"/>
    <n v="19120"/>
    <x v="3"/>
    <x v="1333"/>
    <x v="0"/>
    <x v="0"/>
    <x v="1318"/>
    <n v="301.47000000000003"/>
    <s v="High"/>
    <n v="3"/>
    <n v="0.5"/>
    <x v="1"/>
    <x v="1"/>
    <n v="-204.99959999999999"/>
    <n v="-0.67999999999999994"/>
    <n v="1"/>
  </r>
  <r>
    <n v="9221"/>
    <s v="CA-2017-103212"/>
    <d v="2017-10-13T00:00:00"/>
    <x v="3"/>
    <s v="Q4"/>
    <x v="13"/>
    <d v="2017-10-14T00:00:00"/>
    <s v="First Class"/>
    <x v="659"/>
    <x v="659"/>
    <s v="Consumer"/>
    <s v="United States"/>
    <s v="Lafayette"/>
    <x v="28"/>
    <n v="70506"/>
    <x v="0"/>
    <x v="1238"/>
    <x v="1"/>
    <x v="2"/>
    <x v="1221"/>
    <n v="11.07"/>
    <s v="Low"/>
    <n v="3"/>
    <n v="0"/>
    <x v="0"/>
    <x v="0"/>
    <n v="5.2028999999999996"/>
    <n v="0.47"/>
    <n v="0"/>
  </r>
  <r>
    <n v="9222"/>
    <s v="CA-2017-103212"/>
    <d v="2017-10-13T00:00:00"/>
    <x v="3"/>
    <s v="Q4"/>
    <x v="13"/>
    <d v="2017-10-14T00:00:00"/>
    <s v="First Class"/>
    <x v="659"/>
    <x v="659"/>
    <s v="Consumer"/>
    <s v="United States"/>
    <s v="Lafayette"/>
    <x v="28"/>
    <n v="70506"/>
    <x v="0"/>
    <x v="215"/>
    <x v="0"/>
    <x v="3"/>
    <x v="216"/>
    <n v="1504.52"/>
    <s v="High"/>
    <n v="4"/>
    <n v="0"/>
    <x v="0"/>
    <x v="0"/>
    <n v="346.03960000000001"/>
    <n v="0.23"/>
    <n v="0"/>
  </r>
  <r>
    <n v="9223"/>
    <s v="CA-2017-103212"/>
    <d v="2017-10-13T00:00:00"/>
    <x v="3"/>
    <s v="Q4"/>
    <x v="13"/>
    <d v="2017-10-14T00:00:00"/>
    <s v="First Class"/>
    <x v="659"/>
    <x v="659"/>
    <s v="Consumer"/>
    <s v="United States"/>
    <s v="Lafayette"/>
    <x v="28"/>
    <n v="70506"/>
    <x v="0"/>
    <x v="1114"/>
    <x v="1"/>
    <x v="10"/>
    <x v="1103"/>
    <n v="25.92"/>
    <s v="Medium"/>
    <n v="4"/>
    <n v="0"/>
    <x v="0"/>
    <x v="0"/>
    <n v="12.441599999999999"/>
    <n v="0.47999999999999993"/>
    <n v="0"/>
  </r>
  <r>
    <n v="9224"/>
    <s v="CA-2017-121160"/>
    <d v="2017-11-04T00:00:00"/>
    <x v="3"/>
    <s v="Q4"/>
    <x v="23"/>
    <d v="2017-11-04T00:00:00"/>
    <s v="Same Day"/>
    <x v="86"/>
    <x v="86"/>
    <s v="Home Office"/>
    <s v="United States"/>
    <s v="Bryan"/>
    <x v="5"/>
    <n v="77803"/>
    <x v="2"/>
    <x v="1375"/>
    <x v="1"/>
    <x v="8"/>
    <x v="1360"/>
    <n v="7.5359999999999996"/>
    <s v="Low"/>
    <n v="6"/>
    <n v="0.8"/>
    <x v="1"/>
    <x v="3"/>
    <n v="-13.188000000000001"/>
    <n v="-1.7500000000000002"/>
    <n v="1"/>
  </r>
  <r>
    <n v="9225"/>
    <s v="CA-2017-121160"/>
    <d v="2017-11-04T00:00:00"/>
    <x v="3"/>
    <s v="Q4"/>
    <x v="23"/>
    <d v="2017-11-04T00:00:00"/>
    <s v="Same Day"/>
    <x v="86"/>
    <x v="86"/>
    <s v="Home Office"/>
    <s v="United States"/>
    <s v="Bryan"/>
    <x v="5"/>
    <n v="77803"/>
    <x v="2"/>
    <x v="653"/>
    <x v="1"/>
    <x v="8"/>
    <x v="653"/>
    <n v="1.4079999999999999"/>
    <s v="Low"/>
    <n v="2"/>
    <n v="0.8"/>
    <x v="1"/>
    <x v="3"/>
    <n v="-2.3231999999999999"/>
    <n v="-1.6500000000000001"/>
    <n v="1"/>
  </r>
  <r>
    <n v="9226"/>
    <s v="CA-2017-121160"/>
    <d v="2017-11-04T00:00:00"/>
    <x v="3"/>
    <s v="Q4"/>
    <x v="23"/>
    <d v="2017-11-04T00:00:00"/>
    <s v="Same Day"/>
    <x v="86"/>
    <x v="86"/>
    <s v="Home Office"/>
    <s v="United States"/>
    <s v="Bryan"/>
    <x v="5"/>
    <n v="77803"/>
    <x v="2"/>
    <x v="1499"/>
    <x v="1"/>
    <x v="8"/>
    <x v="1487"/>
    <n v="4.1440000000000001"/>
    <s v="Low"/>
    <n v="4"/>
    <n v="0.8"/>
    <x v="1"/>
    <x v="3"/>
    <n v="-6.4231999999999996"/>
    <n v="-1.5499999999999998"/>
    <n v="1"/>
  </r>
  <r>
    <n v="9227"/>
    <s v="CA-2017-121160"/>
    <d v="2017-11-04T00:00:00"/>
    <x v="3"/>
    <s v="Q4"/>
    <x v="23"/>
    <d v="2017-11-04T00:00:00"/>
    <s v="Same Day"/>
    <x v="86"/>
    <x v="86"/>
    <s v="Home Office"/>
    <s v="United States"/>
    <s v="Bryan"/>
    <x v="5"/>
    <n v="77803"/>
    <x v="2"/>
    <x v="210"/>
    <x v="1"/>
    <x v="4"/>
    <x v="211"/>
    <n v="52.752000000000002"/>
    <s v="Medium"/>
    <n v="3"/>
    <n v="0.2"/>
    <x v="2"/>
    <x v="2"/>
    <n v="-12.528600000000001"/>
    <n v="-0.23750000000000002"/>
    <n v="1"/>
  </r>
  <r>
    <n v="9228"/>
    <s v="CA-2017-140515"/>
    <d v="2017-03-19T00:00:00"/>
    <x v="3"/>
    <s v="Q1"/>
    <x v="42"/>
    <d v="2017-03-24T00:00:00"/>
    <s v="Standard Class"/>
    <x v="433"/>
    <x v="433"/>
    <s v="Corporate"/>
    <s v="United States"/>
    <s v="Los Angeles"/>
    <x v="1"/>
    <n v="90008"/>
    <x v="1"/>
    <x v="1309"/>
    <x v="1"/>
    <x v="9"/>
    <x v="1294"/>
    <n v="381.36"/>
    <s v="High"/>
    <n v="7"/>
    <n v="0"/>
    <x v="0"/>
    <x v="0"/>
    <n v="106.7808"/>
    <n v="0.27999999999999997"/>
    <n v="0"/>
  </r>
  <r>
    <n v="9229"/>
    <s v="CA-2014-153619"/>
    <d v="2014-11-03T00:00:00"/>
    <x v="2"/>
    <s v="Q4"/>
    <x v="7"/>
    <d v="2014-11-03T00:00:00"/>
    <s v="Same Day"/>
    <x v="426"/>
    <x v="426"/>
    <s v="Home Office"/>
    <s v="United States"/>
    <s v="Los Angeles"/>
    <x v="1"/>
    <n v="90049"/>
    <x v="1"/>
    <x v="59"/>
    <x v="1"/>
    <x v="6"/>
    <x v="59"/>
    <n v="6.72"/>
    <s v="Low"/>
    <n v="4"/>
    <n v="0"/>
    <x v="0"/>
    <x v="0"/>
    <n v="3.36"/>
    <n v="0.5"/>
    <n v="0"/>
  </r>
  <r>
    <n v="9230"/>
    <s v="CA-2017-133718"/>
    <d v="2017-07-23T00:00:00"/>
    <x v="3"/>
    <s v="Q3"/>
    <x v="10"/>
    <d v="2017-07-26T00:00:00"/>
    <s v="First Class"/>
    <x v="14"/>
    <x v="14"/>
    <s v="Consumer"/>
    <s v="United States"/>
    <s v="Los Angeles"/>
    <x v="1"/>
    <n v="90045"/>
    <x v="1"/>
    <x v="858"/>
    <x v="1"/>
    <x v="8"/>
    <x v="852"/>
    <n v="15.192"/>
    <s v="Low"/>
    <n v="3"/>
    <n v="0.2"/>
    <x v="2"/>
    <x v="2"/>
    <n v="5.5071000000000003"/>
    <n v="0.36250000000000004"/>
    <n v="0"/>
  </r>
  <r>
    <n v="9231"/>
    <s v="CA-2017-133718"/>
    <d v="2017-07-23T00:00:00"/>
    <x v="3"/>
    <s v="Q3"/>
    <x v="10"/>
    <d v="2017-07-26T00:00:00"/>
    <s v="First Class"/>
    <x v="14"/>
    <x v="14"/>
    <s v="Consumer"/>
    <s v="United States"/>
    <s v="Los Angeles"/>
    <x v="1"/>
    <n v="90045"/>
    <x v="1"/>
    <x v="1076"/>
    <x v="1"/>
    <x v="10"/>
    <x v="1066"/>
    <n v="58.32"/>
    <s v="Medium"/>
    <n v="9"/>
    <n v="0"/>
    <x v="0"/>
    <x v="0"/>
    <n v="27.993600000000001"/>
    <n v="0.48"/>
    <n v="0"/>
  </r>
  <r>
    <n v="9232"/>
    <s v="CA-2014-148383"/>
    <d v="2014-12-27T00:00:00"/>
    <x v="2"/>
    <s v="Q4"/>
    <x v="20"/>
    <d v="2014-12-31T00:00:00"/>
    <s v="Standard Class"/>
    <x v="261"/>
    <x v="261"/>
    <s v="Consumer"/>
    <s v="United States"/>
    <s v="Phoenix"/>
    <x v="16"/>
    <n v="85023"/>
    <x v="1"/>
    <x v="115"/>
    <x v="1"/>
    <x v="8"/>
    <x v="115"/>
    <n v="946.76400000000001"/>
    <s v="High"/>
    <n v="6"/>
    <n v="0.7"/>
    <x v="1"/>
    <x v="5"/>
    <n v="-694.29359999999997"/>
    <n v="-0.73333333333333328"/>
    <n v="1"/>
  </r>
  <r>
    <n v="9233"/>
    <s v="CA-2016-126732"/>
    <d v="2016-09-02T00:00:00"/>
    <x v="0"/>
    <s v="Q3"/>
    <x v="21"/>
    <d v="2016-09-06T00:00:00"/>
    <s v="Standard Class"/>
    <x v="235"/>
    <x v="235"/>
    <s v="Consumer"/>
    <s v="United States"/>
    <s v="Los Angeles"/>
    <x v="1"/>
    <n v="90036"/>
    <x v="1"/>
    <x v="1172"/>
    <x v="0"/>
    <x v="5"/>
    <x v="1158"/>
    <n v="94.68"/>
    <s v="Medium"/>
    <n v="9"/>
    <n v="0"/>
    <x v="0"/>
    <x v="0"/>
    <n v="31.244399999999999"/>
    <n v="0.32999999999999996"/>
    <n v="0"/>
  </r>
  <r>
    <n v="9234"/>
    <s v="CA-2016-126732"/>
    <d v="2016-09-02T00:00:00"/>
    <x v="0"/>
    <s v="Q3"/>
    <x v="21"/>
    <d v="2016-09-06T00:00:00"/>
    <s v="Standard Class"/>
    <x v="235"/>
    <x v="235"/>
    <s v="Consumer"/>
    <s v="United States"/>
    <s v="Los Angeles"/>
    <x v="1"/>
    <n v="90036"/>
    <x v="1"/>
    <x v="1555"/>
    <x v="1"/>
    <x v="4"/>
    <x v="1543"/>
    <n v="23.67"/>
    <s v="Low"/>
    <n v="3"/>
    <n v="0"/>
    <x v="0"/>
    <x v="0"/>
    <n v="0.94679999999999997"/>
    <n v="3.9999999999999994E-2"/>
    <n v="0"/>
  </r>
  <r>
    <n v="9235"/>
    <s v="CA-2016-126732"/>
    <d v="2016-09-02T00:00:00"/>
    <x v="0"/>
    <s v="Q3"/>
    <x v="21"/>
    <d v="2016-09-06T00:00:00"/>
    <s v="Standard Class"/>
    <x v="235"/>
    <x v="235"/>
    <s v="Consumer"/>
    <s v="United States"/>
    <s v="Los Angeles"/>
    <x v="1"/>
    <n v="90036"/>
    <x v="1"/>
    <x v="638"/>
    <x v="2"/>
    <x v="7"/>
    <x v="638"/>
    <n v="1091.1679999999999"/>
    <s v="High"/>
    <n v="4"/>
    <n v="0.2"/>
    <x v="2"/>
    <x v="2"/>
    <n v="68.197999999999993"/>
    <n v="6.25E-2"/>
    <n v="0"/>
  </r>
  <r>
    <n v="9236"/>
    <s v="CA-2016-126732"/>
    <d v="2016-09-02T00:00:00"/>
    <x v="0"/>
    <s v="Q3"/>
    <x v="21"/>
    <d v="2016-09-06T00:00:00"/>
    <s v="Standard Class"/>
    <x v="235"/>
    <x v="235"/>
    <s v="Consumer"/>
    <s v="United States"/>
    <s v="Los Angeles"/>
    <x v="1"/>
    <n v="90036"/>
    <x v="1"/>
    <x v="1126"/>
    <x v="1"/>
    <x v="6"/>
    <x v="1114"/>
    <n v="18.690000000000001"/>
    <s v="Low"/>
    <n v="7"/>
    <n v="0"/>
    <x v="0"/>
    <x v="0"/>
    <n v="5.2332000000000001"/>
    <n v="0.27999999999999997"/>
    <n v="0"/>
  </r>
  <r>
    <n v="9237"/>
    <s v="CA-2016-126732"/>
    <d v="2016-09-02T00:00:00"/>
    <x v="0"/>
    <s v="Q3"/>
    <x v="21"/>
    <d v="2016-09-06T00:00:00"/>
    <s v="Standard Class"/>
    <x v="235"/>
    <x v="235"/>
    <s v="Consumer"/>
    <s v="United States"/>
    <s v="Los Angeles"/>
    <x v="1"/>
    <n v="90036"/>
    <x v="1"/>
    <x v="10"/>
    <x v="0"/>
    <x v="3"/>
    <x v="10"/>
    <n v="568.72799999999995"/>
    <s v="High"/>
    <n v="3"/>
    <n v="0.2"/>
    <x v="2"/>
    <x v="2"/>
    <n v="28.436399999999999"/>
    <n v="0.05"/>
    <n v="0"/>
  </r>
  <r>
    <n v="9238"/>
    <s v="CA-2016-126732"/>
    <d v="2016-09-02T00:00:00"/>
    <x v="0"/>
    <s v="Q3"/>
    <x v="21"/>
    <d v="2016-09-06T00:00:00"/>
    <s v="Standard Class"/>
    <x v="235"/>
    <x v="235"/>
    <s v="Consumer"/>
    <s v="United States"/>
    <s v="Los Angeles"/>
    <x v="1"/>
    <n v="90036"/>
    <x v="1"/>
    <x v="1316"/>
    <x v="1"/>
    <x v="8"/>
    <x v="1302"/>
    <n v="7.3120000000000003"/>
    <s v="Low"/>
    <n v="1"/>
    <n v="0.2"/>
    <x v="2"/>
    <x v="2"/>
    <n v="2.5592000000000001"/>
    <n v="0.35000000000000003"/>
    <n v="0"/>
  </r>
  <r>
    <n v="9239"/>
    <s v="CA-2017-138156"/>
    <d v="2017-02-11T00:00:00"/>
    <x v="3"/>
    <s v="Q1"/>
    <x v="31"/>
    <d v="2017-02-14T00:00:00"/>
    <s v="First Class"/>
    <x v="570"/>
    <x v="570"/>
    <s v="Consumer"/>
    <s v="United States"/>
    <s v="Columbus"/>
    <x v="24"/>
    <n v="43229"/>
    <x v="3"/>
    <x v="737"/>
    <x v="0"/>
    <x v="5"/>
    <x v="736"/>
    <n v="147.56800000000001"/>
    <s v="High"/>
    <n v="2"/>
    <n v="0.2"/>
    <x v="2"/>
    <x v="2"/>
    <n v="-3.6892"/>
    <n v="-2.4999999999999998E-2"/>
    <n v="1"/>
  </r>
  <r>
    <n v="9240"/>
    <s v="CA-2017-110310"/>
    <d v="2017-10-27T00:00:00"/>
    <x v="3"/>
    <s v="Q4"/>
    <x v="13"/>
    <d v="2017-11-02T00:00:00"/>
    <s v="Standard Class"/>
    <x v="240"/>
    <x v="240"/>
    <s v="Corporate"/>
    <s v="United States"/>
    <s v="Tallahassee"/>
    <x v="2"/>
    <n v="32303"/>
    <x v="0"/>
    <x v="885"/>
    <x v="1"/>
    <x v="10"/>
    <x v="33"/>
    <n v="56.783999999999999"/>
    <s v="Medium"/>
    <n v="7"/>
    <n v="0.2"/>
    <x v="2"/>
    <x v="2"/>
    <n v="20.584199999999999"/>
    <n v="0.36249999999999999"/>
    <n v="0"/>
  </r>
  <r>
    <n v="9241"/>
    <s v="CA-2017-110310"/>
    <d v="2017-10-27T00:00:00"/>
    <x v="3"/>
    <s v="Q4"/>
    <x v="13"/>
    <d v="2017-11-02T00:00:00"/>
    <s v="Standard Class"/>
    <x v="240"/>
    <x v="240"/>
    <s v="Corporate"/>
    <s v="United States"/>
    <s v="Tallahassee"/>
    <x v="2"/>
    <n v="32303"/>
    <x v="0"/>
    <x v="799"/>
    <x v="1"/>
    <x v="8"/>
    <x v="797"/>
    <n v="5.6070000000000002"/>
    <s v="Low"/>
    <n v="3"/>
    <n v="0.7"/>
    <x v="1"/>
    <x v="5"/>
    <n v="-3.9249000000000001"/>
    <n v="-0.7"/>
    <n v="1"/>
  </r>
  <r>
    <n v="9242"/>
    <s v="CA-2017-110310"/>
    <d v="2017-10-27T00:00:00"/>
    <x v="3"/>
    <s v="Q4"/>
    <x v="13"/>
    <d v="2017-11-02T00:00:00"/>
    <s v="Standard Class"/>
    <x v="240"/>
    <x v="240"/>
    <s v="Corporate"/>
    <s v="United States"/>
    <s v="Tallahassee"/>
    <x v="2"/>
    <n v="32303"/>
    <x v="0"/>
    <x v="448"/>
    <x v="1"/>
    <x v="6"/>
    <x v="448"/>
    <n v="6.5759999999999996"/>
    <s v="Low"/>
    <n v="3"/>
    <n v="0.2"/>
    <x v="2"/>
    <x v="2"/>
    <n v="0.57540000000000002"/>
    <n v="8.7500000000000008E-2"/>
    <n v="0"/>
  </r>
  <r>
    <n v="9243"/>
    <s v="CA-2014-113271"/>
    <d v="2014-07-09T00:00:00"/>
    <x v="2"/>
    <s v="Q3"/>
    <x v="39"/>
    <d v="2014-07-14T00:00:00"/>
    <s v="Standard Class"/>
    <x v="284"/>
    <x v="284"/>
    <s v="Home Office"/>
    <s v="United States"/>
    <s v="San Francisco"/>
    <x v="1"/>
    <n v="94122"/>
    <x v="1"/>
    <x v="98"/>
    <x v="1"/>
    <x v="8"/>
    <x v="98"/>
    <n v="14.304"/>
    <s v="Low"/>
    <n v="6"/>
    <n v="0.2"/>
    <x v="2"/>
    <x v="2"/>
    <n v="4.6487999999999996"/>
    <n v="0.32499999999999996"/>
    <n v="0"/>
  </r>
  <r>
    <n v="9244"/>
    <s v="CA-2014-113271"/>
    <d v="2014-07-09T00:00:00"/>
    <x v="2"/>
    <s v="Q3"/>
    <x v="39"/>
    <d v="2014-07-14T00:00:00"/>
    <s v="Standard Class"/>
    <x v="284"/>
    <x v="284"/>
    <s v="Home Office"/>
    <s v="United States"/>
    <s v="San Francisco"/>
    <x v="1"/>
    <n v="94122"/>
    <x v="1"/>
    <x v="1601"/>
    <x v="0"/>
    <x v="0"/>
    <x v="1593"/>
    <n v="119.833"/>
    <s v="Medium"/>
    <n v="1"/>
    <n v="0.15"/>
    <x v="2"/>
    <x v="2"/>
    <n v="7.0490000000000004"/>
    <n v="5.8823529411764712E-2"/>
    <n v="0"/>
  </r>
  <r>
    <n v="9245"/>
    <s v="CA-2014-113271"/>
    <d v="2014-07-09T00:00:00"/>
    <x v="2"/>
    <s v="Q3"/>
    <x v="39"/>
    <d v="2014-07-14T00:00:00"/>
    <s v="Standard Class"/>
    <x v="284"/>
    <x v="284"/>
    <s v="Home Office"/>
    <s v="United States"/>
    <s v="San Francisco"/>
    <x v="1"/>
    <n v="94122"/>
    <x v="1"/>
    <x v="1061"/>
    <x v="1"/>
    <x v="6"/>
    <x v="1050"/>
    <n v="5.56"/>
    <s v="Low"/>
    <n v="2"/>
    <n v="0"/>
    <x v="0"/>
    <x v="0"/>
    <n v="2.2240000000000002"/>
    <n v="0.40000000000000008"/>
    <n v="0"/>
  </r>
  <r>
    <n v="9246"/>
    <s v="CA-2014-113271"/>
    <d v="2014-07-09T00:00:00"/>
    <x v="2"/>
    <s v="Q3"/>
    <x v="39"/>
    <d v="2014-07-14T00:00:00"/>
    <s v="Standard Class"/>
    <x v="284"/>
    <x v="284"/>
    <s v="Home Office"/>
    <s v="United States"/>
    <s v="San Francisco"/>
    <x v="1"/>
    <n v="94122"/>
    <x v="1"/>
    <x v="12"/>
    <x v="1"/>
    <x v="10"/>
    <x v="12"/>
    <n v="32.4"/>
    <s v="Medium"/>
    <n v="5"/>
    <n v="0"/>
    <x v="0"/>
    <x v="0"/>
    <n v="15.552"/>
    <n v="0.48"/>
    <n v="0"/>
  </r>
  <r>
    <n v="9247"/>
    <s v="CA-2017-130106"/>
    <d v="2017-05-22T00:00:00"/>
    <x v="3"/>
    <s v="Q2"/>
    <x v="24"/>
    <d v="2017-05-26T00:00:00"/>
    <s v="Standard Class"/>
    <x v="665"/>
    <x v="665"/>
    <s v="Home Office"/>
    <s v="United States"/>
    <s v="San Francisco"/>
    <x v="1"/>
    <n v="94109"/>
    <x v="1"/>
    <x v="279"/>
    <x v="1"/>
    <x v="6"/>
    <x v="279"/>
    <n v="9.84"/>
    <s v="Low"/>
    <n v="3"/>
    <n v="0"/>
    <x v="0"/>
    <x v="0"/>
    <n v="2.8536000000000001"/>
    <n v="0.29000000000000004"/>
    <n v="0"/>
  </r>
  <r>
    <n v="9248"/>
    <s v="CA-2017-130106"/>
    <d v="2017-05-22T00:00:00"/>
    <x v="3"/>
    <s v="Q2"/>
    <x v="24"/>
    <d v="2017-05-26T00:00:00"/>
    <s v="Standard Class"/>
    <x v="665"/>
    <x v="665"/>
    <s v="Home Office"/>
    <s v="United States"/>
    <s v="San Francisco"/>
    <x v="1"/>
    <n v="94109"/>
    <x v="1"/>
    <x v="324"/>
    <x v="1"/>
    <x v="6"/>
    <x v="324"/>
    <n v="2.78"/>
    <s v="Low"/>
    <n v="1"/>
    <n v="0"/>
    <x v="0"/>
    <x v="0"/>
    <n v="0.7228"/>
    <n v="0.26"/>
    <n v="0"/>
  </r>
  <r>
    <n v="9249"/>
    <s v="CA-2016-127761"/>
    <d v="2016-11-10T00:00:00"/>
    <x v="0"/>
    <s v="Q4"/>
    <x v="0"/>
    <d v="2016-11-14T00:00:00"/>
    <s v="Standard Class"/>
    <x v="349"/>
    <x v="349"/>
    <s v="Consumer"/>
    <s v="United States"/>
    <s v="New York City"/>
    <x v="15"/>
    <n v="10009"/>
    <x v="3"/>
    <x v="248"/>
    <x v="1"/>
    <x v="8"/>
    <x v="249"/>
    <n v="3.64"/>
    <s v="Low"/>
    <n v="1"/>
    <n v="0.2"/>
    <x v="2"/>
    <x v="2"/>
    <n v="1.365"/>
    <n v="0.375"/>
    <n v="0"/>
  </r>
  <r>
    <n v="9250"/>
    <s v="CA-2016-127761"/>
    <d v="2016-11-10T00:00:00"/>
    <x v="0"/>
    <s v="Q4"/>
    <x v="0"/>
    <d v="2016-11-14T00:00:00"/>
    <s v="Standard Class"/>
    <x v="349"/>
    <x v="349"/>
    <s v="Consumer"/>
    <s v="United States"/>
    <s v="New York City"/>
    <x v="15"/>
    <n v="10009"/>
    <x v="3"/>
    <x v="1419"/>
    <x v="2"/>
    <x v="7"/>
    <x v="1407"/>
    <n v="881.93"/>
    <s v="High"/>
    <n v="7"/>
    <n v="0"/>
    <x v="0"/>
    <x v="0"/>
    <n v="220.48249999999999"/>
    <n v="0.25"/>
    <n v="0"/>
  </r>
  <r>
    <n v="9251"/>
    <s v="CA-2016-105354"/>
    <d v="2016-12-02T00:00:00"/>
    <x v="0"/>
    <s v="Q4"/>
    <x v="5"/>
    <d v="2016-12-06T00:00:00"/>
    <s v="Standard Class"/>
    <x v="463"/>
    <x v="463"/>
    <s v="Corporate"/>
    <s v="United States"/>
    <s v="Marion"/>
    <x v="23"/>
    <n v="52302"/>
    <x v="2"/>
    <x v="497"/>
    <x v="1"/>
    <x v="8"/>
    <x v="497"/>
    <n v="115.84"/>
    <s v="Medium"/>
    <n v="8"/>
    <n v="0"/>
    <x v="0"/>
    <x v="0"/>
    <n v="54.444800000000001"/>
    <n v="0.47"/>
    <n v="0"/>
  </r>
  <r>
    <n v="9252"/>
    <s v="CA-2017-155712"/>
    <d v="2017-03-02T00:00:00"/>
    <x v="3"/>
    <s v="Q1"/>
    <x v="42"/>
    <d v="2017-03-08T00:00:00"/>
    <s v="Standard Class"/>
    <x v="629"/>
    <x v="629"/>
    <s v="Corporate"/>
    <s v="United States"/>
    <s v="Los Angeles"/>
    <x v="1"/>
    <n v="90008"/>
    <x v="1"/>
    <x v="1080"/>
    <x v="1"/>
    <x v="8"/>
    <x v="1070"/>
    <n v="107.648"/>
    <s v="Medium"/>
    <n v="2"/>
    <n v="0.2"/>
    <x v="2"/>
    <x v="2"/>
    <n v="33.64"/>
    <n v="0.3125"/>
    <n v="0"/>
  </r>
  <r>
    <n v="9253"/>
    <s v="CA-2017-102309"/>
    <d v="2017-09-23T00:00:00"/>
    <x v="3"/>
    <s v="Q3"/>
    <x v="15"/>
    <d v="2017-09-25T00:00:00"/>
    <s v="Second Class"/>
    <x v="770"/>
    <x v="770"/>
    <s v="Consumer"/>
    <s v="United States"/>
    <s v="Pine Bluff"/>
    <x v="36"/>
    <n v="71603"/>
    <x v="0"/>
    <x v="1227"/>
    <x v="2"/>
    <x v="11"/>
    <x v="1211"/>
    <n v="199.95"/>
    <s v="High"/>
    <n v="5"/>
    <n v="0"/>
    <x v="0"/>
    <x v="0"/>
    <n v="63.984000000000002"/>
    <n v="0.32"/>
    <n v="0"/>
  </r>
  <r>
    <n v="9254"/>
    <s v="CA-2017-102309"/>
    <d v="2017-09-23T00:00:00"/>
    <x v="3"/>
    <s v="Q3"/>
    <x v="15"/>
    <d v="2017-09-25T00:00:00"/>
    <s v="Second Class"/>
    <x v="770"/>
    <x v="770"/>
    <s v="Consumer"/>
    <s v="United States"/>
    <s v="Pine Bluff"/>
    <x v="36"/>
    <n v="71603"/>
    <x v="0"/>
    <x v="510"/>
    <x v="1"/>
    <x v="10"/>
    <x v="510"/>
    <n v="12.96"/>
    <s v="Low"/>
    <n v="2"/>
    <n v="0"/>
    <x v="0"/>
    <x v="0"/>
    <n v="6.2207999999999997"/>
    <n v="0.47999999999999993"/>
    <n v="0"/>
  </r>
  <r>
    <n v="9255"/>
    <s v="CA-2014-168368"/>
    <d v="2014-02-11T00:00:00"/>
    <x v="2"/>
    <s v="Q1"/>
    <x v="45"/>
    <d v="2014-02-15T00:00:00"/>
    <s v="Second Class"/>
    <x v="315"/>
    <x v="315"/>
    <s v="Consumer"/>
    <s v="United States"/>
    <s v="Columbia"/>
    <x v="25"/>
    <n v="65203"/>
    <x v="2"/>
    <x v="64"/>
    <x v="0"/>
    <x v="1"/>
    <x v="64"/>
    <n v="60.89"/>
    <s v="Medium"/>
    <n v="1"/>
    <n v="0"/>
    <x v="0"/>
    <x v="0"/>
    <n v="15.2225"/>
    <n v="0.25"/>
    <n v="0"/>
  </r>
  <r>
    <n v="9256"/>
    <s v="CA-2014-168368"/>
    <d v="2014-02-11T00:00:00"/>
    <x v="2"/>
    <s v="Q1"/>
    <x v="45"/>
    <d v="2014-02-15T00:00:00"/>
    <s v="Second Class"/>
    <x v="315"/>
    <x v="315"/>
    <s v="Consumer"/>
    <s v="United States"/>
    <s v="Columbia"/>
    <x v="25"/>
    <n v="65203"/>
    <x v="2"/>
    <x v="690"/>
    <x v="1"/>
    <x v="2"/>
    <x v="690"/>
    <n v="14.94"/>
    <s v="Low"/>
    <n v="3"/>
    <n v="0"/>
    <x v="0"/>
    <x v="0"/>
    <n v="6.8723999999999998"/>
    <n v="0.46"/>
    <n v="0"/>
  </r>
  <r>
    <n v="9257"/>
    <s v="CA-2014-168368"/>
    <d v="2014-02-11T00:00:00"/>
    <x v="2"/>
    <s v="Q1"/>
    <x v="45"/>
    <d v="2014-02-15T00:00:00"/>
    <s v="Second Class"/>
    <x v="315"/>
    <x v="315"/>
    <s v="Consumer"/>
    <s v="United States"/>
    <s v="Columbia"/>
    <x v="25"/>
    <n v="65203"/>
    <x v="2"/>
    <x v="544"/>
    <x v="1"/>
    <x v="8"/>
    <x v="544"/>
    <n v="9.64"/>
    <s v="Low"/>
    <n v="2"/>
    <n v="0"/>
    <x v="0"/>
    <x v="0"/>
    <n v="4.4344000000000001"/>
    <n v="0.45999999999999996"/>
    <n v="0"/>
  </r>
  <r>
    <n v="9258"/>
    <s v="CA-2014-168368"/>
    <d v="2014-02-11T00:00:00"/>
    <x v="2"/>
    <s v="Q1"/>
    <x v="45"/>
    <d v="2014-02-15T00:00:00"/>
    <s v="Second Class"/>
    <x v="315"/>
    <x v="315"/>
    <s v="Consumer"/>
    <s v="United States"/>
    <s v="Columbia"/>
    <x v="25"/>
    <n v="65203"/>
    <x v="2"/>
    <x v="1319"/>
    <x v="0"/>
    <x v="5"/>
    <x v="1305"/>
    <n v="332.94"/>
    <s v="High"/>
    <n v="3"/>
    <n v="0"/>
    <x v="0"/>
    <x v="0"/>
    <n v="53.270400000000002"/>
    <n v="0.16"/>
    <n v="0"/>
  </r>
  <r>
    <n v="9259"/>
    <s v="CA-2014-168368"/>
    <d v="2014-02-11T00:00:00"/>
    <x v="2"/>
    <s v="Q1"/>
    <x v="45"/>
    <d v="2014-02-15T00:00:00"/>
    <s v="Second Class"/>
    <x v="315"/>
    <x v="315"/>
    <s v="Consumer"/>
    <s v="United States"/>
    <s v="Columbia"/>
    <x v="25"/>
    <n v="65203"/>
    <x v="2"/>
    <x v="68"/>
    <x v="1"/>
    <x v="8"/>
    <x v="1453"/>
    <n v="51.9"/>
    <s v="Medium"/>
    <n v="3"/>
    <n v="0"/>
    <x v="0"/>
    <x v="0"/>
    <n v="24.393000000000001"/>
    <n v="0.47000000000000003"/>
    <n v="0"/>
  </r>
  <r>
    <n v="9260"/>
    <s v="CA-2014-168368"/>
    <d v="2014-02-11T00:00:00"/>
    <x v="2"/>
    <s v="Q1"/>
    <x v="45"/>
    <d v="2014-02-15T00:00:00"/>
    <s v="Second Class"/>
    <x v="315"/>
    <x v="315"/>
    <s v="Consumer"/>
    <s v="United States"/>
    <s v="Columbia"/>
    <x v="25"/>
    <n v="65203"/>
    <x v="2"/>
    <x v="571"/>
    <x v="1"/>
    <x v="4"/>
    <x v="571"/>
    <n v="64.959999999999994"/>
    <s v="Medium"/>
    <n v="2"/>
    <n v="0"/>
    <x v="0"/>
    <x v="0"/>
    <n v="2.5983999999999998"/>
    <n v="0.04"/>
    <n v="0"/>
  </r>
  <r>
    <n v="9261"/>
    <s v="CA-2017-167976"/>
    <d v="2017-11-11T00:00:00"/>
    <x v="3"/>
    <s v="Q4"/>
    <x v="23"/>
    <d v="2017-11-14T00:00:00"/>
    <s v="Second Class"/>
    <x v="145"/>
    <x v="145"/>
    <s v="Consumer"/>
    <s v="United States"/>
    <s v="Aberdeen"/>
    <x v="44"/>
    <n v="57401"/>
    <x v="2"/>
    <x v="1768"/>
    <x v="1"/>
    <x v="14"/>
    <x v="1757"/>
    <n v="25.5"/>
    <s v="Medium"/>
    <n v="3"/>
    <n v="0"/>
    <x v="0"/>
    <x v="0"/>
    <n v="6.63"/>
    <n v="0.26"/>
    <n v="0"/>
  </r>
  <r>
    <n v="9262"/>
    <s v="CA-2017-111388"/>
    <d v="2017-09-02T00:00:00"/>
    <x v="3"/>
    <s v="Q3"/>
    <x v="15"/>
    <d v="2017-09-02T00:00:00"/>
    <s v="Same Day"/>
    <x v="711"/>
    <x v="711"/>
    <s v="Home Office"/>
    <s v="United States"/>
    <s v="Seattle"/>
    <x v="4"/>
    <n v="98103"/>
    <x v="1"/>
    <x v="51"/>
    <x v="0"/>
    <x v="1"/>
    <x v="51"/>
    <n v="215.976"/>
    <s v="High"/>
    <n v="3"/>
    <n v="0.2"/>
    <x v="2"/>
    <x v="2"/>
    <n v="-2.6997"/>
    <n v="-1.2500000000000001E-2"/>
    <n v="1"/>
  </r>
  <r>
    <n v="9263"/>
    <s v="CA-2015-124499"/>
    <d v="2015-10-09T00:00:00"/>
    <x v="1"/>
    <s v="Q4"/>
    <x v="2"/>
    <d v="2015-10-13T00:00:00"/>
    <s v="Standard Class"/>
    <x v="248"/>
    <x v="248"/>
    <s v="Consumer"/>
    <s v="United States"/>
    <s v="Detroit"/>
    <x v="12"/>
    <n v="48227"/>
    <x v="2"/>
    <x v="70"/>
    <x v="0"/>
    <x v="1"/>
    <x v="70"/>
    <n v="389.97"/>
    <s v="High"/>
    <n v="3"/>
    <n v="0"/>
    <x v="0"/>
    <x v="0"/>
    <n v="35.097299999999997"/>
    <n v="8.9999999999999983E-2"/>
    <n v="0"/>
  </r>
  <r>
    <n v="9264"/>
    <s v="CA-2015-124499"/>
    <d v="2015-10-09T00:00:00"/>
    <x v="1"/>
    <s v="Q4"/>
    <x v="2"/>
    <d v="2015-10-13T00:00:00"/>
    <s v="Standard Class"/>
    <x v="248"/>
    <x v="248"/>
    <s v="Consumer"/>
    <s v="United States"/>
    <s v="Detroit"/>
    <x v="12"/>
    <n v="48227"/>
    <x v="2"/>
    <x v="810"/>
    <x v="1"/>
    <x v="9"/>
    <x v="808"/>
    <n v="269.91000000000003"/>
    <s v="High"/>
    <n v="5"/>
    <n v="0.1"/>
    <x v="3"/>
    <x v="8"/>
    <n v="53.981999999999999"/>
    <n v="0.19999999999999998"/>
    <n v="0"/>
  </r>
  <r>
    <n v="9265"/>
    <s v="US-2017-128118"/>
    <d v="2017-11-24T00:00:00"/>
    <x v="3"/>
    <s v="Q4"/>
    <x v="23"/>
    <d v="2017-12-01T00:00:00"/>
    <s v="Standard Class"/>
    <x v="199"/>
    <x v="199"/>
    <s v="Corporate"/>
    <s v="United States"/>
    <s v="Memphis"/>
    <x v="18"/>
    <n v="38109"/>
    <x v="0"/>
    <x v="1645"/>
    <x v="1"/>
    <x v="8"/>
    <x v="1634"/>
    <n v="11.673"/>
    <s v="Low"/>
    <n v="3"/>
    <n v="0.7"/>
    <x v="1"/>
    <x v="5"/>
    <n v="-7.782"/>
    <n v="-0.66666666666666663"/>
    <n v="1"/>
  </r>
  <r>
    <n v="9266"/>
    <s v="US-2017-128118"/>
    <d v="2017-11-24T00:00:00"/>
    <x v="3"/>
    <s v="Q4"/>
    <x v="23"/>
    <d v="2017-12-01T00:00:00"/>
    <s v="Standard Class"/>
    <x v="199"/>
    <x v="199"/>
    <s v="Corporate"/>
    <s v="United States"/>
    <s v="Memphis"/>
    <x v="18"/>
    <n v="38109"/>
    <x v="0"/>
    <x v="1724"/>
    <x v="1"/>
    <x v="12"/>
    <x v="1711"/>
    <n v="64.847999999999999"/>
    <s v="Medium"/>
    <n v="7"/>
    <n v="0.2"/>
    <x v="2"/>
    <x v="2"/>
    <n v="24.318000000000001"/>
    <n v="0.375"/>
    <n v="0"/>
  </r>
  <r>
    <n v="9267"/>
    <s v="CA-2014-125759"/>
    <d v="2014-02-08T00:00:00"/>
    <x v="2"/>
    <s v="Q1"/>
    <x v="45"/>
    <d v="2014-02-09T00:00:00"/>
    <s v="First Class"/>
    <x v="134"/>
    <x v="134"/>
    <s v="Home Office"/>
    <s v="United States"/>
    <s v="North Las Vegas"/>
    <x v="33"/>
    <n v="89031"/>
    <x v="1"/>
    <x v="1677"/>
    <x v="0"/>
    <x v="5"/>
    <x v="1665"/>
    <n v="14.56"/>
    <s v="Low"/>
    <n v="2"/>
    <n v="0"/>
    <x v="0"/>
    <x v="0"/>
    <n v="5.5327999999999999"/>
    <n v="0.38"/>
    <n v="0"/>
  </r>
  <r>
    <n v="9268"/>
    <s v="CA-2015-151869"/>
    <d v="2015-09-25T00:00:00"/>
    <x v="1"/>
    <s v="Q3"/>
    <x v="11"/>
    <d v="2015-09-25T00:00:00"/>
    <s v="Same Day"/>
    <x v="229"/>
    <x v="229"/>
    <s v="Consumer"/>
    <s v="United States"/>
    <s v="Freeport"/>
    <x v="15"/>
    <n v="11520"/>
    <x v="3"/>
    <x v="1756"/>
    <x v="0"/>
    <x v="1"/>
    <x v="1746"/>
    <n v="102.58199999999999"/>
    <s v="Medium"/>
    <n v="1"/>
    <n v="0.1"/>
    <x v="3"/>
    <x v="8"/>
    <n v="6.8388"/>
    <n v="6.6666666666666666E-2"/>
    <n v="0"/>
  </r>
  <r>
    <n v="9269"/>
    <s v="CA-2015-151869"/>
    <d v="2015-09-25T00:00:00"/>
    <x v="1"/>
    <s v="Q3"/>
    <x v="11"/>
    <d v="2015-09-25T00:00:00"/>
    <s v="Same Day"/>
    <x v="229"/>
    <x v="229"/>
    <s v="Consumer"/>
    <s v="United States"/>
    <s v="Freeport"/>
    <x v="15"/>
    <n v="11520"/>
    <x v="3"/>
    <x v="711"/>
    <x v="1"/>
    <x v="10"/>
    <x v="710"/>
    <n v="20.04"/>
    <s v="Low"/>
    <n v="3"/>
    <n v="0"/>
    <x v="0"/>
    <x v="0"/>
    <n v="9.6191999999999993"/>
    <n v="0.48"/>
    <n v="0"/>
  </r>
  <r>
    <n v="9270"/>
    <s v="US-2017-102183"/>
    <d v="2017-08-21T00:00:00"/>
    <x v="3"/>
    <s v="Q3"/>
    <x v="43"/>
    <d v="2017-08-28T00:00:00"/>
    <s v="Standard Class"/>
    <x v="7"/>
    <x v="7"/>
    <s v="Consumer"/>
    <s v="United States"/>
    <s v="New York City"/>
    <x v="15"/>
    <n v="10035"/>
    <x v="3"/>
    <x v="1547"/>
    <x v="1"/>
    <x v="8"/>
    <x v="1535"/>
    <n v="32.088000000000001"/>
    <s v="Medium"/>
    <n v="7"/>
    <n v="0.2"/>
    <x v="2"/>
    <x v="2"/>
    <n v="11.2308"/>
    <n v="0.35"/>
    <n v="0"/>
  </r>
  <r>
    <n v="9271"/>
    <s v="US-2017-102183"/>
    <d v="2017-08-21T00:00:00"/>
    <x v="3"/>
    <s v="Q3"/>
    <x v="43"/>
    <d v="2017-08-28T00:00:00"/>
    <s v="Standard Class"/>
    <x v="7"/>
    <x v="7"/>
    <s v="Consumer"/>
    <s v="United States"/>
    <s v="New York City"/>
    <x v="15"/>
    <n v="10035"/>
    <x v="3"/>
    <x v="1176"/>
    <x v="1"/>
    <x v="8"/>
    <x v="1162"/>
    <n v="4305.5519999999997"/>
    <s v="High"/>
    <n v="6"/>
    <n v="0.2"/>
    <x v="2"/>
    <x v="2"/>
    <n v="1453.1238000000001"/>
    <n v="0.33750000000000002"/>
    <n v="0"/>
  </r>
  <r>
    <n v="9272"/>
    <s v="CA-2016-100510"/>
    <d v="2016-05-12T00:00:00"/>
    <x v="0"/>
    <s v="Q2"/>
    <x v="35"/>
    <d v="2016-05-17T00:00:00"/>
    <s v="Standard Class"/>
    <x v="447"/>
    <x v="447"/>
    <s v="Corporate"/>
    <s v="United States"/>
    <s v="New York City"/>
    <x v="15"/>
    <n v="10024"/>
    <x v="3"/>
    <x v="1533"/>
    <x v="0"/>
    <x v="5"/>
    <x v="1521"/>
    <n v="10.02"/>
    <s v="Low"/>
    <n v="3"/>
    <n v="0"/>
    <x v="0"/>
    <x v="0"/>
    <n v="4.4088000000000003"/>
    <n v="0.44000000000000006"/>
    <n v="0"/>
  </r>
  <r>
    <n v="9273"/>
    <s v="CA-2016-100510"/>
    <d v="2016-05-12T00:00:00"/>
    <x v="0"/>
    <s v="Q2"/>
    <x v="35"/>
    <d v="2016-05-17T00:00:00"/>
    <s v="Standard Class"/>
    <x v="447"/>
    <x v="447"/>
    <s v="Corporate"/>
    <s v="United States"/>
    <s v="New York City"/>
    <x v="15"/>
    <n v="10024"/>
    <x v="3"/>
    <x v="1356"/>
    <x v="2"/>
    <x v="7"/>
    <x v="1342"/>
    <n v="631.96"/>
    <s v="High"/>
    <n v="4"/>
    <n v="0"/>
    <x v="0"/>
    <x v="0"/>
    <n v="303.3408"/>
    <n v="0.48"/>
    <n v="0"/>
  </r>
  <r>
    <n v="9274"/>
    <s v="CA-2017-146983"/>
    <d v="2017-09-02T00:00:00"/>
    <x v="3"/>
    <s v="Q3"/>
    <x v="15"/>
    <d v="2017-09-06T00:00:00"/>
    <s v="Standard Class"/>
    <x v="117"/>
    <x v="117"/>
    <s v="Consumer"/>
    <s v="United States"/>
    <s v="Henderson"/>
    <x v="0"/>
    <n v="42420"/>
    <x v="0"/>
    <x v="115"/>
    <x v="1"/>
    <x v="8"/>
    <x v="115"/>
    <n v="1577.94"/>
    <s v="High"/>
    <n v="3"/>
    <n v="0"/>
    <x v="0"/>
    <x v="0"/>
    <n v="757.41120000000001"/>
    <n v="0.48"/>
    <n v="0"/>
  </r>
  <r>
    <n v="9275"/>
    <s v="US-2014-134054"/>
    <d v="2014-10-10T00:00:00"/>
    <x v="2"/>
    <s v="Q4"/>
    <x v="18"/>
    <d v="2014-10-10T00:00:00"/>
    <s v="Same Day"/>
    <x v="712"/>
    <x v="712"/>
    <s v="Corporate"/>
    <s v="United States"/>
    <s v="Albuquerque"/>
    <x v="27"/>
    <n v="87105"/>
    <x v="1"/>
    <x v="1833"/>
    <x v="1"/>
    <x v="6"/>
    <x v="1821"/>
    <n v="255.85"/>
    <s v="High"/>
    <n v="7"/>
    <n v="0"/>
    <x v="0"/>
    <x v="0"/>
    <n v="112.574"/>
    <n v="0.44"/>
    <n v="0"/>
  </r>
  <r>
    <n v="9276"/>
    <s v="CA-2016-113236"/>
    <d v="2016-05-26T00:00:00"/>
    <x v="0"/>
    <s v="Q2"/>
    <x v="35"/>
    <d v="2016-05-29T00:00:00"/>
    <s v="Second Class"/>
    <x v="434"/>
    <x v="434"/>
    <s v="Corporate"/>
    <s v="United States"/>
    <s v="Delray Beach"/>
    <x v="2"/>
    <n v="33445"/>
    <x v="0"/>
    <x v="1424"/>
    <x v="1"/>
    <x v="4"/>
    <x v="1412"/>
    <n v="184.70400000000001"/>
    <s v="High"/>
    <n v="6"/>
    <n v="0.2"/>
    <x v="2"/>
    <x v="2"/>
    <n v="13.8528"/>
    <n v="7.4999999999999997E-2"/>
    <n v="0"/>
  </r>
  <r>
    <n v="9277"/>
    <s v="CA-2016-113236"/>
    <d v="2016-05-26T00:00:00"/>
    <x v="0"/>
    <s v="Q2"/>
    <x v="35"/>
    <d v="2016-05-29T00:00:00"/>
    <s v="Second Class"/>
    <x v="434"/>
    <x v="434"/>
    <s v="Corporate"/>
    <s v="United States"/>
    <s v="Delray Beach"/>
    <x v="2"/>
    <n v="33445"/>
    <x v="0"/>
    <x v="538"/>
    <x v="2"/>
    <x v="11"/>
    <x v="538"/>
    <n v="47.92"/>
    <s v="Medium"/>
    <n v="2"/>
    <n v="0.2"/>
    <x v="2"/>
    <x v="2"/>
    <n v="11.98"/>
    <n v="0.25"/>
    <n v="0"/>
  </r>
  <r>
    <n v="9278"/>
    <s v="CA-2017-122539"/>
    <d v="2017-12-01T00:00:00"/>
    <x v="3"/>
    <s v="Q4"/>
    <x v="22"/>
    <d v="2017-12-05T00:00:00"/>
    <s v="Standard Class"/>
    <x v="253"/>
    <x v="253"/>
    <s v="Consumer"/>
    <s v="United States"/>
    <s v="Philadelphia"/>
    <x v="9"/>
    <n v="19140"/>
    <x v="3"/>
    <x v="690"/>
    <x v="1"/>
    <x v="2"/>
    <x v="690"/>
    <n v="15.936"/>
    <s v="Low"/>
    <n v="4"/>
    <n v="0.2"/>
    <x v="2"/>
    <x v="2"/>
    <n v="5.1791999999999998"/>
    <n v="0.32500000000000001"/>
    <n v="0"/>
  </r>
  <r>
    <n v="9279"/>
    <s v="CA-2017-122539"/>
    <d v="2017-12-01T00:00:00"/>
    <x v="3"/>
    <s v="Q4"/>
    <x v="22"/>
    <d v="2017-12-05T00:00:00"/>
    <s v="Standard Class"/>
    <x v="253"/>
    <x v="253"/>
    <s v="Consumer"/>
    <s v="United States"/>
    <s v="Philadelphia"/>
    <x v="9"/>
    <n v="19140"/>
    <x v="3"/>
    <x v="733"/>
    <x v="1"/>
    <x v="8"/>
    <x v="732"/>
    <n v="8.0009999999999994"/>
    <s v="Low"/>
    <n v="7"/>
    <n v="0.7"/>
    <x v="1"/>
    <x v="5"/>
    <n v="-5.6006999999999998"/>
    <n v="-0.70000000000000007"/>
    <n v="1"/>
  </r>
  <r>
    <n v="9280"/>
    <s v="CA-2017-122539"/>
    <d v="2017-12-01T00:00:00"/>
    <x v="3"/>
    <s v="Q4"/>
    <x v="22"/>
    <d v="2017-12-05T00:00:00"/>
    <s v="Standard Class"/>
    <x v="253"/>
    <x v="253"/>
    <s v="Consumer"/>
    <s v="United States"/>
    <s v="Philadelphia"/>
    <x v="9"/>
    <n v="19140"/>
    <x v="3"/>
    <x v="463"/>
    <x v="0"/>
    <x v="1"/>
    <x v="464"/>
    <n v="398.97199999999998"/>
    <s v="High"/>
    <n v="2"/>
    <n v="0.3"/>
    <x v="1"/>
    <x v="4"/>
    <n v="-28.498000000000001"/>
    <n v="-7.1428571428571438E-2"/>
    <n v="1"/>
  </r>
  <r>
    <n v="9281"/>
    <s v="CA-2016-166772"/>
    <d v="2016-09-20T00:00:00"/>
    <x v="0"/>
    <s v="Q3"/>
    <x v="21"/>
    <d v="2016-09-24T00:00:00"/>
    <s v="Standard Class"/>
    <x v="707"/>
    <x v="707"/>
    <s v="Home Office"/>
    <s v="United States"/>
    <s v="Seattle"/>
    <x v="4"/>
    <n v="98105"/>
    <x v="1"/>
    <x v="1632"/>
    <x v="0"/>
    <x v="0"/>
    <x v="1622"/>
    <n v="163.88"/>
    <s v="High"/>
    <n v="2"/>
    <n v="0"/>
    <x v="0"/>
    <x v="0"/>
    <n v="40.97"/>
    <n v="0.25"/>
    <n v="0"/>
  </r>
  <r>
    <n v="9282"/>
    <s v="US-2017-152898"/>
    <d v="2017-09-11T00:00:00"/>
    <x v="3"/>
    <s v="Q3"/>
    <x v="15"/>
    <d v="2017-09-15T00:00:00"/>
    <s v="Standard Class"/>
    <x v="90"/>
    <x v="90"/>
    <s v="Consumer"/>
    <s v="United States"/>
    <s v="Richmond"/>
    <x v="17"/>
    <n v="23223"/>
    <x v="0"/>
    <x v="1825"/>
    <x v="1"/>
    <x v="9"/>
    <x v="1813"/>
    <n v="67.900000000000006"/>
    <s v="Medium"/>
    <n v="5"/>
    <n v="0"/>
    <x v="0"/>
    <x v="0"/>
    <n v="20.37"/>
    <n v="0.3"/>
    <n v="0"/>
  </r>
  <r>
    <n v="9283"/>
    <s v="CA-2016-160486"/>
    <d v="2016-12-30T00:00:00"/>
    <x v="0"/>
    <s v="Q4"/>
    <x v="5"/>
    <d v="2017-01-04T00:00:00"/>
    <s v="Standard Class"/>
    <x v="699"/>
    <x v="699"/>
    <s v="Consumer"/>
    <s v="United States"/>
    <s v="West Palm Beach"/>
    <x v="2"/>
    <n v="33407"/>
    <x v="0"/>
    <x v="1437"/>
    <x v="1"/>
    <x v="10"/>
    <x v="1425"/>
    <n v="72.224000000000004"/>
    <s v="Medium"/>
    <n v="4"/>
    <n v="0.2"/>
    <x v="2"/>
    <x v="2"/>
    <n v="25.278400000000001"/>
    <n v="0.35"/>
    <n v="0"/>
  </r>
  <r>
    <n v="9284"/>
    <s v="CA-2017-102218"/>
    <d v="2017-09-02T00:00:00"/>
    <x v="3"/>
    <s v="Q3"/>
    <x v="15"/>
    <d v="2017-09-04T00:00:00"/>
    <s v="Second Class"/>
    <x v="560"/>
    <x v="560"/>
    <s v="Consumer"/>
    <s v="United States"/>
    <s v="Fort Collins"/>
    <x v="22"/>
    <n v="80525"/>
    <x v="1"/>
    <x v="148"/>
    <x v="1"/>
    <x v="2"/>
    <x v="149"/>
    <n v="11.696"/>
    <s v="Low"/>
    <n v="2"/>
    <n v="0.2"/>
    <x v="2"/>
    <x v="2"/>
    <n v="3.9474"/>
    <n v="0.33750000000000002"/>
    <n v="0"/>
  </r>
  <r>
    <n v="9285"/>
    <s v="CA-2014-161032"/>
    <d v="2014-11-18T00:00:00"/>
    <x v="2"/>
    <s v="Q4"/>
    <x v="7"/>
    <d v="2014-11-23T00:00:00"/>
    <s v="Standard Class"/>
    <x v="149"/>
    <x v="149"/>
    <s v="Corporate"/>
    <s v="United States"/>
    <s v="Franklin"/>
    <x v="6"/>
    <n v="53132"/>
    <x v="2"/>
    <x v="541"/>
    <x v="0"/>
    <x v="1"/>
    <x v="541"/>
    <n v="392.94"/>
    <s v="High"/>
    <n v="3"/>
    <n v="0"/>
    <x v="0"/>
    <x v="0"/>
    <n v="43.223399999999998"/>
    <n v="0.11"/>
    <n v="0"/>
  </r>
  <r>
    <n v="9286"/>
    <s v="CA-2015-102778"/>
    <d v="2015-11-21T00:00:00"/>
    <x v="1"/>
    <s v="Q4"/>
    <x v="6"/>
    <d v="2015-11-24T00:00:00"/>
    <s v="First Class"/>
    <x v="581"/>
    <x v="581"/>
    <s v="Consumer"/>
    <s v="United States"/>
    <s v="Monroe"/>
    <x v="3"/>
    <n v="28110"/>
    <x v="0"/>
    <x v="205"/>
    <x v="0"/>
    <x v="5"/>
    <x v="206"/>
    <n v="18.175999999999998"/>
    <s v="Low"/>
    <n v="1"/>
    <n v="0.2"/>
    <x v="2"/>
    <x v="2"/>
    <n v="4.7712000000000003"/>
    <n v="0.26250000000000007"/>
    <n v="0"/>
  </r>
  <r>
    <n v="9287"/>
    <s v="CA-2017-154011"/>
    <d v="2017-06-19T00:00:00"/>
    <x v="3"/>
    <s v="Q2"/>
    <x v="27"/>
    <d v="2017-06-26T00:00:00"/>
    <s v="Standard Class"/>
    <x v="489"/>
    <x v="489"/>
    <s v="Home Office"/>
    <s v="United States"/>
    <s v="Dallas"/>
    <x v="5"/>
    <n v="75081"/>
    <x v="2"/>
    <x v="1426"/>
    <x v="1"/>
    <x v="8"/>
    <x v="1414"/>
    <n v="6.8879999999999999"/>
    <s v="Low"/>
    <n v="3"/>
    <n v="0.8"/>
    <x v="1"/>
    <x v="3"/>
    <n v="-11.020799999999999"/>
    <n v="-1.5999999999999999"/>
    <n v="1"/>
  </r>
  <r>
    <n v="9288"/>
    <s v="CA-2017-154011"/>
    <d v="2017-06-19T00:00:00"/>
    <x v="3"/>
    <s v="Q2"/>
    <x v="27"/>
    <d v="2017-06-26T00:00:00"/>
    <s v="Standard Class"/>
    <x v="489"/>
    <x v="489"/>
    <s v="Home Office"/>
    <s v="United States"/>
    <s v="Dallas"/>
    <x v="5"/>
    <n v="75081"/>
    <x v="2"/>
    <x v="562"/>
    <x v="0"/>
    <x v="3"/>
    <x v="561"/>
    <n v="457.48500000000001"/>
    <s v="High"/>
    <n v="3"/>
    <n v="0.3"/>
    <x v="1"/>
    <x v="4"/>
    <n v="-84.961500000000001"/>
    <n v="-0.18571428571428572"/>
    <n v="1"/>
  </r>
  <r>
    <n v="9289"/>
    <s v="US-2017-165456"/>
    <d v="2017-11-30T00:00:00"/>
    <x v="3"/>
    <s v="Q4"/>
    <x v="23"/>
    <d v="2017-12-03T00:00:00"/>
    <s v="First Class"/>
    <x v="577"/>
    <x v="577"/>
    <s v="Consumer"/>
    <s v="United States"/>
    <s v="Philadelphia"/>
    <x v="9"/>
    <n v="19134"/>
    <x v="3"/>
    <x v="1189"/>
    <x v="0"/>
    <x v="1"/>
    <x v="1175"/>
    <n v="1079.316"/>
    <s v="High"/>
    <n v="6"/>
    <n v="0.3"/>
    <x v="1"/>
    <x v="4"/>
    <n v="-15.418799999999999"/>
    <n v="-1.4285714285714285E-2"/>
    <n v="1"/>
  </r>
  <r>
    <n v="9290"/>
    <s v="CA-2014-111857"/>
    <d v="2014-04-23T00:00:00"/>
    <x v="2"/>
    <s v="Q2"/>
    <x v="41"/>
    <d v="2014-04-26T00:00:00"/>
    <s v="Second Class"/>
    <x v="134"/>
    <x v="134"/>
    <s v="Home Office"/>
    <s v="United States"/>
    <s v="San Francisco"/>
    <x v="1"/>
    <n v="94109"/>
    <x v="1"/>
    <x v="1184"/>
    <x v="1"/>
    <x v="10"/>
    <x v="1170"/>
    <n v="48.91"/>
    <s v="Medium"/>
    <n v="1"/>
    <n v="0"/>
    <x v="0"/>
    <x v="0"/>
    <n v="22.9877"/>
    <n v="0.47000000000000003"/>
    <n v="0"/>
  </r>
  <r>
    <n v="9291"/>
    <s v="CA-2014-163650"/>
    <d v="2014-09-23T00:00:00"/>
    <x v="2"/>
    <s v="Q3"/>
    <x v="30"/>
    <d v="2014-09-25T00:00:00"/>
    <s v="First Class"/>
    <x v="627"/>
    <x v="627"/>
    <s v="Consumer"/>
    <s v="United States"/>
    <s v="Dover"/>
    <x v="13"/>
    <n v="19901"/>
    <x v="3"/>
    <x v="836"/>
    <x v="1"/>
    <x v="6"/>
    <x v="831"/>
    <n v="9.84"/>
    <s v="Low"/>
    <n v="3"/>
    <n v="0"/>
    <x v="0"/>
    <x v="0"/>
    <n v="2.8536000000000001"/>
    <n v="0.29000000000000004"/>
    <n v="0"/>
  </r>
  <r>
    <n v="9292"/>
    <s v="CA-2014-163650"/>
    <d v="2014-09-23T00:00:00"/>
    <x v="2"/>
    <s v="Q3"/>
    <x v="30"/>
    <d v="2014-09-25T00:00:00"/>
    <s v="First Class"/>
    <x v="627"/>
    <x v="627"/>
    <s v="Consumer"/>
    <s v="United States"/>
    <s v="Dover"/>
    <x v="13"/>
    <n v="19901"/>
    <x v="3"/>
    <x v="1023"/>
    <x v="1"/>
    <x v="8"/>
    <x v="1014"/>
    <n v="34.5"/>
    <s v="Medium"/>
    <n v="3"/>
    <n v="0"/>
    <x v="0"/>
    <x v="0"/>
    <n v="15.525"/>
    <n v="0.45"/>
    <n v="0"/>
  </r>
  <r>
    <n v="9293"/>
    <s v="CA-2017-124114"/>
    <d v="2017-03-02T00:00:00"/>
    <x v="3"/>
    <s v="Q1"/>
    <x v="42"/>
    <d v="2017-03-02T00:00:00"/>
    <s v="Same Day"/>
    <x v="276"/>
    <x v="276"/>
    <s v="Corporate"/>
    <s v="United States"/>
    <s v="Waco"/>
    <x v="5"/>
    <n v="76706"/>
    <x v="2"/>
    <x v="757"/>
    <x v="1"/>
    <x v="8"/>
    <x v="755"/>
    <n v="0.55600000000000005"/>
    <s v="Low"/>
    <n v="1"/>
    <n v="0.8"/>
    <x v="1"/>
    <x v="3"/>
    <n v="-0.94520000000000004"/>
    <n v="-1.7"/>
    <n v="1"/>
  </r>
  <r>
    <n v="9294"/>
    <s v="US-2017-116505"/>
    <d v="2017-11-17T00:00:00"/>
    <x v="3"/>
    <s v="Q4"/>
    <x v="23"/>
    <d v="2017-11-21T00:00:00"/>
    <s v="Second Class"/>
    <x v="577"/>
    <x v="577"/>
    <s v="Consumer"/>
    <s v="United States"/>
    <s v="Hagerstown"/>
    <x v="39"/>
    <n v="21740"/>
    <x v="3"/>
    <x v="347"/>
    <x v="1"/>
    <x v="8"/>
    <x v="347"/>
    <n v="43.8"/>
    <s v="Medium"/>
    <n v="6"/>
    <n v="0"/>
    <x v="0"/>
    <x v="0"/>
    <n v="20.585999999999999"/>
    <n v="0.47"/>
    <n v="0"/>
  </r>
  <r>
    <n v="9295"/>
    <s v="CA-2017-161340"/>
    <d v="2017-05-28T00:00:00"/>
    <x v="3"/>
    <s v="Q2"/>
    <x v="24"/>
    <d v="2017-06-01T00:00:00"/>
    <s v="Standard Class"/>
    <x v="87"/>
    <x v="87"/>
    <s v="Corporate"/>
    <s v="United States"/>
    <s v="Cleveland"/>
    <x v="24"/>
    <n v="44105"/>
    <x v="3"/>
    <x v="1010"/>
    <x v="1"/>
    <x v="10"/>
    <x v="1002"/>
    <n v="13.872"/>
    <s v="Low"/>
    <n v="3"/>
    <n v="0.2"/>
    <x v="2"/>
    <x v="2"/>
    <n v="5.0286"/>
    <n v="0.36249999999999999"/>
    <n v="0"/>
  </r>
  <r>
    <n v="9296"/>
    <s v="CA-2017-161340"/>
    <d v="2017-05-28T00:00:00"/>
    <x v="3"/>
    <s v="Q2"/>
    <x v="24"/>
    <d v="2017-06-01T00:00:00"/>
    <s v="Standard Class"/>
    <x v="87"/>
    <x v="87"/>
    <s v="Corporate"/>
    <s v="United States"/>
    <s v="Cleveland"/>
    <x v="24"/>
    <n v="44105"/>
    <x v="3"/>
    <x v="266"/>
    <x v="0"/>
    <x v="0"/>
    <x v="266"/>
    <n v="115.96"/>
    <s v="Medium"/>
    <n v="4"/>
    <n v="0.5"/>
    <x v="1"/>
    <x v="1"/>
    <n v="-64.937600000000003"/>
    <n v="-0.56000000000000005"/>
    <n v="1"/>
  </r>
  <r>
    <n v="9297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1113"/>
    <x v="2"/>
    <x v="11"/>
    <x v="1102"/>
    <n v="41.423999999999999"/>
    <s v="Medium"/>
    <n v="2"/>
    <n v="0.2"/>
    <x v="2"/>
    <x v="2"/>
    <n v="8.2848000000000006"/>
    <n v="0.2"/>
    <n v="0"/>
  </r>
  <r>
    <n v="9298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1081"/>
    <x v="2"/>
    <x v="7"/>
    <x v="1071"/>
    <n v="244.768"/>
    <s v="High"/>
    <n v="4"/>
    <n v="0.2"/>
    <x v="2"/>
    <x v="2"/>
    <n v="24.476800000000001"/>
    <n v="0.1"/>
    <n v="0"/>
  </r>
  <r>
    <n v="9299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290"/>
    <x v="1"/>
    <x v="6"/>
    <x v="290"/>
    <n v="74.352000000000004"/>
    <s v="Medium"/>
    <n v="3"/>
    <n v="0.2"/>
    <x v="2"/>
    <x v="2"/>
    <n v="6.5057999999999998"/>
    <n v="8.7499999999999994E-2"/>
    <n v="0"/>
  </r>
  <r>
    <n v="9300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828"/>
    <x v="1"/>
    <x v="8"/>
    <x v="824"/>
    <n v="4.3120000000000003"/>
    <s v="Low"/>
    <n v="2"/>
    <n v="0.8"/>
    <x v="1"/>
    <x v="3"/>
    <n v="-6.8992000000000004"/>
    <n v="-1.6"/>
    <n v="1"/>
  </r>
  <r>
    <n v="9301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405"/>
    <x v="0"/>
    <x v="1"/>
    <x v="406"/>
    <n v="56.686"/>
    <s v="Medium"/>
    <n v="1"/>
    <n v="0.3"/>
    <x v="1"/>
    <x v="4"/>
    <n v="-20.245000000000001"/>
    <n v="-0.35714285714285715"/>
    <n v="1"/>
  </r>
  <r>
    <n v="9302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1750"/>
    <x v="2"/>
    <x v="7"/>
    <x v="1740"/>
    <n v="97.968000000000004"/>
    <s v="Medium"/>
    <n v="2"/>
    <n v="0.2"/>
    <x v="2"/>
    <x v="2"/>
    <n v="6.1230000000000002"/>
    <n v="6.25E-2"/>
    <n v="0"/>
  </r>
  <r>
    <n v="9303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1609"/>
    <x v="1"/>
    <x v="6"/>
    <x v="1600"/>
    <n v="7.8719999999999999"/>
    <s v="Low"/>
    <n v="3"/>
    <n v="0.2"/>
    <x v="2"/>
    <x v="2"/>
    <n v="0.88560000000000005"/>
    <n v="0.1125"/>
    <n v="0"/>
  </r>
  <r>
    <n v="9304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1307"/>
    <x v="1"/>
    <x v="10"/>
    <x v="1292"/>
    <n v="15.552"/>
    <s v="Low"/>
    <n v="3"/>
    <n v="0.2"/>
    <x v="2"/>
    <x v="2"/>
    <n v="5.4432"/>
    <n v="0.35000000000000003"/>
    <n v="0"/>
  </r>
  <r>
    <n v="9305"/>
    <s v="US-2015-163433"/>
    <d v="2015-04-18T00:00:00"/>
    <x v="1"/>
    <s v="Q2"/>
    <x v="19"/>
    <d v="2015-04-22T00:00:00"/>
    <s v="Second Class"/>
    <x v="172"/>
    <x v="172"/>
    <s v="Corporate"/>
    <s v="United States"/>
    <s v="Mcallen"/>
    <x v="5"/>
    <n v="78501"/>
    <x v="2"/>
    <x v="777"/>
    <x v="1"/>
    <x v="8"/>
    <x v="776"/>
    <n v="1.476"/>
    <s v="Low"/>
    <n v="1"/>
    <n v="0.8"/>
    <x v="1"/>
    <x v="3"/>
    <n v="-2.2877999999999998"/>
    <n v="-1.5499999999999998"/>
    <n v="1"/>
  </r>
  <r>
    <n v="9306"/>
    <s v="CA-2015-137603"/>
    <d v="2015-09-19T00:00:00"/>
    <x v="1"/>
    <s v="Q3"/>
    <x v="11"/>
    <d v="2015-09-24T00:00:00"/>
    <s v="Standard Class"/>
    <x v="762"/>
    <x v="762"/>
    <s v="Home Office"/>
    <s v="United States"/>
    <s v="Santa Fe"/>
    <x v="27"/>
    <n v="87505"/>
    <x v="1"/>
    <x v="1642"/>
    <x v="1"/>
    <x v="6"/>
    <x v="1632"/>
    <n v="8.4"/>
    <s v="Low"/>
    <n v="5"/>
    <n v="0"/>
    <x v="0"/>
    <x v="0"/>
    <n v="2.1840000000000002"/>
    <n v="0.26"/>
    <n v="0"/>
  </r>
  <r>
    <n v="9307"/>
    <s v="CA-2014-128237"/>
    <d v="2014-03-25T00:00:00"/>
    <x v="2"/>
    <s v="Q1"/>
    <x v="34"/>
    <d v="2014-03-30T00:00:00"/>
    <s v="Standard Class"/>
    <x v="244"/>
    <x v="244"/>
    <s v="Consumer"/>
    <s v="United States"/>
    <s v="San Francisco"/>
    <x v="1"/>
    <n v="94110"/>
    <x v="1"/>
    <x v="950"/>
    <x v="1"/>
    <x v="6"/>
    <x v="943"/>
    <n v="6.56"/>
    <s v="Low"/>
    <n v="2"/>
    <n v="0"/>
    <x v="0"/>
    <x v="0"/>
    <n v="1.9024000000000001"/>
    <n v="0.29000000000000004"/>
    <n v="0"/>
  </r>
  <r>
    <n v="9308"/>
    <s v="CA-2014-128237"/>
    <d v="2014-03-25T00:00:00"/>
    <x v="2"/>
    <s v="Q1"/>
    <x v="34"/>
    <d v="2014-03-30T00:00:00"/>
    <s v="Standard Class"/>
    <x v="244"/>
    <x v="244"/>
    <s v="Consumer"/>
    <s v="United States"/>
    <s v="San Francisco"/>
    <x v="1"/>
    <n v="94110"/>
    <x v="1"/>
    <x v="1453"/>
    <x v="1"/>
    <x v="6"/>
    <x v="1439"/>
    <n v="14.88"/>
    <s v="Low"/>
    <n v="2"/>
    <n v="0"/>
    <x v="0"/>
    <x v="0"/>
    <n v="3.72"/>
    <n v="0.25"/>
    <n v="0"/>
  </r>
  <r>
    <n v="9309"/>
    <s v="CA-2014-128237"/>
    <d v="2014-03-25T00:00:00"/>
    <x v="2"/>
    <s v="Q1"/>
    <x v="34"/>
    <d v="2014-03-30T00:00:00"/>
    <s v="Standard Class"/>
    <x v="244"/>
    <x v="244"/>
    <s v="Consumer"/>
    <s v="United States"/>
    <s v="San Francisco"/>
    <x v="1"/>
    <n v="94110"/>
    <x v="1"/>
    <x v="1564"/>
    <x v="2"/>
    <x v="11"/>
    <x v="1555"/>
    <n v="45.48"/>
    <s v="Medium"/>
    <n v="4"/>
    <n v="0"/>
    <x v="0"/>
    <x v="0"/>
    <n v="15.917999999999999"/>
    <n v="0.35000000000000003"/>
    <n v="0"/>
  </r>
  <r>
    <n v="9310"/>
    <s v="CA-2014-128237"/>
    <d v="2014-03-25T00:00:00"/>
    <x v="2"/>
    <s v="Q1"/>
    <x v="34"/>
    <d v="2014-03-30T00:00:00"/>
    <s v="Standard Class"/>
    <x v="244"/>
    <x v="244"/>
    <s v="Consumer"/>
    <s v="United States"/>
    <s v="San Francisco"/>
    <x v="1"/>
    <n v="94110"/>
    <x v="1"/>
    <x v="753"/>
    <x v="1"/>
    <x v="6"/>
    <x v="751"/>
    <n v="25.44"/>
    <s v="Medium"/>
    <n v="6"/>
    <n v="0"/>
    <x v="0"/>
    <x v="0"/>
    <n v="9.9215999999999998"/>
    <n v="0.38999999999999996"/>
    <n v="0"/>
  </r>
  <r>
    <n v="9311"/>
    <s v="US-2016-102141"/>
    <d v="2016-08-26T00:00:00"/>
    <x v="0"/>
    <s v="Q3"/>
    <x v="28"/>
    <d v="2016-08-31T00:00:00"/>
    <s v="Standard Class"/>
    <x v="629"/>
    <x v="629"/>
    <s v="Corporate"/>
    <s v="United States"/>
    <s v="New York City"/>
    <x v="15"/>
    <n v="10024"/>
    <x v="3"/>
    <x v="710"/>
    <x v="1"/>
    <x v="8"/>
    <x v="709"/>
    <n v="146.68799999999999"/>
    <s v="High"/>
    <n v="8"/>
    <n v="0.2"/>
    <x v="2"/>
    <x v="2"/>
    <n v="45.84"/>
    <n v="0.31250000000000006"/>
    <n v="0"/>
  </r>
  <r>
    <n v="9312"/>
    <s v="CA-2017-148642"/>
    <d v="2017-03-06T00:00:00"/>
    <x v="3"/>
    <s v="Q1"/>
    <x v="42"/>
    <d v="2017-03-12T00:00:00"/>
    <s v="Standard Class"/>
    <x v="386"/>
    <x v="386"/>
    <s v="Consumer"/>
    <s v="United States"/>
    <s v="Dallas"/>
    <x v="5"/>
    <n v="75220"/>
    <x v="2"/>
    <x v="85"/>
    <x v="1"/>
    <x v="2"/>
    <x v="85"/>
    <n v="4.9279999999999999"/>
    <s v="Low"/>
    <n v="2"/>
    <n v="0.2"/>
    <x v="2"/>
    <x v="2"/>
    <n v="1.7248000000000001"/>
    <n v="0.35000000000000003"/>
    <n v="0"/>
  </r>
  <r>
    <n v="9313"/>
    <s v="CA-2017-148642"/>
    <d v="2017-03-06T00:00:00"/>
    <x v="3"/>
    <s v="Q1"/>
    <x v="42"/>
    <d v="2017-03-12T00:00:00"/>
    <s v="Standard Class"/>
    <x v="386"/>
    <x v="386"/>
    <s v="Consumer"/>
    <s v="United States"/>
    <s v="Dallas"/>
    <x v="5"/>
    <n v="75220"/>
    <x v="2"/>
    <x v="397"/>
    <x v="1"/>
    <x v="6"/>
    <x v="398"/>
    <n v="63.488"/>
    <s v="Medium"/>
    <n v="4"/>
    <n v="0.2"/>
    <x v="2"/>
    <x v="2"/>
    <n v="4.7615999999999996"/>
    <n v="7.4999999999999997E-2"/>
    <n v="0"/>
  </r>
  <r>
    <n v="9314"/>
    <s v="CA-2015-111948"/>
    <d v="2015-11-11T00:00:00"/>
    <x v="1"/>
    <s v="Q4"/>
    <x v="6"/>
    <d v="2015-11-11T00:00:00"/>
    <s v="Same Day"/>
    <x v="122"/>
    <x v="122"/>
    <s v="Corporate"/>
    <s v="United States"/>
    <s v="Detroit"/>
    <x v="12"/>
    <n v="48234"/>
    <x v="2"/>
    <x v="42"/>
    <x v="1"/>
    <x v="4"/>
    <x v="42"/>
    <n v="418.32"/>
    <s v="High"/>
    <n v="7"/>
    <n v="0"/>
    <x v="0"/>
    <x v="0"/>
    <n v="117.1296"/>
    <n v="0.27999999999999997"/>
    <n v="0"/>
  </r>
  <r>
    <n v="9315"/>
    <s v="CA-2015-111948"/>
    <d v="2015-11-11T00:00:00"/>
    <x v="1"/>
    <s v="Q4"/>
    <x v="6"/>
    <d v="2015-11-11T00:00:00"/>
    <s v="Same Day"/>
    <x v="122"/>
    <x v="122"/>
    <s v="Corporate"/>
    <s v="United States"/>
    <s v="Detroit"/>
    <x v="12"/>
    <n v="48234"/>
    <x v="2"/>
    <x v="14"/>
    <x v="1"/>
    <x v="9"/>
    <x v="14"/>
    <n v="123.858"/>
    <s v="High"/>
    <n v="2"/>
    <n v="0.1"/>
    <x v="3"/>
    <x v="8"/>
    <n v="46.790799999999997"/>
    <n v="0.37777777777777777"/>
    <n v="0"/>
  </r>
  <r>
    <n v="9316"/>
    <s v="CA-2016-161907"/>
    <d v="2016-04-05T00:00:00"/>
    <x v="0"/>
    <s v="Q2"/>
    <x v="25"/>
    <d v="2016-04-09T00:00:00"/>
    <s v="Standard Class"/>
    <x v="423"/>
    <x v="423"/>
    <s v="Consumer"/>
    <s v="United States"/>
    <s v="Philadelphia"/>
    <x v="9"/>
    <n v="19140"/>
    <x v="3"/>
    <x v="1326"/>
    <x v="2"/>
    <x v="7"/>
    <x v="1312"/>
    <n v="118.782"/>
    <s v="Medium"/>
    <n v="3"/>
    <n v="0.4"/>
    <x v="1"/>
    <x v="7"/>
    <n v="-27.715800000000002"/>
    <n v="-0.23333333333333336"/>
    <n v="1"/>
  </r>
  <r>
    <n v="9317"/>
    <s v="CA-2016-161907"/>
    <d v="2016-04-05T00:00:00"/>
    <x v="0"/>
    <s v="Q2"/>
    <x v="25"/>
    <d v="2016-04-09T00:00:00"/>
    <s v="Standard Class"/>
    <x v="423"/>
    <x v="423"/>
    <s v="Consumer"/>
    <s v="United States"/>
    <s v="Philadelphia"/>
    <x v="9"/>
    <n v="19140"/>
    <x v="3"/>
    <x v="262"/>
    <x v="1"/>
    <x v="14"/>
    <x v="262"/>
    <n v="769.18399999999997"/>
    <s v="High"/>
    <n v="4"/>
    <n v="0.2"/>
    <x v="2"/>
    <x v="2"/>
    <n v="-163.45160000000001"/>
    <n v="-0.21250000000000002"/>
    <n v="1"/>
  </r>
  <r>
    <n v="9318"/>
    <s v="CA-2017-124940"/>
    <d v="2017-02-21T00:00:00"/>
    <x v="3"/>
    <s v="Q1"/>
    <x v="31"/>
    <d v="2017-02-26T00:00:00"/>
    <s v="Standard Class"/>
    <x v="54"/>
    <x v="54"/>
    <s v="Consumer"/>
    <s v="United States"/>
    <s v="Carrollton"/>
    <x v="5"/>
    <n v="75007"/>
    <x v="2"/>
    <x v="333"/>
    <x v="2"/>
    <x v="11"/>
    <x v="333"/>
    <n v="47.904000000000003"/>
    <s v="Medium"/>
    <n v="1"/>
    <n v="0.2"/>
    <x v="2"/>
    <x v="2"/>
    <n v="-2.9940000000000002"/>
    <n v="-6.25E-2"/>
    <n v="1"/>
  </r>
  <r>
    <n v="9319"/>
    <s v="US-2017-108343"/>
    <d v="2017-07-20T00:00:00"/>
    <x v="3"/>
    <s v="Q3"/>
    <x v="10"/>
    <d v="2017-07-25T00:00:00"/>
    <s v="Standard Class"/>
    <x v="255"/>
    <x v="255"/>
    <s v="Corporate"/>
    <s v="United States"/>
    <s v="New York City"/>
    <x v="15"/>
    <n v="10009"/>
    <x v="3"/>
    <x v="578"/>
    <x v="1"/>
    <x v="10"/>
    <x v="578"/>
    <n v="13.36"/>
    <s v="Low"/>
    <n v="2"/>
    <n v="0"/>
    <x v="0"/>
    <x v="0"/>
    <n v="6.4127999999999998"/>
    <n v="0.48"/>
    <n v="0"/>
  </r>
  <r>
    <n v="9320"/>
    <s v="US-2017-108343"/>
    <d v="2017-07-20T00:00:00"/>
    <x v="3"/>
    <s v="Q3"/>
    <x v="10"/>
    <d v="2017-07-25T00:00:00"/>
    <s v="Standard Class"/>
    <x v="255"/>
    <x v="255"/>
    <s v="Corporate"/>
    <s v="United States"/>
    <s v="New York City"/>
    <x v="15"/>
    <n v="10009"/>
    <x v="3"/>
    <x v="1853"/>
    <x v="0"/>
    <x v="1"/>
    <x v="1841"/>
    <n v="163.76400000000001"/>
    <s v="High"/>
    <n v="2"/>
    <n v="0.1"/>
    <x v="3"/>
    <x v="8"/>
    <n v="25.474399999999999"/>
    <n v="0.15555555555555553"/>
    <n v="0"/>
  </r>
  <r>
    <n v="9321"/>
    <s v="US-2017-108343"/>
    <d v="2017-07-20T00:00:00"/>
    <x v="3"/>
    <s v="Q3"/>
    <x v="10"/>
    <d v="2017-07-25T00:00:00"/>
    <s v="Standard Class"/>
    <x v="255"/>
    <x v="255"/>
    <s v="Corporate"/>
    <s v="United States"/>
    <s v="New York City"/>
    <x v="15"/>
    <n v="10009"/>
    <x v="3"/>
    <x v="1762"/>
    <x v="0"/>
    <x v="5"/>
    <x v="1751"/>
    <n v="183.92"/>
    <s v="High"/>
    <n v="4"/>
    <n v="0"/>
    <x v="0"/>
    <x v="0"/>
    <n v="31.266400000000001"/>
    <n v="0.17"/>
    <n v="0"/>
  </r>
  <r>
    <n v="9322"/>
    <s v="US-2016-111563"/>
    <d v="2016-11-04T00:00:00"/>
    <x v="0"/>
    <s v="Q4"/>
    <x v="0"/>
    <d v="2016-11-08T00:00:00"/>
    <s v="Standard Class"/>
    <x v="325"/>
    <x v="325"/>
    <s v="Consumer"/>
    <s v="United States"/>
    <s v="Houston"/>
    <x v="5"/>
    <n v="77041"/>
    <x v="2"/>
    <x v="1462"/>
    <x v="0"/>
    <x v="5"/>
    <x v="1448"/>
    <n v="11.375999999999999"/>
    <s v="Low"/>
    <n v="3"/>
    <n v="0.6"/>
    <x v="1"/>
    <x v="6"/>
    <n v="-5.6879999999999997"/>
    <n v="-0.5"/>
    <n v="1"/>
  </r>
  <r>
    <n v="9323"/>
    <s v="US-2016-111563"/>
    <d v="2016-11-04T00:00:00"/>
    <x v="0"/>
    <s v="Q4"/>
    <x v="0"/>
    <d v="2016-11-08T00:00:00"/>
    <s v="Standard Class"/>
    <x v="325"/>
    <x v="325"/>
    <s v="Consumer"/>
    <s v="United States"/>
    <s v="Houston"/>
    <x v="5"/>
    <n v="77041"/>
    <x v="2"/>
    <x v="479"/>
    <x v="0"/>
    <x v="5"/>
    <x v="480"/>
    <n v="66.111999999999995"/>
    <s v="Medium"/>
    <n v="4"/>
    <n v="0.6"/>
    <x v="1"/>
    <x v="6"/>
    <n v="-84.2928"/>
    <n v="-1.2750000000000001"/>
    <n v="1"/>
  </r>
  <r>
    <n v="9324"/>
    <s v="CA-2017-121853"/>
    <d v="2017-09-23T00:00:00"/>
    <x v="3"/>
    <s v="Q3"/>
    <x v="15"/>
    <d v="2017-09-29T00:00:00"/>
    <s v="Standard Class"/>
    <x v="551"/>
    <x v="551"/>
    <s v="Consumer"/>
    <s v="United States"/>
    <s v="Los Angeles"/>
    <x v="1"/>
    <n v="90036"/>
    <x v="1"/>
    <x v="954"/>
    <x v="1"/>
    <x v="10"/>
    <x v="947"/>
    <n v="211.04"/>
    <s v="High"/>
    <n v="8"/>
    <n v="0"/>
    <x v="0"/>
    <x v="0"/>
    <n v="97.078400000000002"/>
    <n v="0.46"/>
    <n v="0"/>
  </r>
  <r>
    <n v="9325"/>
    <s v="CA-2017-121853"/>
    <d v="2017-09-23T00:00:00"/>
    <x v="3"/>
    <s v="Q3"/>
    <x v="15"/>
    <d v="2017-09-29T00:00:00"/>
    <s v="Standard Class"/>
    <x v="551"/>
    <x v="551"/>
    <s v="Consumer"/>
    <s v="United States"/>
    <s v="Los Angeles"/>
    <x v="1"/>
    <n v="90036"/>
    <x v="1"/>
    <x v="873"/>
    <x v="0"/>
    <x v="1"/>
    <x v="867"/>
    <n v="594.81600000000003"/>
    <s v="High"/>
    <n v="2"/>
    <n v="0.2"/>
    <x v="2"/>
    <x v="2"/>
    <n v="59.4816"/>
    <n v="9.9999999999999992E-2"/>
    <n v="0"/>
  </r>
  <r>
    <n v="9326"/>
    <s v="CA-2017-121853"/>
    <d v="2017-09-23T00:00:00"/>
    <x v="3"/>
    <s v="Q3"/>
    <x v="15"/>
    <d v="2017-09-29T00:00:00"/>
    <s v="Standard Class"/>
    <x v="551"/>
    <x v="551"/>
    <s v="Consumer"/>
    <s v="United States"/>
    <s v="Los Angeles"/>
    <x v="1"/>
    <n v="90036"/>
    <x v="1"/>
    <x v="999"/>
    <x v="1"/>
    <x v="8"/>
    <x v="991"/>
    <n v="72.959999999999994"/>
    <s v="Medium"/>
    <n v="3"/>
    <n v="0.2"/>
    <x v="2"/>
    <x v="2"/>
    <n v="23.712"/>
    <n v="0.32500000000000001"/>
    <n v="0"/>
  </r>
  <r>
    <n v="9327"/>
    <s v="US-2017-130687"/>
    <d v="2017-09-07T00:00:00"/>
    <x v="3"/>
    <s v="Q3"/>
    <x v="15"/>
    <d v="2017-09-10T00:00:00"/>
    <s v="First Class"/>
    <x v="418"/>
    <x v="418"/>
    <s v="Consumer"/>
    <s v="United States"/>
    <s v="Edmonds"/>
    <x v="4"/>
    <n v="98026"/>
    <x v="1"/>
    <x v="1653"/>
    <x v="0"/>
    <x v="5"/>
    <x v="1642"/>
    <n v="80.959999999999994"/>
    <s v="Medium"/>
    <n v="4"/>
    <n v="0"/>
    <x v="0"/>
    <x v="0"/>
    <n v="34.812800000000003"/>
    <n v="0.43000000000000005"/>
    <n v="0"/>
  </r>
  <r>
    <n v="9328"/>
    <s v="US-2017-130687"/>
    <d v="2017-09-07T00:00:00"/>
    <x v="3"/>
    <s v="Q3"/>
    <x v="15"/>
    <d v="2017-09-10T00:00:00"/>
    <s v="First Class"/>
    <x v="418"/>
    <x v="418"/>
    <s v="Consumer"/>
    <s v="United States"/>
    <s v="Edmonds"/>
    <x v="4"/>
    <n v="98026"/>
    <x v="1"/>
    <x v="11"/>
    <x v="2"/>
    <x v="7"/>
    <x v="11"/>
    <n v="455.71199999999999"/>
    <s v="High"/>
    <n v="2"/>
    <n v="0.2"/>
    <x v="2"/>
    <x v="2"/>
    <n v="34.178400000000003"/>
    <n v="7.5000000000000011E-2"/>
    <n v="0"/>
  </r>
  <r>
    <n v="9329"/>
    <s v="US-2017-130687"/>
    <d v="2017-09-07T00:00:00"/>
    <x v="3"/>
    <s v="Q3"/>
    <x v="15"/>
    <d v="2017-09-10T00:00:00"/>
    <s v="First Class"/>
    <x v="418"/>
    <x v="418"/>
    <s v="Consumer"/>
    <s v="United States"/>
    <s v="Edmonds"/>
    <x v="4"/>
    <n v="98026"/>
    <x v="1"/>
    <x v="1502"/>
    <x v="1"/>
    <x v="6"/>
    <x v="1490"/>
    <n v="25.98"/>
    <s v="Medium"/>
    <n v="1"/>
    <n v="0"/>
    <x v="0"/>
    <x v="0"/>
    <n v="7.2744"/>
    <n v="0.27999999999999997"/>
    <n v="0"/>
  </r>
  <r>
    <n v="9330"/>
    <s v="CA-2015-164497"/>
    <d v="2015-11-28T00:00:00"/>
    <x v="1"/>
    <s v="Q4"/>
    <x v="6"/>
    <d v="2015-11-30T00:00:00"/>
    <s v="First Class"/>
    <x v="219"/>
    <x v="219"/>
    <s v="Consumer"/>
    <s v="United States"/>
    <s v="San Francisco"/>
    <x v="1"/>
    <n v="94110"/>
    <x v="1"/>
    <x v="1626"/>
    <x v="1"/>
    <x v="9"/>
    <x v="1616"/>
    <n v="45.28"/>
    <s v="Medium"/>
    <n v="4"/>
    <n v="0"/>
    <x v="0"/>
    <x v="0"/>
    <n v="15.395200000000001"/>
    <n v="0.34"/>
    <n v="0"/>
  </r>
  <r>
    <n v="9331"/>
    <s v="US-2015-153283"/>
    <d v="2015-11-12T00:00:00"/>
    <x v="1"/>
    <s v="Q4"/>
    <x v="6"/>
    <d v="2015-11-18T00:00:00"/>
    <s v="Standard Class"/>
    <x v="686"/>
    <x v="686"/>
    <s v="Consumer"/>
    <s v="United States"/>
    <s v="New York City"/>
    <x v="15"/>
    <n v="10035"/>
    <x v="3"/>
    <x v="837"/>
    <x v="1"/>
    <x v="12"/>
    <x v="153"/>
    <n v="15.56"/>
    <s v="Low"/>
    <n v="2"/>
    <n v="0"/>
    <x v="0"/>
    <x v="0"/>
    <n v="7.3132000000000001"/>
    <n v="0.47"/>
    <n v="0"/>
  </r>
  <r>
    <n v="9332"/>
    <s v="CA-2016-108056"/>
    <d v="2016-09-29T00:00:00"/>
    <x v="0"/>
    <s v="Q3"/>
    <x v="21"/>
    <d v="2016-10-03T00:00:00"/>
    <s v="Standard Class"/>
    <x v="20"/>
    <x v="20"/>
    <s v="Corporate"/>
    <s v="United States"/>
    <s v="Springfield"/>
    <x v="21"/>
    <n v="97477"/>
    <x v="1"/>
    <x v="1118"/>
    <x v="2"/>
    <x v="7"/>
    <x v="1106"/>
    <n v="859.2"/>
    <s v="High"/>
    <n v="3"/>
    <n v="0.2"/>
    <x v="2"/>
    <x v="2"/>
    <n v="75.180000000000007"/>
    <n v="8.7500000000000008E-2"/>
    <n v="0"/>
  </r>
  <r>
    <n v="9333"/>
    <s v="CA-2017-127726"/>
    <d v="2017-09-11T00:00:00"/>
    <x v="3"/>
    <s v="Q3"/>
    <x v="15"/>
    <d v="2017-09-13T00:00:00"/>
    <s v="Second Class"/>
    <x v="757"/>
    <x v="757"/>
    <s v="Consumer"/>
    <s v="United States"/>
    <s v="Georgetown"/>
    <x v="0"/>
    <n v="40324"/>
    <x v="0"/>
    <x v="414"/>
    <x v="1"/>
    <x v="9"/>
    <x v="414"/>
    <n v="195.68"/>
    <s v="High"/>
    <n v="4"/>
    <n v="0"/>
    <x v="0"/>
    <x v="0"/>
    <n v="50.876800000000003"/>
    <n v="0.26"/>
    <n v="0"/>
  </r>
  <r>
    <n v="9334"/>
    <s v="CA-2017-127726"/>
    <d v="2017-09-11T00:00:00"/>
    <x v="3"/>
    <s v="Q3"/>
    <x v="15"/>
    <d v="2017-09-13T00:00:00"/>
    <s v="Second Class"/>
    <x v="757"/>
    <x v="757"/>
    <s v="Consumer"/>
    <s v="United States"/>
    <s v="Georgetown"/>
    <x v="0"/>
    <n v="40324"/>
    <x v="0"/>
    <x v="1053"/>
    <x v="1"/>
    <x v="13"/>
    <x v="1042"/>
    <n v="14.2"/>
    <s v="Low"/>
    <n v="4"/>
    <n v="0"/>
    <x v="0"/>
    <x v="0"/>
    <n v="6.6740000000000004"/>
    <n v="0.47000000000000003"/>
    <n v="0"/>
  </r>
  <r>
    <n v="9335"/>
    <s v="CA-2017-110198"/>
    <d v="2017-05-01T00:00:00"/>
    <x v="3"/>
    <s v="Q2"/>
    <x v="24"/>
    <d v="2017-05-02T00:00:00"/>
    <s v="First Class"/>
    <x v="151"/>
    <x v="151"/>
    <s v="Consumer"/>
    <s v="United States"/>
    <s v="Coral Springs"/>
    <x v="2"/>
    <n v="33065"/>
    <x v="0"/>
    <x v="0"/>
    <x v="0"/>
    <x v="0"/>
    <x v="0"/>
    <n v="314.35199999999998"/>
    <s v="High"/>
    <n v="3"/>
    <n v="0.2"/>
    <x v="2"/>
    <x v="2"/>
    <n v="-15.717599999999999"/>
    <n v="-0.05"/>
    <n v="1"/>
  </r>
  <r>
    <n v="9336"/>
    <s v="CA-2017-110198"/>
    <d v="2017-05-01T00:00:00"/>
    <x v="3"/>
    <s v="Q2"/>
    <x v="24"/>
    <d v="2017-05-02T00:00:00"/>
    <s v="First Class"/>
    <x v="151"/>
    <x v="151"/>
    <s v="Consumer"/>
    <s v="United States"/>
    <s v="Coral Springs"/>
    <x v="2"/>
    <n v="33065"/>
    <x v="0"/>
    <x v="1568"/>
    <x v="1"/>
    <x v="2"/>
    <x v="1559"/>
    <n v="4.6079999999999997"/>
    <s v="Low"/>
    <n v="2"/>
    <n v="0.2"/>
    <x v="2"/>
    <x v="2"/>
    <n v="1.4976"/>
    <n v="0.32500000000000001"/>
    <n v="0"/>
  </r>
  <r>
    <n v="9337"/>
    <s v="CA-2017-130715"/>
    <d v="2017-09-16T00:00:00"/>
    <x v="3"/>
    <s v="Q3"/>
    <x v="15"/>
    <d v="2017-09-20T00:00:00"/>
    <s v="Standard Class"/>
    <x v="388"/>
    <x v="388"/>
    <s v="Corporate"/>
    <s v="United States"/>
    <s v="San Francisco"/>
    <x v="1"/>
    <n v="94110"/>
    <x v="1"/>
    <x v="110"/>
    <x v="1"/>
    <x v="13"/>
    <x v="110"/>
    <n v="17.899999999999999"/>
    <s v="Low"/>
    <n v="5"/>
    <n v="0"/>
    <x v="0"/>
    <x v="0"/>
    <n v="8.7710000000000008"/>
    <n v="0.4900000000000001"/>
    <n v="0"/>
  </r>
  <r>
    <n v="9338"/>
    <s v="CA-2014-155264"/>
    <d v="2014-10-19T00:00:00"/>
    <x v="2"/>
    <s v="Q4"/>
    <x v="18"/>
    <d v="2014-10-22T00:00:00"/>
    <s v="Second Class"/>
    <x v="345"/>
    <x v="345"/>
    <s v="Corporate"/>
    <s v="United States"/>
    <s v="San Francisco"/>
    <x v="1"/>
    <n v="94110"/>
    <x v="1"/>
    <x v="1390"/>
    <x v="1"/>
    <x v="8"/>
    <x v="1376"/>
    <n v="2.992"/>
    <s v="Low"/>
    <n v="1"/>
    <n v="0.2"/>
    <x v="2"/>
    <x v="2"/>
    <n v="1.1220000000000001"/>
    <n v="0.37500000000000006"/>
    <n v="0"/>
  </r>
  <r>
    <n v="9339"/>
    <s v="CA-2014-155264"/>
    <d v="2014-10-19T00:00:00"/>
    <x v="2"/>
    <s v="Q4"/>
    <x v="18"/>
    <d v="2014-10-22T00:00:00"/>
    <s v="Second Class"/>
    <x v="345"/>
    <x v="345"/>
    <s v="Corporate"/>
    <s v="United States"/>
    <s v="San Francisco"/>
    <x v="1"/>
    <n v="94110"/>
    <x v="1"/>
    <x v="807"/>
    <x v="1"/>
    <x v="8"/>
    <x v="805"/>
    <n v="20.064"/>
    <s v="Low"/>
    <n v="6"/>
    <n v="0.2"/>
    <x v="2"/>
    <x v="2"/>
    <n v="7.0224000000000002"/>
    <n v="0.35000000000000003"/>
    <n v="0"/>
  </r>
  <r>
    <n v="9340"/>
    <s v="CA-2014-155264"/>
    <d v="2014-10-19T00:00:00"/>
    <x v="2"/>
    <s v="Q4"/>
    <x v="18"/>
    <d v="2014-10-22T00:00:00"/>
    <s v="Second Class"/>
    <x v="345"/>
    <x v="345"/>
    <s v="Corporate"/>
    <s v="United States"/>
    <s v="San Francisco"/>
    <x v="1"/>
    <n v="94110"/>
    <x v="1"/>
    <x v="1689"/>
    <x v="1"/>
    <x v="10"/>
    <x v="1677"/>
    <n v="146.72999999999999"/>
    <s v="High"/>
    <n v="3"/>
    <n v="0"/>
    <x v="0"/>
    <x v="0"/>
    <n v="68.963099999999997"/>
    <n v="0.47000000000000003"/>
    <n v="0"/>
  </r>
  <r>
    <n v="9341"/>
    <s v="CA-2014-155264"/>
    <d v="2014-10-19T00:00:00"/>
    <x v="2"/>
    <s v="Q4"/>
    <x v="18"/>
    <d v="2014-10-22T00:00:00"/>
    <s v="Second Class"/>
    <x v="345"/>
    <x v="345"/>
    <s v="Corporate"/>
    <s v="United States"/>
    <s v="San Francisco"/>
    <x v="1"/>
    <n v="94110"/>
    <x v="1"/>
    <x v="547"/>
    <x v="1"/>
    <x v="2"/>
    <x v="547"/>
    <n v="18.75"/>
    <s v="Low"/>
    <n v="5"/>
    <n v="0"/>
    <x v="0"/>
    <x v="0"/>
    <n v="9"/>
    <n v="0.48"/>
    <n v="0"/>
  </r>
  <r>
    <n v="9342"/>
    <s v="CA-2014-155264"/>
    <d v="2014-10-19T00:00:00"/>
    <x v="2"/>
    <s v="Q4"/>
    <x v="18"/>
    <d v="2014-10-22T00:00:00"/>
    <s v="Second Class"/>
    <x v="345"/>
    <x v="345"/>
    <s v="Corporate"/>
    <s v="United States"/>
    <s v="San Francisco"/>
    <x v="1"/>
    <n v="94110"/>
    <x v="1"/>
    <x v="1692"/>
    <x v="2"/>
    <x v="7"/>
    <x v="1680"/>
    <n v="117.57599999999999"/>
    <s v="Medium"/>
    <n v="3"/>
    <n v="0.2"/>
    <x v="2"/>
    <x v="2"/>
    <n v="11.7576"/>
    <n v="0.1"/>
    <n v="0"/>
  </r>
  <r>
    <n v="9343"/>
    <s v="CA-2016-119123"/>
    <d v="2016-03-13T00:00:00"/>
    <x v="0"/>
    <s v="Q1"/>
    <x v="17"/>
    <d v="2016-03-18T00:00:00"/>
    <s v="Standard Class"/>
    <x v="748"/>
    <x v="748"/>
    <s v="Home Office"/>
    <s v="United States"/>
    <s v="Riverside"/>
    <x v="1"/>
    <n v="92503"/>
    <x v="1"/>
    <x v="624"/>
    <x v="1"/>
    <x v="8"/>
    <x v="624"/>
    <n v="51.183999999999997"/>
    <s v="Medium"/>
    <n v="7"/>
    <n v="0.2"/>
    <x v="2"/>
    <x v="2"/>
    <n v="19.193999999999999"/>
    <n v="0.375"/>
    <n v="0"/>
  </r>
  <r>
    <n v="9344"/>
    <s v="CA-2017-109085"/>
    <d v="2017-02-17T00:00:00"/>
    <x v="3"/>
    <s v="Q1"/>
    <x v="31"/>
    <d v="2017-02-20T00:00:00"/>
    <s v="First Class"/>
    <x v="278"/>
    <x v="278"/>
    <s v="Home Office"/>
    <s v="United States"/>
    <s v="Troy"/>
    <x v="24"/>
    <n v="45373"/>
    <x v="3"/>
    <x v="1746"/>
    <x v="0"/>
    <x v="3"/>
    <x v="1736"/>
    <n v="455.97"/>
    <s v="High"/>
    <n v="5"/>
    <n v="0.4"/>
    <x v="1"/>
    <x v="7"/>
    <n v="-106.393"/>
    <n v="-0.23333333333333331"/>
    <n v="1"/>
  </r>
  <r>
    <n v="9345"/>
    <s v="CA-2017-109085"/>
    <d v="2017-02-17T00:00:00"/>
    <x v="3"/>
    <s v="Q1"/>
    <x v="31"/>
    <d v="2017-02-20T00:00:00"/>
    <s v="First Class"/>
    <x v="278"/>
    <x v="278"/>
    <s v="Home Office"/>
    <s v="United States"/>
    <s v="Troy"/>
    <x v="24"/>
    <n v="45373"/>
    <x v="3"/>
    <x v="31"/>
    <x v="1"/>
    <x v="8"/>
    <x v="31"/>
    <n v="5.7149999999999999"/>
    <s v="Low"/>
    <n v="5"/>
    <n v="0.7"/>
    <x v="1"/>
    <x v="5"/>
    <n v="-4.7625000000000002"/>
    <n v="-0.83333333333333337"/>
    <n v="1"/>
  </r>
  <r>
    <n v="9346"/>
    <s v="CA-2017-109085"/>
    <d v="2017-02-17T00:00:00"/>
    <x v="3"/>
    <s v="Q1"/>
    <x v="31"/>
    <d v="2017-02-20T00:00:00"/>
    <s v="First Class"/>
    <x v="278"/>
    <x v="278"/>
    <s v="Home Office"/>
    <s v="United States"/>
    <s v="Troy"/>
    <x v="24"/>
    <n v="45373"/>
    <x v="3"/>
    <x v="1485"/>
    <x v="2"/>
    <x v="7"/>
    <x v="1472"/>
    <n v="57.594000000000001"/>
    <s v="Medium"/>
    <n v="1"/>
    <n v="0.4"/>
    <x v="1"/>
    <x v="7"/>
    <n v="-11.518800000000001"/>
    <n v="-0.2"/>
    <n v="1"/>
  </r>
  <r>
    <n v="9347"/>
    <s v="CA-2017-109085"/>
    <d v="2017-02-17T00:00:00"/>
    <x v="3"/>
    <s v="Q1"/>
    <x v="31"/>
    <d v="2017-02-20T00:00:00"/>
    <s v="First Class"/>
    <x v="278"/>
    <x v="278"/>
    <s v="Home Office"/>
    <s v="United States"/>
    <s v="Troy"/>
    <x v="24"/>
    <n v="45373"/>
    <x v="3"/>
    <x v="1155"/>
    <x v="0"/>
    <x v="5"/>
    <x v="1143"/>
    <n v="30.143999999999998"/>
    <s v="Medium"/>
    <n v="2"/>
    <n v="0.2"/>
    <x v="2"/>
    <x v="2"/>
    <n v="8.2896000000000001"/>
    <n v="0.27500000000000002"/>
    <n v="0"/>
  </r>
  <r>
    <n v="9348"/>
    <s v="CA-2017-109085"/>
    <d v="2017-02-17T00:00:00"/>
    <x v="3"/>
    <s v="Q1"/>
    <x v="31"/>
    <d v="2017-02-20T00:00:00"/>
    <s v="First Class"/>
    <x v="278"/>
    <x v="278"/>
    <s v="Home Office"/>
    <s v="United States"/>
    <s v="Troy"/>
    <x v="24"/>
    <n v="45373"/>
    <x v="3"/>
    <x v="1189"/>
    <x v="0"/>
    <x v="1"/>
    <x v="1175"/>
    <n v="899.43"/>
    <s v="High"/>
    <n v="5"/>
    <n v="0.3"/>
    <x v="1"/>
    <x v="4"/>
    <n v="-12.849"/>
    <n v="-1.4285714285714287E-2"/>
    <n v="1"/>
  </r>
  <r>
    <n v="9349"/>
    <s v="CA-2016-114860"/>
    <d v="2016-12-22T00:00:00"/>
    <x v="0"/>
    <s v="Q4"/>
    <x v="5"/>
    <d v="2016-12-28T00:00:00"/>
    <s v="Standard Class"/>
    <x v="35"/>
    <x v="35"/>
    <s v="Consumer"/>
    <s v="United States"/>
    <s v="Moreno Valley"/>
    <x v="1"/>
    <n v="92553"/>
    <x v="1"/>
    <x v="1805"/>
    <x v="0"/>
    <x v="5"/>
    <x v="1795"/>
    <n v="842.72"/>
    <s v="High"/>
    <n v="8"/>
    <n v="0"/>
    <x v="0"/>
    <x v="0"/>
    <n v="202.25280000000001"/>
    <n v="0.24"/>
    <n v="0"/>
  </r>
  <r>
    <n v="9350"/>
    <s v="CA-2016-114860"/>
    <d v="2016-12-22T00:00:00"/>
    <x v="0"/>
    <s v="Q4"/>
    <x v="5"/>
    <d v="2016-12-28T00:00:00"/>
    <s v="Standard Class"/>
    <x v="35"/>
    <x v="35"/>
    <s v="Consumer"/>
    <s v="United States"/>
    <s v="Moreno Valley"/>
    <x v="1"/>
    <n v="92553"/>
    <x v="1"/>
    <x v="107"/>
    <x v="0"/>
    <x v="5"/>
    <x v="107"/>
    <n v="41.96"/>
    <s v="Medium"/>
    <n v="2"/>
    <n v="0"/>
    <x v="0"/>
    <x v="0"/>
    <n v="10.909599999999999"/>
    <n v="0.25999999999999995"/>
    <n v="0"/>
  </r>
  <r>
    <n v="9351"/>
    <s v="CA-2016-159009"/>
    <d v="2016-09-23T00:00:00"/>
    <x v="0"/>
    <s v="Q3"/>
    <x v="21"/>
    <d v="2016-09-27T00:00:00"/>
    <s v="Standard Class"/>
    <x v="317"/>
    <x v="317"/>
    <s v="Corporate"/>
    <s v="United States"/>
    <s v="Seattle"/>
    <x v="4"/>
    <n v="98115"/>
    <x v="1"/>
    <x v="925"/>
    <x v="1"/>
    <x v="8"/>
    <x v="917"/>
    <n v="13.215999999999999"/>
    <s v="Low"/>
    <n v="4"/>
    <n v="0.2"/>
    <x v="2"/>
    <x v="2"/>
    <n v="4.4603999999999999"/>
    <n v="0.33750000000000002"/>
    <n v="0"/>
  </r>
  <r>
    <n v="9352"/>
    <s v="CA-2016-159009"/>
    <d v="2016-09-23T00:00:00"/>
    <x v="0"/>
    <s v="Q3"/>
    <x v="21"/>
    <d v="2016-09-27T00:00:00"/>
    <s v="Standard Class"/>
    <x v="317"/>
    <x v="317"/>
    <s v="Corporate"/>
    <s v="United States"/>
    <s v="Seattle"/>
    <x v="4"/>
    <n v="98115"/>
    <x v="1"/>
    <x v="389"/>
    <x v="0"/>
    <x v="1"/>
    <x v="390"/>
    <n v="184.75200000000001"/>
    <s v="High"/>
    <n v="3"/>
    <n v="0.2"/>
    <x v="2"/>
    <x v="2"/>
    <n v="-20.784600000000001"/>
    <n v="-0.1125"/>
    <n v="1"/>
  </r>
  <r>
    <n v="9353"/>
    <s v="CA-2017-148411"/>
    <d v="2017-09-24T00:00:00"/>
    <x v="3"/>
    <s v="Q3"/>
    <x v="15"/>
    <d v="2017-09-26T00:00:00"/>
    <s v="First Class"/>
    <x v="197"/>
    <x v="197"/>
    <s v="Consumer"/>
    <s v="United States"/>
    <s v="Chicago"/>
    <x v="10"/>
    <n v="60623"/>
    <x v="2"/>
    <x v="873"/>
    <x v="0"/>
    <x v="1"/>
    <x v="867"/>
    <n v="520.46400000000006"/>
    <s v="High"/>
    <n v="2"/>
    <n v="0.3"/>
    <x v="1"/>
    <x v="4"/>
    <n v="-14.8704"/>
    <n v="-2.8571428571428567E-2"/>
    <n v="1"/>
  </r>
  <r>
    <n v="9354"/>
    <s v="CA-2017-148411"/>
    <d v="2017-09-24T00:00:00"/>
    <x v="3"/>
    <s v="Q3"/>
    <x v="15"/>
    <d v="2017-09-26T00:00:00"/>
    <s v="First Class"/>
    <x v="197"/>
    <x v="197"/>
    <s v="Consumer"/>
    <s v="United States"/>
    <s v="Chicago"/>
    <x v="10"/>
    <n v="60623"/>
    <x v="2"/>
    <x v="1790"/>
    <x v="1"/>
    <x v="10"/>
    <x v="1780"/>
    <n v="11.423999999999999"/>
    <s v="Low"/>
    <n v="3"/>
    <n v="0.2"/>
    <x v="2"/>
    <x v="2"/>
    <n v="3.7128000000000001"/>
    <n v="0.32500000000000001"/>
    <n v="0"/>
  </r>
  <r>
    <n v="9355"/>
    <s v="CA-2015-110324"/>
    <d v="2015-12-01T00:00:00"/>
    <x v="1"/>
    <s v="Q4"/>
    <x v="14"/>
    <d v="2015-12-05T00:00:00"/>
    <s v="Standard Class"/>
    <x v="15"/>
    <x v="15"/>
    <s v="Home Office"/>
    <s v="United States"/>
    <s v="Jackson"/>
    <x v="12"/>
    <n v="49201"/>
    <x v="2"/>
    <x v="1769"/>
    <x v="1"/>
    <x v="10"/>
    <x v="1759"/>
    <n v="19.440000000000001"/>
    <s v="Low"/>
    <n v="3"/>
    <n v="0"/>
    <x v="0"/>
    <x v="0"/>
    <n v="9.3312000000000008"/>
    <n v="0.48000000000000004"/>
    <n v="0"/>
  </r>
  <r>
    <n v="9356"/>
    <s v="CA-2015-110324"/>
    <d v="2015-12-01T00:00:00"/>
    <x v="1"/>
    <s v="Q4"/>
    <x v="14"/>
    <d v="2015-12-05T00:00:00"/>
    <s v="Standard Class"/>
    <x v="15"/>
    <x v="15"/>
    <s v="Home Office"/>
    <s v="United States"/>
    <s v="Jackson"/>
    <x v="12"/>
    <n v="49201"/>
    <x v="2"/>
    <x v="1063"/>
    <x v="1"/>
    <x v="6"/>
    <x v="1052"/>
    <n v="3.64"/>
    <s v="Low"/>
    <n v="2"/>
    <n v="0"/>
    <x v="0"/>
    <x v="0"/>
    <n v="1.0192000000000001"/>
    <n v="0.28000000000000003"/>
    <n v="0"/>
  </r>
  <r>
    <n v="9357"/>
    <s v="CA-2015-110324"/>
    <d v="2015-12-01T00:00:00"/>
    <x v="1"/>
    <s v="Q4"/>
    <x v="14"/>
    <d v="2015-12-05T00:00:00"/>
    <s v="Standard Class"/>
    <x v="15"/>
    <x v="15"/>
    <s v="Home Office"/>
    <s v="United States"/>
    <s v="Jackson"/>
    <x v="12"/>
    <n v="49201"/>
    <x v="2"/>
    <x v="1286"/>
    <x v="1"/>
    <x v="10"/>
    <x v="1272"/>
    <n v="18.54"/>
    <s v="Low"/>
    <n v="2"/>
    <n v="0"/>
    <x v="0"/>
    <x v="0"/>
    <n v="8.7138000000000009"/>
    <n v="0.47000000000000008"/>
    <n v="0"/>
  </r>
  <r>
    <n v="9358"/>
    <s v="CA-2016-168046"/>
    <d v="2016-01-25T00:00:00"/>
    <x v="0"/>
    <s v="Q1"/>
    <x v="12"/>
    <d v="2016-01-28T00:00:00"/>
    <s v="Second Class"/>
    <x v="63"/>
    <x v="63"/>
    <s v="Corporate"/>
    <s v="United States"/>
    <s v="New York City"/>
    <x v="15"/>
    <n v="10024"/>
    <x v="3"/>
    <x v="828"/>
    <x v="1"/>
    <x v="8"/>
    <x v="824"/>
    <n v="43.12"/>
    <s v="Medium"/>
    <n v="5"/>
    <n v="0.2"/>
    <x v="2"/>
    <x v="2"/>
    <n v="15.092000000000001"/>
    <n v="0.35000000000000003"/>
    <n v="0"/>
  </r>
  <r>
    <n v="9359"/>
    <s v="CA-2016-168046"/>
    <d v="2016-01-25T00:00:00"/>
    <x v="0"/>
    <s v="Q1"/>
    <x v="12"/>
    <d v="2016-01-28T00:00:00"/>
    <s v="Second Class"/>
    <x v="63"/>
    <x v="63"/>
    <s v="Corporate"/>
    <s v="United States"/>
    <s v="New York City"/>
    <x v="15"/>
    <n v="10024"/>
    <x v="3"/>
    <x v="616"/>
    <x v="0"/>
    <x v="3"/>
    <x v="616"/>
    <n v="313.72199999999998"/>
    <s v="High"/>
    <n v="3"/>
    <n v="0.4"/>
    <x v="1"/>
    <x v="7"/>
    <n v="-99.345299999999995"/>
    <n v="-0.31666666666666665"/>
    <n v="1"/>
  </r>
  <r>
    <n v="9360"/>
    <s v="CA-2016-168046"/>
    <d v="2016-01-25T00:00:00"/>
    <x v="0"/>
    <s v="Q1"/>
    <x v="12"/>
    <d v="2016-01-28T00:00:00"/>
    <s v="Second Class"/>
    <x v="63"/>
    <x v="63"/>
    <s v="Corporate"/>
    <s v="United States"/>
    <s v="New York City"/>
    <x v="15"/>
    <n v="10024"/>
    <x v="3"/>
    <x v="1762"/>
    <x v="0"/>
    <x v="5"/>
    <x v="1751"/>
    <n v="45.98"/>
    <s v="Medium"/>
    <n v="1"/>
    <n v="0"/>
    <x v="0"/>
    <x v="0"/>
    <n v="7.8166000000000002"/>
    <n v="0.17"/>
    <n v="0"/>
  </r>
  <r>
    <n v="9361"/>
    <s v="CA-2016-168046"/>
    <d v="2016-01-25T00:00:00"/>
    <x v="0"/>
    <s v="Q1"/>
    <x v="12"/>
    <d v="2016-01-28T00:00:00"/>
    <s v="Second Class"/>
    <x v="63"/>
    <x v="63"/>
    <s v="Corporate"/>
    <s v="United States"/>
    <s v="New York City"/>
    <x v="15"/>
    <n v="10024"/>
    <x v="3"/>
    <x v="854"/>
    <x v="1"/>
    <x v="4"/>
    <x v="847"/>
    <n v="428.68"/>
    <s v="High"/>
    <n v="7"/>
    <n v="0"/>
    <x v="0"/>
    <x v="0"/>
    <n v="0"/>
    <n v="0"/>
    <n v="0"/>
  </r>
  <r>
    <n v="9362"/>
    <s v="CA-2017-111591"/>
    <d v="2017-03-21T00:00:00"/>
    <x v="3"/>
    <s v="Q1"/>
    <x v="42"/>
    <d v="2017-03-25T00:00:00"/>
    <s v="Standard Class"/>
    <x v="28"/>
    <x v="28"/>
    <s v="Home Office"/>
    <s v="United States"/>
    <s v="Seattle"/>
    <x v="4"/>
    <n v="98105"/>
    <x v="1"/>
    <x v="48"/>
    <x v="1"/>
    <x v="8"/>
    <x v="48"/>
    <n v="30.576000000000001"/>
    <s v="Medium"/>
    <n v="6"/>
    <n v="0.2"/>
    <x v="2"/>
    <x v="2"/>
    <n v="10.3194"/>
    <n v="0.33749999999999997"/>
    <n v="0"/>
  </r>
  <r>
    <n v="9363"/>
    <s v="CA-2017-111591"/>
    <d v="2017-03-21T00:00:00"/>
    <x v="3"/>
    <s v="Q1"/>
    <x v="42"/>
    <d v="2017-03-25T00:00:00"/>
    <s v="Standard Class"/>
    <x v="28"/>
    <x v="28"/>
    <s v="Home Office"/>
    <s v="United States"/>
    <s v="Seattle"/>
    <x v="4"/>
    <n v="98105"/>
    <x v="1"/>
    <x v="802"/>
    <x v="1"/>
    <x v="13"/>
    <x v="800"/>
    <n v="13.02"/>
    <s v="Low"/>
    <n v="7"/>
    <n v="0"/>
    <x v="0"/>
    <x v="0"/>
    <n v="0.3906"/>
    <n v="3.0000000000000002E-2"/>
    <n v="0"/>
  </r>
  <r>
    <n v="9364"/>
    <s v="CA-2017-111591"/>
    <d v="2017-03-21T00:00:00"/>
    <x v="3"/>
    <s v="Q1"/>
    <x v="42"/>
    <d v="2017-03-25T00:00:00"/>
    <s v="Standard Class"/>
    <x v="28"/>
    <x v="28"/>
    <s v="Home Office"/>
    <s v="United States"/>
    <s v="Seattle"/>
    <x v="4"/>
    <n v="98105"/>
    <x v="1"/>
    <x v="1256"/>
    <x v="0"/>
    <x v="5"/>
    <x v="1240"/>
    <n v="22.14"/>
    <s v="Low"/>
    <n v="3"/>
    <n v="0"/>
    <x v="0"/>
    <x v="0"/>
    <n v="6.4206000000000003"/>
    <n v="0.28999999999999998"/>
    <n v="0"/>
  </r>
  <r>
    <n v="9365"/>
    <s v="CA-2017-111591"/>
    <d v="2017-03-21T00:00:00"/>
    <x v="3"/>
    <s v="Q1"/>
    <x v="42"/>
    <d v="2017-03-25T00:00:00"/>
    <s v="Standard Class"/>
    <x v="28"/>
    <x v="28"/>
    <s v="Home Office"/>
    <s v="United States"/>
    <s v="Seattle"/>
    <x v="4"/>
    <n v="98105"/>
    <x v="1"/>
    <x v="435"/>
    <x v="1"/>
    <x v="4"/>
    <x v="435"/>
    <n v="359.32"/>
    <s v="High"/>
    <n v="4"/>
    <n v="0"/>
    <x v="0"/>
    <x v="0"/>
    <n v="7.1863999999999999"/>
    <n v="0.02"/>
    <n v="0"/>
  </r>
  <r>
    <n v="9366"/>
    <s v="US-2014-166828"/>
    <d v="2014-08-22T00:00:00"/>
    <x v="2"/>
    <s v="Q3"/>
    <x v="9"/>
    <d v="2014-08-25T00:00:00"/>
    <s v="First Class"/>
    <x v="226"/>
    <x v="226"/>
    <s v="Consumer"/>
    <s v="United States"/>
    <s v="Saint Charles"/>
    <x v="25"/>
    <n v="63301"/>
    <x v="2"/>
    <x v="1828"/>
    <x v="1"/>
    <x v="10"/>
    <x v="1816"/>
    <n v="11.56"/>
    <s v="Low"/>
    <n v="2"/>
    <n v="0"/>
    <x v="0"/>
    <x v="0"/>
    <n v="5.6643999999999997"/>
    <n v="0.48999999999999994"/>
    <n v="0"/>
  </r>
  <r>
    <n v="9367"/>
    <s v="CA-2014-108147"/>
    <d v="2014-06-08T00:00:00"/>
    <x v="2"/>
    <s v="Q2"/>
    <x v="3"/>
    <d v="2014-06-13T00:00:00"/>
    <s v="Standard Class"/>
    <x v="502"/>
    <x v="502"/>
    <s v="Consumer"/>
    <s v="United States"/>
    <s v="Long Beach"/>
    <x v="15"/>
    <n v="11561"/>
    <x v="3"/>
    <x v="1636"/>
    <x v="1"/>
    <x v="8"/>
    <x v="1626"/>
    <n v="68.48"/>
    <s v="Medium"/>
    <n v="2"/>
    <n v="0.2"/>
    <x v="2"/>
    <x v="2"/>
    <n v="25.68"/>
    <n v="0.375"/>
    <n v="0"/>
  </r>
  <r>
    <n v="9368"/>
    <s v="CA-2014-108147"/>
    <d v="2014-06-08T00:00:00"/>
    <x v="2"/>
    <s v="Q2"/>
    <x v="3"/>
    <d v="2014-06-13T00:00:00"/>
    <s v="Standard Class"/>
    <x v="502"/>
    <x v="502"/>
    <s v="Consumer"/>
    <s v="United States"/>
    <s v="Long Beach"/>
    <x v="15"/>
    <n v="11561"/>
    <x v="3"/>
    <x v="1362"/>
    <x v="1"/>
    <x v="4"/>
    <x v="1348"/>
    <n v="1676.88"/>
    <s v="High"/>
    <n v="6"/>
    <n v="0"/>
    <x v="0"/>
    <x v="0"/>
    <n v="83.843999999999994"/>
    <n v="4.9999999999999996E-2"/>
    <n v="0"/>
  </r>
  <r>
    <n v="9369"/>
    <s v="CA-2016-154998"/>
    <d v="2016-04-07T00:00:00"/>
    <x v="0"/>
    <s v="Q2"/>
    <x v="25"/>
    <d v="2016-04-09T00:00:00"/>
    <s v="First Class"/>
    <x v="20"/>
    <x v="20"/>
    <s v="Corporate"/>
    <s v="United States"/>
    <s v="Lakewood"/>
    <x v="30"/>
    <n v="8701"/>
    <x v="3"/>
    <x v="274"/>
    <x v="1"/>
    <x v="10"/>
    <x v="274"/>
    <n v="37.94"/>
    <s v="Medium"/>
    <n v="2"/>
    <n v="0"/>
    <x v="0"/>
    <x v="0"/>
    <n v="18.211200000000002"/>
    <n v="0.48000000000000009"/>
    <n v="0"/>
  </r>
  <r>
    <n v="9370"/>
    <s v="CA-2017-113460"/>
    <d v="2017-11-07T00:00:00"/>
    <x v="3"/>
    <s v="Q4"/>
    <x v="23"/>
    <d v="2017-11-09T00:00:00"/>
    <s v="Second Class"/>
    <x v="471"/>
    <x v="471"/>
    <s v="Corporate"/>
    <s v="United States"/>
    <s v="Clinton"/>
    <x v="39"/>
    <n v="20735"/>
    <x v="3"/>
    <x v="1455"/>
    <x v="0"/>
    <x v="1"/>
    <x v="1441"/>
    <n v="272.97000000000003"/>
    <s v="High"/>
    <n v="3"/>
    <n v="0"/>
    <x v="0"/>
    <x v="0"/>
    <n v="43.675199999999997"/>
    <n v="0.15999999999999998"/>
    <n v="0"/>
  </r>
  <r>
    <n v="9371"/>
    <s v="CA-2015-111339"/>
    <d v="2015-05-29T00:00:00"/>
    <x v="1"/>
    <s v="Q2"/>
    <x v="33"/>
    <d v="2015-05-31T00:00:00"/>
    <s v="First Class"/>
    <x v="778"/>
    <x v="778"/>
    <s v="Corporate"/>
    <s v="United States"/>
    <s v="Columbus"/>
    <x v="24"/>
    <n v="43229"/>
    <x v="3"/>
    <x v="1823"/>
    <x v="0"/>
    <x v="5"/>
    <x v="1811"/>
    <n v="41.567999999999998"/>
    <s v="Medium"/>
    <n v="4"/>
    <n v="0.2"/>
    <x v="2"/>
    <x v="2"/>
    <n v="-4.1567999999999996"/>
    <n v="-9.9999999999999992E-2"/>
    <n v="1"/>
  </r>
  <r>
    <n v="9372"/>
    <s v="CA-2015-111339"/>
    <d v="2015-05-29T00:00:00"/>
    <x v="1"/>
    <s v="Q2"/>
    <x v="33"/>
    <d v="2015-05-31T00:00:00"/>
    <s v="First Class"/>
    <x v="778"/>
    <x v="778"/>
    <s v="Corporate"/>
    <s v="United States"/>
    <s v="Columbus"/>
    <x v="24"/>
    <n v="43229"/>
    <x v="3"/>
    <x v="83"/>
    <x v="0"/>
    <x v="1"/>
    <x v="83"/>
    <n v="317.05799999999999"/>
    <s v="High"/>
    <n v="3"/>
    <n v="0.3"/>
    <x v="1"/>
    <x v="4"/>
    <n v="-86.058599999999998"/>
    <n v="-0.27142857142857141"/>
    <n v="1"/>
  </r>
  <r>
    <n v="9373"/>
    <s v="CA-2015-111339"/>
    <d v="2015-05-29T00:00:00"/>
    <x v="1"/>
    <s v="Q2"/>
    <x v="33"/>
    <d v="2015-05-31T00:00:00"/>
    <s v="First Class"/>
    <x v="778"/>
    <x v="778"/>
    <s v="Corporate"/>
    <s v="United States"/>
    <s v="Columbus"/>
    <x v="24"/>
    <n v="43229"/>
    <x v="3"/>
    <x v="131"/>
    <x v="1"/>
    <x v="13"/>
    <x v="132"/>
    <n v="8.0399999999999991"/>
    <s v="Low"/>
    <n v="5"/>
    <n v="0.2"/>
    <x v="2"/>
    <x v="2"/>
    <n v="2.9144999999999999"/>
    <n v="0.36250000000000004"/>
    <n v="0"/>
  </r>
  <r>
    <n v="9374"/>
    <s v="CA-2017-102820"/>
    <d v="2017-05-07T00:00:00"/>
    <x v="3"/>
    <s v="Q2"/>
    <x v="24"/>
    <d v="2017-05-11T00:00:00"/>
    <s v="Standard Class"/>
    <x v="229"/>
    <x v="229"/>
    <s v="Consumer"/>
    <s v="United States"/>
    <s v="Pasadena"/>
    <x v="1"/>
    <n v="91104"/>
    <x v="1"/>
    <x v="929"/>
    <x v="2"/>
    <x v="7"/>
    <x v="922"/>
    <n v="419.94400000000002"/>
    <s v="High"/>
    <n v="7"/>
    <n v="0.2"/>
    <x v="2"/>
    <x v="2"/>
    <n v="52.493000000000002"/>
    <n v="0.125"/>
    <n v="0"/>
  </r>
  <r>
    <n v="9375"/>
    <s v="CA-2016-149671"/>
    <d v="2016-06-05T00:00:00"/>
    <x v="0"/>
    <s v="Q2"/>
    <x v="1"/>
    <d v="2016-06-09T00:00:00"/>
    <s v="Standard Class"/>
    <x v="33"/>
    <x v="33"/>
    <s v="Corporate"/>
    <s v="United States"/>
    <s v="Seattle"/>
    <x v="4"/>
    <n v="98105"/>
    <x v="1"/>
    <x v="682"/>
    <x v="1"/>
    <x v="14"/>
    <x v="682"/>
    <n v="61.38"/>
    <s v="Medium"/>
    <n v="6"/>
    <n v="0"/>
    <x v="0"/>
    <x v="0"/>
    <n v="15.9588"/>
    <n v="0.26"/>
    <n v="0"/>
  </r>
  <r>
    <n v="9376"/>
    <s v="CA-2015-126347"/>
    <d v="2015-12-14T00:00:00"/>
    <x v="1"/>
    <s v="Q4"/>
    <x v="14"/>
    <d v="2015-12-19T00:00:00"/>
    <s v="Second Class"/>
    <x v="219"/>
    <x v="219"/>
    <s v="Consumer"/>
    <s v="United States"/>
    <s v="Los Angeles"/>
    <x v="1"/>
    <n v="90045"/>
    <x v="1"/>
    <x v="1072"/>
    <x v="2"/>
    <x v="11"/>
    <x v="1061"/>
    <n v="50"/>
    <s v="Medium"/>
    <n v="2"/>
    <n v="0"/>
    <x v="0"/>
    <x v="0"/>
    <n v="10.5"/>
    <n v="0.21"/>
    <n v="0"/>
  </r>
  <r>
    <n v="9377"/>
    <s v="CA-2017-108756"/>
    <d v="2017-12-25T00:00:00"/>
    <x v="3"/>
    <s v="Q4"/>
    <x v="22"/>
    <d v="2017-12-29T00:00:00"/>
    <s v="Standard Class"/>
    <x v="22"/>
    <x v="22"/>
    <s v="Consumer"/>
    <s v="United States"/>
    <s v="East Orange"/>
    <x v="30"/>
    <n v="7017"/>
    <x v="3"/>
    <x v="1651"/>
    <x v="2"/>
    <x v="11"/>
    <x v="1640"/>
    <n v="31.8"/>
    <s v="Medium"/>
    <n v="3"/>
    <n v="0"/>
    <x v="0"/>
    <x v="0"/>
    <n v="13.673999999999999"/>
    <n v="0.43"/>
    <n v="0"/>
  </r>
  <r>
    <n v="9378"/>
    <s v="CA-2017-155362"/>
    <d v="2017-12-17T00:00:00"/>
    <x v="3"/>
    <s v="Q4"/>
    <x v="22"/>
    <d v="2017-12-21T00:00:00"/>
    <s v="Standard Class"/>
    <x v="317"/>
    <x v="317"/>
    <s v="Corporate"/>
    <s v="United States"/>
    <s v="Eau Claire"/>
    <x v="6"/>
    <n v="54703"/>
    <x v="2"/>
    <x v="1569"/>
    <x v="1"/>
    <x v="4"/>
    <x v="1560"/>
    <n v="32.56"/>
    <s v="Medium"/>
    <n v="2"/>
    <n v="0"/>
    <x v="0"/>
    <x v="0"/>
    <n v="8.4656000000000002"/>
    <n v="0.26"/>
    <n v="0"/>
  </r>
  <r>
    <n v="9379"/>
    <s v="CA-2016-117625"/>
    <d v="2016-05-10T00:00:00"/>
    <x v="0"/>
    <s v="Q2"/>
    <x v="35"/>
    <d v="2016-05-15T00:00:00"/>
    <s v="Standard Class"/>
    <x v="421"/>
    <x v="421"/>
    <s v="Consumer"/>
    <s v="United States"/>
    <s v="Chicago"/>
    <x v="10"/>
    <n v="60610"/>
    <x v="2"/>
    <x v="1854"/>
    <x v="1"/>
    <x v="12"/>
    <x v="1842"/>
    <n v="7.0720000000000001"/>
    <s v="Low"/>
    <n v="2"/>
    <n v="0.2"/>
    <x v="2"/>
    <x v="2"/>
    <n v="2.3868"/>
    <n v="0.33750000000000002"/>
    <n v="0"/>
  </r>
  <r>
    <n v="9380"/>
    <s v="CA-2014-154158"/>
    <d v="2014-12-23T00:00:00"/>
    <x v="2"/>
    <s v="Q4"/>
    <x v="20"/>
    <d v="2014-12-27T00:00:00"/>
    <s v="Second Class"/>
    <x v="113"/>
    <x v="113"/>
    <s v="Consumer"/>
    <s v="United States"/>
    <s v="Tampa"/>
    <x v="2"/>
    <n v="33614"/>
    <x v="0"/>
    <x v="1237"/>
    <x v="1"/>
    <x v="10"/>
    <x v="1220"/>
    <n v="45.527999999999999"/>
    <s v="Medium"/>
    <n v="3"/>
    <n v="0.2"/>
    <x v="2"/>
    <x v="2"/>
    <n v="15.934799999999999"/>
    <n v="0.35"/>
    <n v="0"/>
  </r>
  <r>
    <n v="9381"/>
    <s v="CA-2014-154158"/>
    <d v="2014-12-23T00:00:00"/>
    <x v="2"/>
    <s v="Q4"/>
    <x v="20"/>
    <d v="2014-12-27T00:00:00"/>
    <s v="Second Class"/>
    <x v="113"/>
    <x v="113"/>
    <s v="Consumer"/>
    <s v="United States"/>
    <s v="Tampa"/>
    <x v="2"/>
    <n v="33614"/>
    <x v="0"/>
    <x v="167"/>
    <x v="0"/>
    <x v="1"/>
    <x v="168"/>
    <n v="64.784000000000006"/>
    <s v="Medium"/>
    <n v="1"/>
    <n v="0.2"/>
    <x v="2"/>
    <x v="2"/>
    <n v="6.4783999999999997"/>
    <n v="9.9999999999999992E-2"/>
    <n v="0"/>
  </r>
  <r>
    <n v="9382"/>
    <s v="CA-2014-154158"/>
    <d v="2014-12-23T00:00:00"/>
    <x v="2"/>
    <s v="Q4"/>
    <x v="20"/>
    <d v="2014-12-27T00:00:00"/>
    <s v="Second Class"/>
    <x v="113"/>
    <x v="113"/>
    <s v="Consumer"/>
    <s v="United States"/>
    <s v="Tampa"/>
    <x v="2"/>
    <n v="33614"/>
    <x v="0"/>
    <x v="1244"/>
    <x v="1"/>
    <x v="4"/>
    <x v="1227"/>
    <n v="424.27199999999999"/>
    <s v="High"/>
    <n v="2"/>
    <n v="0.2"/>
    <x v="2"/>
    <x v="2"/>
    <n v="-10.6068"/>
    <n v="-2.5000000000000001E-2"/>
    <n v="1"/>
  </r>
  <r>
    <n v="9383"/>
    <s v="CA-2014-154158"/>
    <d v="2014-12-23T00:00:00"/>
    <x v="2"/>
    <s v="Q4"/>
    <x v="20"/>
    <d v="2014-12-27T00:00:00"/>
    <s v="Second Class"/>
    <x v="113"/>
    <x v="113"/>
    <s v="Consumer"/>
    <s v="United States"/>
    <s v="Tampa"/>
    <x v="2"/>
    <n v="33614"/>
    <x v="0"/>
    <x v="59"/>
    <x v="1"/>
    <x v="6"/>
    <x v="59"/>
    <n v="1.3440000000000001"/>
    <s v="Low"/>
    <n v="1"/>
    <n v="0.2"/>
    <x v="2"/>
    <x v="2"/>
    <n v="0.504"/>
    <n v="0.375"/>
    <n v="0"/>
  </r>
  <r>
    <n v="9384"/>
    <s v="CA-2014-154158"/>
    <d v="2014-12-23T00:00:00"/>
    <x v="2"/>
    <s v="Q4"/>
    <x v="20"/>
    <d v="2014-12-27T00:00:00"/>
    <s v="Second Class"/>
    <x v="113"/>
    <x v="113"/>
    <s v="Consumer"/>
    <s v="United States"/>
    <s v="Tampa"/>
    <x v="2"/>
    <n v="33614"/>
    <x v="0"/>
    <x v="1018"/>
    <x v="1"/>
    <x v="4"/>
    <x v="1009"/>
    <n v="83.92"/>
    <s v="Medium"/>
    <n v="5"/>
    <n v="0.2"/>
    <x v="2"/>
    <x v="2"/>
    <n v="-1.0489999999999999"/>
    <n v="-1.2499999999999999E-2"/>
    <n v="1"/>
  </r>
  <r>
    <n v="9385"/>
    <s v="CA-2017-100433"/>
    <d v="2017-08-11T00:00:00"/>
    <x v="3"/>
    <s v="Q3"/>
    <x v="43"/>
    <d v="2017-08-16T00:00:00"/>
    <s v="Standard Class"/>
    <x v="319"/>
    <x v="319"/>
    <s v="Home Office"/>
    <s v="United States"/>
    <s v="New York City"/>
    <x v="15"/>
    <n v="10009"/>
    <x v="3"/>
    <x v="490"/>
    <x v="1"/>
    <x v="10"/>
    <x v="490"/>
    <n v="25.92"/>
    <s v="Medium"/>
    <n v="4"/>
    <n v="0"/>
    <x v="0"/>
    <x v="0"/>
    <n v="12.441599999999999"/>
    <n v="0.47999999999999993"/>
    <n v="0"/>
  </r>
  <r>
    <n v="9386"/>
    <s v="CA-2017-163097"/>
    <d v="2017-08-27T00:00:00"/>
    <x v="3"/>
    <s v="Q3"/>
    <x v="43"/>
    <d v="2017-08-31T00:00:00"/>
    <s v="Standard Class"/>
    <x v="227"/>
    <x v="227"/>
    <s v="Consumer"/>
    <s v="United States"/>
    <s v="Mesa"/>
    <x v="16"/>
    <n v="85204"/>
    <x v="1"/>
    <x v="1155"/>
    <x v="0"/>
    <x v="5"/>
    <x v="1143"/>
    <n v="120.57599999999999"/>
    <s v="Medium"/>
    <n v="8"/>
    <n v="0.2"/>
    <x v="2"/>
    <x v="2"/>
    <n v="33.1584"/>
    <n v="0.27500000000000002"/>
    <n v="0"/>
  </r>
  <r>
    <n v="9387"/>
    <s v="US-2017-127292"/>
    <d v="2017-01-19T00:00:00"/>
    <x v="3"/>
    <s v="Q1"/>
    <x v="44"/>
    <d v="2017-01-23T00:00:00"/>
    <s v="Standard Class"/>
    <x v="528"/>
    <x v="528"/>
    <s v="Consumer"/>
    <s v="United States"/>
    <s v="Burlington"/>
    <x v="42"/>
    <s v="05408"/>
    <x v="3"/>
    <x v="368"/>
    <x v="1"/>
    <x v="10"/>
    <x v="369"/>
    <n v="79.92"/>
    <s v="Medium"/>
    <n v="4"/>
    <n v="0"/>
    <x v="0"/>
    <x v="0"/>
    <n v="37.562399999999997"/>
    <n v="0.47"/>
    <n v="0"/>
  </r>
  <r>
    <n v="9388"/>
    <s v="US-2017-127292"/>
    <d v="2017-01-19T00:00:00"/>
    <x v="3"/>
    <s v="Q1"/>
    <x v="44"/>
    <d v="2017-01-23T00:00:00"/>
    <s v="Standard Class"/>
    <x v="528"/>
    <x v="528"/>
    <s v="Consumer"/>
    <s v="United States"/>
    <s v="Burlington"/>
    <x v="42"/>
    <s v="05408"/>
    <x v="3"/>
    <x v="314"/>
    <x v="1"/>
    <x v="10"/>
    <x v="314"/>
    <n v="12.28"/>
    <s v="Low"/>
    <n v="1"/>
    <n v="0"/>
    <x v="0"/>
    <x v="0"/>
    <n v="5.7716000000000003"/>
    <n v="0.47000000000000003"/>
    <n v="0"/>
  </r>
  <r>
    <n v="9389"/>
    <s v="US-2017-127292"/>
    <d v="2017-01-19T00:00:00"/>
    <x v="3"/>
    <s v="Q1"/>
    <x v="44"/>
    <d v="2017-01-23T00:00:00"/>
    <s v="Standard Class"/>
    <x v="528"/>
    <x v="528"/>
    <s v="Consumer"/>
    <s v="United States"/>
    <s v="Burlington"/>
    <x v="42"/>
    <s v="05408"/>
    <x v="3"/>
    <x v="1107"/>
    <x v="1"/>
    <x v="9"/>
    <x v="1096"/>
    <n v="542.94000000000005"/>
    <s v="High"/>
    <n v="3"/>
    <n v="0"/>
    <x v="0"/>
    <x v="0"/>
    <n v="152.0232"/>
    <n v="0.27999999999999997"/>
    <n v="0"/>
  </r>
  <r>
    <n v="9390"/>
    <s v="US-2017-127292"/>
    <d v="2017-01-19T00:00:00"/>
    <x v="3"/>
    <s v="Q1"/>
    <x v="44"/>
    <d v="2017-01-23T00:00:00"/>
    <s v="Standard Class"/>
    <x v="528"/>
    <x v="528"/>
    <s v="Consumer"/>
    <s v="United States"/>
    <s v="Burlington"/>
    <x v="42"/>
    <s v="05408"/>
    <x v="3"/>
    <x v="29"/>
    <x v="1"/>
    <x v="12"/>
    <x v="29"/>
    <n v="2.04"/>
    <s v="Low"/>
    <n v="1"/>
    <n v="0"/>
    <x v="0"/>
    <x v="0"/>
    <n v="0.95879999999999999"/>
    <n v="0.47"/>
    <n v="0"/>
  </r>
  <r>
    <n v="9391"/>
    <s v="CA-2015-163734"/>
    <d v="2015-06-19T00:00:00"/>
    <x v="1"/>
    <s v="Q2"/>
    <x v="40"/>
    <d v="2015-06-24T00:00:00"/>
    <s v="Standard Class"/>
    <x v="454"/>
    <x v="454"/>
    <s v="Home Office"/>
    <s v="United States"/>
    <s v="Houston"/>
    <x v="5"/>
    <n v="77070"/>
    <x v="2"/>
    <x v="1277"/>
    <x v="1"/>
    <x v="4"/>
    <x v="1262"/>
    <n v="228.92"/>
    <s v="High"/>
    <n v="5"/>
    <n v="0.2"/>
    <x v="2"/>
    <x v="2"/>
    <n v="14.307499999999999"/>
    <n v="6.25E-2"/>
    <n v="0"/>
  </r>
  <r>
    <n v="9392"/>
    <s v="CA-2017-162474"/>
    <d v="2017-03-13T00:00:00"/>
    <x v="3"/>
    <s v="Q1"/>
    <x v="42"/>
    <d v="2017-03-16T00:00:00"/>
    <s v="First Class"/>
    <x v="395"/>
    <x v="395"/>
    <s v="Corporate"/>
    <s v="United States"/>
    <s v="Aurora"/>
    <x v="10"/>
    <n v="60505"/>
    <x v="2"/>
    <x v="857"/>
    <x v="2"/>
    <x v="7"/>
    <x v="851"/>
    <n v="7.992"/>
    <s v="Low"/>
    <n v="1"/>
    <n v="0.2"/>
    <x v="2"/>
    <x v="2"/>
    <n v="2.5973999999999999"/>
    <n v="0.32500000000000001"/>
    <n v="0"/>
  </r>
  <r>
    <n v="9393"/>
    <s v="CA-2015-130848"/>
    <d v="2015-10-25T00:00:00"/>
    <x v="1"/>
    <s v="Q4"/>
    <x v="2"/>
    <d v="2015-10-25T00:00:00"/>
    <s v="Same Day"/>
    <x v="375"/>
    <x v="375"/>
    <s v="Corporate"/>
    <s v="United States"/>
    <s v="Denver"/>
    <x v="22"/>
    <n v="80219"/>
    <x v="1"/>
    <x v="1455"/>
    <x v="0"/>
    <x v="1"/>
    <x v="1441"/>
    <n v="582.33600000000001"/>
    <s v="High"/>
    <n v="8"/>
    <n v="0.2"/>
    <x v="2"/>
    <x v="2"/>
    <n v="-29.116800000000001"/>
    <n v="-0.05"/>
    <n v="1"/>
  </r>
  <r>
    <n v="9394"/>
    <s v="CA-2014-125997"/>
    <d v="2014-09-20T00:00:00"/>
    <x v="2"/>
    <s v="Q3"/>
    <x v="30"/>
    <d v="2014-09-23T00:00:00"/>
    <s v="First Class"/>
    <x v="596"/>
    <x v="596"/>
    <s v="Consumer"/>
    <s v="United States"/>
    <s v="New York City"/>
    <x v="15"/>
    <n v="10011"/>
    <x v="3"/>
    <x v="1551"/>
    <x v="2"/>
    <x v="7"/>
    <x v="1539"/>
    <n v="629.95000000000005"/>
    <s v="High"/>
    <n v="5"/>
    <n v="0"/>
    <x v="0"/>
    <x v="0"/>
    <n v="157.48750000000001"/>
    <n v="0.25"/>
    <n v="0"/>
  </r>
  <r>
    <n v="9395"/>
    <s v="CA-2014-125997"/>
    <d v="2014-09-20T00:00:00"/>
    <x v="2"/>
    <s v="Q3"/>
    <x v="30"/>
    <d v="2014-09-23T00:00:00"/>
    <s v="First Class"/>
    <x v="596"/>
    <x v="596"/>
    <s v="Consumer"/>
    <s v="United States"/>
    <s v="New York City"/>
    <x v="15"/>
    <n v="10011"/>
    <x v="3"/>
    <x v="654"/>
    <x v="0"/>
    <x v="1"/>
    <x v="654"/>
    <n v="631.78200000000004"/>
    <s v="High"/>
    <n v="2"/>
    <n v="0.1"/>
    <x v="3"/>
    <x v="8"/>
    <n v="140.39599999999999"/>
    <n v="0.22222222222222218"/>
    <n v="0"/>
  </r>
  <r>
    <n v="9396"/>
    <s v="CA-2014-125997"/>
    <d v="2014-09-20T00:00:00"/>
    <x v="2"/>
    <s v="Q3"/>
    <x v="30"/>
    <d v="2014-09-23T00:00:00"/>
    <s v="First Class"/>
    <x v="596"/>
    <x v="596"/>
    <s v="Consumer"/>
    <s v="United States"/>
    <s v="New York City"/>
    <x v="15"/>
    <n v="10011"/>
    <x v="3"/>
    <x v="1248"/>
    <x v="0"/>
    <x v="0"/>
    <x v="1232"/>
    <n v="801.56799999999998"/>
    <s v="High"/>
    <n v="2"/>
    <n v="0.2"/>
    <x v="2"/>
    <x v="2"/>
    <n v="-10.019600000000001"/>
    <n v="-1.2500000000000001E-2"/>
    <n v="1"/>
  </r>
  <r>
    <n v="9397"/>
    <s v="CA-2014-125997"/>
    <d v="2014-09-20T00:00:00"/>
    <x v="2"/>
    <s v="Q3"/>
    <x v="30"/>
    <d v="2014-09-23T00:00:00"/>
    <s v="First Class"/>
    <x v="596"/>
    <x v="596"/>
    <s v="Consumer"/>
    <s v="United States"/>
    <s v="New York City"/>
    <x v="15"/>
    <n v="10011"/>
    <x v="3"/>
    <x v="49"/>
    <x v="1"/>
    <x v="2"/>
    <x v="49"/>
    <n v="75.180000000000007"/>
    <s v="Medium"/>
    <n v="6"/>
    <n v="0"/>
    <x v="0"/>
    <x v="0"/>
    <n v="35.334600000000002"/>
    <n v="0.47"/>
    <n v="0"/>
  </r>
  <r>
    <n v="9398"/>
    <s v="CA-2014-125997"/>
    <d v="2014-09-20T00:00:00"/>
    <x v="2"/>
    <s v="Q3"/>
    <x v="30"/>
    <d v="2014-09-23T00:00:00"/>
    <s v="First Class"/>
    <x v="596"/>
    <x v="596"/>
    <s v="Consumer"/>
    <s v="United States"/>
    <s v="New York City"/>
    <x v="15"/>
    <n v="10011"/>
    <x v="3"/>
    <x v="1271"/>
    <x v="1"/>
    <x v="9"/>
    <x v="1256"/>
    <n v="30.98"/>
    <s v="Medium"/>
    <n v="1"/>
    <n v="0"/>
    <x v="0"/>
    <x v="0"/>
    <n v="8.0548000000000002"/>
    <n v="0.26"/>
    <n v="0"/>
  </r>
  <r>
    <n v="9399"/>
    <s v="CA-2014-125997"/>
    <d v="2014-09-20T00:00:00"/>
    <x v="2"/>
    <s v="Q3"/>
    <x v="30"/>
    <d v="2014-09-23T00:00:00"/>
    <s v="First Class"/>
    <x v="596"/>
    <x v="596"/>
    <s v="Consumer"/>
    <s v="United States"/>
    <s v="New York City"/>
    <x v="15"/>
    <n v="10011"/>
    <x v="3"/>
    <x v="1334"/>
    <x v="2"/>
    <x v="7"/>
    <x v="1319"/>
    <n v="1349.91"/>
    <s v="High"/>
    <n v="9"/>
    <n v="0"/>
    <x v="0"/>
    <x v="0"/>
    <n v="661.45590000000004"/>
    <n v="0.49"/>
    <n v="0"/>
  </r>
  <r>
    <n v="9400"/>
    <s v="CA-2016-103128"/>
    <d v="2016-11-11T00:00:00"/>
    <x v="0"/>
    <s v="Q4"/>
    <x v="0"/>
    <d v="2016-11-15T00:00:00"/>
    <s v="Standard Class"/>
    <x v="790"/>
    <x v="790"/>
    <s v="Consumer"/>
    <s v="United States"/>
    <s v="Arlington Heights"/>
    <x v="10"/>
    <n v="60004"/>
    <x v="2"/>
    <x v="501"/>
    <x v="1"/>
    <x v="6"/>
    <x v="501"/>
    <n v="14.112"/>
    <s v="Low"/>
    <n v="6"/>
    <n v="0.2"/>
    <x v="2"/>
    <x v="2"/>
    <n v="1.2347999999999999"/>
    <n v="8.7499999999999994E-2"/>
    <n v="0"/>
  </r>
  <r>
    <n v="9401"/>
    <s v="CA-2015-167696"/>
    <d v="2015-09-16T00:00:00"/>
    <x v="1"/>
    <s v="Q3"/>
    <x v="11"/>
    <d v="2015-09-21T00:00:00"/>
    <s v="Standard Class"/>
    <x v="214"/>
    <x v="214"/>
    <s v="Consumer"/>
    <s v="United States"/>
    <s v="Newport News"/>
    <x v="17"/>
    <n v="23602"/>
    <x v="0"/>
    <x v="837"/>
    <x v="1"/>
    <x v="12"/>
    <x v="153"/>
    <n v="31.12"/>
    <s v="Medium"/>
    <n v="4"/>
    <n v="0"/>
    <x v="0"/>
    <x v="0"/>
    <n v="14.6264"/>
    <n v="0.47"/>
    <n v="0"/>
  </r>
  <r>
    <n v="9402"/>
    <s v="CA-2014-159814"/>
    <d v="2014-06-24T00:00:00"/>
    <x v="2"/>
    <s v="Q2"/>
    <x v="3"/>
    <d v="2014-06-28T00:00:00"/>
    <s v="Standard Class"/>
    <x v="221"/>
    <x v="221"/>
    <s v="Consumer"/>
    <s v="United States"/>
    <s v="Tucson"/>
    <x v="16"/>
    <n v="85705"/>
    <x v="1"/>
    <x v="1565"/>
    <x v="0"/>
    <x v="5"/>
    <x v="1556"/>
    <n v="4.2720000000000002"/>
    <s v="Low"/>
    <n v="2"/>
    <n v="0.2"/>
    <x v="2"/>
    <x v="2"/>
    <n v="0.96120000000000005"/>
    <n v="0.22500000000000001"/>
    <n v="0"/>
  </r>
  <r>
    <n v="9403"/>
    <s v="CA-2016-105459"/>
    <d v="2016-08-12T00:00:00"/>
    <x v="0"/>
    <s v="Q3"/>
    <x v="28"/>
    <d v="2016-08-17T00:00:00"/>
    <s v="Second Class"/>
    <x v="413"/>
    <x v="413"/>
    <s v="Consumer"/>
    <s v="United States"/>
    <s v="New York City"/>
    <x v="15"/>
    <n v="10024"/>
    <x v="3"/>
    <x v="616"/>
    <x v="0"/>
    <x v="3"/>
    <x v="616"/>
    <n v="209.148"/>
    <s v="High"/>
    <n v="2"/>
    <n v="0.4"/>
    <x v="1"/>
    <x v="7"/>
    <n v="-66.230199999999996"/>
    <n v="-0.31666666666666665"/>
    <n v="1"/>
  </r>
  <r>
    <n v="9404"/>
    <s v="CA-2016-105459"/>
    <d v="2016-08-12T00:00:00"/>
    <x v="0"/>
    <s v="Q3"/>
    <x v="28"/>
    <d v="2016-08-17T00:00:00"/>
    <s v="Second Class"/>
    <x v="413"/>
    <x v="413"/>
    <s v="Consumer"/>
    <s v="United States"/>
    <s v="New York City"/>
    <x v="15"/>
    <n v="10024"/>
    <x v="3"/>
    <x v="1244"/>
    <x v="1"/>
    <x v="4"/>
    <x v="1227"/>
    <n v="1591.02"/>
    <s v="High"/>
    <n v="6"/>
    <n v="0"/>
    <x v="0"/>
    <x v="0"/>
    <n v="286.3836"/>
    <n v="0.18"/>
    <n v="0"/>
  </r>
  <r>
    <n v="9405"/>
    <s v="CA-2017-141663"/>
    <d v="2017-04-13T00:00:00"/>
    <x v="3"/>
    <s v="Q2"/>
    <x v="4"/>
    <d v="2017-04-17T00:00:00"/>
    <s v="Standard Class"/>
    <x v="317"/>
    <x v="317"/>
    <s v="Corporate"/>
    <s v="United States"/>
    <s v="Philadelphia"/>
    <x v="9"/>
    <n v="19134"/>
    <x v="3"/>
    <x v="1239"/>
    <x v="1"/>
    <x v="13"/>
    <x v="1222"/>
    <n v="7.92"/>
    <s v="Low"/>
    <n v="5"/>
    <n v="0.2"/>
    <x v="2"/>
    <x v="2"/>
    <n v="1.6830000000000001"/>
    <n v="0.21250000000000002"/>
    <n v="0"/>
  </r>
  <r>
    <n v="9406"/>
    <s v="CA-2014-152618"/>
    <d v="2014-03-14T00:00:00"/>
    <x v="2"/>
    <s v="Q1"/>
    <x v="34"/>
    <d v="2014-03-17T00:00:00"/>
    <s v="First Class"/>
    <x v="46"/>
    <x v="46"/>
    <s v="Home Office"/>
    <s v="United States"/>
    <s v="Chicago"/>
    <x v="10"/>
    <n v="60653"/>
    <x v="2"/>
    <x v="1410"/>
    <x v="2"/>
    <x v="15"/>
    <x v="1397"/>
    <n v="574.91"/>
    <s v="High"/>
    <n v="2"/>
    <n v="0.3"/>
    <x v="1"/>
    <x v="4"/>
    <n v="156.047"/>
    <n v="0.27142857142857146"/>
    <n v="0"/>
  </r>
  <r>
    <n v="9407"/>
    <s v="CA-2014-152618"/>
    <d v="2014-03-14T00:00:00"/>
    <x v="2"/>
    <s v="Q1"/>
    <x v="34"/>
    <d v="2014-03-17T00:00:00"/>
    <s v="First Class"/>
    <x v="46"/>
    <x v="46"/>
    <s v="Home Office"/>
    <s v="United States"/>
    <s v="Chicago"/>
    <x v="10"/>
    <n v="60653"/>
    <x v="2"/>
    <x v="1737"/>
    <x v="1"/>
    <x v="10"/>
    <x v="1726"/>
    <n v="8.4480000000000004"/>
    <s v="Low"/>
    <n v="2"/>
    <n v="0.2"/>
    <x v="2"/>
    <x v="2"/>
    <n v="2.64"/>
    <n v="0.3125"/>
    <n v="0"/>
  </r>
  <r>
    <n v="9408"/>
    <s v="CA-2017-162789"/>
    <d v="2017-09-22T00:00:00"/>
    <x v="3"/>
    <s v="Q3"/>
    <x v="15"/>
    <d v="2017-09-24T00:00:00"/>
    <s v="Second Class"/>
    <x v="95"/>
    <x v="95"/>
    <s v="Consumer"/>
    <s v="United States"/>
    <s v="New York City"/>
    <x v="15"/>
    <n v="10035"/>
    <x v="3"/>
    <x v="1200"/>
    <x v="2"/>
    <x v="11"/>
    <x v="1185"/>
    <n v="1071"/>
    <s v="High"/>
    <n v="9"/>
    <n v="0"/>
    <x v="0"/>
    <x v="0"/>
    <n v="171.36"/>
    <n v="0.16"/>
    <n v="0"/>
  </r>
  <r>
    <n v="9409"/>
    <s v="CA-2017-162789"/>
    <d v="2017-09-22T00:00:00"/>
    <x v="3"/>
    <s v="Q3"/>
    <x v="15"/>
    <d v="2017-09-24T00:00:00"/>
    <s v="Second Class"/>
    <x v="95"/>
    <x v="95"/>
    <s v="Consumer"/>
    <s v="United States"/>
    <s v="New York City"/>
    <x v="15"/>
    <n v="10035"/>
    <x v="3"/>
    <x v="441"/>
    <x v="0"/>
    <x v="5"/>
    <x v="1719"/>
    <n v="12.07"/>
    <s v="Low"/>
    <n v="1"/>
    <n v="0"/>
    <x v="0"/>
    <x v="0"/>
    <n v="3.9830999999999999"/>
    <n v="0.32999999999999996"/>
    <n v="0"/>
  </r>
  <r>
    <n v="9410"/>
    <s v="US-2017-110149"/>
    <d v="2017-12-10T00:00:00"/>
    <x v="3"/>
    <s v="Q4"/>
    <x v="22"/>
    <d v="2017-12-13T00:00:00"/>
    <s v="First Class"/>
    <x v="576"/>
    <x v="576"/>
    <s v="Consumer"/>
    <s v="United States"/>
    <s v="Philadelphia"/>
    <x v="9"/>
    <n v="19143"/>
    <x v="3"/>
    <x v="634"/>
    <x v="1"/>
    <x v="8"/>
    <x v="634"/>
    <n v="3.2730000000000001"/>
    <s v="Low"/>
    <n v="1"/>
    <n v="0.7"/>
    <x v="1"/>
    <x v="5"/>
    <n v="-2.5093000000000001"/>
    <n v="-0.76666666666666661"/>
    <n v="1"/>
  </r>
  <r>
    <n v="9411"/>
    <s v="US-2017-110149"/>
    <d v="2017-12-10T00:00:00"/>
    <x v="3"/>
    <s v="Q4"/>
    <x v="22"/>
    <d v="2017-12-13T00:00:00"/>
    <s v="First Class"/>
    <x v="576"/>
    <x v="576"/>
    <s v="Consumer"/>
    <s v="United States"/>
    <s v="Philadelphia"/>
    <x v="9"/>
    <n v="19143"/>
    <x v="3"/>
    <x v="504"/>
    <x v="0"/>
    <x v="5"/>
    <x v="504"/>
    <n v="87.92"/>
    <s v="Medium"/>
    <n v="5"/>
    <n v="0.2"/>
    <x v="2"/>
    <x v="2"/>
    <n v="15.385999999999999"/>
    <n v="0.17499999999999999"/>
    <n v="0"/>
  </r>
  <r>
    <n v="9412"/>
    <s v="CA-2016-108959"/>
    <d v="2016-03-10T00:00:00"/>
    <x v="0"/>
    <s v="Q1"/>
    <x v="17"/>
    <d v="2016-03-14T00:00:00"/>
    <s v="Second Class"/>
    <x v="186"/>
    <x v="186"/>
    <s v="Corporate"/>
    <s v="United States"/>
    <s v="Glendale"/>
    <x v="16"/>
    <n v="85301"/>
    <x v="1"/>
    <x v="533"/>
    <x v="1"/>
    <x v="4"/>
    <x v="533"/>
    <n v="104.696"/>
    <s v="Medium"/>
    <n v="1"/>
    <n v="0.2"/>
    <x v="2"/>
    <x v="2"/>
    <n v="6.5434999999999999"/>
    <n v="6.25E-2"/>
    <n v="0"/>
  </r>
  <r>
    <n v="9413"/>
    <s v="CA-2015-164777"/>
    <d v="2015-01-27T00:00:00"/>
    <x v="1"/>
    <s v="Q1"/>
    <x v="26"/>
    <d v="2015-01-29T00:00:00"/>
    <s v="First Class"/>
    <x v="253"/>
    <x v="253"/>
    <s v="Consumer"/>
    <s v="United States"/>
    <s v="Los Angeles"/>
    <x v="1"/>
    <n v="90036"/>
    <x v="1"/>
    <x v="483"/>
    <x v="0"/>
    <x v="1"/>
    <x v="483"/>
    <n v="2803.92"/>
    <s v="High"/>
    <n v="5"/>
    <n v="0.2"/>
    <x v="2"/>
    <x v="2"/>
    <n v="0"/>
    <n v="0"/>
    <n v="0"/>
  </r>
  <r>
    <n v="9414"/>
    <s v="CA-2016-132017"/>
    <d v="2016-09-26T00:00:00"/>
    <x v="0"/>
    <s v="Q3"/>
    <x v="21"/>
    <d v="2016-09-27T00:00:00"/>
    <s v="First Class"/>
    <x v="588"/>
    <x v="588"/>
    <s v="Corporate"/>
    <s v="United States"/>
    <s v="Houston"/>
    <x v="5"/>
    <n v="77041"/>
    <x v="2"/>
    <x v="822"/>
    <x v="1"/>
    <x v="8"/>
    <x v="818"/>
    <n v="6.8159999999999998"/>
    <s v="Low"/>
    <n v="2"/>
    <n v="0.8"/>
    <x v="1"/>
    <x v="3"/>
    <n v="-11.587199999999999"/>
    <n v="-1.7"/>
    <n v="1"/>
  </r>
  <r>
    <n v="9415"/>
    <s v="CA-2015-127824"/>
    <d v="2015-10-18T00:00:00"/>
    <x v="1"/>
    <s v="Q4"/>
    <x v="2"/>
    <d v="2015-10-22T00:00:00"/>
    <s v="Standard Class"/>
    <x v="547"/>
    <x v="547"/>
    <s v="Consumer"/>
    <s v="United States"/>
    <s v="Seattle"/>
    <x v="4"/>
    <n v="98115"/>
    <x v="1"/>
    <x v="1807"/>
    <x v="2"/>
    <x v="7"/>
    <x v="1797"/>
    <n v="249.584"/>
    <s v="High"/>
    <n v="2"/>
    <n v="0.2"/>
    <x v="2"/>
    <x v="2"/>
    <n v="15.599"/>
    <n v="6.25E-2"/>
    <n v="0"/>
  </r>
  <r>
    <n v="9416"/>
    <s v="CA-2015-127824"/>
    <d v="2015-10-18T00:00:00"/>
    <x v="1"/>
    <s v="Q4"/>
    <x v="2"/>
    <d v="2015-10-22T00:00:00"/>
    <s v="Standard Class"/>
    <x v="547"/>
    <x v="547"/>
    <s v="Consumer"/>
    <s v="United States"/>
    <s v="Seattle"/>
    <x v="4"/>
    <n v="98115"/>
    <x v="1"/>
    <x v="1331"/>
    <x v="1"/>
    <x v="10"/>
    <x v="1316"/>
    <n v="17.940000000000001"/>
    <s v="Low"/>
    <n v="3"/>
    <n v="0"/>
    <x v="0"/>
    <x v="0"/>
    <n v="8.7905999999999995"/>
    <n v="0.48999999999999994"/>
    <n v="0"/>
  </r>
  <r>
    <n v="9417"/>
    <s v="CA-2015-127824"/>
    <d v="2015-10-18T00:00:00"/>
    <x v="1"/>
    <s v="Q4"/>
    <x v="2"/>
    <d v="2015-10-22T00:00:00"/>
    <s v="Standard Class"/>
    <x v="547"/>
    <x v="547"/>
    <s v="Consumer"/>
    <s v="United States"/>
    <s v="Seattle"/>
    <x v="4"/>
    <n v="98115"/>
    <x v="1"/>
    <x v="224"/>
    <x v="0"/>
    <x v="5"/>
    <x v="225"/>
    <n v="10.11"/>
    <s v="Low"/>
    <n v="3"/>
    <n v="0"/>
    <x v="0"/>
    <x v="0"/>
    <n v="3.2351999999999999"/>
    <n v="0.32"/>
    <n v="0"/>
  </r>
  <r>
    <n v="9418"/>
    <s v="CA-2014-148285"/>
    <d v="2014-10-27T00:00:00"/>
    <x v="2"/>
    <s v="Q4"/>
    <x v="18"/>
    <d v="2014-11-01T00:00:00"/>
    <s v="Standard Class"/>
    <x v="279"/>
    <x v="279"/>
    <s v="Home Office"/>
    <s v="United States"/>
    <s v="Fayetteville"/>
    <x v="3"/>
    <n v="28314"/>
    <x v="0"/>
    <x v="778"/>
    <x v="1"/>
    <x v="10"/>
    <x v="777"/>
    <n v="10.368"/>
    <s v="Low"/>
    <n v="2"/>
    <n v="0.2"/>
    <x v="2"/>
    <x v="2"/>
    <n v="3.6288"/>
    <n v="0.35"/>
    <n v="0"/>
  </r>
  <r>
    <n v="9419"/>
    <s v="CA-2014-148285"/>
    <d v="2014-10-27T00:00:00"/>
    <x v="2"/>
    <s v="Q4"/>
    <x v="18"/>
    <d v="2014-11-01T00:00:00"/>
    <s v="Standard Class"/>
    <x v="279"/>
    <x v="279"/>
    <s v="Home Office"/>
    <s v="United States"/>
    <s v="Fayetteville"/>
    <x v="3"/>
    <n v="28314"/>
    <x v="0"/>
    <x v="811"/>
    <x v="1"/>
    <x v="10"/>
    <x v="33"/>
    <n v="11.952"/>
    <s v="Low"/>
    <n v="3"/>
    <n v="0.2"/>
    <x v="2"/>
    <x v="2"/>
    <n v="4.0338000000000003"/>
    <n v="0.33750000000000002"/>
    <n v="0"/>
  </r>
  <r>
    <n v="9420"/>
    <s v="CA-2017-152926"/>
    <d v="2017-10-02T00:00:00"/>
    <x v="3"/>
    <s v="Q4"/>
    <x v="13"/>
    <d v="2017-10-04T00:00:00"/>
    <s v="Second Class"/>
    <x v="281"/>
    <x v="281"/>
    <s v="Corporate"/>
    <s v="United States"/>
    <s v="Houston"/>
    <x v="5"/>
    <n v="77041"/>
    <x v="2"/>
    <x v="513"/>
    <x v="1"/>
    <x v="9"/>
    <x v="513"/>
    <n v="15.224"/>
    <s v="Low"/>
    <n v="2"/>
    <n v="0.8"/>
    <x v="1"/>
    <x v="3"/>
    <n v="-38.821199999999997"/>
    <n v="-2.5499999999999998"/>
    <n v="1"/>
  </r>
  <r>
    <n v="9421"/>
    <s v="CA-2017-152926"/>
    <d v="2017-10-02T00:00:00"/>
    <x v="3"/>
    <s v="Q4"/>
    <x v="13"/>
    <d v="2017-10-04T00:00:00"/>
    <s v="Second Class"/>
    <x v="281"/>
    <x v="281"/>
    <s v="Corporate"/>
    <s v="United States"/>
    <s v="Houston"/>
    <x v="5"/>
    <n v="77041"/>
    <x v="2"/>
    <x v="1549"/>
    <x v="1"/>
    <x v="9"/>
    <x v="1537"/>
    <n v="21.984000000000002"/>
    <s v="Low"/>
    <n v="6"/>
    <n v="0.8"/>
    <x v="1"/>
    <x v="3"/>
    <n v="-56.059199999999997"/>
    <n v="-2.5499999999999998"/>
    <n v="1"/>
  </r>
  <r>
    <n v="9422"/>
    <s v="CA-2014-145254"/>
    <d v="2014-07-23T00:00:00"/>
    <x v="2"/>
    <s v="Q3"/>
    <x v="39"/>
    <d v="2014-07-27T00:00:00"/>
    <s v="Standard Class"/>
    <x v="714"/>
    <x v="714"/>
    <s v="Corporate"/>
    <s v="United States"/>
    <s v="San Francisco"/>
    <x v="1"/>
    <n v="94122"/>
    <x v="1"/>
    <x v="1066"/>
    <x v="2"/>
    <x v="7"/>
    <x v="1055"/>
    <n v="604.75199999999995"/>
    <s v="High"/>
    <n v="6"/>
    <n v="0.2"/>
    <x v="2"/>
    <x v="2"/>
    <n v="60.475200000000001"/>
    <n v="0.1"/>
    <n v="0"/>
  </r>
  <r>
    <n v="9423"/>
    <s v="CA-2014-145254"/>
    <d v="2014-07-23T00:00:00"/>
    <x v="2"/>
    <s v="Q3"/>
    <x v="39"/>
    <d v="2014-07-27T00:00:00"/>
    <s v="Standard Class"/>
    <x v="714"/>
    <x v="714"/>
    <s v="Corporate"/>
    <s v="United States"/>
    <s v="San Francisco"/>
    <x v="1"/>
    <n v="94122"/>
    <x v="1"/>
    <x v="597"/>
    <x v="1"/>
    <x v="14"/>
    <x v="597"/>
    <n v="40.700000000000003"/>
    <s v="Medium"/>
    <n v="5"/>
    <n v="0"/>
    <x v="0"/>
    <x v="0"/>
    <n v="11.803000000000001"/>
    <n v="0.28999999999999998"/>
    <n v="0"/>
  </r>
  <r>
    <n v="9424"/>
    <s v="CA-2014-145254"/>
    <d v="2014-07-23T00:00:00"/>
    <x v="2"/>
    <s v="Q3"/>
    <x v="39"/>
    <d v="2014-07-27T00:00:00"/>
    <s v="Standard Class"/>
    <x v="714"/>
    <x v="714"/>
    <s v="Corporate"/>
    <s v="United States"/>
    <s v="San Francisco"/>
    <x v="1"/>
    <n v="94122"/>
    <x v="1"/>
    <x v="722"/>
    <x v="2"/>
    <x v="7"/>
    <x v="1404"/>
    <n v="302.37599999999998"/>
    <s v="High"/>
    <n v="3"/>
    <n v="0.2"/>
    <x v="2"/>
    <x v="2"/>
    <n v="37.796999999999997"/>
    <n v="0.125"/>
    <n v="0"/>
  </r>
  <r>
    <n v="9425"/>
    <s v="CA-2014-145254"/>
    <d v="2014-07-23T00:00:00"/>
    <x v="2"/>
    <s v="Q3"/>
    <x v="39"/>
    <d v="2014-07-27T00:00:00"/>
    <s v="Standard Class"/>
    <x v="714"/>
    <x v="714"/>
    <s v="Corporate"/>
    <s v="United States"/>
    <s v="San Francisco"/>
    <x v="1"/>
    <n v="94122"/>
    <x v="1"/>
    <x v="46"/>
    <x v="2"/>
    <x v="11"/>
    <x v="46"/>
    <n v="45"/>
    <s v="Medium"/>
    <n v="3"/>
    <n v="0"/>
    <x v="0"/>
    <x v="0"/>
    <n v="4.95"/>
    <n v="0.11"/>
    <n v="0"/>
  </r>
  <r>
    <n v="9426"/>
    <s v="CA-2014-116246"/>
    <d v="2014-09-12T00:00:00"/>
    <x v="2"/>
    <s v="Q3"/>
    <x v="30"/>
    <d v="2014-09-17T00:00:00"/>
    <s v="Second Class"/>
    <x v="560"/>
    <x v="560"/>
    <s v="Consumer"/>
    <s v="United States"/>
    <s v="New York City"/>
    <x v="15"/>
    <n v="10035"/>
    <x v="3"/>
    <x v="483"/>
    <x v="0"/>
    <x v="1"/>
    <x v="483"/>
    <n v="3785.2919999999999"/>
    <s v="High"/>
    <n v="6"/>
    <n v="0.1"/>
    <x v="3"/>
    <x v="8"/>
    <n v="420.58800000000002"/>
    <n v="0.11111111111111112"/>
    <n v="0"/>
  </r>
  <r>
    <n v="9427"/>
    <s v="CA-2016-160479"/>
    <d v="2016-09-15T00:00:00"/>
    <x v="0"/>
    <s v="Q3"/>
    <x v="21"/>
    <d v="2016-09-20T00:00:00"/>
    <s v="Standard Class"/>
    <x v="738"/>
    <x v="738"/>
    <s v="Consumer"/>
    <s v="United States"/>
    <s v="Seattle"/>
    <x v="4"/>
    <n v="98105"/>
    <x v="1"/>
    <x v="1658"/>
    <x v="1"/>
    <x v="6"/>
    <x v="1646"/>
    <n v="35.4"/>
    <s v="Medium"/>
    <n v="5"/>
    <n v="0"/>
    <x v="0"/>
    <x v="0"/>
    <n v="13.452"/>
    <n v="0.38"/>
    <n v="0"/>
  </r>
  <r>
    <n v="9428"/>
    <s v="CA-2014-167486"/>
    <d v="2014-11-27T00:00:00"/>
    <x v="2"/>
    <s v="Q4"/>
    <x v="7"/>
    <d v="2014-12-01T00:00:00"/>
    <s v="Standard Class"/>
    <x v="705"/>
    <x v="705"/>
    <s v="Corporate"/>
    <s v="United States"/>
    <s v="Buffalo"/>
    <x v="15"/>
    <n v="14215"/>
    <x v="3"/>
    <x v="892"/>
    <x v="0"/>
    <x v="5"/>
    <x v="885"/>
    <n v="199.9"/>
    <s v="High"/>
    <n v="5"/>
    <n v="0"/>
    <x v="0"/>
    <x v="0"/>
    <n v="39.979999999999997"/>
    <n v="0.19999999999999998"/>
    <n v="0"/>
  </r>
  <r>
    <n v="9429"/>
    <s v="CA-2014-152100"/>
    <d v="2014-05-11T00:00:00"/>
    <x v="2"/>
    <s v="Q2"/>
    <x v="8"/>
    <d v="2014-05-16T00:00:00"/>
    <s v="Standard Class"/>
    <x v="100"/>
    <x v="100"/>
    <s v="Corporate"/>
    <s v="United States"/>
    <s v="Huntsville"/>
    <x v="5"/>
    <n v="77340"/>
    <x v="2"/>
    <x v="377"/>
    <x v="0"/>
    <x v="1"/>
    <x v="378"/>
    <n v="1212.96"/>
    <s v="High"/>
    <n v="8"/>
    <n v="0.3"/>
    <x v="1"/>
    <x v="4"/>
    <n v="-69.311999999999998"/>
    <n v="-5.7142857142857141E-2"/>
    <n v="1"/>
  </r>
  <r>
    <n v="9430"/>
    <s v="CA-2015-166219"/>
    <d v="2015-08-28T00:00:00"/>
    <x v="1"/>
    <s v="Q3"/>
    <x v="37"/>
    <d v="2015-09-01T00:00:00"/>
    <s v="Standard Class"/>
    <x v="130"/>
    <x v="130"/>
    <s v="Corporate"/>
    <s v="United States"/>
    <s v="Dallas"/>
    <x v="5"/>
    <n v="75081"/>
    <x v="2"/>
    <x v="903"/>
    <x v="2"/>
    <x v="7"/>
    <x v="895"/>
    <n v="1099.96"/>
    <s v="High"/>
    <n v="5"/>
    <n v="0.2"/>
    <x v="2"/>
    <x v="2"/>
    <n v="82.497"/>
    <n v="7.4999999999999997E-2"/>
    <n v="0"/>
  </r>
  <r>
    <n v="9431"/>
    <s v="CA-2015-166219"/>
    <d v="2015-08-28T00:00:00"/>
    <x v="1"/>
    <s v="Q3"/>
    <x v="37"/>
    <d v="2015-09-01T00:00:00"/>
    <s v="Standard Class"/>
    <x v="130"/>
    <x v="130"/>
    <s v="Corporate"/>
    <s v="United States"/>
    <s v="Dallas"/>
    <x v="5"/>
    <n v="75081"/>
    <x v="2"/>
    <x v="1116"/>
    <x v="0"/>
    <x v="3"/>
    <x v="1104"/>
    <n v="103.48099999999999"/>
    <s v="Medium"/>
    <n v="1"/>
    <n v="0.3"/>
    <x v="1"/>
    <x v="4"/>
    <n v="-16.261299999999999"/>
    <n v="-0.15714285714285714"/>
    <n v="1"/>
  </r>
  <r>
    <n v="9432"/>
    <s v="CA-2015-111864"/>
    <d v="2015-06-19T00:00:00"/>
    <x v="1"/>
    <s v="Q2"/>
    <x v="40"/>
    <d v="2015-06-19T00:00:00"/>
    <s v="Same Day"/>
    <x v="452"/>
    <x v="452"/>
    <s v="Home Office"/>
    <s v="United States"/>
    <s v="Philadelphia"/>
    <x v="9"/>
    <n v="19134"/>
    <x v="3"/>
    <x v="1852"/>
    <x v="1"/>
    <x v="2"/>
    <x v="1840"/>
    <n v="5.9039999999999999"/>
    <s v="Low"/>
    <n v="2"/>
    <n v="0.2"/>
    <x v="2"/>
    <x v="2"/>
    <n v="1.9925999999999999"/>
    <n v="0.33749999999999997"/>
    <n v="0"/>
  </r>
  <r>
    <n v="9433"/>
    <s v="CA-2015-119627"/>
    <d v="2015-08-17T00:00:00"/>
    <x v="1"/>
    <s v="Q3"/>
    <x v="37"/>
    <d v="2015-08-23T00:00:00"/>
    <s v="Standard Class"/>
    <x v="56"/>
    <x v="56"/>
    <s v="Consumer"/>
    <s v="United States"/>
    <s v="Peoria"/>
    <x v="16"/>
    <n v="85345"/>
    <x v="1"/>
    <x v="1202"/>
    <x v="2"/>
    <x v="11"/>
    <x v="1187"/>
    <n v="30.08"/>
    <s v="Medium"/>
    <n v="2"/>
    <n v="0.2"/>
    <x v="2"/>
    <x v="2"/>
    <n v="-5.2640000000000002"/>
    <n v="-0.17500000000000002"/>
    <n v="1"/>
  </r>
  <r>
    <n v="9434"/>
    <s v="CA-2015-119627"/>
    <d v="2015-08-17T00:00:00"/>
    <x v="1"/>
    <s v="Q3"/>
    <x v="37"/>
    <d v="2015-08-23T00:00:00"/>
    <s v="Standard Class"/>
    <x v="56"/>
    <x v="56"/>
    <s v="Consumer"/>
    <s v="United States"/>
    <s v="Peoria"/>
    <x v="16"/>
    <n v="85345"/>
    <x v="1"/>
    <x v="289"/>
    <x v="1"/>
    <x v="10"/>
    <x v="289"/>
    <n v="36.287999999999997"/>
    <s v="Medium"/>
    <n v="7"/>
    <n v="0.2"/>
    <x v="2"/>
    <x v="2"/>
    <n v="12.700799999999999"/>
    <n v="0.35000000000000003"/>
    <n v="0"/>
  </r>
  <r>
    <n v="9435"/>
    <s v="CA-2015-119627"/>
    <d v="2015-08-17T00:00:00"/>
    <x v="1"/>
    <s v="Q3"/>
    <x v="37"/>
    <d v="2015-08-23T00:00:00"/>
    <s v="Standard Class"/>
    <x v="56"/>
    <x v="56"/>
    <s v="Consumer"/>
    <s v="United States"/>
    <s v="Peoria"/>
    <x v="16"/>
    <n v="85345"/>
    <x v="1"/>
    <x v="786"/>
    <x v="1"/>
    <x v="6"/>
    <x v="785"/>
    <n v="10.272"/>
    <s v="Low"/>
    <n v="3"/>
    <n v="0.2"/>
    <x v="2"/>
    <x v="2"/>
    <n v="1.1556"/>
    <n v="0.11249999999999999"/>
    <n v="0"/>
  </r>
  <r>
    <n v="9436"/>
    <s v="CA-2015-119627"/>
    <d v="2015-08-17T00:00:00"/>
    <x v="1"/>
    <s v="Q3"/>
    <x v="37"/>
    <d v="2015-08-23T00:00:00"/>
    <s v="Standard Class"/>
    <x v="56"/>
    <x v="56"/>
    <s v="Consumer"/>
    <s v="United States"/>
    <s v="Peoria"/>
    <x v="16"/>
    <n v="85345"/>
    <x v="1"/>
    <x v="552"/>
    <x v="2"/>
    <x v="11"/>
    <x v="551"/>
    <n v="252.8"/>
    <s v="High"/>
    <n v="4"/>
    <n v="0.2"/>
    <x v="2"/>
    <x v="2"/>
    <n v="-31.6"/>
    <n v="-0.125"/>
    <n v="1"/>
  </r>
  <r>
    <n v="9437"/>
    <s v="CA-2015-160787"/>
    <d v="2015-09-25T00:00:00"/>
    <x v="1"/>
    <s v="Q3"/>
    <x v="11"/>
    <d v="2015-09-25T00:00:00"/>
    <s v="Same Day"/>
    <x v="298"/>
    <x v="298"/>
    <s v="Consumer"/>
    <s v="United States"/>
    <s v="Philadelphia"/>
    <x v="9"/>
    <n v="19143"/>
    <x v="3"/>
    <x v="696"/>
    <x v="1"/>
    <x v="8"/>
    <x v="696"/>
    <n v="2.9460000000000002"/>
    <s v="Low"/>
    <n v="2"/>
    <n v="0.7"/>
    <x v="1"/>
    <x v="5"/>
    <n v="-2.0621999999999998"/>
    <n v="-0.69999999999999984"/>
    <n v="1"/>
  </r>
  <r>
    <n v="9438"/>
    <s v="CA-2017-107853"/>
    <d v="2017-05-26T00:00:00"/>
    <x v="3"/>
    <s v="Q2"/>
    <x v="24"/>
    <d v="2017-05-31T00:00:00"/>
    <s v="Standard Class"/>
    <x v="303"/>
    <x v="303"/>
    <s v="Consumer"/>
    <s v="United States"/>
    <s v="Oceanside"/>
    <x v="1"/>
    <n v="92054"/>
    <x v="1"/>
    <x v="1440"/>
    <x v="1"/>
    <x v="10"/>
    <x v="1428"/>
    <n v="12.96"/>
    <s v="Low"/>
    <n v="2"/>
    <n v="0"/>
    <x v="0"/>
    <x v="0"/>
    <n v="6.2207999999999997"/>
    <n v="0.47999999999999993"/>
    <n v="0"/>
  </r>
  <r>
    <n v="9439"/>
    <s v="CA-2017-126144"/>
    <d v="2017-07-31T00:00:00"/>
    <x v="3"/>
    <s v="Q3"/>
    <x v="10"/>
    <d v="2017-08-05T00:00:00"/>
    <s v="Standard Class"/>
    <x v="411"/>
    <x v="411"/>
    <s v="Consumer"/>
    <s v="United States"/>
    <s v="Philadelphia"/>
    <x v="9"/>
    <n v="19134"/>
    <x v="3"/>
    <x v="1270"/>
    <x v="2"/>
    <x v="7"/>
    <x v="1255"/>
    <n v="285.57600000000002"/>
    <s v="High"/>
    <n v="4"/>
    <n v="0.4"/>
    <x v="1"/>
    <x v="7"/>
    <n v="-57.115200000000002"/>
    <n v="-0.19999999999999998"/>
    <n v="1"/>
  </r>
  <r>
    <n v="9440"/>
    <s v="US-2014-154655"/>
    <d v="2014-10-12T00:00:00"/>
    <x v="2"/>
    <s v="Q4"/>
    <x v="18"/>
    <d v="2014-10-17T00:00:00"/>
    <s v="Standard Class"/>
    <x v="771"/>
    <x v="771"/>
    <s v="Corporate"/>
    <s v="United States"/>
    <s v="Chicago"/>
    <x v="10"/>
    <n v="60623"/>
    <x v="2"/>
    <x v="1205"/>
    <x v="1"/>
    <x v="14"/>
    <x v="1190"/>
    <n v="22.24"/>
    <s v="Low"/>
    <n v="2"/>
    <n v="0.2"/>
    <x v="2"/>
    <x v="2"/>
    <n v="2.5019999999999998"/>
    <n v="0.1125"/>
    <n v="0"/>
  </r>
  <r>
    <n v="9441"/>
    <s v="CA-2014-100391"/>
    <d v="2014-05-25T00:00:00"/>
    <x v="2"/>
    <s v="Q2"/>
    <x v="8"/>
    <d v="2014-05-29T00:00:00"/>
    <s v="Standard Class"/>
    <x v="768"/>
    <x v="768"/>
    <s v="Consumer"/>
    <s v="United States"/>
    <s v="New York City"/>
    <x v="15"/>
    <n v="10035"/>
    <x v="3"/>
    <x v="1490"/>
    <x v="1"/>
    <x v="10"/>
    <x v="1477"/>
    <n v="14.62"/>
    <s v="Low"/>
    <n v="2"/>
    <n v="0"/>
    <x v="0"/>
    <x v="0"/>
    <n v="6.7252000000000001"/>
    <n v="0.46"/>
    <n v="0"/>
  </r>
  <r>
    <n v="9442"/>
    <s v="CA-2014-165477"/>
    <d v="2014-12-29T00:00:00"/>
    <x v="2"/>
    <s v="Q4"/>
    <x v="20"/>
    <d v="2014-12-31T00:00:00"/>
    <s v="Second Class"/>
    <x v="791"/>
    <x v="791"/>
    <s v="Consumer"/>
    <s v="United States"/>
    <s v="Kent"/>
    <x v="24"/>
    <n v="44240"/>
    <x v="3"/>
    <x v="1204"/>
    <x v="1"/>
    <x v="9"/>
    <x v="1189"/>
    <n v="48.36"/>
    <s v="Medium"/>
    <n v="5"/>
    <n v="0.2"/>
    <x v="2"/>
    <x v="2"/>
    <n v="6.0449999999999999"/>
    <n v="0.125"/>
    <n v="0"/>
  </r>
  <r>
    <n v="9443"/>
    <s v="CA-2017-165904"/>
    <d v="2017-04-07T00:00:00"/>
    <x v="3"/>
    <s v="Q2"/>
    <x v="4"/>
    <d v="2017-04-11T00:00:00"/>
    <s v="Standard Class"/>
    <x v="367"/>
    <x v="367"/>
    <s v="Home Office"/>
    <s v="United States"/>
    <s v="Jacksonville"/>
    <x v="2"/>
    <n v="32216"/>
    <x v="0"/>
    <x v="400"/>
    <x v="1"/>
    <x v="6"/>
    <x v="401"/>
    <n v="16.256"/>
    <s v="Low"/>
    <n v="2"/>
    <n v="0.2"/>
    <x v="2"/>
    <x v="2"/>
    <n v="1.2192000000000001"/>
    <n v="7.4999999999999997E-2"/>
    <n v="0"/>
  </r>
  <r>
    <n v="9444"/>
    <s v="CA-2017-165904"/>
    <d v="2017-04-07T00:00:00"/>
    <x v="3"/>
    <s v="Q2"/>
    <x v="4"/>
    <d v="2017-04-11T00:00:00"/>
    <s v="Standard Class"/>
    <x v="367"/>
    <x v="367"/>
    <s v="Home Office"/>
    <s v="United States"/>
    <s v="Jacksonville"/>
    <x v="2"/>
    <n v="32216"/>
    <x v="0"/>
    <x v="819"/>
    <x v="2"/>
    <x v="7"/>
    <x v="815"/>
    <n v="219.184"/>
    <s v="High"/>
    <n v="2"/>
    <n v="0.2"/>
    <x v="2"/>
    <x v="2"/>
    <n v="19.178599999999999"/>
    <n v="8.7499999999999994E-2"/>
    <n v="0"/>
  </r>
  <r>
    <n v="9445"/>
    <s v="CA-2015-104052"/>
    <d v="2015-03-01T00:00:00"/>
    <x v="1"/>
    <s v="Q1"/>
    <x v="29"/>
    <d v="2015-03-02T00:00:00"/>
    <s v="First Class"/>
    <x v="734"/>
    <x v="734"/>
    <s v="Corporate"/>
    <s v="United States"/>
    <s v="Coppell"/>
    <x v="5"/>
    <n v="75019"/>
    <x v="2"/>
    <x v="1620"/>
    <x v="2"/>
    <x v="7"/>
    <x v="1611"/>
    <n v="95.84"/>
    <s v="Medium"/>
    <n v="4"/>
    <n v="0.2"/>
    <x v="2"/>
    <x v="2"/>
    <n v="34.741999999999997"/>
    <n v="0.36249999999999993"/>
    <n v="0"/>
  </r>
  <r>
    <n v="9446"/>
    <s v="CA-2015-168277"/>
    <d v="2015-05-29T00:00:00"/>
    <x v="1"/>
    <s v="Q2"/>
    <x v="33"/>
    <d v="2015-06-03T00:00:00"/>
    <s v="Standard Class"/>
    <x v="41"/>
    <x v="41"/>
    <s v="Consumer"/>
    <s v="United States"/>
    <s v="Indianapolis"/>
    <x v="14"/>
    <n v="46203"/>
    <x v="2"/>
    <x v="617"/>
    <x v="1"/>
    <x v="2"/>
    <x v="617"/>
    <n v="12.39"/>
    <s v="Low"/>
    <n v="3"/>
    <n v="0"/>
    <x v="0"/>
    <x v="0"/>
    <n v="5.6993999999999998"/>
    <n v="0.45999999999999996"/>
    <n v="0"/>
  </r>
  <r>
    <n v="9447"/>
    <s v="CA-2016-158617"/>
    <d v="2016-09-22T00:00:00"/>
    <x v="0"/>
    <s v="Q3"/>
    <x v="21"/>
    <d v="2016-09-28T00:00:00"/>
    <s v="Standard Class"/>
    <x v="663"/>
    <x v="663"/>
    <s v="Consumer"/>
    <s v="United States"/>
    <s v="Lawrence"/>
    <x v="14"/>
    <n v="46226"/>
    <x v="2"/>
    <x v="1357"/>
    <x v="1"/>
    <x v="10"/>
    <x v="1343"/>
    <n v="35.880000000000003"/>
    <s v="Medium"/>
    <n v="6"/>
    <n v="0"/>
    <x v="0"/>
    <x v="0"/>
    <n v="16.146000000000001"/>
    <n v="0.45"/>
    <n v="0"/>
  </r>
  <r>
    <n v="9448"/>
    <s v="CA-2017-136882"/>
    <d v="2017-05-27T00:00:00"/>
    <x v="3"/>
    <s v="Q2"/>
    <x v="24"/>
    <d v="2017-06-03T00:00:00"/>
    <s v="Standard Class"/>
    <x v="35"/>
    <x v="35"/>
    <s v="Consumer"/>
    <s v="United States"/>
    <s v="Tulsa"/>
    <x v="26"/>
    <n v="74133"/>
    <x v="2"/>
    <x v="35"/>
    <x v="0"/>
    <x v="5"/>
    <x v="35"/>
    <n v="477.3"/>
    <s v="High"/>
    <n v="5"/>
    <n v="0"/>
    <x v="0"/>
    <x v="0"/>
    <n v="138.417"/>
    <n v="0.28999999999999998"/>
    <n v="0"/>
  </r>
  <r>
    <n v="9449"/>
    <s v="US-2016-148957"/>
    <d v="2016-09-17T00:00:00"/>
    <x v="0"/>
    <s v="Q3"/>
    <x v="21"/>
    <d v="2016-09-23T00:00:00"/>
    <s v="Standard Class"/>
    <x v="254"/>
    <x v="254"/>
    <s v="Home Office"/>
    <s v="United States"/>
    <s v="Redmond"/>
    <x v="4"/>
    <n v="98052"/>
    <x v="1"/>
    <x v="1038"/>
    <x v="1"/>
    <x v="2"/>
    <x v="1028"/>
    <n v="12.32"/>
    <s v="Low"/>
    <n v="4"/>
    <n v="0"/>
    <x v="0"/>
    <x v="0"/>
    <n v="5.9135999999999997"/>
    <n v="0.48"/>
    <n v="0"/>
  </r>
  <r>
    <n v="9450"/>
    <s v="CA-2014-140032"/>
    <d v="2014-09-08T00:00:00"/>
    <x v="2"/>
    <s v="Q3"/>
    <x v="30"/>
    <d v="2014-09-13T00:00:00"/>
    <s v="Standard Class"/>
    <x v="358"/>
    <x v="358"/>
    <s v="Consumer"/>
    <s v="United States"/>
    <s v="San Francisco"/>
    <x v="1"/>
    <n v="94109"/>
    <x v="1"/>
    <x v="973"/>
    <x v="1"/>
    <x v="8"/>
    <x v="967"/>
    <n v="8.6080000000000005"/>
    <s v="Low"/>
    <n v="2"/>
    <n v="0.2"/>
    <x v="2"/>
    <x v="2"/>
    <n v="3.0127999999999999"/>
    <n v="0.35"/>
    <n v="0"/>
  </r>
  <r>
    <n v="9451"/>
    <s v="CA-2017-145506"/>
    <d v="2017-06-03T00:00:00"/>
    <x v="3"/>
    <s v="Q2"/>
    <x v="27"/>
    <d v="2017-06-07T00:00:00"/>
    <s v="Standard Class"/>
    <x v="246"/>
    <x v="246"/>
    <s v="Home Office"/>
    <s v="United States"/>
    <s v="Spokane"/>
    <x v="4"/>
    <n v="99207"/>
    <x v="1"/>
    <x v="464"/>
    <x v="1"/>
    <x v="4"/>
    <x v="465"/>
    <n v="136.26"/>
    <s v="High"/>
    <n v="9"/>
    <n v="0"/>
    <x v="0"/>
    <x v="0"/>
    <n v="5.4504000000000001"/>
    <n v="0.04"/>
    <n v="0"/>
  </r>
  <r>
    <n v="9452"/>
    <s v="CA-2015-129546"/>
    <d v="2015-09-28T00:00:00"/>
    <x v="1"/>
    <s v="Q3"/>
    <x v="11"/>
    <d v="2015-10-05T00:00:00"/>
    <s v="Standard Class"/>
    <x v="532"/>
    <x v="532"/>
    <s v="Corporate"/>
    <s v="United States"/>
    <s v="Los Angeles"/>
    <x v="1"/>
    <n v="90032"/>
    <x v="1"/>
    <x v="1094"/>
    <x v="1"/>
    <x v="9"/>
    <x v="1084"/>
    <n v="186.15"/>
    <s v="High"/>
    <n v="3"/>
    <n v="0"/>
    <x v="0"/>
    <x v="0"/>
    <n v="55.844999999999999"/>
    <n v="0.3"/>
    <n v="0"/>
  </r>
  <r>
    <n v="9453"/>
    <s v="CA-2015-129546"/>
    <d v="2015-09-28T00:00:00"/>
    <x v="1"/>
    <s v="Q3"/>
    <x v="11"/>
    <d v="2015-10-05T00:00:00"/>
    <s v="Standard Class"/>
    <x v="532"/>
    <x v="532"/>
    <s v="Corporate"/>
    <s v="United States"/>
    <s v="Los Angeles"/>
    <x v="1"/>
    <n v="90032"/>
    <x v="1"/>
    <x v="822"/>
    <x v="1"/>
    <x v="8"/>
    <x v="818"/>
    <n v="81.792000000000002"/>
    <s v="Medium"/>
    <n v="6"/>
    <n v="0.2"/>
    <x v="2"/>
    <x v="2"/>
    <n v="26.5824"/>
    <n v="0.32500000000000001"/>
    <n v="0"/>
  </r>
  <r>
    <n v="9454"/>
    <s v="CA-2015-129546"/>
    <d v="2015-09-28T00:00:00"/>
    <x v="1"/>
    <s v="Q3"/>
    <x v="11"/>
    <d v="2015-10-05T00:00:00"/>
    <s v="Standard Class"/>
    <x v="532"/>
    <x v="532"/>
    <s v="Corporate"/>
    <s v="United States"/>
    <s v="Los Angeles"/>
    <x v="1"/>
    <n v="90032"/>
    <x v="1"/>
    <x v="1799"/>
    <x v="1"/>
    <x v="14"/>
    <x v="1789"/>
    <n v="47.19"/>
    <s v="Medium"/>
    <n v="3"/>
    <n v="0"/>
    <x v="0"/>
    <x v="0"/>
    <n v="13.6851"/>
    <n v="0.29000000000000004"/>
    <n v="0"/>
  </r>
  <r>
    <n v="9455"/>
    <s v="CA-2015-129546"/>
    <d v="2015-09-28T00:00:00"/>
    <x v="1"/>
    <s v="Q3"/>
    <x v="11"/>
    <d v="2015-10-05T00:00:00"/>
    <s v="Standard Class"/>
    <x v="532"/>
    <x v="532"/>
    <s v="Corporate"/>
    <s v="United States"/>
    <s v="Los Angeles"/>
    <x v="1"/>
    <n v="90032"/>
    <x v="1"/>
    <x v="461"/>
    <x v="2"/>
    <x v="7"/>
    <x v="462"/>
    <n v="36.783999999999999"/>
    <s v="Medium"/>
    <n v="2"/>
    <n v="0.2"/>
    <x v="2"/>
    <x v="2"/>
    <n v="-8.2764000000000006"/>
    <n v="-0.22500000000000003"/>
    <n v="1"/>
  </r>
  <r>
    <n v="9456"/>
    <s v="CA-2016-140977"/>
    <d v="2016-06-16T00:00:00"/>
    <x v="0"/>
    <s v="Q2"/>
    <x v="1"/>
    <d v="2016-06-19T00:00:00"/>
    <s v="Second Class"/>
    <x v="311"/>
    <x v="311"/>
    <s v="Home Office"/>
    <s v="United States"/>
    <s v="Chattanooga"/>
    <x v="18"/>
    <n v="37421"/>
    <x v="0"/>
    <x v="1855"/>
    <x v="2"/>
    <x v="15"/>
    <x v="1843"/>
    <n v="91.474999999999994"/>
    <s v="Medium"/>
    <n v="1"/>
    <n v="0.5"/>
    <x v="1"/>
    <x v="1"/>
    <n v="-1.8294999999999999"/>
    <n v="-0.02"/>
    <n v="1"/>
  </r>
  <r>
    <n v="9457"/>
    <s v="CA-2017-151855"/>
    <d v="2017-05-27T00:00:00"/>
    <x v="3"/>
    <s v="Q2"/>
    <x v="24"/>
    <d v="2017-06-03T00:00:00"/>
    <s v="Standard Class"/>
    <x v="308"/>
    <x v="308"/>
    <s v="Corporate"/>
    <s v="United States"/>
    <s v="Greensboro"/>
    <x v="3"/>
    <n v="27405"/>
    <x v="0"/>
    <x v="1856"/>
    <x v="2"/>
    <x v="11"/>
    <x v="1844"/>
    <n v="27.192"/>
    <s v="Medium"/>
    <n v="3"/>
    <n v="0.2"/>
    <x v="2"/>
    <x v="2"/>
    <n v="0.33989999999999998"/>
    <n v="1.2499999999999999E-2"/>
    <n v="0"/>
  </r>
  <r>
    <n v="9458"/>
    <s v="CA-2017-151855"/>
    <d v="2017-05-27T00:00:00"/>
    <x v="3"/>
    <s v="Q2"/>
    <x v="24"/>
    <d v="2017-06-03T00:00:00"/>
    <s v="Standard Class"/>
    <x v="308"/>
    <x v="308"/>
    <s v="Corporate"/>
    <s v="United States"/>
    <s v="Greensboro"/>
    <x v="3"/>
    <n v="27405"/>
    <x v="0"/>
    <x v="1232"/>
    <x v="1"/>
    <x v="8"/>
    <x v="1215"/>
    <n v="12.06"/>
    <s v="Low"/>
    <n v="5"/>
    <n v="0.7"/>
    <x v="1"/>
    <x v="5"/>
    <n v="-10.050000000000001"/>
    <n v="-0.83333333333333337"/>
    <n v="1"/>
  </r>
  <r>
    <n v="9459"/>
    <s v="CA-2014-138240"/>
    <d v="2014-10-09T00:00:00"/>
    <x v="2"/>
    <s v="Q4"/>
    <x v="18"/>
    <d v="2014-10-14T00:00:00"/>
    <s v="Standard Class"/>
    <x v="81"/>
    <x v="81"/>
    <s v="Consumer"/>
    <s v="United States"/>
    <s v="San Francisco"/>
    <x v="1"/>
    <n v="94122"/>
    <x v="1"/>
    <x v="281"/>
    <x v="1"/>
    <x v="6"/>
    <x v="281"/>
    <n v="144.6"/>
    <s v="High"/>
    <n v="3"/>
    <n v="0"/>
    <x v="0"/>
    <x v="0"/>
    <n v="41.933999999999997"/>
    <n v="0.28999999999999998"/>
    <n v="0"/>
  </r>
  <r>
    <n v="9460"/>
    <s v="CA-2014-138240"/>
    <d v="2014-10-09T00:00:00"/>
    <x v="2"/>
    <s v="Q4"/>
    <x v="18"/>
    <d v="2014-10-14T00:00:00"/>
    <s v="Standard Class"/>
    <x v="81"/>
    <x v="81"/>
    <s v="Consumer"/>
    <s v="United States"/>
    <s v="San Francisco"/>
    <x v="1"/>
    <n v="94122"/>
    <x v="1"/>
    <x v="1730"/>
    <x v="2"/>
    <x v="7"/>
    <x v="1717"/>
    <n v="15.992000000000001"/>
    <s v="Low"/>
    <n v="1"/>
    <n v="0.2"/>
    <x v="2"/>
    <x v="2"/>
    <n v="-2.9984999999999999"/>
    <n v="-0.18749999999999997"/>
    <n v="1"/>
  </r>
  <r>
    <n v="9461"/>
    <s v="CA-2014-101833"/>
    <d v="2014-11-17T00:00:00"/>
    <x v="2"/>
    <s v="Q4"/>
    <x v="7"/>
    <d v="2014-11-22T00:00:00"/>
    <s v="Second Class"/>
    <x v="435"/>
    <x v="435"/>
    <s v="Home Office"/>
    <s v="United States"/>
    <s v="New York City"/>
    <x v="15"/>
    <n v="10024"/>
    <x v="3"/>
    <x v="693"/>
    <x v="1"/>
    <x v="10"/>
    <x v="693"/>
    <n v="34.44"/>
    <s v="Medium"/>
    <n v="3"/>
    <n v="0"/>
    <x v="0"/>
    <x v="0"/>
    <n v="17.22"/>
    <n v="0.5"/>
    <n v="0"/>
  </r>
  <r>
    <n v="9462"/>
    <s v="CA-2014-100867"/>
    <d v="2014-10-19T00:00:00"/>
    <x v="2"/>
    <s v="Q4"/>
    <x v="18"/>
    <d v="2014-10-24T00:00:00"/>
    <s v="Standard Class"/>
    <x v="258"/>
    <x v="258"/>
    <s v="Home Office"/>
    <s v="United States"/>
    <s v="Lakewood"/>
    <x v="1"/>
    <n v="90712"/>
    <x v="1"/>
    <x v="1086"/>
    <x v="2"/>
    <x v="7"/>
    <x v="1076"/>
    <n v="321.55200000000002"/>
    <s v="High"/>
    <n v="6"/>
    <n v="0.2"/>
    <x v="2"/>
    <x v="2"/>
    <n v="20.097000000000001"/>
    <n v="6.25E-2"/>
    <n v="0"/>
  </r>
  <r>
    <n v="9463"/>
    <s v="US-2017-109610"/>
    <d v="2017-11-25T00:00:00"/>
    <x v="3"/>
    <s v="Q4"/>
    <x v="23"/>
    <d v="2017-11-30T00:00:00"/>
    <s v="Second Class"/>
    <x v="29"/>
    <x v="29"/>
    <s v="Corporate"/>
    <s v="United States"/>
    <s v="Louisville"/>
    <x v="0"/>
    <n v="40214"/>
    <x v="0"/>
    <x v="1131"/>
    <x v="0"/>
    <x v="1"/>
    <x v="1119"/>
    <n v="701.96"/>
    <s v="High"/>
    <n v="2"/>
    <n v="0"/>
    <x v="0"/>
    <x v="0"/>
    <n v="168.47040000000001"/>
    <n v="0.24"/>
    <n v="0"/>
  </r>
  <r>
    <n v="9464"/>
    <s v="CA-2014-156545"/>
    <d v="2014-02-27T00:00:00"/>
    <x v="2"/>
    <s v="Q1"/>
    <x v="45"/>
    <d v="2014-03-03T00:00:00"/>
    <s v="First Class"/>
    <x v="559"/>
    <x v="559"/>
    <s v="Consumer"/>
    <s v="United States"/>
    <s v="Columbus"/>
    <x v="24"/>
    <n v="43229"/>
    <x v="3"/>
    <x v="487"/>
    <x v="1"/>
    <x v="6"/>
    <x v="487"/>
    <n v="19.456"/>
    <s v="Low"/>
    <n v="4"/>
    <n v="0.2"/>
    <x v="2"/>
    <x v="2"/>
    <n v="3.4047999999999998"/>
    <n v="0.17499999999999999"/>
    <n v="0"/>
  </r>
  <r>
    <n v="9465"/>
    <s v="CA-2014-109127"/>
    <d v="2014-12-21T00:00:00"/>
    <x v="2"/>
    <s v="Q4"/>
    <x v="20"/>
    <d v="2014-12-25T00:00:00"/>
    <s v="Standard Class"/>
    <x v="547"/>
    <x v="547"/>
    <s v="Consumer"/>
    <s v="United States"/>
    <s v="Newark"/>
    <x v="13"/>
    <n v="19711"/>
    <x v="3"/>
    <x v="1568"/>
    <x v="1"/>
    <x v="2"/>
    <x v="1559"/>
    <n v="17.28"/>
    <s v="Low"/>
    <n v="6"/>
    <n v="0"/>
    <x v="0"/>
    <x v="0"/>
    <n v="7.9488000000000003"/>
    <n v="0.45999999999999996"/>
    <n v="0"/>
  </r>
  <r>
    <n v="9466"/>
    <s v="CA-2016-126858"/>
    <d v="2016-11-19T00:00:00"/>
    <x v="0"/>
    <s v="Q4"/>
    <x v="0"/>
    <d v="2016-11-23T00:00:00"/>
    <s v="Standard Class"/>
    <x v="25"/>
    <x v="25"/>
    <s v="Corporate"/>
    <s v="United States"/>
    <s v="Seattle"/>
    <x v="4"/>
    <n v="98115"/>
    <x v="1"/>
    <x v="468"/>
    <x v="0"/>
    <x v="5"/>
    <x v="469"/>
    <n v="31.96"/>
    <s v="Medium"/>
    <n v="2"/>
    <n v="0"/>
    <x v="0"/>
    <x v="0"/>
    <n v="1.5980000000000001"/>
    <n v="0.05"/>
    <n v="0"/>
  </r>
  <r>
    <n v="9467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141"/>
    <x v="1"/>
    <x v="8"/>
    <x v="142"/>
    <n v="164.68799999999999"/>
    <s v="High"/>
    <n v="6"/>
    <n v="0.2"/>
    <x v="2"/>
    <x v="2"/>
    <n v="55.5822"/>
    <n v="0.33750000000000002"/>
    <n v="0"/>
  </r>
  <r>
    <n v="9468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1582"/>
    <x v="0"/>
    <x v="3"/>
    <x v="1573"/>
    <n v="166.5"/>
    <s v="High"/>
    <n v="2"/>
    <n v="0.4"/>
    <x v="1"/>
    <x v="7"/>
    <n v="-66.599999999999994"/>
    <n v="-0.39999999999999997"/>
    <n v="1"/>
  </r>
  <r>
    <n v="9469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680"/>
    <x v="1"/>
    <x v="10"/>
    <x v="680"/>
    <n v="12.96"/>
    <s v="Low"/>
    <n v="2"/>
    <n v="0"/>
    <x v="0"/>
    <x v="0"/>
    <n v="6.2207999999999997"/>
    <n v="0.47999999999999993"/>
    <n v="0"/>
  </r>
  <r>
    <n v="9470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417"/>
    <x v="1"/>
    <x v="10"/>
    <x v="417"/>
    <n v="110.96"/>
    <s v="Medium"/>
    <n v="2"/>
    <n v="0"/>
    <x v="0"/>
    <x v="0"/>
    <n v="53.260800000000003"/>
    <n v="0.48000000000000004"/>
    <n v="0"/>
  </r>
  <r>
    <n v="9471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140"/>
    <x v="2"/>
    <x v="7"/>
    <x v="141"/>
    <n v="99.98"/>
    <s v="Medium"/>
    <n v="2"/>
    <n v="0"/>
    <x v="0"/>
    <x v="0"/>
    <n v="3.9992000000000001"/>
    <n v="0.04"/>
    <n v="0"/>
  </r>
  <r>
    <n v="9472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276"/>
    <x v="1"/>
    <x v="8"/>
    <x v="276"/>
    <n v="11.423999999999999"/>
    <s v="Low"/>
    <n v="1"/>
    <n v="0.2"/>
    <x v="2"/>
    <x v="2"/>
    <n v="3.7128000000000001"/>
    <n v="0.32500000000000001"/>
    <n v="0"/>
  </r>
  <r>
    <n v="9473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1459"/>
    <x v="0"/>
    <x v="1"/>
    <x v="1445"/>
    <n v="128.124"/>
    <s v="High"/>
    <n v="2"/>
    <n v="0.1"/>
    <x v="3"/>
    <x v="8"/>
    <n v="24.2012"/>
    <n v="0.18888888888888888"/>
    <n v="0"/>
  </r>
  <r>
    <n v="9474"/>
    <s v="CA-2017-102925"/>
    <d v="2017-11-05T00:00:00"/>
    <x v="3"/>
    <s v="Q4"/>
    <x v="23"/>
    <d v="2017-11-10T00:00:00"/>
    <s v="Second Class"/>
    <x v="512"/>
    <x v="512"/>
    <s v="Consumer"/>
    <s v="United States"/>
    <s v="New York City"/>
    <x v="15"/>
    <n v="10024"/>
    <x v="3"/>
    <x v="1757"/>
    <x v="0"/>
    <x v="5"/>
    <x v="1747"/>
    <n v="101.4"/>
    <s v="Medium"/>
    <n v="5"/>
    <n v="0"/>
    <x v="0"/>
    <x v="0"/>
    <n v="38.531999999999996"/>
    <n v="0.37999999999999995"/>
    <n v="0"/>
  </r>
  <r>
    <n v="9475"/>
    <s v="CA-2015-100818"/>
    <d v="2015-05-31T00:00:00"/>
    <x v="1"/>
    <s v="Q2"/>
    <x v="33"/>
    <d v="2015-06-05T00:00:00"/>
    <s v="Second Class"/>
    <x v="25"/>
    <x v="25"/>
    <s v="Corporate"/>
    <s v="United States"/>
    <s v="Chicago"/>
    <x v="10"/>
    <n v="60653"/>
    <x v="2"/>
    <x v="1139"/>
    <x v="1"/>
    <x v="2"/>
    <x v="1127"/>
    <n v="5.9039999999999999"/>
    <s v="Low"/>
    <n v="2"/>
    <n v="0.2"/>
    <x v="2"/>
    <x v="2"/>
    <n v="1.9925999999999999"/>
    <n v="0.33749999999999997"/>
    <n v="0"/>
  </r>
  <r>
    <n v="9476"/>
    <s v="CA-2015-100818"/>
    <d v="2015-05-31T00:00:00"/>
    <x v="1"/>
    <s v="Q2"/>
    <x v="33"/>
    <d v="2015-06-05T00:00:00"/>
    <s v="Second Class"/>
    <x v="25"/>
    <x v="25"/>
    <s v="Corporate"/>
    <s v="United States"/>
    <s v="Chicago"/>
    <x v="10"/>
    <n v="60653"/>
    <x v="2"/>
    <x v="1030"/>
    <x v="1"/>
    <x v="10"/>
    <x v="1021"/>
    <n v="173.488"/>
    <s v="High"/>
    <n v="7"/>
    <n v="0.2"/>
    <x v="2"/>
    <x v="2"/>
    <n v="54.215000000000003"/>
    <n v="0.3125"/>
    <n v="0"/>
  </r>
  <r>
    <n v="9477"/>
    <s v="CA-2015-100818"/>
    <d v="2015-05-31T00:00:00"/>
    <x v="1"/>
    <s v="Q2"/>
    <x v="33"/>
    <d v="2015-06-05T00:00:00"/>
    <s v="Second Class"/>
    <x v="25"/>
    <x v="25"/>
    <s v="Corporate"/>
    <s v="United States"/>
    <s v="Chicago"/>
    <x v="10"/>
    <n v="60653"/>
    <x v="2"/>
    <x v="1537"/>
    <x v="0"/>
    <x v="5"/>
    <x v="1525"/>
    <n v="51.56"/>
    <s v="Medium"/>
    <n v="2"/>
    <n v="0.6"/>
    <x v="1"/>
    <x v="6"/>
    <n v="-61.872"/>
    <n v="-1.2"/>
    <n v="1"/>
  </r>
  <r>
    <n v="9478"/>
    <s v="CA-2015-100818"/>
    <d v="2015-05-31T00:00:00"/>
    <x v="1"/>
    <s v="Q2"/>
    <x v="33"/>
    <d v="2015-06-05T00:00:00"/>
    <s v="Second Class"/>
    <x v="25"/>
    <x v="25"/>
    <s v="Corporate"/>
    <s v="United States"/>
    <s v="Chicago"/>
    <x v="10"/>
    <n v="60653"/>
    <x v="2"/>
    <x v="990"/>
    <x v="1"/>
    <x v="8"/>
    <x v="305"/>
    <n v="3.5640000000000001"/>
    <s v="Low"/>
    <n v="3"/>
    <n v="0.8"/>
    <x v="1"/>
    <x v="3"/>
    <n v="-6.2370000000000001"/>
    <n v="-1.75"/>
    <n v="1"/>
  </r>
  <r>
    <n v="9479"/>
    <s v="CA-2014-126193"/>
    <d v="2014-09-07T00:00:00"/>
    <x v="2"/>
    <s v="Q3"/>
    <x v="30"/>
    <d v="2014-09-14T00:00:00"/>
    <s v="Standard Class"/>
    <x v="757"/>
    <x v="757"/>
    <s v="Consumer"/>
    <s v="United States"/>
    <s v="Oswego"/>
    <x v="10"/>
    <n v="60543"/>
    <x v="2"/>
    <x v="1321"/>
    <x v="1"/>
    <x v="13"/>
    <x v="1307"/>
    <n v="13.16"/>
    <s v="Low"/>
    <n v="5"/>
    <n v="0.2"/>
    <x v="2"/>
    <x v="2"/>
    <n v="4.1124999999999998"/>
    <n v="0.3125"/>
    <n v="0"/>
  </r>
  <r>
    <n v="9480"/>
    <s v="CA-2014-126193"/>
    <d v="2014-09-07T00:00:00"/>
    <x v="2"/>
    <s v="Q3"/>
    <x v="30"/>
    <d v="2014-09-14T00:00:00"/>
    <s v="Standard Class"/>
    <x v="757"/>
    <x v="757"/>
    <s v="Consumer"/>
    <s v="United States"/>
    <s v="Oswego"/>
    <x v="10"/>
    <n v="60543"/>
    <x v="2"/>
    <x v="1206"/>
    <x v="1"/>
    <x v="8"/>
    <x v="1191"/>
    <n v="3.8279999999999998"/>
    <s v="Low"/>
    <n v="3"/>
    <n v="0.8"/>
    <x v="1"/>
    <x v="3"/>
    <n v="-6.5076000000000001"/>
    <n v="-1.7000000000000002"/>
    <n v="1"/>
  </r>
  <r>
    <n v="9481"/>
    <s v="CA-2014-126193"/>
    <d v="2014-09-07T00:00:00"/>
    <x v="2"/>
    <s v="Q3"/>
    <x v="30"/>
    <d v="2014-09-14T00:00:00"/>
    <s v="Standard Class"/>
    <x v="757"/>
    <x v="757"/>
    <s v="Consumer"/>
    <s v="United States"/>
    <s v="Oswego"/>
    <x v="10"/>
    <n v="60543"/>
    <x v="2"/>
    <x v="569"/>
    <x v="1"/>
    <x v="8"/>
    <x v="569"/>
    <n v="304.99"/>
    <s v="High"/>
    <n v="5"/>
    <n v="0.8"/>
    <x v="1"/>
    <x v="3"/>
    <n v="-533.73249999999996"/>
    <n v="-1.7499999999999998"/>
    <n v="1"/>
  </r>
  <r>
    <n v="9482"/>
    <s v="CA-2017-150504"/>
    <d v="2017-11-06T00:00:00"/>
    <x v="3"/>
    <s v="Q4"/>
    <x v="23"/>
    <d v="2017-11-12T00:00:00"/>
    <s v="Standard Class"/>
    <x v="668"/>
    <x v="668"/>
    <s v="Consumer"/>
    <s v="United States"/>
    <s v="Dallas"/>
    <x v="5"/>
    <n v="75220"/>
    <x v="2"/>
    <x v="75"/>
    <x v="1"/>
    <x v="4"/>
    <x v="75"/>
    <n v="18.16"/>
    <s v="Low"/>
    <n v="2"/>
    <n v="0.2"/>
    <x v="2"/>
    <x v="2"/>
    <n v="1.8160000000000001"/>
    <n v="0.1"/>
    <n v="0"/>
  </r>
  <r>
    <n v="9483"/>
    <s v="CA-2015-158351"/>
    <d v="2015-06-20T00:00:00"/>
    <x v="1"/>
    <s v="Q2"/>
    <x v="40"/>
    <d v="2015-06-24T00:00:00"/>
    <s v="Second Class"/>
    <x v="604"/>
    <x v="604"/>
    <s v="Home Office"/>
    <s v="United States"/>
    <s v="Philadelphia"/>
    <x v="9"/>
    <n v="19134"/>
    <x v="3"/>
    <x v="651"/>
    <x v="2"/>
    <x v="11"/>
    <x v="651"/>
    <n v="319.98399999999998"/>
    <s v="High"/>
    <n v="2"/>
    <n v="0.2"/>
    <x v="2"/>
    <x v="2"/>
    <n v="91.995400000000004"/>
    <n v="0.28750000000000003"/>
    <n v="0"/>
  </r>
  <r>
    <n v="9484"/>
    <s v="CA-2014-122679"/>
    <d v="2014-07-22T00:00:00"/>
    <x v="2"/>
    <s v="Q3"/>
    <x v="39"/>
    <d v="2014-07-28T00:00:00"/>
    <s v="Standard Class"/>
    <x v="437"/>
    <x v="437"/>
    <s v="Home Office"/>
    <s v="United States"/>
    <s v="Los Angeles"/>
    <x v="1"/>
    <n v="90008"/>
    <x v="1"/>
    <x v="346"/>
    <x v="1"/>
    <x v="6"/>
    <x v="346"/>
    <n v="19.68"/>
    <s v="Low"/>
    <n v="6"/>
    <n v="0"/>
    <x v="0"/>
    <x v="0"/>
    <n v="6.4943999999999997"/>
    <n v="0.33"/>
    <n v="0"/>
  </r>
  <r>
    <n v="9485"/>
    <s v="CA-2016-164770"/>
    <d v="2016-12-02T00:00:00"/>
    <x v="0"/>
    <s v="Q4"/>
    <x v="5"/>
    <d v="2016-12-04T00:00:00"/>
    <s v="Second Class"/>
    <x v="501"/>
    <x v="501"/>
    <s v="Corporate"/>
    <s v="United States"/>
    <s v="Houston"/>
    <x v="5"/>
    <n v="77036"/>
    <x v="2"/>
    <x v="1686"/>
    <x v="0"/>
    <x v="0"/>
    <x v="1674"/>
    <n v="781.86400000000003"/>
    <s v="High"/>
    <n v="10"/>
    <n v="0.32"/>
    <x v="1"/>
    <x v="7"/>
    <n v="-137.976"/>
    <n v="-0.1764705882352941"/>
    <n v="1"/>
  </r>
  <r>
    <n v="9486"/>
    <s v="CA-2016-164770"/>
    <d v="2016-12-02T00:00:00"/>
    <x v="0"/>
    <s v="Q4"/>
    <x v="5"/>
    <d v="2016-12-04T00:00:00"/>
    <s v="Second Class"/>
    <x v="501"/>
    <x v="501"/>
    <s v="Corporate"/>
    <s v="United States"/>
    <s v="Houston"/>
    <x v="5"/>
    <n v="77036"/>
    <x v="2"/>
    <x v="1117"/>
    <x v="1"/>
    <x v="10"/>
    <x v="1105"/>
    <n v="30.815999999999999"/>
    <s v="Medium"/>
    <n v="9"/>
    <n v="0.2"/>
    <x v="2"/>
    <x v="2"/>
    <n v="9.6300000000000008"/>
    <n v="0.31250000000000006"/>
    <n v="0"/>
  </r>
  <r>
    <n v="9487"/>
    <s v="CA-2017-130505"/>
    <d v="2017-10-12T00:00:00"/>
    <x v="3"/>
    <s v="Q4"/>
    <x v="13"/>
    <d v="2017-10-12T00:00:00"/>
    <s v="Same Day"/>
    <x v="173"/>
    <x v="173"/>
    <s v="Consumer"/>
    <s v="United States"/>
    <s v="Wheeling"/>
    <x v="48"/>
    <n v="26003"/>
    <x v="3"/>
    <x v="855"/>
    <x v="0"/>
    <x v="3"/>
    <x v="848"/>
    <n v="673.34400000000005"/>
    <s v="High"/>
    <n v="3"/>
    <n v="0.3"/>
    <x v="1"/>
    <x v="4"/>
    <n v="-76.953599999999994"/>
    <n v="-0.11428571428571427"/>
    <n v="1"/>
  </r>
  <r>
    <n v="9488"/>
    <s v="US-2017-125213"/>
    <d v="2017-12-11T00:00:00"/>
    <x v="3"/>
    <s v="Q4"/>
    <x v="22"/>
    <d v="2017-12-13T00:00:00"/>
    <s v="First Class"/>
    <x v="240"/>
    <x v="240"/>
    <s v="Corporate"/>
    <s v="United States"/>
    <s v="Paterson"/>
    <x v="30"/>
    <n v="7501"/>
    <x v="3"/>
    <x v="845"/>
    <x v="1"/>
    <x v="13"/>
    <x v="839"/>
    <n v="6.54"/>
    <s v="Low"/>
    <n v="3"/>
    <n v="0"/>
    <x v="0"/>
    <x v="0"/>
    <n v="2.1581999999999999"/>
    <n v="0.32999999999999996"/>
    <n v="0"/>
  </r>
  <r>
    <n v="9489"/>
    <s v="CA-2015-156566"/>
    <d v="2015-10-01T00:00:00"/>
    <x v="1"/>
    <s v="Q4"/>
    <x v="2"/>
    <d v="2015-10-04T00:00:00"/>
    <s v="First Class"/>
    <x v="75"/>
    <x v="75"/>
    <s v="Consumer"/>
    <s v="United States"/>
    <s v="Portland"/>
    <x v="21"/>
    <n v="97206"/>
    <x v="1"/>
    <x v="1118"/>
    <x v="2"/>
    <x v="7"/>
    <x v="1106"/>
    <n v="572.79999999999995"/>
    <s v="High"/>
    <n v="2"/>
    <n v="0.2"/>
    <x v="2"/>
    <x v="2"/>
    <n v="50.12"/>
    <n v="8.7500000000000008E-2"/>
    <n v="0"/>
  </r>
  <r>
    <n v="9490"/>
    <s v="US-2016-102232"/>
    <d v="2016-08-05T00:00:00"/>
    <x v="0"/>
    <s v="Q3"/>
    <x v="28"/>
    <d v="2016-08-11T00:00:00"/>
    <s v="Standard Class"/>
    <x v="716"/>
    <x v="716"/>
    <s v="Corporate"/>
    <s v="United States"/>
    <s v="Huntsville"/>
    <x v="19"/>
    <n v="35810"/>
    <x v="0"/>
    <x v="1269"/>
    <x v="1"/>
    <x v="6"/>
    <x v="1254"/>
    <n v="197.05"/>
    <s v="High"/>
    <n v="7"/>
    <n v="0"/>
    <x v="0"/>
    <x v="0"/>
    <n v="59.115000000000002"/>
    <n v="0.3"/>
    <n v="0"/>
  </r>
  <r>
    <n v="9491"/>
    <s v="CA-2017-111738"/>
    <d v="2017-01-03T00:00:00"/>
    <x v="3"/>
    <s v="Q1"/>
    <x v="44"/>
    <d v="2017-01-07T00:00:00"/>
    <s v="Standard Class"/>
    <x v="200"/>
    <x v="200"/>
    <s v="Consumer"/>
    <s v="United States"/>
    <s v="San Francisco"/>
    <x v="1"/>
    <n v="94110"/>
    <x v="1"/>
    <x v="382"/>
    <x v="1"/>
    <x v="8"/>
    <x v="383"/>
    <n v="2022.2719999999999"/>
    <s v="High"/>
    <n v="8"/>
    <n v="0.2"/>
    <x v="2"/>
    <x v="2"/>
    <n v="682.51679999999999"/>
    <n v="0.33750000000000002"/>
    <n v="0"/>
  </r>
  <r>
    <n v="9492"/>
    <s v="CA-2017-111738"/>
    <d v="2017-01-03T00:00:00"/>
    <x v="3"/>
    <s v="Q1"/>
    <x v="44"/>
    <d v="2017-01-07T00:00:00"/>
    <s v="Standard Class"/>
    <x v="200"/>
    <x v="200"/>
    <s v="Consumer"/>
    <s v="United States"/>
    <s v="San Francisco"/>
    <x v="1"/>
    <n v="94110"/>
    <x v="1"/>
    <x v="1279"/>
    <x v="1"/>
    <x v="6"/>
    <x v="1264"/>
    <n v="9.1199999999999992"/>
    <s v="Low"/>
    <n v="3"/>
    <n v="0"/>
    <x v="0"/>
    <x v="0"/>
    <n v="3.1008"/>
    <n v="0.34"/>
    <n v="0"/>
  </r>
  <r>
    <n v="9493"/>
    <s v="CA-2017-163188"/>
    <d v="2017-11-07T00:00:00"/>
    <x v="3"/>
    <s v="Q4"/>
    <x v="23"/>
    <d v="2017-11-07T00:00:00"/>
    <s v="Same Day"/>
    <x v="685"/>
    <x v="685"/>
    <s v="Consumer"/>
    <s v="United States"/>
    <s v="Oklahoma City"/>
    <x v="26"/>
    <n v="73120"/>
    <x v="2"/>
    <x v="15"/>
    <x v="1"/>
    <x v="8"/>
    <x v="15"/>
    <n v="38.159999999999997"/>
    <s v="Medium"/>
    <n v="9"/>
    <n v="0"/>
    <x v="0"/>
    <x v="0"/>
    <n v="19.079999999999998"/>
    <n v="0.5"/>
    <n v="0"/>
  </r>
  <r>
    <n v="9494"/>
    <s v="CA-2016-105207"/>
    <d v="2016-01-03T00:00:00"/>
    <x v="0"/>
    <s v="Q1"/>
    <x v="12"/>
    <d v="2016-01-08T00:00:00"/>
    <s v="Standard Class"/>
    <x v="635"/>
    <x v="635"/>
    <s v="Corporate"/>
    <s v="United States"/>
    <s v="Broken Arrow"/>
    <x v="26"/>
    <n v="74012"/>
    <x v="2"/>
    <x v="342"/>
    <x v="0"/>
    <x v="3"/>
    <x v="342"/>
    <n v="1592.85"/>
    <s v="High"/>
    <n v="7"/>
    <n v="0"/>
    <x v="0"/>
    <x v="0"/>
    <n v="350.42700000000002"/>
    <n v="0.22000000000000003"/>
    <n v="0"/>
  </r>
  <r>
    <n v="9495"/>
    <s v="CA-2016-105207"/>
    <d v="2016-01-03T00:00:00"/>
    <x v="0"/>
    <s v="Q1"/>
    <x v="12"/>
    <d v="2016-01-08T00:00:00"/>
    <s v="Standard Class"/>
    <x v="635"/>
    <x v="635"/>
    <s v="Corporate"/>
    <s v="United States"/>
    <s v="Broken Arrow"/>
    <x v="26"/>
    <n v="74012"/>
    <x v="2"/>
    <x v="990"/>
    <x v="1"/>
    <x v="8"/>
    <x v="305"/>
    <n v="11.88"/>
    <s v="Low"/>
    <n v="2"/>
    <n v="0"/>
    <x v="0"/>
    <x v="0"/>
    <n v="5.3460000000000001"/>
    <n v="0.44999999999999996"/>
    <n v="0"/>
  </r>
  <r>
    <n v="9496"/>
    <s v="US-2016-123610"/>
    <d v="2016-05-12T00:00:00"/>
    <x v="0"/>
    <s v="Q2"/>
    <x v="35"/>
    <d v="2016-05-16T00:00:00"/>
    <s v="Standard Class"/>
    <x v="718"/>
    <x v="718"/>
    <s v="Consumer"/>
    <s v="United States"/>
    <s v="Mission Viejo"/>
    <x v="1"/>
    <n v="92691"/>
    <x v="1"/>
    <x v="1824"/>
    <x v="2"/>
    <x v="11"/>
    <x v="1812"/>
    <n v="120"/>
    <s v="Medium"/>
    <n v="6"/>
    <n v="0"/>
    <x v="0"/>
    <x v="0"/>
    <n v="46.8"/>
    <n v="0.38999999999999996"/>
    <n v="0"/>
  </r>
  <r>
    <n v="9497"/>
    <s v="US-2016-123610"/>
    <d v="2016-05-12T00:00:00"/>
    <x v="0"/>
    <s v="Q2"/>
    <x v="35"/>
    <d v="2016-05-16T00:00:00"/>
    <s v="Standard Class"/>
    <x v="718"/>
    <x v="718"/>
    <s v="Consumer"/>
    <s v="United States"/>
    <s v="Mission Viejo"/>
    <x v="1"/>
    <n v="92691"/>
    <x v="1"/>
    <x v="1295"/>
    <x v="1"/>
    <x v="9"/>
    <x v="360"/>
    <n v="8.67"/>
    <s v="Low"/>
    <n v="1"/>
    <n v="0"/>
    <x v="0"/>
    <x v="0"/>
    <n v="2.3409"/>
    <n v="0.27"/>
    <n v="0"/>
  </r>
  <r>
    <n v="9498"/>
    <s v="CA-2017-118213"/>
    <d v="2017-11-05T00:00:00"/>
    <x v="3"/>
    <s v="Q4"/>
    <x v="23"/>
    <d v="2017-11-07T00:00:00"/>
    <s v="First Class"/>
    <x v="144"/>
    <x v="144"/>
    <s v="Home Office"/>
    <s v="United States"/>
    <s v="Greenwood"/>
    <x v="14"/>
    <n v="46142"/>
    <x v="2"/>
    <x v="249"/>
    <x v="1"/>
    <x v="10"/>
    <x v="250"/>
    <n v="4.41"/>
    <s v="Low"/>
    <n v="1"/>
    <n v="0"/>
    <x v="0"/>
    <x v="0"/>
    <n v="2.0286"/>
    <n v="0.45999999999999996"/>
    <n v="0"/>
  </r>
  <r>
    <n v="9499"/>
    <s v="CA-2017-118213"/>
    <d v="2017-11-05T00:00:00"/>
    <x v="3"/>
    <s v="Q4"/>
    <x v="23"/>
    <d v="2017-11-07T00:00:00"/>
    <s v="First Class"/>
    <x v="144"/>
    <x v="144"/>
    <s v="Home Office"/>
    <s v="United States"/>
    <s v="Greenwood"/>
    <x v="14"/>
    <n v="46142"/>
    <x v="2"/>
    <x v="1654"/>
    <x v="1"/>
    <x v="10"/>
    <x v="33"/>
    <n v="167.94"/>
    <s v="High"/>
    <n v="3"/>
    <n v="0"/>
    <x v="0"/>
    <x v="0"/>
    <n v="82.290599999999998"/>
    <n v="0.49"/>
    <n v="0"/>
  </r>
  <r>
    <n v="9500"/>
    <s v="CA-2017-118213"/>
    <d v="2017-11-05T00:00:00"/>
    <x v="3"/>
    <s v="Q4"/>
    <x v="23"/>
    <d v="2017-11-07T00:00:00"/>
    <s v="First Class"/>
    <x v="144"/>
    <x v="144"/>
    <s v="Home Office"/>
    <s v="United States"/>
    <s v="Greenwood"/>
    <x v="14"/>
    <n v="46142"/>
    <x v="2"/>
    <x v="987"/>
    <x v="1"/>
    <x v="10"/>
    <x v="980"/>
    <n v="67.8"/>
    <s v="Medium"/>
    <n v="10"/>
    <n v="0"/>
    <x v="0"/>
    <x v="0"/>
    <n v="31.187999999999999"/>
    <n v="0.46"/>
    <n v="0"/>
  </r>
  <r>
    <n v="9501"/>
    <s v="CA-2016-149237"/>
    <d v="2016-05-26T00:00:00"/>
    <x v="0"/>
    <s v="Q2"/>
    <x v="35"/>
    <d v="2016-05-30T00:00:00"/>
    <s v="Standard Class"/>
    <x v="632"/>
    <x v="632"/>
    <s v="Consumer"/>
    <s v="United States"/>
    <s v="Milwaukee"/>
    <x v="6"/>
    <n v="53209"/>
    <x v="2"/>
    <x v="1104"/>
    <x v="0"/>
    <x v="5"/>
    <x v="1093"/>
    <n v="26.94"/>
    <s v="Medium"/>
    <n v="3"/>
    <n v="0"/>
    <x v="0"/>
    <x v="0"/>
    <n v="11.3148"/>
    <n v="0.42"/>
    <n v="0"/>
  </r>
  <r>
    <n v="9502"/>
    <s v="US-2015-158589"/>
    <d v="2015-11-20T00:00:00"/>
    <x v="1"/>
    <s v="Q4"/>
    <x v="6"/>
    <d v="2015-11-24T00:00:00"/>
    <s v="Standard Class"/>
    <x v="608"/>
    <x v="608"/>
    <s v="Consumer"/>
    <s v="United States"/>
    <s v="San Francisco"/>
    <x v="1"/>
    <n v="94109"/>
    <x v="1"/>
    <x v="1445"/>
    <x v="0"/>
    <x v="5"/>
    <x v="1432"/>
    <n v="32.04"/>
    <s v="Medium"/>
    <n v="3"/>
    <n v="0"/>
    <x v="0"/>
    <x v="0"/>
    <n v="8.01"/>
    <n v="0.25"/>
    <n v="0"/>
  </r>
  <r>
    <n v="9503"/>
    <s v="CA-2016-101329"/>
    <d v="2016-04-22T00:00:00"/>
    <x v="0"/>
    <s v="Q2"/>
    <x v="25"/>
    <d v="2016-04-29T00:00:00"/>
    <s v="Standard Class"/>
    <x v="462"/>
    <x v="462"/>
    <s v="Consumer"/>
    <s v="United States"/>
    <s v="Rome"/>
    <x v="15"/>
    <n v="13440"/>
    <x v="3"/>
    <x v="1742"/>
    <x v="1"/>
    <x v="6"/>
    <x v="1731"/>
    <n v="32.130000000000003"/>
    <s v="Medium"/>
    <n v="9"/>
    <n v="0"/>
    <x v="0"/>
    <x v="0"/>
    <n v="8.3537999999999997"/>
    <n v="0.25999999999999995"/>
    <n v="0"/>
  </r>
  <r>
    <n v="9504"/>
    <s v="CA-2016-101329"/>
    <d v="2016-04-22T00:00:00"/>
    <x v="0"/>
    <s v="Q2"/>
    <x v="25"/>
    <d v="2016-04-29T00:00:00"/>
    <s v="Standard Class"/>
    <x v="462"/>
    <x v="462"/>
    <s v="Consumer"/>
    <s v="United States"/>
    <s v="Rome"/>
    <x v="15"/>
    <n v="13440"/>
    <x v="3"/>
    <x v="649"/>
    <x v="1"/>
    <x v="6"/>
    <x v="649"/>
    <n v="2.88"/>
    <s v="Low"/>
    <n v="1"/>
    <n v="0"/>
    <x v="0"/>
    <x v="0"/>
    <n v="0.80640000000000001"/>
    <n v="0.28000000000000003"/>
    <n v="0"/>
  </r>
  <r>
    <n v="9505"/>
    <s v="CA-2016-113607"/>
    <d v="2016-10-14T00:00:00"/>
    <x v="0"/>
    <s v="Q4"/>
    <x v="32"/>
    <d v="2016-10-18T00:00:00"/>
    <s v="Standard Class"/>
    <x v="463"/>
    <x v="463"/>
    <s v="Corporate"/>
    <s v="United States"/>
    <s v="New York City"/>
    <x v="15"/>
    <n v="10009"/>
    <x v="3"/>
    <x v="1807"/>
    <x v="2"/>
    <x v="7"/>
    <x v="1797"/>
    <n v="1091.93"/>
    <s v="High"/>
    <n v="7"/>
    <n v="0"/>
    <x v="0"/>
    <x v="0"/>
    <n v="272.98250000000002"/>
    <n v="0.25"/>
    <n v="0"/>
  </r>
  <r>
    <n v="9506"/>
    <s v="CA-2016-113607"/>
    <d v="2016-10-14T00:00:00"/>
    <x v="0"/>
    <s v="Q4"/>
    <x v="32"/>
    <d v="2016-10-18T00:00:00"/>
    <s v="Standard Class"/>
    <x v="463"/>
    <x v="463"/>
    <s v="Corporate"/>
    <s v="United States"/>
    <s v="New York City"/>
    <x v="15"/>
    <n v="10009"/>
    <x v="3"/>
    <x v="314"/>
    <x v="1"/>
    <x v="10"/>
    <x v="366"/>
    <n v="111.96"/>
    <s v="Medium"/>
    <n v="2"/>
    <n v="0"/>
    <x v="0"/>
    <x v="0"/>
    <n v="54.860399999999998"/>
    <n v="0.49"/>
    <n v="0"/>
  </r>
  <r>
    <n v="9507"/>
    <s v="CA-2014-149104"/>
    <d v="2014-04-05T00:00:00"/>
    <x v="2"/>
    <s v="Q2"/>
    <x v="41"/>
    <d v="2014-04-07T00:00:00"/>
    <s v="Second Class"/>
    <x v="76"/>
    <x v="76"/>
    <s v="Consumer"/>
    <s v="United States"/>
    <s v="Dearborn Heights"/>
    <x v="12"/>
    <n v="48127"/>
    <x v="2"/>
    <x v="818"/>
    <x v="1"/>
    <x v="6"/>
    <x v="814"/>
    <n v="26.7"/>
    <s v="Medium"/>
    <n v="2"/>
    <n v="0"/>
    <x v="0"/>
    <x v="0"/>
    <n v="7.476"/>
    <n v="0.28000000000000003"/>
    <n v="0"/>
  </r>
  <r>
    <n v="9508"/>
    <s v="CA-2014-149104"/>
    <d v="2014-04-05T00:00:00"/>
    <x v="2"/>
    <s v="Q2"/>
    <x v="41"/>
    <d v="2014-04-07T00:00:00"/>
    <s v="Second Class"/>
    <x v="76"/>
    <x v="76"/>
    <s v="Consumer"/>
    <s v="United States"/>
    <s v="Dearborn Heights"/>
    <x v="12"/>
    <n v="48127"/>
    <x v="2"/>
    <x v="1232"/>
    <x v="1"/>
    <x v="8"/>
    <x v="1215"/>
    <n v="40.200000000000003"/>
    <s v="Medium"/>
    <n v="5"/>
    <n v="0"/>
    <x v="0"/>
    <x v="0"/>
    <n v="18.09"/>
    <n v="0.44999999999999996"/>
    <n v="0"/>
  </r>
  <r>
    <n v="9509"/>
    <s v="CA-2014-149104"/>
    <d v="2014-04-05T00:00:00"/>
    <x v="2"/>
    <s v="Q2"/>
    <x v="41"/>
    <d v="2014-04-07T00:00:00"/>
    <s v="Second Class"/>
    <x v="76"/>
    <x v="76"/>
    <s v="Consumer"/>
    <s v="United States"/>
    <s v="Dearborn Heights"/>
    <x v="12"/>
    <n v="48127"/>
    <x v="2"/>
    <x v="182"/>
    <x v="1"/>
    <x v="6"/>
    <x v="183"/>
    <n v="13.89"/>
    <s v="Low"/>
    <n v="3"/>
    <n v="0"/>
    <x v="0"/>
    <x v="0"/>
    <n v="4.5837000000000003"/>
    <n v="0.33"/>
    <n v="0"/>
  </r>
  <r>
    <n v="9510"/>
    <s v="CA-2014-149104"/>
    <d v="2014-04-05T00:00:00"/>
    <x v="2"/>
    <s v="Q2"/>
    <x v="41"/>
    <d v="2014-04-07T00:00:00"/>
    <s v="Second Class"/>
    <x v="76"/>
    <x v="76"/>
    <s v="Consumer"/>
    <s v="United States"/>
    <s v="Dearborn Heights"/>
    <x v="12"/>
    <n v="48127"/>
    <x v="2"/>
    <x v="156"/>
    <x v="1"/>
    <x v="4"/>
    <x v="157"/>
    <n v="689.82"/>
    <s v="High"/>
    <n v="6"/>
    <n v="0"/>
    <x v="0"/>
    <x v="0"/>
    <n v="20.694600000000001"/>
    <n v="0.03"/>
    <n v="0"/>
  </r>
  <r>
    <n v="9511"/>
    <s v="CA-2016-105263"/>
    <d v="2016-08-06T00:00:00"/>
    <x v="0"/>
    <s v="Q3"/>
    <x v="28"/>
    <d v="2016-08-11T00:00:00"/>
    <s v="Standard Class"/>
    <x v="215"/>
    <x v="215"/>
    <s v="Consumer"/>
    <s v="United States"/>
    <s v="New York City"/>
    <x v="15"/>
    <n v="10024"/>
    <x v="3"/>
    <x v="319"/>
    <x v="1"/>
    <x v="6"/>
    <x v="319"/>
    <n v="38.340000000000003"/>
    <s v="Medium"/>
    <n v="9"/>
    <n v="0"/>
    <x v="0"/>
    <x v="0"/>
    <n v="15.7194"/>
    <n v="0.41"/>
    <n v="0"/>
  </r>
  <r>
    <n v="9512"/>
    <s v="CA-2014-130575"/>
    <d v="2014-12-14T00:00:00"/>
    <x v="2"/>
    <s v="Q4"/>
    <x v="20"/>
    <d v="2014-12-16T00:00:00"/>
    <s v="First Class"/>
    <x v="688"/>
    <x v="688"/>
    <s v="Corporate"/>
    <s v="United States"/>
    <s v="Chicago"/>
    <x v="10"/>
    <n v="60623"/>
    <x v="2"/>
    <x v="1087"/>
    <x v="1"/>
    <x v="8"/>
    <x v="1077"/>
    <n v="9.2639999999999993"/>
    <s v="Low"/>
    <n v="3"/>
    <n v="0.8"/>
    <x v="1"/>
    <x v="3"/>
    <n v="-13.896000000000001"/>
    <n v="-1.5000000000000002"/>
    <n v="1"/>
  </r>
  <r>
    <n v="9513"/>
    <s v="CA-2017-142461"/>
    <d v="2017-05-30T00:00:00"/>
    <x v="3"/>
    <s v="Q2"/>
    <x v="24"/>
    <d v="2017-06-03T00:00:00"/>
    <s v="Second Class"/>
    <x v="409"/>
    <x v="409"/>
    <s v="Consumer"/>
    <s v="United States"/>
    <s v="Dallas"/>
    <x v="5"/>
    <n v="75217"/>
    <x v="2"/>
    <x v="789"/>
    <x v="0"/>
    <x v="0"/>
    <x v="787"/>
    <n v="204.66640000000001"/>
    <s v="High"/>
    <n v="1"/>
    <n v="0.32"/>
    <x v="1"/>
    <x v="7"/>
    <n v="-6.0195999999999996"/>
    <n v="-2.9411764705882349E-2"/>
    <n v="1"/>
  </r>
  <r>
    <n v="9514"/>
    <s v="CA-2016-125220"/>
    <d v="2016-10-14T00:00:00"/>
    <x v="0"/>
    <s v="Q4"/>
    <x v="32"/>
    <d v="2016-10-19T00:00:00"/>
    <s v="Standard Class"/>
    <x v="648"/>
    <x v="648"/>
    <s v="Consumer"/>
    <s v="United States"/>
    <s v="Appleton"/>
    <x v="6"/>
    <n v="54915"/>
    <x v="2"/>
    <x v="764"/>
    <x v="2"/>
    <x v="11"/>
    <x v="763"/>
    <n v="1649.75"/>
    <s v="High"/>
    <n v="5"/>
    <n v="0"/>
    <x v="0"/>
    <x v="0"/>
    <n v="544.41750000000002"/>
    <n v="0.33"/>
    <n v="0"/>
  </r>
  <r>
    <n v="9515"/>
    <s v="CA-2014-100293"/>
    <d v="2014-03-14T00:00:00"/>
    <x v="2"/>
    <s v="Q1"/>
    <x v="34"/>
    <d v="2014-03-18T00:00:00"/>
    <s v="Standard Class"/>
    <x v="739"/>
    <x v="739"/>
    <s v="Home Office"/>
    <s v="United States"/>
    <s v="Jacksonville"/>
    <x v="2"/>
    <n v="32216"/>
    <x v="0"/>
    <x v="640"/>
    <x v="1"/>
    <x v="10"/>
    <x v="640"/>
    <n v="91.055999999999997"/>
    <s v="Medium"/>
    <n v="6"/>
    <n v="0.2"/>
    <x v="2"/>
    <x v="2"/>
    <n v="31.869599999999998"/>
    <n v="0.35"/>
    <n v="0"/>
  </r>
  <r>
    <n v="9516"/>
    <s v="CA-2014-154165"/>
    <d v="2014-02-17T00:00:00"/>
    <x v="2"/>
    <s v="Q1"/>
    <x v="45"/>
    <d v="2014-02-24T00:00:00"/>
    <s v="Standard Class"/>
    <x v="111"/>
    <x v="111"/>
    <s v="Consumer"/>
    <s v="United States"/>
    <s v="Chicago"/>
    <x v="10"/>
    <n v="60653"/>
    <x v="2"/>
    <x v="1159"/>
    <x v="1"/>
    <x v="6"/>
    <x v="772"/>
    <n v="54.207999999999998"/>
    <s v="Medium"/>
    <n v="14"/>
    <n v="0.2"/>
    <x v="2"/>
    <x v="2"/>
    <n v="8.8087999999999997"/>
    <n v="0.16250000000000001"/>
    <n v="0"/>
  </r>
  <r>
    <n v="9517"/>
    <s v="CA-2015-123939"/>
    <d v="2015-08-24T00:00:00"/>
    <x v="1"/>
    <s v="Q3"/>
    <x v="37"/>
    <d v="2015-08-26T00:00:00"/>
    <s v="Second Class"/>
    <x v="384"/>
    <x v="384"/>
    <s v="Consumer"/>
    <s v="United States"/>
    <s v="Bowling Green"/>
    <x v="24"/>
    <n v="43402"/>
    <x v="3"/>
    <x v="1250"/>
    <x v="2"/>
    <x v="7"/>
    <x v="1234"/>
    <n v="26.981999999999999"/>
    <s v="Medium"/>
    <n v="3"/>
    <n v="0.4"/>
    <x v="1"/>
    <x v="7"/>
    <n v="4.0472999999999999"/>
    <n v="0.15"/>
    <n v="0"/>
  </r>
  <r>
    <n v="9518"/>
    <s v="CA-2015-123939"/>
    <d v="2015-08-24T00:00:00"/>
    <x v="1"/>
    <s v="Q3"/>
    <x v="37"/>
    <d v="2015-08-26T00:00:00"/>
    <s v="Second Class"/>
    <x v="384"/>
    <x v="384"/>
    <s v="Consumer"/>
    <s v="United States"/>
    <s v="Bowling Green"/>
    <x v="24"/>
    <n v="43402"/>
    <x v="3"/>
    <x v="1186"/>
    <x v="1"/>
    <x v="2"/>
    <x v="1172"/>
    <n v="6.9119999999999999"/>
    <s v="Low"/>
    <n v="3"/>
    <n v="0.2"/>
    <x v="2"/>
    <x v="2"/>
    <n v="2.5055999999999998"/>
    <n v="0.36249999999999999"/>
    <n v="0"/>
  </r>
  <r>
    <n v="9519"/>
    <s v="CA-2015-123939"/>
    <d v="2015-08-24T00:00:00"/>
    <x v="1"/>
    <s v="Q3"/>
    <x v="37"/>
    <d v="2015-08-26T00:00:00"/>
    <s v="Second Class"/>
    <x v="384"/>
    <x v="384"/>
    <s v="Consumer"/>
    <s v="United States"/>
    <s v="Bowling Green"/>
    <x v="24"/>
    <n v="43402"/>
    <x v="3"/>
    <x v="245"/>
    <x v="1"/>
    <x v="4"/>
    <x v="246"/>
    <n v="435.50400000000002"/>
    <s v="High"/>
    <n v="3"/>
    <n v="0.2"/>
    <x v="2"/>
    <x v="2"/>
    <n v="48.994199999999999"/>
    <n v="0.11249999999999999"/>
    <n v="0"/>
  </r>
  <r>
    <n v="9520"/>
    <s v="US-2017-104451"/>
    <d v="2017-05-08T00:00:00"/>
    <x v="3"/>
    <s v="Q2"/>
    <x v="24"/>
    <d v="2017-05-12T00:00:00"/>
    <s v="Second Class"/>
    <x v="514"/>
    <x v="514"/>
    <s v="Consumer"/>
    <s v="United States"/>
    <s v="San Francisco"/>
    <x v="1"/>
    <n v="94110"/>
    <x v="1"/>
    <x v="1266"/>
    <x v="1"/>
    <x v="9"/>
    <x v="1250"/>
    <n v="81.08"/>
    <s v="Medium"/>
    <n v="4"/>
    <n v="0"/>
    <x v="0"/>
    <x v="0"/>
    <n v="22.702400000000001"/>
    <n v="0.28000000000000003"/>
    <n v="0"/>
  </r>
  <r>
    <n v="9521"/>
    <s v="CA-2016-101189"/>
    <d v="2016-02-04T00:00:00"/>
    <x v="0"/>
    <s v="Q1"/>
    <x v="47"/>
    <d v="2016-02-09T00:00:00"/>
    <s v="Standard Class"/>
    <x v="80"/>
    <x v="80"/>
    <s v="Corporate"/>
    <s v="United States"/>
    <s v="Los Angeles"/>
    <x v="1"/>
    <n v="90049"/>
    <x v="1"/>
    <x v="243"/>
    <x v="1"/>
    <x v="4"/>
    <x v="244"/>
    <n v="93.02"/>
    <s v="Medium"/>
    <n v="2"/>
    <n v="0"/>
    <x v="0"/>
    <x v="0"/>
    <n v="3.7208000000000001"/>
    <n v="0.04"/>
    <n v="0"/>
  </r>
  <r>
    <n v="9522"/>
    <s v="CA-2014-169446"/>
    <d v="2014-12-19T00:00:00"/>
    <x v="2"/>
    <s v="Q4"/>
    <x v="20"/>
    <d v="2014-12-25T00:00:00"/>
    <s v="Standard Class"/>
    <x v="611"/>
    <x v="611"/>
    <s v="Consumer"/>
    <s v="United States"/>
    <s v="Chicago"/>
    <x v="10"/>
    <n v="60623"/>
    <x v="2"/>
    <x v="1857"/>
    <x v="2"/>
    <x v="7"/>
    <x v="1845"/>
    <n v="323.976"/>
    <s v="High"/>
    <n v="3"/>
    <n v="0.2"/>
    <x v="2"/>
    <x v="2"/>
    <n v="36.447299999999998"/>
    <n v="0.11249999999999999"/>
    <n v="0"/>
  </r>
  <r>
    <n v="9523"/>
    <s v="CA-2014-169446"/>
    <d v="2014-12-19T00:00:00"/>
    <x v="2"/>
    <s v="Q4"/>
    <x v="20"/>
    <d v="2014-12-25T00:00:00"/>
    <s v="Standard Class"/>
    <x v="611"/>
    <x v="611"/>
    <s v="Consumer"/>
    <s v="United States"/>
    <s v="Chicago"/>
    <x v="10"/>
    <n v="60623"/>
    <x v="2"/>
    <x v="1798"/>
    <x v="1"/>
    <x v="10"/>
    <x v="1788"/>
    <n v="15.552"/>
    <s v="Low"/>
    <n v="3"/>
    <n v="0.2"/>
    <x v="2"/>
    <x v="2"/>
    <n v="5.4432"/>
    <n v="0.35000000000000003"/>
    <n v="0"/>
  </r>
  <r>
    <n v="9524"/>
    <s v="CA-2014-169446"/>
    <d v="2014-12-19T00:00:00"/>
    <x v="2"/>
    <s v="Q4"/>
    <x v="20"/>
    <d v="2014-12-25T00:00:00"/>
    <s v="Standard Class"/>
    <x v="611"/>
    <x v="611"/>
    <s v="Consumer"/>
    <s v="United States"/>
    <s v="Chicago"/>
    <x v="10"/>
    <n v="60623"/>
    <x v="2"/>
    <x v="1033"/>
    <x v="1"/>
    <x v="4"/>
    <x v="1024"/>
    <n v="32.591999999999999"/>
    <s v="Medium"/>
    <n v="3"/>
    <n v="0.2"/>
    <x v="2"/>
    <x v="2"/>
    <n v="-7.7405999999999997"/>
    <n v="-0.23749999999999999"/>
    <n v="1"/>
  </r>
  <r>
    <n v="9525"/>
    <s v="CA-2017-156958"/>
    <d v="2017-12-05T00:00:00"/>
    <x v="3"/>
    <s v="Q4"/>
    <x v="22"/>
    <d v="2017-12-06T00:00:00"/>
    <s v="First Class"/>
    <x v="583"/>
    <x v="583"/>
    <s v="Home Office"/>
    <s v="United States"/>
    <s v="Seattle"/>
    <x v="4"/>
    <n v="98115"/>
    <x v="1"/>
    <x v="301"/>
    <x v="1"/>
    <x v="8"/>
    <x v="301"/>
    <n v="83.92"/>
    <s v="Medium"/>
    <n v="5"/>
    <n v="0.2"/>
    <x v="2"/>
    <x v="2"/>
    <n v="29.372"/>
    <n v="0.35"/>
    <n v="0"/>
  </r>
  <r>
    <n v="9526"/>
    <s v="CA-2017-156958"/>
    <d v="2017-12-05T00:00:00"/>
    <x v="3"/>
    <s v="Q4"/>
    <x v="22"/>
    <d v="2017-12-06T00:00:00"/>
    <s v="First Class"/>
    <x v="583"/>
    <x v="583"/>
    <s v="Home Office"/>
    <s v="United States"/>
    <s v="Seattle"/>
    <x v="4"/>
    <n v="98115"/>
    <x v="1"/>
    <x v="892"/>
    <x v="0"/>
    <x v="5"/>
    <x v="885"/>
    <n v="199.9"/>
    <s v="High"/>
    <n v="5"/>
    <n v="0"/>
    <x v="0"/>
    <x v="0"/>
    <n v="39.979999999999997"/>
    <n v="0.19999999999999998"/>
    <n v="0"/>
  </r>
  <r>
    <n v="9527"/>
    <s v="CA-2017-156958"/>
    <d v="2017-12-05T00:00:00"/>
    <x v="3"/>
    <s v="Q4"/>
    <x v="22"/>
    <d v="2017-12-06T00:00:00"/>
    <s v="First Class"/>
    <x v="583"/>
    <x v="583"/>
    <s v="Home Office"/>
    <s v="United States"/>
    <s v="Seattle"/>
    <x v="4"/>
    <n v="98115"/>
    <x v="1"/>
    <x v="780"/>
    <x v="2"/>
    <x v="7"/>
    <x v="779"/>
    <n v="31.175999999999998"/>
    <s v="Medium"/>
    <n v="3"/>
    <n v="0.2"/>
    <x v="2"/>
    <x v="2"/>
    <n v="-7.0145999999999997"/>
    <n v="-0.22500000000000001"/>
    <n v="1"/>
  </r>
  <r>
    <n v="9528"/>
    <s v="CA-2017-156958"/>
    <d v="2017-12-05T00:00:00"/>
    <x v="3"/>
    <s v="Q4"/>
    <x v="22"/>
    <d v="2017-12-06T00:00:00"/>
    <s v="First Class"/>
    <x v="583"/>
    <x v="583"/>
    <s v="Home Office"/>
    <s v="United States"/>
    <s v="Seattle"/>
    <x v="4"/>
    <n v="98115"/>
    <x v="1"/>
    <x v="379"/>
    <x v="1"/>
    <x v="8"/>
    <x v="380"/>
    <n v="172.75200000000001"/>
    <s v="High"/>
    <n v="6"/>
    <n v="0.2"/>
    <x v="2"/>
    <x v="2"/>
    <n v="60.463200000000001"/>
    <n v="0.35"/>
    <n v="0"/>
  </r>
  <r>
    <n v="9529"/>
    <s v="CA-2017-156958"/>
    <d v="2017-12-05T00:00:00"/>
    <x v="3"/>
    <s v="Q4"/>
    <x v="22"/>
    <d v="2017-12-06T00:00:00"/>
    <s v="First Class"/>
    <x v="583"/>
    <x v="583"/>
    <s v="Home Office"/>
    <s v="United States"/>
    <s v="Seattle"/>
    <x v="4"/>
    <n v="98115"/>
    <x v="1"/>
    <x v="699"/>
    <x v="1"/>
    <x v="8"/>
    <x v="699"/>
    <n v="9.2959999999999994"/>
    <s v="Low"/>
    <n v="2"/>
    <n v="0.2"/>
    <x v="2"/>
    <x v="2"/>
    <n v="3.0211999999999999"/>
    <n v="0.32500000000000001"/>
    <n v="0"/>
  </r>
  <r>
    <n v="9530"/>
    <s v="CA-2017-101637"/>
    <d v="2017-03-24T00:00:00"/>
    <x v="3"/>
    <s v="Q1"/>
    <x v="42"/>
    <d v="2017-03-25T00:00:00"/>
    <s v="Same Day"/>
    <x v="556"/>
    <x v="556"/>
    <s v="Corporate"/>
    <s v="United States"/>
    <s v="Beaumont"/>
    <x v="5"/>
    <n v="77705"/>
    <x v="2"/>
    <x v="861"/>
    <x v="1"/>
    <x v="4"/>
    <x v="855"/>
    <n v="12.768000000000001"/>
    <s v="Low"/>
    <n v="2"/>
    <n v="0.2"/>
    <x v="2"/>
    <x v="2"/>
    <n v="0.95760000000000001"/>
    <n v="7.4999999999999997E-2"/>
    <n v="0"/>
  </r>
  <r>
    <n v="9531"/>
    <s v="CA-2017-111759"/>
    <d v="2017-07-08T00:00:00"/>
    <x v="3"/>
    <s v="Q3"/>
    <x v="10"/>
    <d v="2017-07-12T00:00:00"/>
    <s v="Standard Class"/>
    <x v="280"/>
    <x v="280"/>
    <s v="Home Office"/>
    <s v="United States"/>
    <s v="Seattle"/>
    <x v="4"/>
    <n v="98103"/>
    <x v="1"/>
    <x v="813"/>
    <x v="1"/>
    <x v="10"/>
    <x v="33"/>
    <n v="52.76"/>
    <s v="Medium"/>
    <n v="2"/>
    <n v="0"/>
    <x v="0"/>
    <x v="0"/>
    <n v="24.269600000000001"/>
    <n v="0.46"/>
    <n v="0"/>
  </r>
  <r>
    <n v="9532"/>
    <s v="CA-2017-102729"/>
    <d v="2017-10-26T00:00:00"/>
    <x v="3"/>
    <s v="Q4"/>
    <x v="13"/>
    <d v="2017-10-31T00:00:00"/>
    <s v="Standard Class"/>
    <x v="682"/>
    <x v="682"/>
    <s v="Home Office"/>
    <s v="United States"/>
    <s v="Dallas"/>
    <x v="5"/>
    <n v="75217"/>
    <x v="2"/>
    <x v="1156"/>
    <x v="1"/>
    <x v="4"/>
    <x v="1144"/>
    <n v="55.616"/>
    <s v="Medium"/>
    <n v="2"/>
    <n v="0.2"/>
    <x v="2"/>
    <x v="2"/>
    <n v="5.5616000000000003"/>
    <n v="0.1"/>
    <n v="0"/>
  </r>
  <r>
    <n v="9533"/>
    <s v="CA-2016-116596"/>
    <d v="2016-10-27T00:00:00"/>
    <x v="0"/>
    <s v="Q4"/>
    <x v="32"/>
    <d v="2016-10-31T00:00:00"/>
    <s v="Standard Class"/>
    <x v="572"/>
    <x v="572"/>
    <s v="Consumer"/>
    <s v="United States"/>
    <s v="New York City"/>
    <x v="15"/>
    <n v="10011"/>
    <x v="3"/>
    <x v="1272"/>
    <x v="0"/>
    <x v="1"/>
    <x v="1257"/>
    <n v="427.64400000000001"/>
    <s v="High"/>
    <n v="14"/>
    <n v="0.1"/>
    <x v="3"/>
    <x v="8"/>
    <n v="80.777199999999993"/>
    <n v="0.18888888888888888"/>
    <n v="0"/>
  </r>
  <r>
    <n v="9534"/>
    <s v="CA-2016-116596"/>
    <d v="2016-10-27T00:00:00"/>
    <x v="0"/>
    <s v="Q4"/>
    <x v="32"/>
    <d v="2016-10-31T00:00:00"/>
    <s v="Standard Class"/>
    <x v="572"/>
    <x v="572"/>
    <s v="Consumer"/>
    <s v="United States"/>
    <s v="New York City"/>
    <x v="15"/>
    <n v="10011"/>
    <x v="3"/>
    <x v="195"/>
    <x v="1"/>
    <x v="13"/>
    <x v="196"/>
    <n v="40.67"/>
    <s v="Medium"/>
    <n v="7"/>
    <n v="0"/>
    <x v="0"/>
    <x v="0"/>
    <n v="12.607699999999999"/>
    <n v="0.31"/>
    <n v="0"/>
  </r>
  <r>
    <n v="9535"/>
    <s v="CA-2016-116596"/>
    <d v="2016-10-27T00:00:00"/>
    <x v="0"/>
    <s v="Q4"/>
    <x v="32"/>
    <d v="2016-10-31T00:00:00"/>
    <s v="Standard Class"/>
    <x v="572"/>
    <x v="572"/>
    <s v="Consumer"/>
    <s v="United States"/>
    <s v="New York City"/>
    <x v="15"/>
    <n v="10011"/>
    <x v="3"/>
    <x v="1764"/>
    <x v="1"/>
    <x v="4"/>
    <x v="1753"/>
    <n v="33.479999999999997"/>
    <s v="Medium"/>
    <n v="2"/>
    <n v="0"/>
    <x v="0"/>
    <x v="0"/>
    <n v="1.3391999999999999"/>
    <n v="0.04"/>
    <n v="0"/>
  </r>
  <r>
    <n v="9536"/>
    <s v="CA-2016-116596"/>
    <d v="2016-10-27T00:00:00"/>
    <x v="0"/>
    <s v="Q4"/>
    <x v="32"/>
    <d v="2016-10-31T00:00:00"/>
    <s v="Standard Class"/>
    <x v="572"/>
    <x v="572"/>
    <s v="Consumer"/>
    <s v="United States"/>
    <s v="New York City"/>
    <x v="15"/>
    <n v="10011"/>
    <x v="3"/>
    <x v="525"/>
    <x v="1"/>
    <x v="8"/>
    <x v="525"/>
    <n v="9.7279999999999998"/>
    <s v="Low"/>
    <n v="2"/>
    <n v="0.2"/>
    <x v="2"/>
    <x v="2"/>
    <n v="3.2831999999999999"/>
    <n v="0.33750000000000002"/>
    <n v="0"/>
  </r>
  <r>
    <n v="9537"/>
    <s v="CA-2017-124191"/>
    <d v="2017-06-12T00:00:00"/>
    <x v="3"/>
    <s v="Q2"/>
    <x v="27"/>
    <d v="2017-06-14T00:00:00"/>
    <s v="Second Class"/>
    <x v="59"/>
    <x v="59"/>
    <s v="Consumer"/>
    <s v="United States"/>
    <s v="Chicago"/>
    <x v="10"/>
    <n v="60610"/>
    <x v="2"/>
    <x v="1256"/>
    <x v="0"/>
    <x v="5"/>
    <x v="1240"/>
    <n v="8.8559999999999999"/>
    <s v="Low"/>
    <n v="3"/>
    <n v="0.6"/>
    <x v="1"/>
    <x v="6"/>
    <n v="-6.8634000000000004"/>
    <n v="-0.77500000000000002"/>
    <n v="1"/>
  </r>
  <r>
    <n v="9538"/>
    <s v="CA-2016-148747"/>
    <d v="2016-09-25T00:00:00"/>
    <x v="0"/>
    <s v="Q3"/>
    <x v="21"/>
    <d v="2016-09-27T00:00:00"/>
    <s v="First Class"/>
    <x v="442"/>
    <x v="442"/>
    <s v="Corporate"/>
    <s v="United States"/>
    <s v="San Francisco"/>
    <x v="1"/>
    <n v="94110"/>
    <x v="1"/>
    <x v="178"/>
    <x v="0"/>
    <x v="0"/>
    <x v="179"/>
    <n v="477.666"/>
    <s v="High"/>
    <n v="2"/>
    <n v="0.15"/>
    <x v="2"/>
    <x v="2"/>
    <n v="84.293999999999997"/>
    <n v="0.1764705882352941"/>
    <n v="0"/>
  </r>
  <r>
    <n v="9539"/>
    <s v="US-2017-169488"/>
    <d v="2017-09-07T00:00:00"/>
    <x v="3"/>
    <s v="Q3"/>
    <x v="15"/>
    <d v="2017-09-09T00:00:00"/>
    <s v="First Class"/>
    <x v="211"/>
    <x v="211"/>
    <s v="Consumer"/>
    <s v="United States"/>
    <s v="Providence"/>
    <x v="34"/>
    <n v="2908"/>
    <x v="3"/>
    <x v="938"/>
    <x v="1"/>
    <x v="10"/>
    <x v="931"/>
    <n v="16.899999999999999"/>
    <s v="Low"/>
    <n v="5"/>
    <n v="0"/>
    <x v="0"/>
    <x v="0"/>
    <n v="7.774"/>
    <n v="0.46"/>
    <n v="0"/>
  </r>
  <r>
    <n v="9540"/>
    <s v="US-2017-169488"/>
    <d v="2017-09-07T00:00:00"/>
    <x v="3"/>
    <s v="Q3"/>
    <x v="15"/>
    <d v="2017-09-09T00:00:00"/>
    <s v="First Class"/>
    <x v="211"/>
    <x v="211"/>
    <s v="Consumer"/>
    <s v="United States"/>
    <s v="Providence"/>
    <x v="34"/>
    <n v="2908"/>
    <x v="3"/>
    <x v="368"/>
    <x v="1"/>
    <x v="10"/>
    <x v="369"/>
    <n v="39.96"/>
    <s v="Medium"/>
    <n v="2"/>
    <n v="0"/>
    <x v="0"/>
    <x v="0"/>
    <n v="18.781199999999998"/>
    <n v="0.47"/>
    <n v="0"/>
  </r>
  <r>
    <n v="9541"/>
    <s v="CA-2015-135727"/>
    <d v="2015-05-11T00:00:00"/>
    <x v="1"/>
    <s v="Q2"/>
    <x v="33"/>
    <d v="2015-05-16T00:00:00"/>
    <s v="Second Class"/>
    <x v="28"/>
    <x v="28"/>
    <s v="Home Office"/>
    <s v="United States"/>
    <s v="Phoenix"/>
    <x v="16"/>
    <n v="85023"/>
    <x v="1"/>
    <x v="877"/>
    <x v="0"/>
    <x v="1"/>
    <x v="871"/>
    <n v="191.96799999999999"/>
    <s v="High"/>
    <n v="7"/>
    <n v="0.2"/>
    <x v="2"/>
    <x v="2"/>
    <n v="16.7972"/>
    <n v="8.7500000000000008E-2"/>
    <n v="0"/>
  </r>
  <r>
    <n v="9542"/>
    <s v="CA-2015-135251"/>
    <d v="2015-08-06T00:00:00"/>
    <x v="1"/>
    <s v="Q3"/>
    <x v="37"/>
    <d v="2015-08-10T00:00:00"/>
    <s v="Standard Class"/>
    <x v="345"/>
    <x v="345"/>
    <s v="Corporate"/>
    <s v="United States"/>
    <s v="Houston"/>
    <x v="5"/>
    <n v="77095"/>
    <x v="2"/>
    <x v="198"/>
    <x v="1"/>
    <x v="2"/>
    <x v="199"/>
    <n v="35.520000000000003"/>
    <s v="Medium"/>
    <n v="3"/>
    <n v="0.2"/>
    <x v="2"/>
    <x v="2"/>
    <n v="13.32"/>
    <n v="0.375"/>
    <n v="0"/>
  </r>
  <r>
    <n v="9543"/>
    <s v="CA-2015-135251"/>
    <d v="2015-08-06T00:00:00"/>
    <x v="1"/>
    <s v="Q3"/>
    <x v="37"/>
    <d v="2015-08-10T00:00:00"/>
    <s v="Standard Class"/>
    <x v="345"/>
    <x v="345"/>
    <s v="Corporate"/>
    <s v="United States"/>
    <s v="Houston"/>
    <x v="5"/>
    <n v="77095"/>
    <x v="2"/>
    <x v="799"/>
    <x v="1"/>
    <x v="8"/>
    <x v="797"/>
    <n v="6.23"/>
    <s v="Low"/>
    <n v="5"/>
    <n v="0.8"/>
    <x v="1"/>
    <x v="3"/>
    <n v="-9.6564999999999994"/>
    <n v="-1.5499999999999998"/>
    <n v="1"/>
  </r>
  <r>
    <n v="9544"/>
    <s v="CA-2015-135251"/>
    <d v="2015-08-06T00:00:00"/>
    <x v="1"/>
    <s v="Q3"/>
    <x v="37"/>
    <d v="2015-08-10T00:00:00"/>
    <s v="Standard Class"/>
    <x v="345"/>
    <x v="345"/>
    <s v="Corporate"/>
    <s v="United States"/>
    <s v="Houston"/>
    <x v="5"/>
    <n v="77095"/>
    <x v="2"/>
    <x v="1733"/>
    <x v="1"/>
    <x v="10"/>
    <x v="1721"/>
    <n v="56.704000000000001"/>
    <s v="Medium"/>
    <n v="2"/>
    <n v="0.2"/>
    <x v="2"/>
    <x v="2"/>
    <n v="19.137599999999999"/>
    <n v="0.33749999999999997"/>
    <n v="0"/>
  </r>
  <r>
    <n v="9545"/>
    <s v="CA-2015-135251"/>
    <d v="2015-08-06T00:00:00"/>
    <x v="1"/>
    <s v="Q3"/>
    <x v="37"/>
    <d v="2015-08-10T00:00:00"/>
    <s v="Standard Class"/>
    <x v="345"/>
    <x v="345"/>
    <s v="Corporate"/>
    <s v="United States"/>
    <s v="Houston"/>
    <x v="5"/>
    <n v="77095"/>
    <x v="2"/>
    <x v="1103"/>
    <x v="0"/>
    <x v="0"/>
    <x v="1092"/>
    <n v="369.19920000000002"/>
    <s v="High"/>
    <n v="3"/>
    <n v="0.32"/>
    <x v="1"/>
    <x v="7"/>
    <n v="-114.01739999999999"/>
    <n v="-0.30882352941176466"/>
    <n v="1"/>
  </r>
  <r>
    <n v="9546"/>
    <s v="CA-2014-166590"/>
    <d v="2014-10-29T00:00:00"/>
    <x v="2"/>
    <s v="Q4"/>
    <x v="18"/>
    <d v="2014-11-02T00:00:00"/>
    <s v="Standard Class"/>
    <x v="544"/>
    <x v="544"/>
    <s v="Corporate"/>
    <s v="United States"/>
    <s v="Columbus"/>
    <x v="14"/>
    <n v="47201"/>
    <x v="2"/>
    <x v="1430"/>
    <x v="2"/>
    <x v="11"/>
    <x v="1418"/>
    <n v="1.98"/>
    <s v="Low"/>
    <n v="2"/>
    <n v="0"/>
    <x v="0"/>
    <x v="0"/>
    <n v="0.89100000000000001"/>
    <n v="0.45"/>
    <n v="0"/>
  </r>
  <r>
    <n v="9547"/>
    <s v="CA-2014-166590"/>
    <d v="2014-10-29T00:00:00"/>
    <x v="2"/>
    <s v="Q4"/>
    <x v="18"/>
    <d v="2014-11-02T00:00:00"/>
    <s v="Standard Class"/>
    <x v="544"/>
    <x v="544"/>
    <s v="Corporate"/>
    <s v="United States"/>
    <s v="Columbus"/>
    <x v="14"/>
    <n v="47201"/>
    <x v="2"/>
    <x v="67"/>
    <x v="1"/>
    <x v="10"/>
    <x v="67"/>
    <n v="75.88"/>
    <s v="Medium"/>
    <n v="2"/>
    <n v="0"/>
    <x v="0"/>
    <x v="0"/>
    <n v="35.663600000000002"/>
    <n v="0.47000000000000008"/>
    <n v="0"/>
  </r>
  <r>
    <n v="9548"/>
    <s v="CA-2016-131744"/>
    <d v="2016-06-18T00:00:00"/>
    <x v="0"/>
    <s v="Q2"/>
    <x v="1"/>
    <d v="2016-06-20T00:00:00"/>
    <s v="Second Class"/>
    <x v="34"/>
    <x v="34"/>
    <s v="Corporate"/>
    <s v="United States"/>
    <s v="Philadelphia"/>
    <x v="9"/>
    <n v="19134"/>
    <x v="3"/>
    <x v="1532"/>
    <x v="1"/>
    <x v="10"/>
    <x v="1520"/>
    <n v="6.8479999999999999"/>
    <s v="Low"/>
    <n v="2"/>
    <n v="0.2"/>
    <x v="2"/>
    <x v="2"/>
    <n v="2.14"/>
    <n v="0.3125"/>
    <n v="0"/>
  </r>
  <r>
    <n v="9549"/>
    <s v="CA-2016-131744"/>
    <d v="2016-06-18T00:00:00"/>
    <x v="0"/>
    <s v="Q2"/>
    <x v="1"/>
    <d v="2016-06-20T00:00:00"/>
    <s v="Second Class"/>
    <x v="34"/>
    <x v="34"/>
    <s v="Corporate"/>
    <s v="United States"/>
    <s v="Philadelphia"/>
    <x v="9"/>
    <n v="19134"/>
    <x v="3"/>
    <x v="8"/>
    <x v="1"/>
    <x v="8"/>
    <x v="8"/>
    <n v="4.6260000000000003"/>
    <s v="Low"/>
    <n v="2"/>
    <n v="0.7"/>
    <x v="1"/>
    <x v="5"/>
    <n v="-3.855"/>
    <n v="-0.83333333333333326"/>
    <n v="1"/>
  </r>
  <r>
    <n v="9550"/>
    <s v="CA-2016-131744"/>
    <d v="2016-06-18T00:00:00"/>
    <x v="0"/>
    <s v="Q2"/>
    <x v="1"/>
    <d v="2016-06-20T00:00:00"/>
    <s v="Second Class"/>
    <x v="34"/>
    <x v="34"/>
    <s v="Corporate"/>
    <s v="United States"/>
    <s v="Philadelphia"/>
    <x v="9"/>
    <n v="19134"/>
    <x v="3"/>
    <x v="1141"/>
    <x v="1"/>
    <x v="9"/>
    <x v="1129"/>
    <n v="453.6"/>
    <s v="High"/>
    <n v="3"/>
    <n v="0.2"/>
    <x v="2"/>
    <x v="2"/>
    <n v="90.72"/>
    <n v="0.19999999999999998"/>
    <n v="0"/>
  </r>
  <r>
    <n v="9551"/>
    <s v="CA-2015-160864"/>
    <d v="2015-05-03T00:00:00"/>
    <x v="1"/>
    <s v="Q2"/>
    <x v="33"/>
    <d v="2015-05-06T00:00:00"/>
    <s v="First Class"/>
    <x v="376"/>
    <x v="376"/>
    <s v="Home Office"/>
    <s v="United States"/>
    <s v="San Jose"/>
    <x v="1"/>
    <n v="95123"/>
    <x v="1"/>
    <x v="68"/>
    <x v="1"/>
    <x v="8"/>
    <x v="68"/>
    <n v="13.848000000000001"/>
    <s v="Low"/>
    <n v="3"/>
    <n v="0.2"/>
    <x v="2"/>
    <x v="2"/>
    <n v="5.1929999999999996"/>
    <n v="0.37499999999999994"/>
    <n v="0"/>
  </r>
  <r>
    <n v="9552"/>
    <s v="CA-2015-147690"/>
    <d v="2015-11-10T00:00:00"/>
    <x v="1"/>
    <s v="Q4"/>
    <x v="6"/>
    <d v="2015-11-14T00:00:00"/>
    <s v="Standard Class"/>
    <x v="710"/>
    <x v="710"/>
    <s v="Consumer"/>
    <s v="United States"/>
    <s v="Philadelphia"/>
    <x v="9"/>
    <n v="19140"/>
    <x v="3"/>
    <x v="772"/>
    <x v="1"/>
    <x v="4"/>
    <x v="771"/>
    <n v="577.58399999999995"/>
    <s v="High"/>
    <n v="6"/>
    <n v="0.2"/>
    <x v="2"/>
    <x v="2"/>
    <n v="43.318800000000003"/>
    <n v="7.5000000000000011E-2"/>
    <n v="0"/>
  </r>
  <r>
    <n v="9553"/>
    <s v="CA-2015-163923"/>
    <d v="2015-05-30T00:00:00"/>
    <x v="1"/>
    <s v="Q2"/>
    <x v="33"/>
    <d v="2015-06-03T00:00:00"/>
    <s v="Standard Class"/>
    <x v="786"/>
    <x v="786"/>
    <s v="Home Office"/>
    <s v="United States"/>
    <s v="Springfield"/>
    <x v="17"/>
    <n v="22153"/>
    <x v="0"/>
    <x v="1302"/>
    <x v="2"/>
    <x v="11"/>
    <x v="1287"/>
    <n v="151.96"/>
    <s v="High"/>
    <n v="4"/>
    <n v="0"/>
    <x v="0"/>
    <x v="0"/>
    <n v="36.470399999999998"/>
    <n v="0.23999999999999996"/>
    <n v="0"/>
  </r>
  <r>
    <n v="9554"/>
    <s v="CA-2016-125724"/>
    <d v="2016-09-22T00:00:00"/>
    <x v="0"/>
    <s v="Q3"/>
    <x v="21"/>
    <d v="2016-09-27T00:00:00"/>
    <s v="Standard Class"/>
    <x v="416"/>
    <x v="416"/>
    <s v="Corporate"/>
    <s v="United States"/>
    <s v="Broomfield"/>
    <x v="22"/>
    <n v="80020"/>
    <x v="1"/>
    <x v="390"/>
    <x v="0"/>
    <x v="5"/>
    <x v="391"/>
    <n v="68.432000000000002"/>
    <s v="Medium"/>
    <n v="7"/>
    <n v="0.2"/>
    <x v="2"/>
    <x v="2"/>
    <n v="8.5540000000000003"/>
    <n v="0.125"/>
    <n v="0"/>
  </r>
  <r>
    <n v="9555"/>
    <s v="CA-2015-111612"/>
    <d v="2015-11-28T00:00:00"/>
    <x v="1"/>
    <s v="Q4"/>
    <x v="6"/>
    <d v="2015-12-02T00:00:00"/>
    <s v="Standard Class"/>
    <x v="686"/>
    <x v="686"/>
    <s v="Consumer"/>
    <s v="United States"/>
    <s v="Columbus"/>
    <x v="24"/>
    <n v="43229"/>
    <x v="3"/>
    <x v="90"/>
    <x v="0"/>
    <x v="5"/>
    <x v="90"/>
    <n v="71.12"/>
    <s v="Medium"/>
    <n v="5"/>
    <n v="0.2"/>
    <x v="2"/>
    <x v="2"/>
    <n v="9.7789999999999999"/>
    <n v="0.13749999999999998"/>
    <n v="0"/>
  </r>
  <r>
    <n v="9556"/>
    <s v="CA-2015-111612"/>
    <d v="2015-11-28T00:00:00"/>
    <x v="1"/>
    <s v="Q4"/>
    <x v="6"/>
    <d v="2015-12-02T00:00:00"/>
    <s v="Standard Class"/>
    <x v="686"/>
    <x v="686"/>
    <s v="Consumer"/>
    <s v="United States"/>
    <s v="Columbus"/>
    <x v="24"/>
    <n v="43229"/>
    <x v="3"/>
    <x v="1014"/>
    <x v="1"/>
    <x v="13"/>
    <x v="128"/>
    <n v="3.008"/>
    <s v="Low"/>
    <n v="2"/>
    <n v="0.2"/>
    <x v="2"/>
    <x v="2"/>
    <n v="0.56399999999999995"/>
    <n v="0.18749999999999997"/>
    <n v="0"/>
  </r>
  <r>
    <n v="9557"/>
    <s v="CA-2015-156853"/>
    <d v="2015-12-03T00:00:00"/>
    <x v="1"/>
    <s v="Q4"/>
    <x v="14"/>
    <d v="2015-12-05T00:00:00"/>
    <s v="Second Class"/>
    <x v="6"/>
    <x v="6"/>
    <s v="Home Office"/>
    <s v="United States"/>
    <s v="Concord"/>
    <x v="38"/>
    <n v="3301"/>
    <x v="3"/>
    <x v="779"/>
    <x v="1"/>
    <x v="10"/>
    <x v="778"/>
    <n v="184.66"/>
    <s v="High"/>
    <n v="7"/>
    <n v="0"/>
    <x v="0"/>
    <x v="0"/>
    <n v="84.943600000000004"/>
    <n v="0.46"/>
    <n v="0"/>
  </r>
  <r>
    <n v="9558"/>
    <s v="CA-2014-103086"/>
    <d v="2014-10-17T00:00:00"/>
    <x v="2"/>
    <s v="Q4"/>
    <x v="18"/>
    <d v="2014-10-19T00:00:00"/>
    <s v="Second Class"/>
    <x v="432"/>
    <x v="432"/>
    <s v="Consumer"/>
    <s v="United States"/>
    <s v="Houston"/>
    <x v="5"/>
    <n v="77095"/>
    <x v="2"/>
    <x v="1494"/>
    <x v="0"/>
    <x v="5"/>
    <x v="1482"/>
    <n v="5.3120000000000003"/>
    <s v="Low"/>
    <n v="2"/>
    <n v="0.6"/>
    <x v="1"/>
    <x v="6"/>
    <n v="-1.5935999999999999"/>
    <n v="-0.3"/>
    <n v="1"/>
  </r>
  <r>
    <n v="9559"/>
    <s v="CA-2016-129280"/>
    <d v="2016-05-03T00:00:00"/>
    <x v="0"/>
    <s v="Q2"/>
    <x v="35"/>
    <d v="2016-05-05T00:00:00"/>
    <s v="First Class"/>
    <x v="792"/>
    <x v="792"/>
    <s v="Consumer"/>
    <s v="United States"/>
    <s v="Newark"/>
    <x v="24"/>
    <n v="43055"/>
    <x v="3"/>
    <x v="217"/>
    <x v="2"/>
    <x v="11"/>
    <x v="463"/>
    <n v="132.52000000000001"/>
    <s v="High"/>
    <n v="5"/>
    <n v="0.2"/>
    <x v="2"/>
    <x v="2"/>
    <n v="34.786499999999997"/>
    <n v="0.26249999999999996"/>
    <n v="0"/>
  </r>
  <r>
    <n v="9560"/>
    <s v="CA-2016-129280"/>
    <d v="2016-05-03T00:00:00"/>
    <x v="0"/>
    <s v="Q2"/>
    <x v="35"/>
    <d v="2016-05-05T00:00:00"/>
    <s v="First Class"/>
    <x v="792"/>
    <x v="792"/>
    <s v="Consumer"/>
    <s v="United States"/>
    <s v="Newark"/>
    <x v="24"/>
    <n v="43055"/>
    <x v="3"/>
    <x v="1166"/>
    <x v="1"/>
    <x v="4"/>
    <x v="1153"/>
    <n v="195.64"/>
    <s v="High"/>
    <n v="5"/>
    <n v="0.2"/>
    <x v="2"/>
    <x v="2"/>
    <n v="-44.018999999999998"/>
    <n v="-0.22500000000000001"/>
    <n v="1"/>
  </r>
  <r>
    <n v="9561"/>
    <s v="CA-2016-129280"/>
    <d v="2016-05-03T00:00:00"/>
    <x v="0"/>
    <s v="Q2"/>
    <x v="35"/>
    <d v="2016-05-05T00:00:00"/>
    <s v="First Class"/>
    <x v="792"/>
    <x v="792"/>
    <s v="Consumer"/>
    <s v="United States"/>
    <s v="Newark"/>
    <x v="24"/>
    <n v="43055"/>
    <x v="3"/>
    <x v="1416"/>
    <x v="0"/>
    <x v="5"/>
    <x v="1403"/>
    <n v="51.968000000000004"/>
    <s v="Medium"/>
    <n v="2"/>
    <n v="0.2"/>
    <x v="2"/>
    <x v="2"/>
    <n v="10.393599999999999"/>
    <n v="0.19999999999999998"/>
    <n v="0"/>
  </r>
  <r>
    <n v="9562"/>
    <s v="CA-2016-129280"/>
    <d v="2016-05-03T00:00:00"/>
    <x v="0"/>
    <s v="Q2"/>
    <x v="35"/>
    <d v="2016-05-05T00:00:00"/>
    <s v="First Class"/>
    <x v="792"/>
    <x v="792"/>
    <s v="Consumer"/>
    <s v="United States"/>
    <s v="Newark"/>
    <x v="24"/>
    <n v="43055"/>
    <x v="3"/>
    <x v="1332"/>
    <x v="2"/>
    <x v="11"/>
    <x v="1317"/>
    <n v="431.976"/>
    <s v="High"/>
    <n v="3"/>
    <n v="0.2"/>
    <x v="2"/>
    <x v="2"/>
    <n v="-75.595799999999997"/>
    <n v="-0.17499999999999999"/>
    <n v="1"/>
  </r>
  <r>
    <n v="9563"/>
    <s v="CA-2016-129280"/>
    <d v="2016-05-03T00:00:00"/>
    <x v="0"/>
    <s v="Q2"/>
    <x v="35"/>
    <d v="2016-05-05T00:00:00"/>
    <s v="First Class"/>
    <x v="792"/>
    <x v="792"/>
    <s v="Consumer"/>
    <s v="United States"/>
    <s v="Newark"/>
    <x v="24"/>
    <n v="43055"/>
    <x v="3"/>
    <x v="1858"/>
    <x v="2"/>
    <x v="15"/>
    <x v="1846"/>
    <n v="224.93700000000001"/>
    <s v="High"/>
    <n v="3"/>
    <n v="0.7"/>
    <x v="1"/>
    <x v="5"/>
    <n v="-164.9538"/>
    <n v="-0.73333333333333328"/>
    <n v="1"/>
  </r>
  <r>
    <n v="9564"/>
    <s v="CA-2016-129280"/>
    <d v="2016-05-03T00:00:00"/>
    <x v="0"/>
    <s v="Q2"/>
    <x v="35"/>
    <d v="2016-05-05T00:00:00"/>
    <s v="First Class"/>
    <x v="792"/>
    <x v="792"/>
    <s v="Consumer"/>
    <s v="United States"/>
    <s v="Newark"/>
    <x v="24"/>
    <n v="43055"/>
    <x v="3"/>
    <x v="1345"/>
    <x v="1"/>
    <x v="2"/>
    <x v="1330"/>
    <n v="6"/>
    <s v="Low"/>
    <n v="2"/>
    <n v="0.2"/>
    <x v="2"/>
    <x v="2"/>
    <n v="2.1"/>
    <n v="0.35000000000000003"/>
    <n v="0"/>
  </r>
  <r>
    <n v="9565"/>
    <s v="CA-2015-161242"/>
    <d v="2015-06-01T00:00:00"/>
    <x v="1"/>
    <s v="Q2"/>
    <x v="40"/>
    <d v="2015-06-08T00:00:00"/>
    <s v="Standard Class"/>
    <x v="344"/>
    <x v="344"/>
    <s v="Home Office"/>
    <s v="United States"/>
    <s v="Los Angeles"/>
    <x v="1"/>
    <n v="90045"/>
    <x v="1"/>
    <x v="1017"/>
    <x v="1"/>
    <x v="10"/>
    <x v="1008"/>
    <n v="11.76"/>
    <s v="Low"/>
    <n v="2"/>
    <n v="0"/>
    <x v="0"/>
    <x v="0"/>
    <n v="5.7624000000000004"/>
    <n v="0.49000000000000005"/>
    <n v="0"/>
  </r>
  <r>
    <n v="9566"/>
    <s v="CA-2014-130428"/>
    <d v="2014-03-31T00:00:00"/>
    <x v="2"/>
    <s v="Q1"/>
    <x v="34"/>
    <d v="2014-03-31T00:00:00"/>
    <s v="Same Day"/>
    <x v="228"/>
    <x v="228"/>
    <s v="Consumer"/>
    <s v="United States"/>
    <s v="Tampa"/>
    <x v="2"/>
    <n v="33614"/>
    <x v="0"/>
    <x v="228"/>
    <x v="0"/>
    <x v="1"/>
    <x v="229"/>
    <n v="1125.4880000000001"/>
    <s v="High"/>
    <n v="7"/>
    <n v="0.2"/>
    <x v="2"/>
    <x v="2"/>
    <n v="98.480199999999996"/>
    <n v="8.7499999999999994E-2"/>
    <n v="0"/>
  </r>
  <r>
    <n v="9567"/>
    <s v="CA-2014-130428"/>
    <d v="2014-03-31T00:00:00"/>
    <x v="2"/>
    <s v="Q1"/>
    <x v="34"/>
    <d v="2014-03-31T00:00:00"/>
    <s v="Same Day"/>
    <x v="228"/>
    <x v="228"/>
    <s v="Consumer"/>
    <s v="United States"/>
    <s v="Tampa"/>
    <x v="2"/>
    <n v="33614"/>
    <x v="0"/>
    <x v="674"/>
    <x v="1"/>
    <x v="8"/>
    <x v="674"/>
    <n v="12.645"/>
    <s v="Low"/>
    <n v="5"/>
    <n v="0.7"/>
    <x v="1"/>
    <x v="5"/>
    <n v="-10.116"/>
    <n v="-0.8"/>
    <n v="1"/>
  </r>
  <r>
    <n v="9568"/>
    <s v="CA-2014-130428"/>
    <d v="2014-03-31T00:00:00"/>
    <x v="2"/>
    <s v="Q1"/>
    <x v="34"/>
    <d v="2014-03-31T00:00:00"/>
    <s v="Same Day"/>
    <x v="228"/>
    <x v="228"/>
    <s v="Consumer"/>
    <s v="United States"/>
    <s v="Tampa"/>
    <x v="2"/>
    <n v="33614"/>
    <x v="0"/>
    <x v="183"/>
    <x v="1"/>
    <x v="6"/>
    <x v="184"/>
    <n v="4.032"/>
    <s v="Low"/>
    <n v="2"/>
    <n v="0.2"/>
    <x v="2"/>
    <x v="2"/>
    <n v="1.0584"/>
    <n v="0.26250000000000001"/>
    <n v="0"/>
  </r>
  <r>
    <n v="9569"/>
    <s v="CA-2017-104388"/>
    <d v="2017-07-05T00:00:00"/>
    <x v="3"/>
    <s v="Q3"/>
    <x v="10"/>
    <d v="2017-07-07T00:00:00"/>
    <s v="First Class"/>
    <x v="460"/>
    <x v="460"/>
    <s v="Corporate"/>
    <s v="United States"/>
    <s v="Fremont"/>
    <x v="8"/>
    <n v="68025"/>
    <x v="2"/>
    <x v="125"/>
    <x v="2"/>
    <x v="7"/>
    <x v="126"/>
    <n v="79.959999999999994"/>
    <s v="Medium"/>
    <n v="4"/>
    <n v="0"/>
    <x v="0"/>
    <x v="0"/>
    <n v="22.3888"/>
    <n v="0.28000000000000003"/>
    <n v="0"/>
  </r>
  <r>
    <n v="9570"/>
    <s v="CA-2015-113131"/>
    <d v="2015-09-24T00:00:00"/>
    <x v="1"/>
    <s v="Q3"/>
    <x v="11"/>
    <d v="2015-09-24T00:00:00"/>
    <s v="Same Day"/>
    <x v="93"/>
    <x v="93"/>
    <s v="Consumer"/>
    <s v="United States"/>
    <s v="Columbus"/>
    <x v="24"/>
    <n v="43229"/>
    <x v="3"/>
    <x v="1390"/>
    <x v="1"/>
    <x v="8"/>
    <x v="1376"/>
    <n v="6.7320000000000002"/>
    <s v="Low"/>
    <n v="6"/>
    <n v="0.7"/>
    <x v="1"/>
    <x v="5"/>
    <n v="-4.4880000000000004"/>
    <n v="-0.66666666666666674"/>
    <n v="1"/>
  </r>
  <r>
    <n v="9571"/>
    <s v="CA-2015-113131"/>
    <d v="2015-09-24T00:00:00"/>
    <x v="1"/>
    <s v="Q3"/>
    <x v="11"/>
    <d v="2015-09-24T00:00:00"/>
    <s v="Same Day"/>
    <x v="93"/>
    <x v="93"/>
    <s v="Consumer"/>
    <s v="United States"/>
    <s v="Columbus"/>
    <x v="24"/>
    <n v="43229"/>
    <x v="3"/>
    <x v="1222"/>
    <x v="1"/>
    <x v="4"/>
    <x v="1206"/>
    <n v="33.567999999999998"/>
    <s v="Medium"/>
    <n v="2"/>
    <n v="0.2"/>
    <x v="2"/>
    <x v="2"/>
    <n v="1.6783999999999999"/>
    <n v="0.05"/>
    <n v="0"/>
  </r>
  <r>
    <n v="9572"/>
    <s v="CA-2015-113131"/>
    <d v="2015-09-24T00:00:00"/>
    <x v="1"/>
    <s v="Q3"/>
    <x v="11"/>
    <d v="2015-09-24T00:00:00"/>
    <s v="Same Day"/>
    <x v="93"/>
    <x v="93"/>
    <s v="Consumer"/>
    <s v="United States"/>
    <s v="Columbus"/>
    <x v="24"/>
    <n v="43229"/>
    <x v="3"/>
    <x v="1652"/>
    <x v="1"/>
    <x v="12"/>
    <x v="1641"/>
    <n v="15.84"/>
    <s v="Low"/>
    <n v="2"/>
    <n v="0.2"/>
    <x v="2"/>
    <x v="2"/>
    <n v="5.5439999999999996"/>
    <n v="0.35"/>
    <n v="0"/>
  </r>
  <r>
    <n v="9573"/>
    <s v="CA-2015-113131"/>
    <d v="2015-09-24T00:00:00"/>
    <x v="1"/>
    <s v="Q3"/>
    <x v="11"/>
    <d v="2015-09-24T00:00:00"/>
    <s v="Same Day"/>
    <x v="93"/>
    <x v="93"/>
    <s v="Consumer"/>
    <s v="United States"/>
    <s v="Columbus"/>
    <x v="24"/>
    <n v="43229"/>
    <x v="3"/>
    <x v="580"/>
    <x v="1"/>
    <x v="2"/>
    <x v="580"/>
    <n v="24.423999999999999"/>
    <s v="Low"/>
    <n v="1"/>
    <n v="0.2"/>
    <x v="2"/>
    <x v="2"/>
    <n v="7.9378000000000002"/>
    <n v="0.32500000000000001"/>
    <n v="0"/>
  </r>
  <r>
    <n v="9574"/>
    <s v="CA-2015-113131"/>
    <d v="2015-09-24T00:00:00"/>
    <x v="1"/>
    <s v="Q3"/>
    <x v="11"/>
    <d v="2015-09-24T00:00:00"/>
    <s v="Same Day"/>
    <x v="93"/>
    <x v="93"/>
    <s v="Consumer"/>
    <s v="United States"/>
    <s v="Columbus"/>
    <x v="24"/>
    <n v="43229"/>
    <x v="3"/>
    <x v="1046"/>
    <x v="1"/>
    <x v="6"/>
    <x v="1035"/>
    <n v="17.12"/>
    <s v="Low"/>
    <n v="5"/>
    <n v="0.2"/>
    <x v="2"/>
    <x v="2"/>
    <n v="1.9259999999999999"/>
    <n v="0.11249999999999999"/>
    <n v="0"/>
  </r>
  <r>
    <n v="9575"/>
    <s v="CA-2015-148495"/>
    <d v="2015-08-13T00:00:00"/>
    <x v="1"/>
    <s v="Q3"/>
    <x v="37"/>
    <d v="2015-08-13T00:00:00"/>
    <s v="Same Day"/>
    <x v="11"/>
    <x v="11"/>
    <s v="Consumer"/>
    <s v="United States"/>
    <s v="Pomona"/>
    <x v="1"/>
    <n v="91767"/>
    <x v="1"/>
    <x v="1172"/>
    <x v="0"/>
    <x v="5"/>
    <x v="1158"/>
    <n v="31.56"/>
    <s v="Medium"/>
    <n v="3"/>
    <n v="0"/>
    <x v="0"/>
    <x v="0"/>
    <n v="10.4148"/>
    <n v="0.33"/>
    <n v="0"/>
  </r>
  <r>
    <n v="9576"/>
    <s v="CA-2015-143147"/>
    <d v="2015-05-26T00:00:00"/>
    <x v="1"/>
    <s v="Q2"/>
    <x v="33"/>
    <d v="2015-05-28T00:00:00"/>
    <s v="Second Class"/>
    <x v="519"/>
    <x v="519"/>
    <s v="Consumer"/>
    <s v="United States"/>
    <s v="San Antonio"/>
    <x v="5"/>
    <n v="78207"/>
    <x v="2"/>
    <x v="83"/>
    <x v="0"/>
    <x v="1"/>
    <x v="83"/>
    <n v="105.68600000000001"/>
    <s v="Medium"/>
    <n v="1"/>
    <n v="0.3"/>
    <x v="1"/>
    <x v="4"/>
    <n v="-28.686199999999999"/>
    <n v="-0.27142857142857141"/>
    <n v="1"/>
  </r>
  <r>
    <n v="9577"/>
    <s v="CA-2015-143147"/>
    <d v="2015-05-26T00:00:00"/>
    <x v="1"/>
    <s v="Q2"/>
    <x v="33"/>
    <d v="2015-05-28T00:00:00"/>
    <s v="Second Class"/>
    <x v="519"/>
    <x v="519"/>
    <s v="Consumer"/>
    <s v="United States"/>
    <s v="San Antonio"/>
    <x v="5"/>
    <n v="78207"/>
    <x v="2"/>
    <x v="1093"/>
    <x v="2"/>
    <x v="15"/>
    <x v="1083"/>
    <n v="399.54"/>
    <s v="High"/>
    <n v="2"/>
    <n v="0.4"/>
    <x v="1"/>
    <x v="7"/>
    <n v="-79.908000000000001"/>
    <n v="-0.19999999999999998"/>
    <n v="1"/>
  </r>
  <r>
    <n v="9578"/>
    <s v="CA-2015-143147"/>
    <d v="2015-05-26T00:00:00"/>
    <x v="1"/>
    <s v="Q2"/>
    <x v="33"/>
    <d v="2015-05-28T00:00:00"/>
    <s v="Second Class"/>
    <x v="519"/>
    <x v="519"/>
    <s v="Consumer"/>
    <s v="United States"/>
    <s v="San Antonio"/>
    <x v="5"/>
    <n v="78207"/>
    <x v="2"/>
    <x v="1144"/>
    <x v="0"/>
    <x v="1"/>
    <x v="1132"/>
    <n v="104.93"/>
    <s v="Medium"/>
    <n v="5"/>
    <n v="0.3"/>
    <x v="1"/>
    <x v="4"/>
    <n v="-4.4969999999999999"/>
    <n v="-4.2857142857142851E-2"/>
    <n v="1"/>
  </r>
  <r>
    <n v="9579"/>
    <s v="CA-2017-152975"/>
    <d v="2017-09-14T00:00:00"/>
    <x v="3"/>
    <s v="Q3"/>
    <x v="15"/>
    <d v="2017-09-16T00:00:00"/>
    <s v="First Class"/>
    <x v="42"/>
    <x v="42"/>
    <s v="Home Office"/>
    <s v="United States"/>
    <s v="New York City"/>
    <x v="15"/>
    <n v="10035"/>
    <x v="3"/>
    <x v="907"/>
    <x v="2"/>
    <x v="7"/>
    <x v="899"/>
    <n v="1079.8499999999999"/>
    <s v="High"/>
    <n v="3"/>
    <n v="0"/>
    <x v="0"/>
    <x v="0"/>
    <n v="323.95499999999998"/>
    <n v="0.3"/>
    <n v="0"/>
  </r>
  <r>
    <n v="9580"/>
    <s v="CA-2017-152975"/>
    <d v="2017-09-14T00:00:00"/>
    <x v="3"/>
    <s v="Q3"/>
    <x v="15"/>
    <d v="2017-09-16T00:00:00"/>
    <s v="First Class"/>
    <x v="42"/>
    <x v="42"/>
    <s v="Home Office"/>
    <s v="United States"/>
    <s v="New York City"/>
    <x v="15"/>
    <n v="10035"/>
    <x v="3"/>
    <x v="1043"/>
    <x v="1"/>
    <x v="4"/>
    <x v="1032"/>
    <n v="70.98"/>
    <s v="Medium"/>
    <n v="1"/>
    <n v="0"/>
    <x v="0"/>
    <x v="0"/>
    <n v="3.5489999999999999"/>
    <n v="4.9999999999999996E-2"/>
    <n v="0"/>
  </r>
  <r>
    <n v="9581"/>
    <s v="CA-2017-152975"/>
    <d v="2017-09-14T00:00:00"/>
    <x v="3"/>
    <s v="Q3"/>
    <x v="15"/>
    <d v="2017-09-16T00:00:00"/>
    <s v="First Class"/>
    <x v="42"/>
    <x v="42"/>
    <s v="Home Office"/>
    <s v="United States"/>
    <s v="New York City"/>
    <x v="15"/>
    <n v="10035"/>
    <x v="3"/>
    <x v="758"/>
    <x v="1"/>
    <x v="6"/>
    <x v="756"/>
    <n v="29.95"/>
    <s v="Medium"/>
    <n v="5"/>
    <n v="0"/>
    <x v="0"/>
    <x v="0"/>
    <n v="8.6854999999999993"/>
    <n v="0.28999999999999998"/>
    <n v="0"/>
  </r>
  <r>
    <n v="9582"/>
    <s v="CA-2017-152975"/>
    <d v="2017-09-14T00:00:00"/>
    <x v="3"/>
    <s v="Q3"/>
    <x v="15"/>
    <d v="2017-09-16T00:00:00"/>
    <s v="First Class"/>
    <x v="42"/>
    <x v="42"/>
    <s v="Home Office"/>
    <s v="United States"/>
    <s v="New York City"/>
    <x v="15"/>
    <n v="10035"/>
    <x v="3"/>
    <x v="1585"/>
    <x v="0"/>
    <x v="1"/>
    <x v="1576"/>
    <n v="589.41"/>
    <s v="High"/>
    <n v="5"/>
    <n v="0.1"/>
    <x v="3"/>
    <x v="8"/>
    <n v="-6.5490000000000004"/>
    <n v="-1.1111111111111112E-2"/>
    <n v="1"/>
  </r>
  <r>
    <n v="9583"/>
    <s v="CA-2016-107475"/>
    <d v="2016-06-07T00:00:00"/>
    <x v="0"/>
    <s v="Q2"/>
    <x v="1"/>
    <d v="2016-06-11T00:00:00"/>
    <s v="Standard Class"/>
    <x v="789"/>
    <x v="789"/>
    <s v="Home Office"/>
    <s v="United States"/>
    <s v="Philadelphia"/>
    <x v="9"/>
    <n v="19120"/>
    <x v="3"/>
    <x v="131"/>
    <x v="1"/>
    <x v="13"/>
    <x v="132"/>
    <n v="9.6479999999999997"/>
    <s v="Low"/>
    <n v="6"/>
    <n v="0.2"/>
    <x v="2"/>
    <x v="2"/>
    <n v="3.4973999999999998"/>
    <n v="0.36249999999999999"/>
    <n v="0"/>
  </r>
  <r>
    <n v="9584"/>
    <s v="CA-2017-116127"/>
    <d v="2017-06-25T00:00:00"/>
    <x v="3"/>
    <s v="Q2"/>
    <x v="27"/>
    <d v="2017-06-27T00:00:00"/>
    <s v="Second Class"/>
    <x v="766"/>
    <x v="766"/>
    <s v="Consumer"/>
    <s v="United States"/>
    <s v="New York City"/>
    <x v="15"/>
    <n v="10024"/>
    <x v="3"/>
    <x v="1248"/>
    <x v="0"/>
    <x v="0"/>
    <x v="1232"/>
    <n v="400.78399999999999"/>
    <s v="High"/>
    <n v="1"/>
    <n v="0.2"/>
    <x v="2"/>
    <x v="2"/>
    <n v="-5.0098000000000003"/>
    <n v="-1.2500000000000001E-2"/>
    <n v="1"/>
  </r>
  <r>
    <n v="9585"/>
    <s v="CA-2017-132584"/>
    <d v="2017-08-26T00:00:00"/>
    <x v="3"/>
    <s v="Q3"/>
    <x v="43"/>
    <d v="2017-08-27T00:00:00"/>
    <s v="First Class"/>
    <x v="707"/>
    <x v="707"/>
    <s v="Home Office"/>
    <s v="United States"/>
    <s v="Detroit"/>
    <x v="12"/>
    <n v="48234"/>
    <x v="2"/>
    <x v="1031"/>
    <x v="1"/>
    <x v="4"/>
    <x v="1022"/>
    <n v="53.72"/>
    <s v="Medium"/>
    <n v="4"/>
    <n v="0"/>
    <x v="0"/>
    <x v="0"/>
    <n v="13.9672"/>
    <n v="0.26"/>
    <n v="0"/>
  </r>
  <r>
    <n v="9586"/>
    <s v="CA-2016-160598"/>
    <d v="2016-08-26T00:00:00"/>
    <x v="0"/>
    <s v="Q3"/>
    <x v="28"/>
    <d v="2016-08-28T00:00:00"/>
    <s v="First Class"/>
    <x v="458"/>
    <x v="458"/>
    <s v="Corporate"/>
    <s v="United States"/>
    <s v="Miami"/>
    <x v="2"/>
    <n v="33142"/>
    <x v="0"/>
    <x v="1413"/>
    <x v="1"/>
    <x v="10"/>
    <x v="1400"/>
    <n v="31.007999999999999"/>
    <s v="Medium"/>
    <n v="1"/>
    <n v="0.2"/>
    <x v="2"/>
    <x v="2"/>
    <n v="11.240399999999999"/>
    <n v="0.36249999999999999"/>
    <n v="0"/>
  </r>
  <r>
    <n v="9587"/>
    <s v="CA-2016-108630"/>
    <d v="2016-11-18T00:00:00"/>
    <x v="0"/>
    <s v="Q4"/>
    <x v="0"/>
    <d v="2016-11-18T00:00:00"/>
    <s v="Same Day"/>
    <x v="648"/>
    <x v="648"/>
    <s v="Consumer"/>
    <s v="United States"/>
    <s v="Concord"/>
    <x v="1"/>
    <n v="94521"/>
    <x v="1"/>
    <x v="1329"/>
    <x v="1"/>
    <x v="8"/>
    <x v="1314"/>
    <n v="61.12"/>
    <s v="Medium"/>
    <n v="5"/>
    <n v="0.2"/>
    <x v="2"/>
    <x v="2"/>
    <n v="22.155999999999999"/>
    <n v="0.36249999999999999"/>
    <n v="0"/>
  </r>
  <r>
    <n v="9588"/>
    <s v="US-2017-129203"/>
    <d v="2017-04-17T00:00:00"/>
    <x v="3"/>
    <s v="Q2"/>
    <x v="4"/>
    <d v="2017-04-22T00:00:00"/>
    <s v="Standard Class"/>
    <x v="606"/>
    <x v="606"/>
    <s v="Corporate"/>
    <s v="United States"/>
    <s v="Chicago"/>
    <x v="10"/>
    <n v="60653"/>
    <x v="2"/>
    <x v="886"/>
    <x v="1"/>
    <x v="4"/>
    <x v="879"/>
    <n v="195.136"/>
    <s v="High"/>
    <n v="4"/>
    <n v="0.2"/>
    <x v="2"/>
    <x v="2"/>
    <n v="-43.9056"/>
    <n v="-0.22500000000000001"/>
    <n v="1"/>
  </r>
  <r>
    <n v="9589"/>
    <s v="CA-2017-110940"/>
    <d v="2017-07-23T00:00:00"/>
    <x v="3"/>
    <s v="Q3"/>
    <x v="10"/>
    <d v="2017-07-28T00:00:00"/>
    <s v="Standard Class"/>
    <x v="616"/>
    <x v="616"/>
    <s v="Consumer"/>
    <s v="United States"/>
    <s v="Wheeling"/>
    <x v="10"/>
    <n v="60090"/>
    <x v="2"/>
    <x v="108"/>
    <x v="1"/>
    <x v="6"/>
    <x v="108"/>
    <n v="121.536"/>
    <s v="Medium"/>
    <n v="4"/>
    <n v="0.2"/>
    <x v="2"/>
    <x v="2"/>
    <n v="15.192"/>
    <n v="0.125"/>
    <n v="0"/>
  </r>
  <r>
    <n v="9590"/>
    <s v="CA-2014-119172"/>
    <d v="2014-05-11T00:00:00"/>
    <x v="2"/>
    <s v="Q2"/>
    <x v="8"/>
    <d v="2014-05-15T00:00:00"/>
    <s v="Standard Class"/>
    <x v="787"/>
    <x v="787"/>
    <s v="Home Office"/>
    <s v="United States"/>
    <s v="Chicago"/>
    <x v="10"/>
    <n v="60610"/>
    <x v="2"/>
    <x v="1749"/>
    <x v="1"/>
    <x v="10"/>
    <x v="1739"/>
    <n v="17.472000000000001"/>
    <s v="Low"/>
    <n v="3"/>
    <n v="0.2"/>
    <x v="2"/>
    <x v="2"/>
    <n v="5.6783999999999999"/>
    <n v="0.32499999999999996"/>
    <n v="0"/>
  </r>
  <r>
    <n v="9591"/>
    <s v="CA-2014-119172"/>
    <d v="2014-05-11T00:00:00"/>
    <x v="2"/>
    <s v="Q2"/>
    <x v="8"/>
    <d v="2014-05-15T00:00:00"/>
    <s v="Standard Class"/>
    <x v="787"/>
    <x v="787"/>
    <s v="Home Office"/>
    <s v="United States"/>
    <s v="Chicago"/>
    <x v="10"/>
    <n v="60610"/>
    <x v="2"/>
    <x v="920"/>
    <x v="1"/>
    <x v="8"/>
    <x v="912"/>
    <n v="104.58"/>
    <s v="Medium"/>
    <n v="9"/>
    <n v="0.8"/>
    <x v="1"/>
    <x v="3"/>
    <n v="-172.55699999999999"/>
    <n v="-1.65"/>
    <n v="1"/>
  </r>
  <r>
    <n v="9592"/>
    <s v="US-2016-105452"/>
    <d v="2016-07-28T00:00:00"/>
    <x v="0"/>
    <s v="Q3"/>
    <x v="16"/>
    <d v="2016-08-01T00:00:00"/>
    <s v="Standard Class"/>
    <x v="593"/>
    <x v="593"/>
    <s v="Home Office"/>
    <s v="United States"/>
    <s v="Pasadena"/>
    <x v="5"/>
    <n v="77506"/>
    <x v="2"/>
    <x v="893"/>
    <x v="0"/>
    <x v="5"/>
    <x v="886"/>
    <n v="24.7"/>
    <s v="Low"/>
    <n v="5"/>
    <n v="0.6"/>
    <x v="1"/>
    <x v="6"/>
    <n v="-9.8800000000000008"/>
    <n v="-0.4"/>
    <n v="1"/>
  </r>
  <r>
    <n v="9593"/>
    <s v="US-2016-105452"/>
    <d v="2016-07-28T00:00:00"/>
    <x v="0"/>
    <s v="Q3"/>
    <x v="16"/>
    <d v="2016-08-01T00:00:00"/>
    <s v="Standard Class"/>
    <x v="593"/>
    <x v="593"/>
    <s v="Home Office"/>
    <s v="United States"/>
    <s v="Pasadena"/>
    <x v="5"/>
    <n v="77506"/>
    <x v="2"/>
    <x v="1814"/>
    <x v="0"/>
    <x v="5"/>
    <x v="1804"/>
    <n v="302.72000000000003"/>
    <s v="High"/>
    <n v="5"/>
    <n v="0.6"/>
    <x v="1"/>
    <x v="6"/>
    <n v="-378.4"/>
    <n v="-1.2499999999999998"/>
    <n v="1"/>
  </r>
  <r>
    <n v="9594"/>
    <s v="CA-2017-108931"/>
    <d v="2017-09-14T00:00:00"/>
    <x v="3"/>
    <s v="Q3"/>
    <x v="15"/>
    <d v="2017-09-19T00:00:00"/>
    <s v="Standard Class"/>
    <x v="521"/>
    <x v="521"/>
    <s v="Consumer"/>
    <s v="United States"/>
    <s v="New York City"/>
    <x v="15"/>
    <n v="10024"/>
    <x v="3"/>
    <x v="1489"/>
    <x v="1"/>
    <x v="10"/>
    <x v="1476"/>
    <n v="8.56"/>
    <s v="Low"/>
    <n v="2"/>
    <n v="0"/>
    <x v="0"/>
    <x v="0"/>
    <n v="3.8519999999999999"/>
    <n v="0.44999999999999996"/>
    <n v="0"/>
  </r>
  <r>
    <n v="9595"/>
    <s v="CA-2017-108931"/>
    <d v="2017-09-14T00:00:00"/>
    <x v="3"/>
    <s v="Q3"/>
    <x v="15"/>
    <d v="2017-09-19T00:00:00"/>
    <s v="Standard Class"/>
    <x v="521"/>
    <x v="521"/>
    <s v="Consumer"/>
    <s v="United States"/>
    <s v="New York City"/>
    <x v="15"/>
    <n v="10024"/>
    <x v="3"/>
    <x v="371"/>
    <x v="1"/>
    <x v="10"/>
    <x v="372"/>
    <n v="11.56"/>
    <s v="Low"/>
    <n v="2"/>
    <n v="0"/>
    <x v="0"/>
    <x v="0"/>
    <n v="5.6643999999999997"/>
    <n v="0.48999999999999994"/>
    <n v="0"/>
  </r>
  <r>
    <n v="9596"/>
    <s v="CA-2017-104619"/>
    <d v="2017-01-24T00:00:00"/>
    <x v="3"/>
    <s v="Q1"/>
    <x v="44"/>
    <d v="2017-01-29T00:00:00"/>
    <s v="Standard Class"/>
    <x v="470"/>
    <x v="470"/>
    <s v="Corporate"/>
    <s v="United States"/>
    <s v="San Jose"/>
    <x v="1"/>
    <n v="95123"/>
    <x v="1"/>
    <x v="22"/>
    <x v="1"/>
    <x v="9"/>
    <x v="22"/>
    <n v="25.86"/>
    <s v="Medium"/>
    <n v="3"/>
    <n v="0"/>
    <x v="0"/>
    <x v="0"/>
    <n v="6.7236000000000002"/>
    <n v="0.26"/>
    <n v="0"/>
  </r>
  <r>
    <n v="9597"/>
    <s v="CA-2017-104619"/>
    <d v="2017-01-24T00:00:00"/>
    <x v="3"/>
    <s v="Q1"/>
    <x v="44"/>
    <d v="2017-01-29T00:00:00"/>
    <s v="Standard Class"/>
    <x v="470"/>
    <x v="470"/>
    <s v="Corporate"/>
    <s v="United States"/>
    <s v="San Jose"/>
    <x v="1"/>
    <n v="95123"/>
    <x v="1"/>
    <x v="1591"/>
    <x v="1"/>
    <x v="8"/>
    <x v="1583"/>
    <n v="276.78399999999999"/>
    <s v="High"/>
    <n v="2"/>
    <n v="0.2"/>
    <x v="2"/>
    <x v="2"/>
    <n v="89.954800000000006"/>
    <n v="0.32500000000000001"/>
    <n v="0"/>
  </r>
  <r>
    <n v="9598"/>
    <s v="CA-2017-104619"/>
    <d v="2017-01-24T00:00:00"/>
    <x v="3"/>
    <s v="Q1"/>
    <x v="44"/>
    <d v="2017-01-29T00:00:00"/>
    <s v="Standard Class"/>
    <x v="470"/>
    <x v="470"/>
    <s v="Corporate"/>
    <s v="United States"/>
    <s v="San Jose"/>
    <x v="1"/>
    <n v="95123"/>
    <x v="1"/>
    <x v="1676"/>
    <x v="2"/>
    <x v="7"/>
    <x v="1664"/>
    <n v="110.352"/>
    <s v="Medium"/>
    <n v="3"/>
    <n v="0.2"/>
    <x v="2"/>
    <x v="2"/>
    <n v="8.2764000000000006"/>
    <n v="7.4999999999999997E-2"/>
    <n v="0"/>
  </r>
  <r>
    <n v="9599"/>
    <s v="CA-2015-149517"/>
    <d v="2015-09-19T00:00:00"/>
    <x v="1"/>
    <s v="Q3"/>
    <x v="11"/>
    <d v="2015-09-23T00:00:00"/>
    <s v="Standard Class"/>
    <x v="763"/>
    <x v="763"/>
    <s v="Home Office"/>
    <s v="United States"/>
    <s v="Sacramento"/>
    <x v="1"/>
    <n v="95823"/>
    <x v="1"/>
    <x v="1492"/>
    <x v="0"/>
    <x v="5"/>
    <x v="1479"/>
    <n v="60.84"/>
    <s v="Medium"/>
    <n v="3"/>
    <n v="0"/>
    <x v="0"/>
    <x v="0"/>
    <n v="19.468800000000002"/>
    <n v="0.32"/>
    <n v="0"/>
  </r>
  <r>
    <n v="9600"/>
    <s v="CA-2015-116841"/>
    <d v="2015-04-14T00:00:00"/>
    <x v="1"/>
    <s v="Q2"/>
    <x v="19"/>
    <d v="2015-04-18T00:00:00"/>
    <s v="Standard Class"/>
    <x v="236"/>
    <x v="236"/>
    <s v="Consumer"/>
    <s v="United States"/>
    <s v="Springfield"/>
    <x v="21"/>
    <n v="97477"/>
    <x v="1"/>
    <x v="1324"/>
    <x v="1"/>
    <x v="9"/>
    <x v="1311"/>
    <n v="35.207999999999998"/>
    <s v="Medium"/>
    <n v="1"/>
    <n v="0.2"/>
    <x v="2"/>
    <x v="2"/>
    <n v="2.6406000000000001"/>
    <n v="7.5000000000000011E-2"/>
    <n v="0"/>
  </r>
  <r>
    <n v="9601"/>
    <s v="CA-2017-107797"/>
    <d v="2017-05-08T00:00:00"/>
    <x v="3"/>
    <s v="Q2"/>
    <x v="24"/>
    <d v="2017-05-11T00:00:00"/>
    <s v="Second Class"/>
    <x v="182"/>
    <x v="182"/>
    <s v="Corporate"/>
    <s v="United States"/>
    <s v="Mansfield"/>
    <x v="5"/>
    <n v="76063"/>
    <x v="2"/>
    <x v="1465"/>
    <x v="1"/>
    <x v="10"/>
    <x v="1451"/>
    <n v="41.472000000000001"/>
    <s v="Medium"/>
    <n v="8"/>
    <n v="0.2"/>
    <x v="2"/>
    <x v="2"/>
    <n v="14.5152"/>
    <n v="0.35"/>
    <n v="0"/>
  </r>
  <r>
    <n v="9602"/>
    <s v="CA-2016-117604"/>
    <d v="2016-09-04T00:00:00"/>
    <x v="0"/>
    <s v="Q3"/>
    <x v="21"/>
    <d v="2016-09-09T00:00:00"/>
    <s v="Standard Class"/>
    <x v="187"/>
    <x v="187"/>
    <s v="Consumer"/>
    <s v="United States"/>
    <s v="Jonesboro"/>
    <x v="36"/>
    <n v="72401"/>
    <x v="0"/>
    <x v="1052"/>
    <x v="1"/>
    <x v="10"/>
    <x v="1041"/>
    <n v="239.5"/>
    <s v="High"/>
    <n v="5"/>
    <n v="0"/>
    <x v="0"/>
    <x v="0"/>
    <n v="114.96"/>
    <n v="0.48"/>
    <n v="0"/>
  </r>
  <r>
    <n v="9603"/>
    <s v="CA-2014-130155"/>
    <d v="2014-05-19T00:00:00"/>
    <x v="2"/>
    <s v="Q2"/>
    <x v="8"/>
    <d v="2014-05-22T00:00:00"/>
    <s v="First Class"/>
    <x v="143"/>
    <x v="143"/>
    <s v="Consumer"/>
    <s v="United States"/>
    <s v="Virginia Beach"/>
    <x v="17"/>
    <n v="23464"/>
    <x v="0"/>
    <x v="1726"/>
    <x v="1"/>
    <x v="14"/>
    <x v="1713"/>
    <n v="34.200000000000003"/>
    <s v="Medium"/>
    <n v="5"/>
    <n v="0"/>
    <x v="0"/>
    <x v="0"/>
    <n v="9.234"/>
    <n v="0.26999999999999996"/>
    <n v="0"/>
  </r>
  <r>
    <n v="9604"/>
    <s v="CA-2016-129861"/>
    <d v="2016-06-17T00:00:00"/>
    <x v="0"/>
    <s v="Q2"/>
    <x v="1"/>
    <d v="2016-06-23T00:00:00"/>
    <s v="Standard Class"/>
    <x v="664"/>
    <x v="664"/>
    <s v="Corporate"/>
    <s v="United States"/>
    <s v="Rochester"/>
    <x v="15"/>
    <n v="14609"/>
    <x v="3"/>
    <x v="1021"/>
    <x v="0"/>
    <x v="3"/>
    <x v="1012"/>
    <n v="376.86599999999999"/>
    <s v="High"/>
    <n v="3"/>
    <n v="0.4"/>
    <x v="1"/>
    <x v="7"/>
    <n v="-213.5574"/>
    <n v="-0.56666666666666665"/>
    <n v="1"/>
  </r>
  <r>
    <n v="9605"/>
    <s v="CA-2015-138625"/>
    <d v="2015-11-02T00:00:00"/>
    <x v="1"/>
    <s v="Q4"/>
    <x v="6"/>
    <d v="2015-11-05T00:00:00"/>
    <s v="First Class"/>
    <x v="283"/>
    <x v="283"/>
    <s v="Consumer"/>
    <s v="United States"/>
    <s v="Chesapeake"/>
    <x v="17"/>
    <n v="23320"/>
    <x v="0"/>
    <x v="1859"/>
    <x v="1"/>
    <x v="9"/>
    <x v="1847"/>
    <n v="197.72"/>
    <s v="High"/>
    <n v="4"/>
    <n v="0"/>
    <x v="0"/>
    <x v="0"/>
    <n v="55.361600000000003"/>
    <n v="0.28000000000000003"/>
    <n v="0"/>
  </r>
  <r>
    <n v="9606"/>
    <s v="US-2017-122672"/>
    <d v="2017-11-04T00:00:00"/>
    <x v="3"/>
    <s v="Q4"/>
    <x v="23"/>
    <d v="2017-11-09T00:00:00"/>
    <s v="Standard Class"/>
    <x v="428"/>
    <x v="428"/>
    <s v="Corporate"/>
    <s v="United States"/>
    <s v="Lancaster"/>
    <x v="24"/>
    <n v="43130"/>
    <x v="3"/>
    <x v="176"/>
    <x v="2"/>
    <x v="11"/>
    <x v="177"/>
    <n v="70.72"/>
    <s v="Medium"/>
    <n v="4"/>
    <n v="0.2"/>
    <x v="2"/>
    <x v="2"/>
    <n v="-6.1879999999999997"/>
    <n v="-8.7499999999999994E-2"/>
    <n v="1"/>
  </r>
  <r>
    <n v="9607"/>
    <s v="US-2017-122672"/>
    <d v="2017-11-04T00:00:00"/>
    <x v="3"/>
    <s v="Q4"/>
    <x v="23"/>
    <d v="2017-11-09T00:00:00"/>
    <s v="Standard Class"/>
    <x v="428"/>
    <x v="428"/>
    <s v="Corporate"/>
    <s v="United States"/>
    <s v="Lancaster"/>
    <x v="24"/>
    <n v="43130"/>
    <x v="3"/>
    <x v="871"/>
    <x v="1"/>
    <x v="4"/>
    <x v="865"/>
    <n v="194.352"/>
    <s v="High"/>
    <n v="3"/>
    <n v="0.2"/>
    <x v="2"/>
    <x v="2"/>
    <n v="-43.729199999999999"/>
    <n v="-0.22499999999999998"/>
    <n v="1"/>
  </r>
  <r>
    <n v="9608"/>
    <s v="CA-2017-117128"/>
    <d v="2017-12-05T00:00:00"/>
    <x v="3"/>
    <s v="Q4"/>
    <x v="22"/>
    <d v="2017-12-08T00:00:00"/>
    <s v="Second Class"/>
    <x v="569"/>
    <x v="569"/>
    <s v="Consumer"/>
    <s v="United States"/>
    <s v="New York City"/>
    <x v="15"/>
    <n v="10024"/>
    <x v="3"/>
    <x v="1552"/>
    <x v="1"/>
    <x v="10"/>
    <x v="1540"/>
    <n v="21.6"/>
    <s v="Low"/>
    <n v="6"/>
    <n v="0"/>
    <x v="0"/>
    <x v="0"/>
    <n v="9.9359999999999999"/>
    <n v="0.45999999999999996"/>
    <n v="0"/>
  </r>
  <r>
    <n v="9609"/>
    <s v="CA-2017-117128"/>
    <d v="2017-12-05T00:00:00"/>
    <x v="3"/>
    <s v="Q4"/>
    <x v="22"/>
    <d v="2017-12-08T00:00:00"/>
    <s v="Second Class"/>
    <x v="569"/>
    <x v="569"/>
    <s v="Consumer"/>
    <s v="United States"/>
    <s v="New York City"/>
    <x v="15"/>
    <n v="10024"/>
    <x v="3"/>
    <x v="1238"/>
    <x v="1"/>
    <x v="2"/>
    <x v="1221"/>
    <n v="11.07"/>
    <s v="Low"/>
    <n v="3"/>
    <n v="0"/>
    <x v="0"/>
    <x v="0"/>
    <n v="5.2028999999999996"/>
    <n v="0.47"/>
    <n v="0"/>
  </r>
  <r>
    <n v="9610"/>
    <s v="CA-2016-130638"/>
    <d v="2016-05-16T00:00:00"/>
    <x v="0"/>
    <s v="Q2"/>
    <x v="35"/>
    <d v="2016-05-19T00:00:00"/>
    <s v="Second Class"/>
    <x v="183"/>
    <x v="183"/>
    <s v="Consumer"/>
    <s v="United States"/>
    <s v="Los Angeles"/>
    <x v="1"/>
    <n v="90045"/>
    <x v="1"/>
    <x v="1454"/>
    <x v="0"/>
    <x v="5"/>
    <x v="1440"/>
    <n v="282.83999999999997"/>
    <s v="High"/>
    <n v="4"/>
    <n v="0"/>
    <x v="0"/>
    <x v="0"/>
    <n v="19.7988"/>
    <n v="7.0000000000000007E-2"/>
    <n v="0"/>
  </r>
  <r>
    <n v="9611"/>
    <s v="CA-2016-130638"/>
    <d v="2016-05-16T00:00:00"/>
    <x v="0"/>
    <s v="Q2"/>
    <x v="35"/>
    <d v="2016-05-19T00:00:00"/>
    <s v="Second Class"/>
    <x v="183"/>
    <x v="183"/>
    <s v="Consumer"/>
    <s v="United States"/>
    <s v="Los Angeles"/>
    <x v="1"/>
    <n v="90045"/>
    <x v="1"/>
    <x v="1038"/>
    <x v="1"/>
    <x v="2"/>
    <x v="1028"/>
    <n v="27.72"/>
    <s v="Medium"/>
    <n v="9"/>
    <n v="0"/>
    <x v="0"/>
    <x v="0"/>
    <n v="13.3056"/>
    <n v="0.48000000000000004"/>
    <n v="0"/>
  </r>
  <r>
    <n v="9612"/>
    <s v="CA-2017-144365"/>
    <d v="2017-10-24T00:00:00"/>
    <x v="3"/>
    <s v="Q4"/>
    <x v="13"/>
    <d v="2017-10-30T00:00:00"/>
    <s v="Standard Class"/>
    <x v="229"/>
    <x v="229"/>
    <s v="Consumer"/>
    <s v="United States"/>
    <s v="Jackson"/>
    <x v="35"/>
    <n v="39212"/>
    <x v="0"/>
    <x v="848"/>
    <x v="1"/>
    <x v="13"/>
    <x v="128"/>
    <n v="11.68"/>
    <s v="Low"/>
    <n v="4"/>
    <n v="0"/>
    <x v="0"/>
    <x v="0"/>
    <n v="5.2560000000000002"/>
    <n v="0.45"/>
    <n v="0"/>
  </r>
  <r>
    <n v="9613"/>
    <s v="CA-2016-110086"/>
    <d v="2016-09-18T00:00:00"/>
    <x v="0"/>
    <s v="Q3"/>
    <x v="21"/>
    <d v="2016-09-22T00:00:00"/>
    <s v="Standard Class"/>
    <x v="217"/>
    <x v="217"/>
    <s v="Consumer"/>
    <s v="United States"/>
    <s v="Woodland"/>
    <x v="1"/>
    <n v="95695"/>
    <x v="1"/>
    <x v="1501"/>
    <x v="2"/>
    <x v="7"/>
    <x v="1489"/>
    <n v="239.98400000000001"/>
    <s v="High"/>
    <n v="2"/>
    <n v="0.2"/>
    <x v="2"/>
    <x v="2"/>
    <n v="23.9984"/>
    <n v="9.9999999999999992E-2"/>
    <n v="0"/>
  </r>
  <r>
    <n v="9614"/>
    <s v="CA-2014-128524"/>
    <d v="2014-11-11T00:00:00"/>
    <x v="2"/>
    <s v="Q4"/>
    <x v="7"/>
    <d v="2014-11-13T00:00:00"/>
    <s v="First Class"/>
    <x v="89"/>
    <x v="89"/>
    <s v="Corporate"/>
    <s v="United States"/>
    <s v="Seattle"/>
    <x v="4"/>
    <n v="98115"/>
    <x v="1"/>
    <x v="9"/>
    <x v="1"/>
    <x v="9"/>
    <x v="9"/>
    <n v="22.98"/>
    <s v="Low"/>
    <n v="1"/>
    <n v="0"/>
    <x v="0"/>
    <x v="0"/>
    <n v="6.8940000000000001"/>
    <n v="0.3"/>
    <n v="0"/>
  </r>
  <r>
    <n v="9615"/>
    <s v="CA-2014-128524"/>
    <d v="2014-11-11T00:00:00"/>
    <x v="2"/>
    <s v="Q4"/>
    <x v="7"/>
    <d v="2014-11-13T00:00:00"/>
    <s v="First Class"/>
    <x v="89"/>
    <x v="89"/>
    <s v="Corporate"/>
    <s v="United States"/>
    <s v="Seattle"/>
    <x v="4"/>
    <n v="98115"/>
    <x v="1"/>
    <x v="1207"/>
    <x v="2"/>
    <x v="11"/>
    <x v="1192"/>
    <n v="102.13"/>
    <s v="Medium"/>
    <n v="7"/>
    <n v="0"/>
    <x v="0"/>
    <x v="0"/>
    <n v="15.3195"/>
    <n v="0.15"/>
    <n v="0"/>
  </r>
  <r>
    <n v="9616"/>
    <s v="CA-2014-128524"/>
    <d v="2014-11-11T00:00:00"/>
    <x v="2"/>
    <s v="Q4"/>
    <x v="7"/>
    <d v="2014-11-13T00:00:00"/>
    <s v="First Class"/>
    <x v="89"/>
    <x v="89"/>
    <s v="Corporate"/>
    <s v="United States"/>
    <s v="Seattle"/>
    <x v="4"/>
    <n v="98115"/>
    <x v="1"/>
    <x v="450"/>
    <x v="1"/>
    <x v="8"/>
    <x v="451"/>
    <n v="2033.5840000000001"/>
    <s v="High"/>
    <n v="2"/>
    <n v="0.2"/>
    <x v="2"/>
    <x v="2"/>
    <n v="762.59400000000005"/>
    <n v="0.375"/>
    <n v="0"/>
  </r>
  <r>
    <n v="9617"/>
    <s v="CA-2016-140256"/>
    <d v="2016-08-22T00:00:00"/>
    <x v="0"/>
    <s v="Q3"/>
    <x v="28"/>
    <d v="2016-08-29T00:00:00"/>
    <s v="Standard Class"/>
    <x v="463"/>
    <x v="463"/>
    <s v="Corporate"/>
    <s v="United States"/>
    <s v="Los Angeles"/>
    <x v="1"/>
    <n v="90049"/>
    <x v="1"/>
    <x v="826"/>
    <x v="1"/>
    <x v="6"/>
    <x v="822"/>
    <n v="5.76"/>
    <s v="Low"/>
    <n v="2"/>
    <n v="0"/>
    <x v="0"/>
    <x v="0"/>
    <n v="1.6704000000000001"/>
    <n v="0.29000000000000004"/>
    <n v="0"/>
  </r>
  <r>
    <n v="9618"/>
    <s v="CA-2017-160633"/>
    <d v="2017-11-16T00:00:00"/>
    <x v="3"/>
    <s v="Q4"/>
    <x v="23"/>
    <d v="2017-11-21T00:00:00"/>
    <s v="Standard Class"/>
    <x v="510"/>
    <x v="510"/>
    <s v="Corporate"/>
    <s v="United States"/>
    <s v="Bowling Green"/>
    <x v="24"/>
    <n v="43402"/>
    <x v="3"/>
    <x v="615"/>
    <x v="2"/>
    <x v="16"/>
    <x v="615"/>
    <n v="899.98199999999997"/>
    <s v="High"/>
    <n v="3"/>
    <n v="0.4"/>
    <x v="1"/>
    <x v="7"/>
    <n v="74.998500000000007"/>
    <n v="8.3333333333333343E-2"/>
    <n v="0"/>
  </r>
  <r>
    <n v="9619"/>
    <s v="CA-2017-160633"/>
    <d v="2017-11-16T00:00:00"/>
    <x v="3"/>
    <s v="Q4"/>
    <x v="23"/>
    <d v="2017-11-21T00:00:00"/>
    <s v="Standard Class"/>
    <x v="510"/>
    <x v="510"/>
    <s v="Corporate"/>
    <s v="United States"/>
    <s v="Bowling Green"/>
    <x v="24"/>
    <n v="43402"/>
    <x v="3"/>
    <x v="915"/>
    <x v="1"/>
    <x v="6"/>
    <x v="907"/>
    <n v="86.352000000000004"/>
    <s v="Medium"/>
    <n v="3"/>
    <n v="0.2"/>
    <x v="2"/>
    <x v="2"/>
    <n v="5.3970000000000002"/>
    <n v="6.25E-2"/>
    <n v="0"/>
  </r>
  <r>
    <n v="9620"/>
    <s v="CA-2017-160633"/>
    <d v="2017-11-16T00:00:00"/>
    <x v="3"/>
    <s v="Q4"/>
    <x v="23"/>
    <d v="2017-11-21T00:00:00"/>
    <s v="Standard Class"/>
    <x v="510"/>
    <x v="510"/>
    <s v="Corporate"/>
    <s v="United States"/>
    <s v="Bowling Green"/>
    <x v="24"/>
    <n v="43402"/>
    <x v="3"/>
    <x v="343"/>
    <x v="2"/>
    <x v="11"/>
    <x v="343"/>
    <n v="139.96"/>
    <s v="High"/>
    <n v="5"/>
    <n v="0.2"/>
    <x v="2"/>
    <x v="2"/>
    <n v="-1.7495000000000001"/>
    <n v="-1.2499999999999999E-2"/>
    <n v="1"/>
  </r>
  <r>
    <n v="9621"/>
    <s v="CA-2014-115133"/>
    <d v="2014-09-26T00:00:00"/>
    <x v="2"/>
    <s v="Q3"/>
    <x v="30"/>
    <d v="2014-09-30T00:00:00"/>
    <s v="Standard Class"/>
    <x v="526"/>
    <x v="526"/>
    <s v="Home Office"/>
    <s v="United States"/>
    <s v="Lancaster"/>
    <x v="24"/>
    <n v="43130"/>
    <x v="3"/>
    <x v="1809"/>
    <x v="1"/>
    <x v="9"/>
    <x v="1799"/>
    <n v="16.704000000000001"/>
    <s v="Low"/>
    <n v="6"/>
    <n v="0.2"/>
    <x v="2"/>
    <x v="2"/>
    <n v="1.2527999999999999"/>
    <n v="7.4999999999999997E-2"/>
    <n v="0"/>
  </r>
  <r>
    <n v="9622"/>
    <s v="CA-2014-115133"/>
    <d v="2014-09-26T00:00:00"/>
    <x v="2"/>
    <s v="Q3"/>
    <x v="30"/>
    <d v="2014-09-30T00:00:00"/>
    <s v="Standard Class"/>
    <x v="526"/>
    <x v="526"/>
    <s v="Home Office"/>
    <s v="United States"/>
    <s v="Lancaster"/>
    <x v="24"/>
    <n v="43130"/>
    <x v="3"/>
    <x v="1837"/>
    <x v="2"/>
    <x v="11"/>
    <x v="1825"/>
    <n v="3.1520000000000001"/>
    <s v="Low"/>
    <n v="2"/>
    <n v="0.2"/>
    <x v="2"/>
    <x v="2"/>
    <n v="0.4728"/>
    <n v="0.15"/>
    <n v="0"/>
  </r>
  <r>
    <n v="9623"/>
    <s v="CA-2014-115133"/>
    <d v="2014-09-26T00:00:00"/>
    <x v="2"/>
    <s v="Q3"/>
    <x v="30"/>
    <d v="2014-09-30T00:00:00"/>
    <s v="Standard Class"/>
    <x v="526"/>
    <x v="526"/>
    <s v="Home Office"/>
    <s v="United States"/>
    <s v="Lancaster"/>
    <x v="24"/>
    <n v="43130"/>
    <x v="3"/>
    <x v="1536"/>
    <x v="1"/>
    <x v="10"/>
    <x v="1524"/>
    <n v="32.896000000000001"/>
    <s v="Medium"/>
    <n v="4"/>
    <n v="0.2"/>
    <x v="2"/>
    <x v="2"/>
    <n v="11.102399999999999"/>
    <n v="0.33749999999999997"/>
    <n v="0"/>
  </r>
  <r>
    <n v="9624"/>
    <s v="CA-2017-137449"/>
    <d v="2017-06-29T00:00:00"/>
    <x v="3"/>
    <s v="Q2"/>
    <x v="27"/>
    <d v="2017-06-30T00:00:00"/>
    <s v="First Class"/>
    <x v="250"/>
    <x v="250"/>
    <s v="Consumer"/>
    <s v="United States"/>
    <s v="Dallas"/>
    <x v="5"/>
    <n v="75220"/>
    <x v="2"/>
    <x v="650"/>
    <x v="1"/>
    <x v="9"/>
    <x v="650"/>
    <n v="21.391999999999999"/>
    <s v="Low"/>
    <n v="2"/>
    <n v="0.8"/>
    <x v="1"/>
    <x v="3"/>
    <n v="-54.549599999999998"/>
    <n v="-2.5499999999999998"/>
    <n v="1"/>
  </r>
  <r>
    <n v="9625"/>
    <s v="CA-2017-137449"/>
    <d v="2017-06-29T00:00:00"/>
    <x v="3"/>
    <s v="Q2"/>
    <x v="27"/>
    <d v="2017-06-30T00:00:00"/>
    <s v="First Class"/>
    <x v="250"/>
    <x v="250"/>
    <s v="Consumer"/>
    <s v="United States"/>
    <s v="Dallas"/>
    <x v="5"/>
    <n v="75220"/>
    <x v="2"/>
    <x v="1213"/>
    <x v="0"/>
    <x v="3"/>
    <x v="1198"/>
    <n v="307.31400000000002"/>
    <s v="High"/>
    <n v="3"/>
    <n v="0.3"/>
    <x v="1"/>
    <x v="4"/>
    <n v="-39.511800000000001"/>
    <n v="-0.12857142857142856"/>
    <n v="1"/>
  </r>
  <r>
    <n v="9626"/>
    <s v="CA-2017-137449"/>
    <d v="2017-06-29T00:00:00"/>
    <x v="3"/>
    <s v="Q2"/>
    <x v="27"/>
    <d v="2017-06-30T00:00:00"/>
    <s v="First Class"/>
    <x v="250"/>
    <x v="250"/>
    <s v="Consumer"/>
    <s v="United States"/>
    <s v="Dallas"/>
    <x v="5"/>
    <n v="75220"/>
    <x v="2"/>
    <x v="1333"/>
    <x v="0"/>
    <x v="0"/>
    <x v="1318"/>
    <n v="409.99919999999997"/>
    <s v="High"/>
    <n v="3"/>
    <n v="0.32"/>
    <x v="1"/>
    <x v="7"/>
    <n v="-96.470399999999998"/>
    <n v="-0.23529411764705882"/>
    <n v="1"/>
  </r>
  <r>
    <n v="9627"/>
    <s v="CA-2017-103520"/>
    <d v="2017-09-23T00:00:00"/>
    <x v="3"/>
    <s v="Q3"/>
    <x v="15"/>
    <d v="2017-09-25T00:00:00"/>
    <s v="First Class"/>
    <x v="186"/>
    <x v="186"/>
    <s v="Corporate"/>
    <s v="United States"/>
    <s v="Lubbock"/>
    <x v="5"/>
    <n v="79424"/>
    <x v="2"/>
    <x v="1828"/>
    <x v="1"/>
    <x v="10"/>
    <x v="1816"/>
    <n v="9.2479999999999993"/>
    <s v="Low"/>
    <n v="2"/>
    <n v="0.2"/>
    <x v="2"/>
    <x v="2"/>
    <n v="3.3523999999999998"/>
    <n v="0.36249999999999999"/>
    <n v="0"/>
  </r>
  <r>
    <n v="9628"/>
    <s v="CA-2014-139283"/>
    <d v="2014-11-23T00:00:00"/>
    <x v="2"/>
    <s v="Q4"/>
    <x v="7"/>
    <d v="2014-11-27T00:00:00"/>
    <s v="Standard Class"/>
    <x v="590"/>
    <x v="590"/>
    <s v="Consumer"/>
    <s v="United States"/>
    <s v="Detroit"/>
    <x v="12"/>
    <n v="48227"/>
    <x v="2"/>
    <x v="766"/>
    <x v="1"/>
    <x v="8"/>
    <x v="765"/>
    <n v="14.67"/>
    <s v="Low"/>
    <n v="3"/>
    <n v="0"/>
    <x v="0"/>
    <x v="0"/>
    <n v="6.7481999999999998"/>
    <n v="0.45999999999999996"/>
    <n v="0"/>
  </r>
  <r>
    <n v="9629"/>
    <s v="CA-2014-118192"/>
    <d v="2014-01-13T00:00:00"/>
    <x v="2"/>
    <s v="Q1"/>
    <x v="46"/>
    <d v="2014-01-18T00:00:00"/>
    <s v="Standard Class"/>
    <x v="462"/>
    <x v="462"/>
    <s v="Consumer"/>
    <s v="United States"/>
    <s v="Newark"/>
    <x v="24"/>
    <n v="43055"/>
    <x v="3"/>
    <x v="711"/>
    <x v="1"/>
    <x v="10"/>
    <x v="710"/>
    <n v="37.408000000000001"/>
    <s v="Medium"/>
    <n v="7"/>
    <n v="0.2"/>
    <x v="2"/>
    <x v="2"/>
    <n v="13.0928"/>
    <n v="0.35"/>
    <n v="0"/>
  </r>
  <r>
    <n v="9630"/>
    <s v="CA-2014-118192"/>
    <d v="2014-01-13T00:00:00"/>
    <x v="2"/>
    <s v="Q1"/>
    <x v="46"/>
    <d v="2014-01-18T00:00:00"/>
    <s v="Standard Class"/>
    <x v="462"/>
    <x v="462"/>
    <s v="Consumer"/>
    <s v="United States"/>
    <s v="Newark"/>
    <x v="24"/>
    <n v="43055"/>
    <x v="3"/>
    <x v="1547"/>
    <x v="1"/>
    <x v="8"/>
    <x v="1535"/>
    <n v="3.4380000000000002"/>
    <s v="Low"/>
    <n v="2"/>
    <n v="0.7"/>
    <x v="1"/>
    <x v="5"/>
    <n v="-2.5211999999999999"/>
    <n v="-0.73333333333333328"/>
    <n v="1"/>
  </r>
  <r>
    <n v="9631"/>
    <s v="CA-2016-168844"/>
    <d v="2016-05-31T00:00:00"/>
    <x v="0"/>
    <s v="Q2"/>
    <x v="35"/>
    <d v="2016-06-06T00:00:00"/>
    <s v="Standard Class"/>
    <x v="392"/>
    <x v="392"/>
    <s v="Consumer"/>
    <s v="United States"/>
    <s v="New York City"/>
    <x v="15"/>
    <n v="10011"/>
    <x v="3"/>
    <x v="98"/>
    <x v="1"/>
    <x v="8"/>
    <x v="98"/>
    <n v="7.1520000000000001"/>
    <s v="Low"/>
    <n v="3"/>
    <n v="0.2"/>
    <x v="2"/>
    <x v="2"/>
    <n v="2.3243999999999998"/>
    <n v="0.32499999999999996"/>
    <n v="0"/>
  </r>
  <r>
    <n v="9632"/>
    <s v="CA-2016-168844"/>
    <d v="2016-05-31T00:00:00"/>
    <x v="0"/>
    <s v="Q2"/>
    <x v="35"/>
    <d v="2016-06-06T00:00:00"/>
    <s v="Standard Class"/>
    <x v="392"/>
    <x v="392"/>
    <s v="Consumer"/>
    <s v="United States"/>
    <s v="New York City"/>
    <x v="15"/>
    <n v="10011"/>
    <x v="3"/>
    <x v="1620"/>
    <x v="2"/>
    <x v="7"/>
    <x v="1611"/>
    <n v="179.7"/>
    <s v="High"/>
    <n v="6"/>
    <n v="0"/>
    <x v="0"/>
    <x v="0"/>
    <n v="88.052999999999997"/>
    <n v="0.49"/>
    <n v="0"/>
  </r>
  <r>
    <n v="9633"/>
    <s v="CA-2017-154809"/>
    <d v="2017-02-13T00:00:00"/>
    <x v="3"/>
    <s v="Q1"/>
    <x v="31"/>
    <d v="2017-02-17T00:00:00"/>
    <s v="Standard Class"/>
    <x v="708"/>
    <x v="708"/>
    <s v="Consumer"/>
    <s v="United States"/>
    <s v="Minneapolis"/>
    <x v="11"/>
    <n v="55407"/>
    <x v="2"/>
    <x v="1201"/>
    <x v="1"/>
    <x v="9"/>
    <x v="1186"/>
    <n v="90.64"/>
    <s v="Medium"/>
    <n v="8"/>
    <n v="0"/>
    <x v="0"/>
    <x v="0"/>
    <n v="38.975200000000001"/>
    <n v="0.43"/>
    <n v="0"/>
  </r>
  <r>
    <n v="9634"/>
    <s v="CA-2014-151330"/>
    <d v="2014-10-14T00:00:00"/>
    <x v="2"/>
    <s v="Q4"/>
    <x v="18"/>
    <d v="2014-10-17T00:00:00"/>
    <s v="First Class"/>
    <x v="646"/>
    <x v="646"/>
    <s v="Consumer"/>
    <s v="United States"/>
    <s v="Everett"/>
    <x v="31"/>
    <n v="2149"/>
    <x v="3"/>
    <x v="1013"/>
    <x v="2"/>
    <x v="11"/>
    <x v="1005"/>
    <n v="177"/>
    <s v="High"/>
    <n v="3"/>
    <n v="0"/>
    <x v="0"/>
    <x v="0"/>
    <n v="30.09"/>
    <n v="0.17"/>
    <n v="0"/>
  </r>
  <r>
    <n v="9635"/>
    <s v="CA-2014-151330"/>
    <d v="2014-10-14T00:00:00"/>
    <x v="2"/>
    <s v="Q4"/>
    <x v="18"/>
    <d v="2014-10-17T00:00:00"/>
    <s v="First Class"/>
    <x v="646"/>
    <x v="646"/>
    <s v="Consumer"/>
    <s v="United States"/>
    <s v="Everett"/>
    <x v="31"/>
    <n v="2149"/>
    <x v="3"/>
    <x v="75"/>
    <x v="1"/>
    <x v="4"/>
    <x v="75"/>
    <n v="79.45"/>
    <s v="Medium"/>
    <n v="7"/>
    <n v="0"/>
    <x v="0"/>
    <x v="0"/>
    <n v="22.245999999999999"/>
    <n v="0.27999999999999997"/>
    <n v="0"/>
  </r>
  <r>
    <n v="9636"/>
    <s v="CA-2014-151330"/>
    <d v="2014-10-14T00:00:00"/>
    <x v="2"/>
    <s v="Q4"/>
    <x v="18"/>
    <d v="2014-10-17T00:00:00"/>
    <s v="First Class"/>
    <x v="646"/>
    <x v="646"/>
    <s v="Consumer"/>
    <s v="United States"/>
    <s v="Everett"/>
    <x v="31"/>
    <n v="2149"/>
    <x v="3"/>
    <x v="1688"/>
    <x v="0"/>
    <x v="1"/>
    <x v="1676"/>
    <n v="1628.82"/>
    <s v="High"/>
    <n v="9"/>
    <n v="0"/>
    <x v="0"/>
    <x v="0"/>
    <n v="260.6112"/>
    <n v="0.16"/>
    <n v="0"/>
  </r>
  <r>
    <n v="9637"/>
    <s v="CA-2014-124702"/>
    <d v="2014-11-18T00:00:00"/>
    <x v="2"/>
    <s v="Q4"/>
    <x v="7"/>
    <d v="2014-11-25T00:00:00"/>
    <s v="Standard Class"/>
    <x v="186"/>
    <x v="186"/>
    <s v="Corporate"/>
    <s v="United States"/>
    <s v="Seattle"/>
    <x v="4"/>
    <n v="98105"/>
    <x v="1"/>
    <x v="568"/>
    <x v="0"/>
    <x v="5"/>
    <x v="568"/>
    <n v="137.54"/>
    <s v="High"/>
    <n v="2"/>
    <n v="0"/>
    <x v="0"/>
    <x v="0"/>
    <n v="55.015999999999998"/>
    <n v="0.4"/>
    <n v="0"/>
  </r>
  <r>
    <n v="9638"/>
    <s v="CA-2014-124702"/>
    <d v="2014-11-18T00:00:00"/>
    <x v="2"/>
    <s v="Q4"/>
    <x v="7"/>
    <d v="2014-11-25T00:00:00"/>
    <s v="Standard Class"/>
    <x v="186"/>
    <x v="186"/>
    <s v="Corporate"/>
    <s v="United States"/>
    <s v="Seattle"/>
    <x v="4"/>
    <n v="98105"/>
    <x v="1"/>
    <x v="962"/>
    <x v="0"/>
    <x v="3"/>
    <x v="955"/>
    <n v="730.2"/>
    <s v="High"/>
    <n v="4"/>
    <n v="0"/>
    <x v="0"/>
    <x v="0"/>
    <n v="94.926000000000002"/>
    <n v="0.13"/>
    <n v="0"/>
  </r>
  <r>
    <n v="9639"/>
    <s v="US-2017-125808"/>
    <d v="2017-11-12T00:00:00"/>
    <x v="3"/>
    <s v="Q4"/>
    <x v="23"/>
    <d v="2017-11-15T00:00:00"/>
    <s v="Second Class"/>
    <x v="212"/>
    <x v="212"/>
    <s v="Consumer"/>
    <s v="United States"/>
    <s v="Los Angeles"/>
    <x v="1"/>
    <n v="90032"/>
    <x v="1"/>
    <x v="1828"/>
    <x v="1"/>
    <x v="10"/>
    <x v="1816"/>
    <n v="11.56"/>
    <s v="Low"/>
    <n v="2"/>
    <n v="0"/>
    <x v="0"/>
    <x v="0"/>
    <n v="5.6643999999999997"/>
    <n v="0.48999999999999994"/>
    <n v="0"/>
  </r>
  <r>
    <n v="9640"/>
    <s v="CA-2015-116638"/>
    <d v="2015-01-28T00:00:00"/>
    <x v="1"/>
    <s v="Q1"/>
    <x v="26"/>
    <d v="2015-01-31T00:00:00"/>
    <s v="Second Class"/>
    <x v="98"/>
    <x v="98"/>
    <s v="Consumer"/>
    <s v="United States"/>
    <s v="Concord"/>
    <x v="3"/>
    <n v="28027"/>
    <x v="0"/>
    <x v="594"/>
    <x v="0"/>
    <x v="3"/>
    <x v="594"/>
    <n v="4297.6440000000002"/>
    <s v="High"/>
    <n v="13"/>
    <n v="0.4"/>
    <x v="1"/>
    <x v="7"/>
    <n v="-1862.3124"/>
    <n v="-0.43333333333333329"/>
    <n v="1"/>
  </r>
  <r>
    <n v="9641"/>
    <s v="CA-2014-104563"/>
    <d v="2014-03-07T00:00:00"/>
    <x v="2"/>
    <s v="Q1"/>
    <x v="34"/>
    <d v="2014-03-12T00:00:00"/>
    <s v="Standard Class"/>
    <x v="782"/>
    <x v="782"/>
    <s v="Corporate"/>
    <s v="United States"/>
    <s v="Seattle"/>
    <x v="4"/>
    <n v="98103"/>
    <x v="1"/>
    <x v="105"/>
    <x v="1"/>
    <x v="6"/>
    <x v="105"/>
    <n v="20.65"/>
    <s v="Low"/>
    <n v="5"/>
    <n v="0"/>
    <x v="0"/>
    <x v="0"/>
    <n v="9.4990000000000006"/>
    <n v="0.46000000000000008"/>
    <n v="0"/>
  </r>
  <r>
    <n v="9642"/>
    <s v="CA-2014-104563"/>
    <d v="2014-03-07T00:00:00"/>
    <x v="2"/>
    <s v="Q1"/>
    <x v="34"/>
    <d v="2014-03-12T00:00:00"/>
    <s v="Standard Class"/>
    <x v="782"/>
    <x v="782"/>
    <s v="Corporate"/>
    <s v="United States"/>
    <s v="Seattle"/>
    <x v="4"/>
    <n v="98103"/>
    <x v="1"/>
    <x v="356"/>
    <x v="1"/>
    <x v="4"/>
    <x v="356"/>
    <n v="204.9"/>
    <s v="High"/>
    <n v="5"/>
    <n v="0"/>
    <x v="0"/>
    <x v="0"/>
    <n v="0"/>
    <n v="0"/>
    <n v="0"/>
  </r>
  <r>
    <n v="9643"/>
    <s v="CA-2014-104563"/>
    <d v="2014-03-07T00:00:00"/>
    <x v="2"/>
    <s v="Q1"/>
    <x v="34"/>
    <d v="2014-03-12T00:00:00"/>
    <s v="Standard Class"/>
    <x v="782"/>
    <x v="782"/>
    <s v="Corporate"/>
    <s v="United States"/>
    <s v="Seattle"/>
    <x v="4"/>
    <n v="98103"/>
    <x v="1"/>
    <x v="1853"/>
    <x v="0"/>
    <x v="1"/>
    <x v="1841"/>
    <n v="436.70400000000001"/>
    <s v="High"/>
    <n v="6"/>
    <n v="0.2"/>
    <x v="2"/>
    <x v="2"/>
    <n v="21.8352"/>
    <n v="0.05"/>
    <n v="0"/>
  </r>
  <r>
    <n v="9644"/>
    <s v="CA-2014-104563"/>
    <d v="2014-03-07T00:00:00"/>
    <x v="2"/>
    <s v="Q1"/>
    <x v="34"/>
    <d v="2014-03-12T00:00:00"/>
    <s v="Standard Class"/>
    <x v="782"/>
    <x v="782"/>
    <s v="Corporate"/>
    <s v="United States"/>
    <s v="Seattle"/>
    <x v="4"/>
    <n v="98103"/>
    <x v="1"/>
    <x v="1496"/>
    <x v="0"/>
    <x v="1"/>
    <x v="1484"/>
    <n v="481.56799999999998"/>
    <s v="High"/>
    <n v="2"/>
    <n v="0.2"/>
    <x v="2"/>
    <x v="2"/>
    <n v="54.176400000000001"/>
    <n v="0.1125"/>
    <n v="0"/>
  </r>
  <r>
    <n v="9645"/>
    <s v="US-2017-107979"/>
    <d v="2017-06-08T00:00:00"/>
    <x v="3"/>
    <s v="Q2"/>
    <x v="27"/>
    <d v="2017-06-13T00:00:00"/>
    <s v="Standard Class"/>
    <x v="383"/>
    <x v="383"/>
    <s v="Consumer"/>
    <s v="United States"/>
    <s v="Glendale"/>
    <x v="16"/>
    <n v="85301"/>
    <x v="1"/>
    <x v="1097"/>
    <x v="2"/>
    <x v="11"/>
    <x v="1087"/>
    <n v="89.543999999999997"/>
    <s v="Medium"/>
    <n v="7"/>
    <n v="0.2"/>
    <x v="2"/>
    <x v="2"/>
    <n v="12.3123"/>
    <n v="0.13750000000000001"/>
    <n v="0"/>
  </r>
  <r>
    <n v="9646"/>
    <s v="US-2017-107979"/>
    <d v="2017-06-08T00:00:00"/>
    <x v="3"/>
    <s v="Q2"/>
    <x v="27"/>
    <d v="2017-06-13T00:00:00"/>
    <s v="Standard Class"/>
    <x v="383"/>
    <x v="383"/>
    <s v="Consumer"/>
    <s v="United States"/>
    <s v="Glendale"/>
    <x v="16"/>
    <n v="85301"/>
    <x v="1"/>
    <x v="210"/>
    <x v="1"/>
    <x v="4"/>
    <x v="211"/>
    <n v="35.167999999999999"/>
    <s v="Medium"/>
    <n v="2"/>
    <n v="0.2"/>
    <x v="2"/>
    <x v="2"/>
    <n v="-8.3523999999999994"/>
    <n v="-0.23749999999999999"/>
    <n v="1"/>
  </r>
  <r>
    <n v="9647"/>
    <s v="US-2017-107979"/>
    <d v="2017-06-08T00:00:00"/>
    <x v="3"/>
    <s v="Q2"/>
    <x v="27"/>
    <d v="2017-06-13T00:00:00"/>
    <s v="Standard Class"/>
    <x v="383"/>
    <x v="383"/>
    <s v="Consumer"/>
    <s v="United States"/>
    <s v="Glendale"/>
    <x v="16"/>
    <n v="85301"/>
    <x v="1"/>
    <x v="261"/>
    <x v="1"/>
    <x v="8"/>
    <x v="261"/>
    <n v="72.587999999999994"/>
    <s v="Medium"/>
    <n v="2"/>
    <n v="0.7"/>
    <x v="1"/>
    <x v="5"/>
    <n v="-48.392000000000003"/>
    <n v="-0.66666666666666674"/>
    <n v="1"/>
  </r>
  <r>
    <n v="9648"/>
    <s v="CA-2014-150518"/>
    <d v="2014-11-19T00:00:00"/>
    <x v="2"/>
    <s v="Q4"/>
    <x v="7"/>
    <d v="2014-11-24T00:00:00"/>
    <s v="Standard Class"/>
    <x v="596"/>
    <x v="596"/>
    <s v="Consumer"/>
    <s v="United States"/>
    <s v="Coon Rapids"/>
    <x v="11"/>
    <n v="55433"/>
    <x v="2"/>
    <x v="1125"/>
    <x v="1"/>
    <x v="4"/>
    <x v="1113"/>
    <n v="221.16"/>
    <s v="High"/>
    <n v="4"/>
    <n v="0"/>
    <x v="0"/>
    <x v="0"/>
    <n v="57.501600000000003"/>
    <n v="0.26"/>
    <n v="0"/>
  </r>
  <r>
    <n v="9649"/>
    <s v="CA-2014-150518"/>
    <d v="2014-11-19T00:00:00"/>
    <x v="2"/>
    <s v="Q4"/>
    <x v="7"/>
    <d v="2014-11-24T00:00:00"/>
    <s v="Standard Class"/>
    <x v="596"/>
    <x v="596"/>
    <s v="Consumer"/>
    <s v="United States"/>
    <s v="Coon Rapids"/>
    <x v="11"/>
    <n v="55433"/>
    <x v="2"/>
    <x v="539"/>
    <x v="2"/>
    <x v="7"/>
    <x v="539"/>
    <n v="281.97000000000003"/>
    <s v="High"/>
    <n v="3"/>
    <n v="0"/>
    <x v="0"/>
    <x v="0"/>
    <n v="78.951599999999999"/>
    <n v="0.27999999999999997"/>
    <n v="0"/>
  </r>
  <r>
    <n v="9650"/>
    <s v="CA-2016-107104"/>
    <d v="2016-11-26T00:00:00"/>
    <x v="0"/>
    <s v="Q4"/>
    <x v="0"/>
    <d v="2016-11-30T00:00:00"/>
    <s v="Standard Class"/>
    <x v="333"/>
    <x v="333"/>
    <s v="Consumer"/>
    <s v="United States"/>
    <s v="Los Angeles"/>
    <x v="1"/>
    <n v="90045"/>
    <x v="1"/>
    <x v="1248"/>
    <x v="0"/>
    <x v="0"/>
    <x v="1232"/>
    <n v="3406.6640000000002"/>
    <s v="High"/>
    <n v="8"/>
    <n v="0.15"/>
    <x v="2"/>
    <x v="2"/>
    <n v="160.31360000000001"/>
    <n v="4.7058823529411764E-2"/>
    <n v="0"/>
  </r>
  <r>
    <n v="9651"/>
    <s v="CA-2016-107104"/>
    <d v="2016-11-26T00:00:00"/>
    <x v="0"/>
    <s v="Q4"/>
    <x v="0"/>
    <d v="2016-11-30T00:00:00"/>
    <s v="Standard Class"/>
    <x v="333"/>
    <x v="333"/>
    <s v="Consumer"/>
    <s v="United States"/>
    <s v="Los Angeles"/>
    <x v="1"/>
    <n v="90045"/>
    <x v="1"/>
    <x v="1560"/>
    <x v="1"/>
    <x v="6"/>
    <x v="1550"/>
    <n v="37.17"/>
    <s v="Medium"/>
    <n v="9"/>
    <n v="0"/>
    <x v="0"/>
    <x v="0"/>
    <n v="10.4076"/>
    <n v="0.27999999999999997"/>
    <n v="0"/>
  </r>
  <r>
    <n v="9652"/>
    <s v="CA-2016-107104"/>
    <d v="2016-11-26T00:00:00"/>
    <x v="0"/>
    <s v="Q4"/>
    <x v="0"/>
    <d v="2016-11-30T00:00:00"/>
    <s v="Standard Class"/>
    <x v="333"/>
    <x v="333"/>
    <s v="Consumer"/>
    <s v="United States"/>
    <s v="Los Angeles"/>
    <x v="1"/>
    <n v="90045"/>
    <x v="1"/>
    <x v="791"/>
    <x v="1"/>
    <x v="9"/>
    <x v="789"/>
    <n v="64.959999999999994"/>
    <s v="Medium"/>
    <n v="2"/>
    <n v="0"/>
    <x v="0"/>
    <x v="0"/>
    <n v="19.488"/>
    <n v="0.30000000000000004"/>
    <n v="0"/>
  </r>
  <r>
    <n v="9653"/>
    <s v="CA-2016-107104"/>
    <d v="2016-11-26T00:00:00"/>
    <x v="0"/>
    <s v="Q4"/>
    <x v="0"/>
    <d v="2016-11-30T00:00:00"/>
    <s v="Standard Class"/>
    <x v="333"/>
    <x v="333"/>
    <s v="Consumer"/>
    <s v="United States"/>
    <s v="Los Angeles"/>
    <x v="1"/>
    <n v="90045"/>
    <x v="1"/>
    <x v="1071"/>
    <x v="0"/>
    <x v="5"/>
    <x v="1060"/>
    <n v="595.38"/>
    <s v="High"/>
    <n v="6"/>
    <n v="0"/>
    <x v="0"/>
    <x v="0"/>
    <n v="297.69"/>
    <n v="0.5"/>
    <n v="0"/>
  </r>
  <r>
    <n v="9654"/>
    <s v="CA-2017-161893"/>
    <d v="2017-01-23T00:00:00"/>
    <x v="3"/>
    <s v="Q1"/>
    <x v="44"/>
    <d v="2017-01-27T00:00:00"/>
    <s v="Standard Class"/>
    <x v="6"/>
    <x v="6"/>
    <s v="Home Office"/>
    <s v="United States"/>
    <s v="Tucson"/>
    <x v="16"/>
    <n v="85705"/>
    <x v="1"/>
    <x v="1580"/>
    <x v="2"/>
    <x v="11"/>
    <x v="1571"/>
    <n v="95.983999999999995"/>
    <s v="Medium"/>
    <n v="2"/>
    <n v="0.2"/>
    <x v="2"/>
    <x v="2"/>
    <n v="11.997999999999999"/>
    <n v="0.125"/>
    <n v="0"/>
  </r>
  <r>
    <n v="9655"/>
    <s v="CA-2017-161893"/>
    <d v="2017-01-23T00:00:00"/>
    <x v="3"/>
    <s v="Q1"/>
    <x v="44"/>
    <d v="2017-01-27T00:00:00"/>
    <s v="Standard Class"/>
    <x v="6"/>
    <x v="6"/>
    <s v="Home Office"/>
    <s v="United States"/>
    <s v="Tucson"/>
    <x v="16"/>
    <n v="85705"/>
    <x v="1"/>
    <x v="1263"/>
    <x v="1"/>
    <x v="8"/>
    <x v="1247"/>
    <n v="4.9379999999999997"/>
    <s v="Low"/>
    <n v="2"/>
    <n v="0.7"/>
    <x v="1"/>
    <x v="5"/>
    <n v="-3.6212"/>
    <n v="-0.73333333333333339"/>
    <n v="1"/>
  </r>
  <r>
    <n v="9656"/>
    <s v="CA-2014-156160"/>
    <d v="2014-09-22T00:00:00"/>
    <x v="2"/>
    <s v="Q3"/>
    <x v="30"/>
    <d v="2014-09-29T00:00:00"/>
    <s v="Standard Class"/>
    <x v="548"/>
    <x v="548"/>
    <s v="Consumer"/>
    <s v="United States"/>
    <s v="New York City"/>
    <x v="15"/>
    <n v="10035"/>
    <x v="3"/>
    <x v="1416"/>
    <x v="0"/>
    <x v="5"/>
    <x v="1403"/>
    <n v="97.44"/>
    <s v="Medium"/>
    <n v="3"/>
    <n v="0"/>
    <x v="0"/>
    <x v="0"/>
    <n v="35.078400000000002"/>
    <n v="0.36000000000000004"/>
    <n v="0"/>
  </r>
  <r>
    <n v="9657"/>
    <s v="CA-2014-156160"/>
    <d v="2014-09-22T00:00:00"/>
    <x v="2"/>
    <s v="Q3"/>
    <x v="30"/>
    <d v="2014-09-29T00:00:00"/>
    <s v="Standard Class"/>
    <x v="548"/>
    <x v="548"/>
    <s v="Consumer"/>
    <s v="United States"/>
    <s v="New York City"/>
    <x v="15"/>
    <n v="10035"/>
    <x v="3"/>
    <x v="591"/>
    <x v="1"/>
    <x v="8"/>
    <x v="591"/>
    <n v="3.984"/>
    <s v="Low"/>
    <n v="1"/>
    <n v="0.2"/>
    <x v="2"/>
    <x v="2"/>
    <n v="1.3944000000000001"/>
    <n v="0.35000000000000003"/>
    <n v="0"/>
  </r>
  <r>
    <n v="9658"/>
    <s v="CA-2014-156160"/>
    <d v="2014-09-22T00:00:00"/>
    <x v="2"/>
    <s v="Q3"/>
    <x v="30"/>
    <d v="2014-09-29T00:00:00"/>
    <s v="Standard Class"/>
    <x v="548"/>
    <x v="548"/>
    <s v="Consumer"/>
    <s v="United States"/>
    <s v="New York City"/>
    <x v="15"/>
    <n v="10035"/>
    <x v="3"/>
    <x v="1731"/>
    <x v="1"/>
    <x v="6"/>
    <x v="1718"/>
    <n v="13.04"/>
    <s v="Low"/>
    <n v="4"/>
    <n v="0"/>
    <x v="0"/>
    <x v="0"/>
    <n v="5.7375999999999996"/>
    <n v="0.44"/>
    <n v="0"/>
  </r>
  <r>
    <n v="9659"/>
    <s v="CA-2014-156160"/>
    <d v="2014-09-22T00:00:00"/>
    <x v="2"/>
    <s v="Q3"/>
    <x v="30"/>
    <d v="2014-09-29T00:00:00"/>
    <s v="Standard Class"/>
    <x v="548"/>
    <x v="548"/>
    <s v="Consumer"/>
    <s v="United States"/>
    <s v="New York City"/>
    <x v="15"/>
    <n v="10035"/>
    <x v="3"/>
    <x v="1578"/>
    <x v="0"/>
    <x v="1"/>
    <x v="1569"/>
    <n v="579.52800000000002"/>
    <s v="High"/>
    <n v="4"/>
    <n v="0.1"/>
    <x v="3"/>
    <x v="8"/>
    <n v="83.709599999999995"/>
    <n v="0.14444444444444443"/>
    <n v="0"/>
  </r>
  <r>
    <n v="9660"/>
    <s v="CA-2014-100860"/>
    <d v="2014-03-26T00:00:00"/>
    <x v="2"/>
    <s v="Q1"/>
    <x v="34"/>
    <d v="2014-03-30T00:00:00"/>
    <s v="Second Class"/>
    <x v="473"/>
    <x v="473"/>
    <s v="Consumer"/>
    <s v="United States"/>
    <s v="Pomona"/>
    <x v="1"/>
    <n v="91767"/>
    <x v="1"/>
    <x v="1550"/>
    <x v="1"/>
    <x v="2"/>
    <x v="1538"/>
    <n v="18.75"/>
    <s v="Low"/>
    <n v="5"/>
    <n v="0"/>
    <x v="0"/>
    <x v="0"/>
    <n v="9"/>
    <n v="0.48"/>
    <n v="0"/>
  </r>
  <r>
    <n v="9661"/>
    <s v="CA-2016-160717"/>
    <d v="2016-06-06T00:00:00"/>
    <x v="0"/>
    <s v="Q2"/>
    <x v="1"/>
    <d v="2016-06-11T00:00:00"/>
    <s v="Standard Class"/>
    <x v="467"/>
    <x v="467"/>
    <s v="Home Office"/>
    <s v="United States"/>
    <s v="Santa Barbara"/>
    <x v="1"/>
    <n v="93101"/>
    <x v="1"/>
    <x v="1461"/>
    <x v="2"/>
    <x v="7"/>
    <x v="1447"/>
    <n v="3023.9279999999999"/>
    <s v="High"/>
    <n v="9"/>
    <n v="0.2"/>
    <x v="2"/>
    <x v="2"/>
    <n v="226.7946"/>
    <n v="7.4999999999999997E-2"/>
    <n v="0"/>
  </r>
  <r>
    <n v="9662"/>
    <s v="CA-2016-160717"/>
    <d v="2016-06-06T00:00:00"/>
    <x v="0"/>
    <s v="Q2"/>
    <x v="1"/>
    <d v="2016-06-11T00:00:00"/>
    <s v="Standard Class"/>
    <x v="467"/>
    <x v="467"/>
    <s v="Home Office"/>
    <s v="United States"/>
    <s v="Santa Barbara"/>
    <x v="1"/>
    <n v="93101"/>
    <x v="1"/>
    <x v="1556"/>
    <x v="2"/>
    <x v="11"/>
    <x v="1545"/>
    <n v="26.96"/>
    <s v="Medium"/>
    <n v="2"/>
    <n v="0"/>
    <x v="0"/>
    <x v="0"/>
    <n v="3.7744"/>
    <n v="0.13999999999999999"/>
    <n v="0"/>
  </r>
  <r>
    <n v="9663"/>
    <s v="CA-2016-160717"/>
    <d v="2016-06-06T00:00:00"/>
    <x v="0"/>
    <s v="Q2"/>
    <x v="1"/>
    <d v="2016-06-11T00:00:00"/>
    <s v="Standard Class"/>
    <x v="467"/>
    <x v="467"/>
    <s v="Home Office"/>
    <s v="United States"/>
    <s v="Santa Barbara"/>
    <x v="1"/>
    <n v="93101"/>
    <x v="1"/>
    <x v="256"/>
    <x v="2"/>
    <x v="7"/>
    <x v="257"/>
    <n v="477.6"/>
    <s v="High"/>
    <n v="3"/>
    <n v="0.2"/>
    <x v="2"/>
    <x v="2"/>
    <n v="161.19"/>
    <n v="0.33749999999999997"/>
    <n v="0"/>
  </r>
  <r>
    <n v="9664"/>
    <s v="CA-2017-132619"/>
    <d v="2017-08-31T00:00:00"/>
    <x v="3"/>
    <s v="Q3"/>
    <x v="43"/>
    <d v="2017-09-05T00:00:00"/>
    <s v="Standard Class"/>
    <x v="474"/>
    <x v="474"/>
    <s v="Consumer"/>
    <s v="United States"/>
    <s v="San Francisco"/>
    <x v="1"/>
    <n v="94109"/>
    <x v="1"/>
    <x v="557"/>
    <x v="1"/>
    <x v="4"/>
    <x v="556"/>
    <n v="193.95"/>
    <s v="High"/>
    <n v="3"/>
    <n v="0"/>
    <x v="0"/>
    <x v="0"/>
    <n v="9.6974999999999998"/>
    <n v="0.05"/>
    <n v="0"/>
  </r>
  <r>
    <n v="9665"/>
    <s v="US-2015-120957"/>
    <d v="2015-12-07T00:00:00"/>
    <x v="1"/>
    <s v="Q4"/>
    <x v="14"/>
    <d v="2015-12-07T00:00:00"/>
    <s v="Same Day"/>
    <x v="120"/>
    <x v="120"/>
    <s v="Corporate"/>
    <s v="United States"/>
    <s v="Riverside"/>
    <x v="1"/>
    <n v="92503"/>
    <x v="1"/>
    <x v="644"/>
    <x v="1"/>
    <x v="10"/>
    <x v="644"/>
    <n v="12.96"/>
    <s v="Low"/>
    <n v="2"/>
    <n v="0"/>
    <x v="0"/>
    <x v="0"/>
    <n v="6.2207999999999997"/>
    <n v="0.47999999999999993"/>
    <n v="0"/>
  </r>
  <r>
    <n v="9666"/>
    <s v="CA-2017-157448"/>
    <d v="2017-11-16T00:00:00"/>
    <x v="3"/>
    <s v="Q4"/>
    <x v="23"/>
    <d v="2017-11-20T00:00:00"/>
    <s v="Standard Class"/>
    <x v="62"/>
    <x v="62"/>
    <s v="Consumer"/>
    <s v="United States"/>
    <s v="Los Angeles"/>
    <x v="1"/>
    <n v="90049"/>
    <x v="1"/>
    <x v="892"/>
    <x v="0"/>
    <x v="5"/>
    <x v="885"/>
    <n v="119.94"/>
    <s v="Medium"/>
    <n v="3"/>
    <n v="0"/>
    <x v="0"/>
    <x v="0"/>
    <n v="23.988"/>
    <n v="0.2"/>
    <n v="0"/>
  </r>
  <r>
    <n v="9667"/>
    <s v="CA-2017-157448"/>
    <d v="2017-11-16T00:00:00"/>
    <x v="3"/>
    <s v="Q4"/>
    <x v="23"/>
    <d v="2017-11-20T00:00:00"/>
    <s v="Standard Class"/>
    <x v="62"/>
    <x v="62"/>
    <s v="Consumer"/>
    <s v="United States"/>
    <s v="Los Angeles"/>
    <x v="1"/>
    <n v="90049"/>
    <x v="1"/>
    <x v="1379"/>
    <x v="0"/>
    <x v="5"/>
    <x v="1364"/>
    <n v="12.42"/>
    <s v="Low"/>
    <n v="3"/>
    <n v="0"/>
    <x v="0"/>
    <x v="0"/>
    <n v="4.4711999999999996"/>
    <n v="0.36"/>
    <n v="0"/>
  </r>
  <r>
    <n v="9668"/>
    <s v="CA-2016-126270"/>
    <d v="2016-04-23T00:00:00"/>
    <x v="0"/>
    <s v="Q2"/>
    <x v="25"/>
    <d v="2016-04-27T00:00:00"/>
    <s v="Standard Class"/>
    <x v="578"/>
    <x v="578"/>
    <s v="Consumer"/>
    <s v="United States"/>
    <s v="San Clemente"/>
    <x v="1"/>
    <n v="92672"/>
    <x v="1"/>
    <x v="507"/>
    <x v="1"/>
    <x v="8"/>
    <x v="507"/>
    <n v="18.088000000000001"/>
    <s v="Low"/>
    <n v="7"/>
    <n v="0.2"/>
    <x v="2"/>
    <x v="2"/>
    <n v="6.5568999999999997"/>
    <n v="0.36249999999999999"/>
    <n v="0"/>
  </r>
  <r>
    <n v="9669"/>
    <s v="CA-2016-126270"/>
    <d v="2016-04-23T00:00:00"/>
    <x v="0"/>
    <s v="Q2"/>
    <x v="25"/>
    <d v="2016-04-27T00:00:00"/>
    <s v="Standard Class"/>
    <x v="578"/>
    <x v="578"/>
    <s v="Consumer"/>
    <s v="United States"/>
    <s v="San Clemente"/>
    <x v="1"/>
    <n v="92672"/>
    <x v="1"/>
    <x v="244"/>
    <x v="1"/>
    <x v="12"/>
    <x v="245"/>
    <n v="71.97"/>
    <s v="Medium"/>
    <n v="3"/>
    <n v="0"/>
    <x v="0"/>
    <x v="0"/>
    <n v="35.984999999999999"/>
    <n v="0.5"/>
    <n v="0"/>
  </r>
  <r>
    <n v="9670"/>
    <s v="CA-2017-145275"/>
    <d v="2017-04-02T00:00:00"/>
    <x v="3"/>
    <s v="Q2"/>
    <x v="4"/>
    <d v="2017-04-06T00:00:00"/>
    <s v="Standard Class"/>
    <x v="733"/>
    <x v="733"/>
    <s v="Consumer"/>
    <s v="United States"/>
    <s v="Decatur"/>
    <x v="19"/>
    <n v="35601"/>
    <x v="0"/>
    <x v="639"/>
    <x v="1"/>
    <x v="2"/>
    <x v="639"/>
    <n v="14.94"/>
    <s v="Low"/>
    <n v="3"/>
    <n v="0"/>
    <x v="0"/>
    <x v="0"/>
    <n v="6.8723999999999998"/>
    <n v="0.46"/>
    <n v="0"/>
  </r>
  <r>
    <n v="9671"/>
    <s v="CA-2015-133396"/>
    <d v="2015-08-13T00:00:00"/>
    <x v="1"/>
    <s v="Q3"/>
    <x v="37"/>
    <d v="2015-08-15T00:00:00"/>
    <s v="First Class"/>
    <x v="136"/>
    <x v="136"/>
    <s v="Corporate"/>
    <s v="United States"/>
    <s v="Greensboro"/>
    <x v="3"/>
    <n v="27405"/>
    <x v="0"/>
    <x v="1175"/>
    <x v="1"/>
    <x v="6"/>
    <x v="1161"/>
    <n v="64.680000000000007"/>
    <s v="Medium"/>
    <n v="7"/>
    <n v="0.2"/>
    <x v="2"/>
    <x v="2"/>
    <n v="8.0850000000000009"/>
    <n v="0.125"/>
    <n v="0"/>
  </r>
  <r>
    <n v="9672"/>
    <s v="US-2017-140312"/>
    <d v="2017-11-13T00:00:00"/>
    <x v="3"/>
    <s v="Q4"/>
    <x v="23"/>
    <d v="2017-11-19T00:00:00"/>
    <s v="Standard Class"/>
    <x v="107"/>
    <x v="107"/>
    <s v="Consumer"/>
    <s v="United States"/>
    <s v="Dublin"/>
    <x v="1"/>
    <n v="94568"/>
    <x v="1"/>
    <x v="895"/>
    <x v="2"/>
    <x v="7"/>
    <x v="888"/>
    <n v="22"/>
    <s v="Low"/>
    <n v="5"/>
    <n v="0.2"/>
    <x v="2"/>
    <x v="2"/>
    <n v="1.375"/>
    <n v="6.25E-2"/>
    <n v="0"/>
  </r>
  <r>
    <n v="9673"/>
    <s v="CA-2016-114867"/>
    <d v="2016-12-23T00:00:00"/>
    <x v="0"/>
    <s v="Q4"/>
    <x v="5"/>
    <d v="2016-12-28T00:00:00"/>
    <s v="Standard Class"/>
    <x v="86"/>
    <x v="86"/>
    <s v="Home Office"/>
    <s v="United States"/>
    <s v="Philadelphia"/>
    <x v="9"/>
    <n v="19143"/>
    <x v="3"/>
    <x v="1231"/>
    <x v="1"/>
    <x v="10"/>
    <x v="1214"/>
    <n v="7.968"/>
    <s v="Low"/>
    <n v="2"/>
    <n v="0.2"/>
    <x v="2"/>
    <x v="2"/>
    <n v="2.6892"/>
    <n v="0.33750000000000002"/>
    <n v="0"/>
  </r>
  <r>
    <n v="9674"/>
    <s v="CA-2016-114867"/>
    <d v="2016-12-23T00:00:00"/>
    <x v="0"/>
    <s v="Q4"/>
    <x v="5"/>
    <d v="2016-12-28T00:00:00"/>
    <s v="Standard Class"/>
    <x v="86"/>
    <x v="86"/>
    <s v="Home Office"/>
    <s v="United States"/>
    <s v="Philadelphia"/>
    <x v="9"/>
    <n v="19143"/>
    <x v="3"/>
    <x v="1860"/>
    <x v="2"/>
    <x v="7"/>
    <x v="1848"/>
    <n v="1499.97"/>
    <s v="High"/>
    <n v="5"/>
    <n v="0.4"/>
    <x v="1"/>
    <x v="7"/>
    <n v="-374.99250000000001"/>
    <n v="-0.25"/>
    <n v="1"/>
  </r>
  <r>
    <n v="9675"/>
    <s v="US-2014-164644"/>
    <d v="2014-07-22T00:00:00"/>
    <x v="2"/>
    <s v="Q3"/>
    <x v="39"/>
    <d v="2014-07-24T00:00:00"/>
    <s v="Second Class"/>
    <x v="139"/>
    <x v="139"/>
    <s v="Consumer"/>
    <s v="United States"/>
    <s v="Houston"/>
    <x v="5"/>
    <n v="77095"/>
    <x v="2"/>
    <x v="1291"/>
    <x v="1"/>
    <x v="4"/>
    <x v="1277"/>
    <n v="26.632000000000001"/>
    <s v="Medium"/>
    <n v="1"/>
    <n v="0.2"/>
    <x v="2"/>
    <x v="2"/>
    <n v="1.3315999999999999"/>
    <n v="4.9999999999999996E-2"/>
    <n v="0"/>
  </r>
  <r>
    <n v="9676"/>
    <s v="CA-2016-137393"/>
    <d v="2016-05-06T00:00:00"/>
    <x v="0"/>
    <s v="Q2"/>
    <x v="35"/>
    <d v="2016-05-10T00:00:00"/>
    <s v="Standard Class"/>
    <x v="421"/>
    <x v="421"/>
    <s v="Consumer"/>
    <s v="United States"/>
    <s v="Bakersfield"/>
    <x v="1"/>
    <n v="93309"/>
    <x v="1"/>
    <x v="1163"/>
    <x v="0"/>
    <x v="5"/>
    <x v="1150"/>
    <n v="41.6"/>
    <s v="Medium"/>
    <n v="4"/>
    <n v="0"/>
    <x v="0"/>
    <x v="0"/>
    <n v="14.144"/>
    <n v="0.33999999999999997"/>
    <n v="0"/>
  </r>
  <r>
    <n v="9677"/>
    <s v="US-2014-120175"/>
    <d v="2014-11-28T00:00:00"/>
    <x v="2"/>
    <s v="Q4"/>
    <x v="7"/>
    <d v="2014-12-03T00:00:00"/>
    <s v="Standard Class"/>
    <x v="637"/>
    <x v="637"/>
    <s v="Corporate"/>
    <s v="United States"/>
    <s v="Richmond"/>
    <x v="14"/>
    <n v="47374"/>
    <x v="2"/>
    <x v="761"/>
    <x v="1"/>
    <x v="12"/>
    <x v="760"/>
    <n v="64.02"/>
    <s v="Medium"/>
    <n v="6"/>
    <n v="0"/>
    <x v="0"/>
    <x v="0"/>
    <n v="29.449200000000001"/>
    <n v="0.46"/>
    <n v="0"/>
  </r>
  <r>
    <n v="9678"/>
    <s v="CA-2016-144785"/>
    <d v="2016-04-18T00:00:00"/>
    <x v="0"/>
    <s v="Q2"/>
    <x v="25"/>
    <d v="2016-04-23T00:00:00"/>
    <s v="Standard Class"/>
    <x v="703"/>
    <x v="703"/>
    <s v="Corporate"/>
    <s v="United States"/>
    <s v="New York City"/>
    <x v="15"/>
    <n v="10009"/>
    <x v="3"/>
    <x v="372"/>
    <x v="1"/>
    <x v="6"/>
    <x v="373"/>
    <n v="6.99"/>
    <s v="Low"/>
    <n v="3"/>
    <n v="0"/>
    <x v="0"/>
    <x v="0"/>
    <n v="2.0270999999999999"/>
    <n v="0.28999999999999998"/>
    <n v="0"/>
  </r>
  <r>
    <n v="9679"/>
    <s v="CA-2016-144785"/>
    <d v="2016-04-18T00:00:00"/>
    <x v="0"/>
    <s v="Q2"/>
    <x v="25"/>
    <d v="2016-04-23T00:00:00"/>
    <s v="Standard Class"/>
    <x v="703"/>
    <x v="703"/>
    <s v="Corporate"/>
    <s v="United States"/>
    <s v="New York City"/>
    <x v="15"/>
    <n v="10009"/>
    <x v="3"/>
    <x v="1839"/>
    <x v="1"/>
    <x v="14"/>
    <x v="1827"/>
    <n v="6.84"/>
    <s v="Low"/>
    <n v="1"/>
    <n v="0"/>
    <x v="0"/>
    <x v="0"/>
    <n v="1.8468"/>
    <n v="0.27"/>
    <n v="0"/>
  </r>
  <r>
    <n v="9680"/>
    <s v="CA-2015-130113"/>
    <d v="2015-12-27T00:00:00"/>
    <x v="1"/>
    <s v="Q4"/>
    <x v="14"/>
    <d v="2015-12-31T00:00:00"/>
    <s v="Standard Class"/>
    <x v="692"/>
    <x v="692"/>
    <s v="Corporate"/>
    <s v="United States"/>
    <s v="San Francisco"/>
    <x v="1"/>
    <n v="94122"/>
    <x v="1"/>
    <x v="765"/>
    <x v="1"/>
    <x v="4"/>
    <x v="764"/>
    <n v="323.10000000000002"/>
    <s v="High"/>
    <n v="2"/>
    <n v="0"/>
    <x v="0"/>
    <x v="0"/>
    <n v="61.389000000000003"/>
    <n v="0.19"/>
    <n v="0"/>
  </r>
  <r>
    <n v="9681"/>
    <s v="CA-2015-130113"/>
    <d v="2015-12-27T00:00:00"/>
    <x v="1"/>
    <s v="Q4"/>
    <x v="14"/>
    <d v="2015-12-31T00:00:00"/>
    <s v="Standard Class"/>
    <x v="692"/>
    <x v="692"/>
    <s v="Corporate"/>
    <s v="United States"/>
    <s v="San Francisco"/>
    <x v="1"/>
    <n v="94122"/>
    <x v="1"/>
    <x v="918"/>
    <x v="2"/>
    <x v="7"/>
    <x v="910"/>
    <n v="668.16"/>
    <s v="High"/>
    <n v="9"/>
    <n v="0.2"/>
    <x v="2"/>
    <x v="2"/>
    <n v="75.168000000000006"/>
    <n v="0.11250000000000002"/>
    <n v="0"/>
  </r>
  <r>
    <n v="9682"/>
    <s v="CA-2017-122770"/>
    <d v="2017-12-13T00:00:00"/>
    <x v="3"/>
    <s v="Q4"/>
    <x v="22"/>
    <d v="2017-12-18T00:00:00"/>
    <s v="Standard Class"/>
    <x v="212"/>
    <x v="212"/>
    <s v="Consumer"/>
    <s v="United States"/>
    <s v="San Francisco"/>
    <x v="1"/>
    <n v="94122"/>
    <x v="1"/>
    <x v="1363"/>
    <x v="1"/>
    <x v="2"/>
    <x v="1349"/>
    <n v="8.64"/>
    <s v="Low"/>
    <n v="3"/>
    <n v="0"/>
    <x v="0"/>
    <x v="0"/>
    <n v="4.2336"/>
    <n v="0.49"/>
    <n v="0"/>
  </r>
  <r>
    <n v="9683"/>
    <s v="CA-2017-122770"/>
    <d v="2017-12-13T00:00:00"/>
    <x v="3"/>
    <s v="Q4"/>
    <x v="22"/>
    <d v="2017-12-18T00:00:00"/>
    <s v="Standard Class"/>
    <x v="212"/>
    <x v="212"/>
    <s v="Consumer"/>
    <s v="United States"/>
    <s v="San Francisco"/>
    <x v="1"/>
    <n v="94122"/>
    <x v="1"/>
    <x v="860"/>
    <x v="1"/>
    <x v="10"/>
    <x v="854"/>
    <n v="38.880000000000003"/>
    <s v="Medium"/>
    <n v="6"/>
    <n v="0"/>
    <x v="0"/>
    <x v="0"/>
    <n v="18.662400000000002"/>
    <n v="0.48000000000000004"/>
    <n v="0"/>
  </r>
  <r>
    <n v="9684"/>
    <s v="CA-2017-122770"/>
    <d v="2017-12-13T00:00:00"/>
    <x v="3"/>
    <s v="Q4"/>
    <x v="22"/>
    <d v="2017-12-18T00:00:00"/>
    <s v="Standard Class"/>
    <x v="212"/>
    <x v="212"/>
    <s v="Consumer"/>
    <s v="United States"/>
    <s v="San Francisco"/>
    <x v="1"/>
    <n v="94122"/>
    <x v="1"/>
    <x v="1001"/>
    <x v="0"/>
    <x v="5"/>
    <x v="1253"/>
    <n v="201.04"/>
    <s v="High"/>
    <n v="8"/>
    <n v="0"/>
    <x v="0"/>
    <x v="0"/>
    <n v="54.280799999999999"/>
    <n v="0.27"/>
    <n v="0"/>
  </r>
  <r>
    <n v="9685"/>
    <s v="CA-2017-122770"/>
    <d v="2017-12-13T00:00:00"/>
    <x v="3"/>
    <s v="Q4"/>
    <x v="22"/>
    <d v="2017-12-18T00:00:00"/>
    <s v="Standard Class"/>
    <x v="212"/>
    <x v="212"/>
    <s v="Consumer"/>
    <s v="United States"/>
    <s v="San Francisco"/>
    <x v="1"/>
    <n v="94122"/>
    <x v="1"/>
    <x v="1641"/>
    <x v="1"/>
    <x v="10"/>
    <x v="1631"/>
    <n v="12.96"/>
    <s v="Low"/>
    <n v="2"/>
    <n v="0"/>
    <x v="0"/>
    <x v="0"/>
    <n v="6.3503999999999996"/>
    <n v="0.48999999999999994"/>
    <n v="0"/>
  </r>
  <r>
    <n v="9686"/>
    <s v="CA-2017-118668"/>
    <d v="2017-01-02T00:00:00"/>
    <x v="3"/>
    <s v="Q1"/>
    <x v="44"/>
    <d v="2017-01-04T00:00:00"/>
    <s v="Second Class"/>
    <x v="783"/>
    <x v="783"/>
    <s v="Corporate"/>
    <s v="United States"/>
    <s v="Los Angeles"/>
    <x v="1"/>
    <n v="90032"/>
    <x v="1"/>
    <x v="1350"/>
    <x v="2"/>
    <x v="11"/>
    <x v="1336"/>
    <n v="16.59"/>
    <s v="Low"/>
    <n v="1"/>
    <n v="0"/>
    <x v="0"/>
    <x v="0"/>
    <n v="5.8064999999999998"/>
    <n v="0.35"/>
    <n v="0"/>
  </r>
  <r>
    <n v="9687"/>
    <s v="CA-2017-116498"/>
    <d v="2017-05-30T00:00:00"/>
    <x v="3"/>
    <s v="Q2"/>
    <x v="24"/>
    <d v="2017-06-03T00:00:00"/>
    <s v="Standard Class"/>
    <x v="567"/>
    <x v="567"/>
    <s v="Consumer"/>
    <s v="United States"/>
    <s v="San Diego"/>
    <x v="1"/>
    <n v="92037"/>
    <x v="1"/>
    <x v="628"/>
    <x v="1"/>
    <x v="6"/>
    <x v="628"/>
    <n v="35.1"/>
    <s v="Medium"/>
    <n v="6"/>
    <n v="0"/>
    <x v="0"/>
    <x v="0"/>
    <n v="10.179"/>
    <n v="0.28999999999999998"/>
    <n v="0"/>
  </r>
  <r>
    <n v="9688"/>
    <s v="US-2017-130603"/>
    <d v="2017-09-30T00:00:00"/>
    <x v="3"/>
    <s v="Q3"/>
    <x v="15"/>
    <d v="2017-10-06T00:00:00"/>
    <s v="Standard Class"/>
    <x v="337"/>
    <x v="337"/>
    <s v="Home Office"/>
    <s v="United States"/>
    <s v="Arlington"/>
    <x v="5"/>
    <n v="76017"/>
    <x v="2"/>
    <x v="625"/>
    <x v="1"/>
    <x v="8"/>
    <x v="625"/>
    <n v="11.646000000000001"/>
    <s v="Low"/>
    <n v="9"/>
    <n v="0.8"/>
    <x v="1"/>
    <x v="3"/>
    <n v="-17.469000000000001"/>
    <n v="-1.5"/>
    <n v="1"/>
  </r>
  <r>
    <n v="9689"/>
    <s v="US-2017-135986"/>
    <d v="2017-06-20T00:00:00"/>
    <x v="3"/>
    <s v="Q2"/>
    <x v="27"/>
    <d v="2017-06-27T00:00:00"/>
    <s v="Standard Class"/>
    <x v="38"/>
    <x v="38"/>
    <s v="Consumer"/>
    <s v="United States"/>
    <s v="Richmond"/>
    <x v="17"/>
    <n v="23223"/>
    <x v="0"/>
    <x v="1483"/>
    <x v="1"/>
    <x v="10"/>
    <x v="1470"/>
    <n v="32.4"/>
    <s v="Medium"/>
    <n v="5"/>
    <n v="0"/>
    <x v="0"/>
    <x v="0"/>
    <n v="15.552"/>
    <n v="0.48"/>
    <n v="0"/>
  </r>
  <r>
    <n v="9690"/>
    <s v="US-2017-135986"/>
    <d v="2017-06-20T00:00:00"/>
    <x v="3"/>
    <s v="Q2"/>
    <x v="27"/>
    <d v="2017-06-27T00:00:00"/>
    <s v="Standard Class"/>
    <x v="38"/>
    <x v="38"/>
    <s v="Consumer"/>
    <s v="United States"/>
    <s v="Richmond"/>
    <x v="17"/>
    <n v="23223"/>
    <x v="0"/>
    <x v="1419"/>
    <x v="2"/>
    <x v="7"/>
    <x v="1407"/>
    <n v="503.96"/>
    <s v="High"/>
    <n v="4"/>
    <n v="0"/>
    <x v="0"/>
    <x v="0"/>
    <n v="125.99"/>
    <n v="0.25"/>
    <n v="0"/>
  </r>
  <r>
    <n v="9691"/>
    <s v="CA-2017-140536"/>
    <d v="2017-04-04T00:00:00"/>
    <x v="3"/>
    <s v="Q2"/>
    <x v="4"/>
    <d v="2017-04-05T00:00:00"/>
    <s v="First Class"/>
    <x v="638"/>
    <x v="638"/>
    <s v="Home Office"/>
    <s v="United States"/>
    <s v="New York City"/>
    <x v="15"/>
    <n v="10035"/>
    <x v="3"/>
    <x v="824"/>
    <x v="1"/>
    <x v="6"/>
    <x v="820"/>
    <n v="7.04"/>
    <s v="Low"/>
    <n v="4"/>
    <n v="0"/>
    <x v="0"/>
    <x v="0"/>
    <n v="2.0415999999999999"/>
    <n v="0.28999999999999998"/>
    <n v="0"/>
  </r>
  <r>
    <n v="9692"/>
    <s v="CA-2015-130183"/>
    <d v="2015-11-13T00:00:00"/>
    <x v="1"/>
    <s v="Q4"/>
    <x v="6"/>
    <d v="2015-11-17T00:00:00"/>
    <s v="Standard Class"/>
    <x v="138"/>
    <x v="138"/>
    <s v="Consumer"/>
    <s v="United States"/>
    <s v="Houston"/>
    <x v="5"/>
    <n v="77041"/>
    <x v="2"/>
    <x v="789"/>
    <x v="0"/>
    <x v="0"/>
    <x v="787"/>
    <n v="613.99919999999997"/>
    <s v="High"/>
    <n v="3"/>
    <n v="0.32"/>
    <x v="1"/>
    <x v="7"/>
    <n v="-18.058800000000002"/>
    <n v="-2.9411764705882356E-2"/>
    <n v="1"/>
  </r>
  <r>
    <n v="9693"/>
    <s v="CA-2015-107902"/>
    <d v="2015-08-28T00:00:00"/>
    <x v="1"/>
    <s v="Q3"/>
    <x v="37"/>
    <d v="2015-09-02T00:00:00"/>
    <s v="Standard Class"/>
    <x v="416"/>
    <x v="416"/>
    <s v="Corporate"/>
    <s v="United States"/>
    <s v="Fairfield"/>
    <x v="29"/>
    <n v="6824"/>
    <x v="3"/>
    <x v="1354"/>
    <x v="1"/>
    <x v="4"/>
    <x v="1340"/>
    <n v="470.36"/>
    <s v="High"/>
    <n v="11"/>
    <n v="0"/>
    <x v="0"/>
    <x v="0"/>
    <n v="122.2936"/>
    <n v="0.26"/>
    <n v="0"/>
  </r>
  <r>
    <n v="9694"/>
    <s v="CA-2017-130148"/>
    <d v="2017-09-24T00:00:00"/>
    <x v="3"/>
    <s v="Q3"/>
    <x v="15"/>
    <d v="2017-09-28T00:00:00"/>
    <s v="Second Class"/>
    <x v="71"/>
    <x v="71"/>
    <s v="Home Office"/>
    <s v="United States"/>
    <s v="San Francisco"/>
    <x v="1"/>
    <n v="94110"/>
    <x v="1"/>
    <x v="1262"/>
    <x v="1"/>
    <x v="10"/>
    <x v="1246"/>
    <n v="31.08"/>
    <s v="Medium"/>
    <n v="6"/>
    <n v="0"/>
    <x v="0"/>
    <x v="0"/>
    <n v="15.229200000000001"/>
    <n v="0.49000000000000005"/>
    <n v="0"/>
  </r>
  <r>
    <n v="9695"/>
    <s v="CA-2017-130148"/>
    <d v="2017-09-24T00:00:00"/>
    <x v="3"/>
    <s v="Q3"/>
    <x v="15"/>
    <d v="2017-09-28T00:00:00"/>
    <s v="Second Class"/>
    <x v="71"/>
    <x v="71"/>
    <s v="Home Office"/>
    <s v="United States"/>
    <s v="San Francisco"/>
    <x v="1"/>
    <n v="94110"/>
    <x v="1"/>
    <x v="503"/>
    <x v="1"/>
    <x v="14"/>
    <x v="503"/>
    <n v="7.3"/>
    <s v="Low"/>
    <n v="2"/>
    <n v="0"/>
    <x v="0"/>
    <x v="0"/>
    <n v="2.19"/>
    <n v="0.3"/>
    <n v="0"/>
  </r>
  <r>
    <n v="9696"/>
    <s v="US-2016-151260"/>
    <d v="2016-12-11T00:00:00"/>
    <x v="0"/>
    <s v="Q4"/>
    <x v="5"/>
    <d v="2016-12-14T00:00:00"/>
    <s v="First Class"/>
    <x v="281"/>
    <x v="281"/>
    <s v="Corporate"/>
    <s v="United States"/>
    <s v="Springfield"/>
    <x v="24"/>
    <n v="45503"/>
    <x v="3"/>
    <x v="9"/>
    <x v="1"/>
    <x v="9"/>
    <x v="9"/>
    <n v="73.536000000000001"/>
    <s v="Medium"/>
    <n v="4"/>
    <n v="0.2"/>
    <x v="2"/>
    <x v="2"/>
    <n v="9.1920000000000002"/>
    <n v="0.125"/>
    <n v="0"/>
  </r>
  <r>
    <n v="9697"/>
    <s v="CA-2014-144281"/>
    <d v="2014-06-10T00:00:00"/>
    <x v="2"/>
    <s v="Q2"/>
    <x v="3"/>
    <d v="2014-06-15T00:00:00"/>
    <s v="Second Class"/>
    <x v="96"/>
    <x v="96"/>
    <s v="Corporate"/>
    <s v="United States"/>
    <s v="Detroit"/>
    <x v="12"/>
    <n v="48234"/>
    <x v="2"/>
    <x v="508"/>
    <x v="1"/>
    <x v="2"/>
    <x v="508"/>
    <n v="491.55"/>
    <s v="High"/>
    <n v="5"/>
    <n v="0"/>
    <x v="0"/>
    <x v="0"/>
    <n v="240.8595"/>
    <n v="0.49"/>
    <n v="0"/>
  </r>
  <r>
    <n v="9698"/>
    <s v="CA-2016-122511"/>
    <d v="2016-03-11T00:00:00"/>
    <x v="0"/>
    <s v="Q1"/>
    <x v="17"/>
    <d v="2016-03-11T00:00:00"/>
    <s v="Same Day"/>
    <x v="389"/>
    <x v="389"/>
    <s v="Home Office"/>
    <s v="United States"/>
    <s v="Philadelphia"/>
    <x v="9"/>
    <n v="19140"/>
    <x v="3"/>
    <x v="1183"/>
    <x v="0"/>
    <x v="5"/>
    <x v="1169"/>
    <n v="30.335999999999999"/>
    <s v="Medium"/>
    <n v="4"/>
    <n v="0.2"/>
    <x v="2"/>
    <x v="2"/>
    <n v="9.48"/>
    <n v="0.31250000000000006"/>
    <n v="0"/>
  </r>
  <r>
    <n v="9699"/>
    <s v="CA-2017-154116"/>
    <d v="2017-12-15T00:00:00"/>
    <x v="3"/>
    <s v="Q4"/>
    <x v="22"/>
    <d v="2017-12-19T00:00:00"/>
    <s v="Standard Class"/>
    <x v="730"/>
    <x v="730"/>
    <s v="Consumer"/>
    <s v="United States"/>
    <s v="Inglewood"/>
    <x v="1"/>
    <n v="90301"/>
    <x v="1"/>
    <x v="229"/>
    <x v="1"/>
    <x v="10"/>
    <x v="230"/>
    <n v="22.83"/>
    <s v="Low"/>
    <n v="3"/>
    <n v="0"/>
    <x v="0"/>
    <x v="0"/>
    <n v="10.7301"/>
    <n v="0.47000000000000003"/>
    <n v="0"/>
  </r>
  <r>
    <n v="9700"/>
    <s v="CA-2017-154116"/>
    <d v="2017-12-15T00:00:00"/>
    <x v="3"/>
    <s v="Q4"/>
    <x v="22"/>
    <d v="2017-12-19T00:00:00"/>
    <s v="Standard Class"/>
    <x v="730"/>
    <x v="730"/>
    <s v="Consumer"/>
    <s v="United States"/>
    <s v="Inglewood"/>
    <x v="1"/>
    <n v="90301"/>
    <x v="1"/>
    <x v="1825"/>
    <x v="1"/>
    <x v="9"/>
    <x v="1813"/>
    <n v="54.32"/>
    <s v="Medium"/>
    <n v="4"/>
    <n v="0"/>
    <x v="0"/>
    <x v="0"/>
    <n v="16.295999999999999"/>
    <n v="0.3"/>
    <n v="0"/>
  </r>
  <r>
    <n v="9701"/>
    <s v="CA-2017-154116"/>
    <d v="2017-12-15T00:00:00"/>
    <x v="3"/>
    <s v="Q4"/>
    <x v="22"/>
    <d v="2017-12-19T00:00:00"/>
    <s v="Standard Class"/>
    <x v="730"/>
    <x v="730"/>
    <s v="Consumer"/>
    <s v="United States"/>
    <s v="Inglewood"/>
    <x v="1"/>
    <n v="90301"/>
    <x v="1"/>
    <x v="1361"/>
    <x v="2"/>
    <x v="7"/>
    <x v="1347"/>
    <n v="196.77600000000001"/>
    <s v="High"/>
    <n v="3"/>
    <n v="0.2"/>
    <x v="2"/>
    <x v="2"/>
    <n v="14.7582"/>
    <n v="7.4999999999999997E-2"/>
    <n v="0"/>
  </r>
  <r>
    <n v="9702"/>
    <s v="CA-2016-105291"/>
    <d v="2016-10-30T00:00:00"/>
    <x v="0"/>
    <s v="Q4"/>
    <x v="32"/>
    <d v="2016-11-04T00:00:00"/>
    <s v="Standard Class"/>
    <x v="727"/>
    <x v="727"/>
    <s v="Consumer"/>
    <s v="United States"/>
    <s v="San Luis Obispo"/>
    <x v="1"/>
    <n v="93405"/>
    <x v="1"/>
    <x v="804"/>
    <x v="1"/>
    <x v="13"/>
    <x v="802"/>
    <n v="3.62"/>
    <s v="Low"/>
    <n v="2"/>
    <n v="0"/>
    <x v="0"/>
    <x v="0"/>
    <n v="1.1946000000000001"/>
    <n v="0.33"/>
    <n v="0"/>
  </r>
  <r>
    <n v="9703"/>
    <s v="CA-2017-147032"/>
    <d v="2017-07-31T00:00:00"/>
    <x v="3"/>
    <s v="Q3"/>
    <x v="10"/>
    <d v="2017-08-04T00:00:00"/>
    <s v="Standard Class"/>
    <x v="697"/>
    <x v="697"/>
    <s v="Home Office"/>
    <s v="United States"/>
    <s v="Wilmington"/>
    <x v="13"/>
    <n v="19805"/>
    <x v="3"/>
    <x v="96"/>
    <x v="1"/>
    <x v="10"/>
    <x v="96"/>
    <n v="11.54"/>
    <s v="Low"/>
    <n v="1"/>
    <n v="0"/>
    <x v="0"/>
    <x v="0"/>
    <n v="5.5392000000000001"/>
    <n v="0.48000000000000004"/>
    <n v="0"/>
  </r>
  <r>
    <n v="9704"/>
    <s v="CA-2017-147032"/>
    <d v="2017-07-31T00:00:00"/>
    <x v="3"/>
    <s v="Q3"/>
    <x v="10"/>
    <d v="2017-08-04T00:00:00"/>
    <s v="Standard Class"/>
    <x v="697"/>
    <x v="697"/>
    <s v="Home Office"/>
    <s v="United States"/>
    <s v="Wilmington"/>
    <x v="13"/>
    <n v="19805"/>
    <x v="3"/>
    <x v="13"/>
    <x v="1"/>
    <x v="8"/>
    <x v="13"/>
    <n v="849.95"/>
    <s v="High"/>
    <n v="5"/>
    <n v="0"/>
    <x v="0"/>
    <x v="0"/>
    <n v="390.97699999999998"/>
    <n v="0.45999999999999996"/>
    <n v="0"/>
  </r>
  <r>
    <n v="9705"/>
    <s v="CA-2017-147032"/>
    <d v="2017-07-31T00:00:00"/>
    <x v="3"/>
    <s v="Q3"/>
    <x v="10"/>
    <d v="2017-08-04T00:00:00"/>
    <s v="Standard Class"/>
    <x v="697"/>
    <x v="697"/>
    <s v="Home Office"/>
    <s v="United States"/>
    <s v="Wilmington"/>
    <x v="13"/>
    <n v="19805"/>
    <x v="3"/>
    <x v="1812"/>
    <x v="1"/>
    <x v="8"/>
    <x v="1802"/>
    <n v="11.01"/>
    <s v="Low"/>
    <n v="3"/>
    <n v="0"/>
    <x v="0"/>
    <x v="0"/>
    <n v="5.3948999999999998"/>
    <n v="0.49"/>
    <n v="0"/>
  </r>
  <r>
    <n v="9706"/>
    <s v="CA-2017-125990"/>
    <d v="2017-10-19T00:00:00"/>
    <x v="3"/>
    <s v="Q4"/>
    <x v="13"/>
    <d v="2017-10-23T00:00:00"/>
    <s v="Standard Class"/>
    <x v="559"/>
    <x v="559"/>
    <s v="Consumer"/>
    <s v="United States"/>
    <s v="San Francisco"/>
    <x v="1"/>
    <n v="94122"/>
    <x v="1"/>
    <x v="729"/>
    <x v="1"/>
    <x v="8"/>
    <x v="728"/>
    <n v="39.624000000000002"/>
    <s v="Medium"/>
    <n v="3"/>
    <n v="0.2"/>
    <x v="2"/>
    <x v="2"/>
    <n v="13.868399999999999"/>
    <n v="0.35"/>
    <n v="0"/>
  </r>
  <r>
    <n v="9707"/>
    <s v="CA-2016-161746"/>
    <d v="2016-10-21T00:00:00"/>
    <x v="0"/>
    <s v="Q4"/>
    <x v="32"/>
    <d v="2016-10-27T00:00:00"/>
    <s v="Standard Class"/>
    <x v="229"/>
    <x v="229"/>
    <s v="Consumer"/>
    <s v="United States"/>
    <s v="Los Angeles"/>
    <x v="1"/>
    <n v="90045"/>
    <x v="1"/>
    <x v="1719"/>
    <x v="0"/>
    <x v="1"/>
    <x v="1706"/>
    <n v="242.136"/>
    <s v="High"/>
    <n v="3"/>
    <n v="0.2"/>
    <x v="2"/>
    <x v="2"/>
    <n v="12.1068"/>
    <n v="0.05"/>
    <n v="0"/>
  </r>
  <r>
    <n v="9708"/>
    <s v="CA-2016-161746"/>
    <d v="2016-10-21T00:00:00"/>
    <x v="0"/>
    <s v="Q4"/>
    <x v="32"/>
    <d v="2016-10-27T00:00:00"/>
    <s v="Standard Class"/>
    <x v="229"/>
    <x v="229"/>
    <s v="Consumer"/>
    <s v="United States"/>
    <s v="Los Angeles"/>
    <x v="1"/>
    <n v="90045"/>
    <x v="1"/>
    <x v="105"/>
    <x v="1"/>
    <x v="6"/>
    <x v="105"/>
    <n v="12.39"/>
    <s v="Low"/>
    <n v="3"/>
    <n v="0"/>
    <x v="0"/>
    <x v="0"/>
    <n v="5.6993999999999998"/>
    <n v="0.45999999999999996"/>
    <n v="0"/>
  </r>
  <r>
    <n v="9709"/>
    <s v="CA-2016-161746"/>
    <d v="2016-10-21T00:00:00"/>
    <x v="0"/>
    <s v="Q4"/>
    <x v="32"/>
    <d v="2016-10-27T00:00:00"/>
    <s v="Standard Class"/>
    <x v="229"/>
    <x v="229"/>
    <s v="Consumer"/>
    <s v="United States"/>
    <s v="Los Angeles"/>
    <x v="1"/>
    <n v="90045"/>
    <x v="1"/>
    <x v="1611"/>
    <x v="0"/>
    <x v="5"/>
    <x v="1602"/>
    <n v="19.96"/>
    <s v="Low"/>
    <n v="2"/>
    <n v="0"/>
    <x v="0"/>
    <x v="0"/>
    <n v="5.5888"/>
    <n v="0.27999999999999997"/>
    <n v="0"/>
  </r>
  <r>
    <n v="9710"/>
    <s v="CA-2016-161746"/>
    <d v="2016-10-21T00:00:00"/>
    <x v="0"/>
    <s v="Q4"/>
    <x v="32"/>
    <d v="2016-10-27T00:00:00"/>
    <s v="Standard Class"/>
    <x v="229"/>
    <x v="229"/>
    <s v="Consumer"/>
    <s v="United States"/>
    <s v="Los Angeles"/>
    <x v="1"/>
    <n v="90045"/>
    <x v="1"/>
    <x v="418"/>
    <x v="1"/>
    <x v="4"/>
    <x v="418"/>
    <n v="340.92"/>
    <s v="High"/>
    <n v="3"/>
    <n v="0"/>
    <x v="0"/>
    <x v="0"/>
    <n v="3.4091999999999998"/>
    <n v="9.9999999999999985E-3"/>
    <n v="0"/>
  </r>
  <r>
    <n v="9711"/>
    <s v="CA-2014-114251"/>
    <d v="2014-11-05T00:00:00"/>
    <x v="2"/>
    <s v="Q4"/>
    <x v="7"/>
    <d v="2014-11-10T00:00:00"/>
    <s v="Standard Class"/>
    <x v="198"/>
    <x v="198"/>
    <s v="Consumer"/>
    <s v="United States"/>
    <s v="Philadelphia"/>
    <x v="9"/>
    <n v="19143"/>
    <x v="3"/>
    <x v="1304"/>
    <x v="0"/>
    <x v="5"/>
    <x v="1289"/>
    <n v="273.56799999999998"/>
    <s v="High"/>
    <n v="2"/>
    <n v="0.2"/>
    <x v="2"/>
    <x v="2"/>
    <n v="-34.195999999999998"/>
    <n v="-0.125"/>
    <n v="1"/>
  </r>
  <r>
    <n v="9712"/>
    <s v="CA-2014-114251"/>
    <d v="2014-11-05T00:00:00"/>
    <x v="2"/>
    <s v="Q4"/>
    <x v="7"/>
    <d v="2014-11-10T00:00:00"/>
    <s v="Standard Class"/>
    <x v="198"/>
    <x v="198"/>
    <s v="Consumer"/>
    <s v="United States"/>
    <s v="Philadelphia"/>
    <x v="9"/>
    <n v="19143"/>
    <x v="3"/>
    <x v="715"/>
    <x v="1"/>
    <x v="8"/>
    <x v="714"/>
    <n v="13.194000000000001"/>
    <s v="Low"/>
    <n v="2"/>
    <n v="0.7"/>
    <x v="1"/>
    <x v="5"/>
    <n v="-8.7959999999999994"/>
    <n v="-0.66666666666666663"/>
    <n v="1"/>
  </r>
  <r>
    <n v="9713"/>
    <s v="CA-2014-114251"/>
    <d v="2014-11-05T00:00:00"/>
    <x v="2"/>
    <s v="Q4"/>
    <x v="7"/>
    <d v="2014-11-10T00:00:00"/>
    <s v="Standard Class"/>
    <x v="198"/>
    <x v="198"/>
    <s v="Consumer"/>
    <s v="United States"/>
    <s v="Philadelphia"/>
    <x v="9"/>
    <n v="19143"/>
    <x v="3"/>
    <x v="906"/>
    <x v="1"/>
    <x v="4"/>
    <x v="898"/>
    <n v="1080.096"/>
    <s v="High"/>
    <n v="6"/>
    <n v="0.2"/>
    <x v="2"/>
    <x v="2"/>
    <n v="-94.508399999999995"/>
    <n v="-8.7499999999999994E-2"/>
    <n v="1"/>
  </r>
  <r>
    <n v="9714"/>
    <s v="CA-2014-114251"/>
    <d v="2014-11-05T00:00:00"/>
    <x v="2"/>
    <s v="Q4"/>
    <x v="7"/>
    <d v="2014-11-10T00:00:00"/>
    <s v="Standard Class"/>
    <x v="198"/>
    <x v="198"/>
    <s v="Consumer"/>
    <s v="United States"/>
    <s v="Philadelphia"/>
    <x v="9"/>
    <n v="19143"/>
    <x v="3"/>
    <x v="553"/>
    <x v="2"/>
    <x v="11"/>
    <x v="552"/>
    <n v="51.56"/>
    <s v="Medium"/>
    <n v="5"/>
    <n v="0.2"/>
    <x v="2"/>
    <x v="2"/>
    <n v="-6.4450000000000003"/>
    <n v="-0.125"/>
    <n v="1"/>
  </r>
  <r>
    <n v="9715"/>
    <s v="CA-2014-114251"/>
    <d v="2014-11-05T00:00:00"/>
    <x v="2"/>
    <s v="Q4"/>
    <x v="7"/>
    <d v="2014-11-10T00:00:00"/>
    <s v="Standard Class"/>
    <x v="198"/>
    <x v="198"/>
    <s v="Consumer"/>
    <s v="United States"/>
    <s v="Philadelphia"/>
    <x v="9"/>
    <n v="19143"/>
    <x v="3"/>
    <x v="1312"/>
    <x v="2"/>
    <x v="11"/>
    <x v="1298"/>
    <n v="58.415999999999997"/>
    <s v="Medium"/>
    <n v="2"/>
    <n v="0.2"/>
    <x v="2"/>
    <x v="2"/>
    <n v="16.794599999999999"/>
    <n v="0.28749999999999998"/>
    <n v="0"/>
  </r>
  <r>
    <n v="9716"/>
    <s v="CA-2016-116379"/>
    <d v="2016-11-07T00:00:00"/>
    <x v="0"/>
    <s v="Q4"/>
    <x v="0"/>
    <d v="2016-11-12T00:00:00"/>
    <s v="Standard Class"/>
    <x v="436"/>
    <x v="436"/>
    <s v="Consumer"/>
    <s v="United States"/>
    <s v="San Francisco"/>
    <x v="1"/>
    <n v="94122"/>
    <x v="1"/>
    <x v="379"/>
    <x v="1"/>
    <x v="8"/>
    <x v="380"/>
    <n v="57.584000000000003"/>
    <s v="Medium"/>
    <n v="2"/>
    <n v="0.2"/>
    <x v="2"/>
    <x v="2"/>
    <n v="20.154399999999999"/>
    <n v="0.35"/>
    <n v="0"/>
  </r>
  <r>
    <n v="9717"/>
    <s v="US-2016-144477"/>
    <d v="2016-08-12T00:00:00"/>
    <x v="0"/>
    <s v="Q3"/>
    <x v="28"/>
    <d v="2016-08-14T00:00:00"/>
    <s v="Second Class"/>
    <x v="489"/>
    <x v="489"/>
    <s v="Home Office"/>
    <s v="United States"/>
    <s v="Philadelphia"/>
    <x v="9"/>
    <n v="19134"/>
    <x v="3"/>
    <x v="1759"/>
    <x v="1"/>
    <x v="6"/>
    <x v="1748"/>
    <n v="37.311999999999998"/>
    <s v="Medium"/>
    <n v="4"/>
    <n v="0.2"/>
    <x v="2"/>
    <x v="2"/>
    <n v="2.7984"/>
    <n v="7.5000000000000011E-2"/>
    <n v="0"/>
  </r>
  <r>
    <n v="9718"/>
    <s v="CA-2016-108210"/>
    <d v="2016-05-30T00:00:00"/>
    <x v="0"/>
    <s v="Q2"/>
    <x v="35"/>
    <d v="2016-05-31T00:00:00"/>
    <s v="Same Day"/>
    <x v="247"/>
    <x v="247"/>
    <s v="Consumer"/>
    <s v="United States"/>
    <s v="Houston"/>
    <x v="5"/>
    <n v="77041"/>
    <x v="2"/>
    <x v="125"/>
    <x v="2"/>
    <x v="7"/>
    <x v="126"/>
    <n v="79.959999999999994"/>
    <s v="Medium"/>
    <n v="5"/>
    <n v="0.2"/>
    <x v="2"/>
    <x v="2"/>
    <n v="7.9960000000000004"/>
    <n v="0.10000000000000002"/>
    <n v="0"/>
  </r>
  <r>
    <n v="9719"/>
    <s v="CA-2016-108210"/>
    <d v="2016-05-30T00:00:00"/>
    <x v="0"/>
    <s v="Q2"/>
    <x v="35"/>
    <d v="2016-05-31T00:00:00"/>
    <s v="Same Day"/>
    <x v="247"/>
    <x v="247"/>
    <s v="Consumer"/>
    <s v="United States"/>
    <s v="Houston"/>
    <x v="5"/>
    <n v="77041"/>
    <x v="2"/>
    <x v="201"/>
    <x v="2"/>
    <x v="11"/>
    <x v="202"/>
    <n v="223.96"/>
    <s v="High"/>
    <n v="5"/>
    <n v="0.2"/>
    <x v="2"/>
    <x v="2"/>
    <n v="11.198"/>
    <n v="0.05"/>
    <n v="0"/>
  </r>
  <r>
    <n v="9720"/>
    <s v="CA-2017-166835"/>
    <d v="2017-11-12T00:00:00"/>
    <x v="3"/>
    <s v="Q4"/>
    <x v="23"/>
    <d v="2017-11-14T00:00:00"/>
    <s v="Second Class"/>
    <x v="589"/>
    <x v="589"/>
    <s v="Consumer"/>
    <s v="United States"/>
    <s v="Lancaster"/>
    <x v="9"/>
    <n v="17602"/>
    <x v="3"/>
    <x v="942"/>
    <x v="1"/>
    <x v="4"/>
    <x v="935"/>
    <n v="221.024"/>
    <s v="High"/>
    <n v="2"/>
    <n v="0.2"/>
    <x v="2"/>
    <x v="2"/>
    <n v="-55.256"/>
    <n v="-0.25"/>
    <n v="1"/>
  </r>
  <r>
    <n v="9721"/>
    <s v="CA-2016-119641"/>
    <d v="2016-09-22T00:00:00"/>
    <x v="0"/>
    <s v="Q3"/>
    <x v="21"/>
    <d v="2016-09-26T00:00:00"/>
    <s v="Standard Class"/>
    <x v="294"/>
    <x v="294"/>
    <s v="Corporate"/>
    <s v="United States"/>
    <s v="Green Bay"/>
    <x v="6"/>
    <n v="54302"/>
    <x v="2"/>
    <x v="1462"/>
    <x v="0"/>
    <x v="5"/>
    <x v="1448"/>
    <n v="18.96"/>
    <s v="Low"/>
    <n v="2"/>
    <n v="0"/>
    <x v="0"/>
    <x v="0"/>
    <n v="7.5839999999999996"/>
    <n v="0.39999999999999997"/>
    <n v="0"/>
  </r>
  <r>
    <n v="9722"/>
    <s v="CA-2016-105781"/>
    <d v="2016-02-16T00:00:00"/>
    <x v="0"/>
    <s v="Q1"/>
    <x v="47"/>
    <d v="2016-02-20T00:00:00"/>
    <s v="Standard Class"/>
    <x v="535"/>
    <x v="535"/>
    <s v="Consumer"/>
    <s v="United States"/>
    <s v="New York City"/>
    <x v="15"/>
    <n v="10024"/>
    <x v="3"/>
    <x v="1708"/>
    <x v="0"/>
    <x v="1"/>
    <x v="1697"/>
    <n v="326.64600000000002"/>
    <s v="High"/>
    <n v="3"/>
    <n v="0.1"/>
    <x v="3"/>
    <x v="8"/>
    <n v="39.923400000000001"/>
    <n v="0.12222222222222222"/>
    <n v="0"/>
  </r>
  <r>
    <n v="9723"/>
    <s v="CA-2016-105781"/>
    <d v="2016-02-16T00:00:00"/>
    <x v="0"/>
    <s v="Q1"/>
    <x v="47"/>
    <d v="2016-02-20T00:00:00"/>
    <s v="Standard Class"/>
    <x v="535"/>
    <x v="535"/>
    <s v="Consumer"/>
    <s v="United States"/>
    <s v="New York City"/>
    <x v="15"/>
    <n v="10024"/>
    <x v="3"/>
    <x v="246"/>
    <x v="2"/>
    <x v="11"/>
    <x v="247"/>
    <n v="89.97"/>
    <s v="Medium"/>
    <n v="3"/>
    <n v="0"/>
    <x v="0"/>
    <x v="0"/>
    <n v="39.586799999999997"/>
    <n v="0.43999999999999995"/>
    <n v="0"/>
  </r>
  <r>
    <n v="9724"/>
    <s v="CA-2014-101364"/>
    <d v="2014-12-22T00:00:00"/>
    <x v="2"/>
    <s v="Q4"/>
    <x v="20"/>
    <d v="2014-12-26T00:00:00"/>
    <s v="Standard Class"/>
    <x v="69"/>
    <x v="69"/>
    <s v="Home Office"/>
    <s v="United States"/>
    <s v="New York City"/>
    <x v="15"/>
    <n v="10011"/>
    <x v="3"/>
    <x v="697"/>
    <x v="1"/>
    <x v="8"/>
    <x v="697"/>
    <n v="296.71199999999999"/>
    <s v="High"/>
    <n v="13"/>
    <n v="0.2"/>
    <x v="2"/>
    <x v="2"/>
    <n v="100.1403"/>
    <n v="0.33750000000000002"/>
    <n v="0"/>
  </r>
  <r>
    <n v="9725"/>
    <s v="CA-2015-117898"/>
    <d v="2015-12-05T00:00:00"/>
    <x v="1"/>
    <s v="Q4"/>
    <x v="14"/>
    <d v="2015-12-11T00:00:00"/>
    <s v="Standard Class"/>
    <x v="621"/>
    <x v="621"/>
    <s v="Consumer"/>
    <s v="United States"/>
    <s v="Bloomington"/>
    <x v="10"/>
    <n v="61701"/>
    <x v="2"/>
    <x v="661"/>
    <x v="1"/>
    <x v="12"/>
    <x v="661"/>
    <n v="12.224"/>
    <s v="Low"/>
    <n v="2"/>
    <n v="0.2"/>
    <x v="2"/>
    <x v="2"/>
    <n v="4.4311999999999996"/>
    <n v="0.36249999999999993"/>
    <n v="0"/>
  </r>
  <r>
    <n v="9726"/>
    <s v="CA-2017-142293"/>
    <d v="2017-09-17T00:00:00"/>
    <x v="3"/>
    <s v="Q3"/>
    <x v="15"/>
    <d v="2017-09-20T00:00:00"/>
    <s v="First Class"/>
    <x v="618"/>
    <x v="618"/>
    <s v="Consumer"/>
    <s v="United States"/>
    <s v="Boise"/>
    <x v="45"/>
    <n v="83704"/>
    <x v="1"/>
    <x v="1016"/>
    <x v="2"/>
    <x v="11"/>
    <x v="1007"/>
    <n v="89.97"/>
    <s v="Medium"/>
    <n v="3"/>
    <n v="0"/>
    <x v="0"/>
    <x v="0"/>
    <n v="37.787399999999998"/>
    <n v="0.42"/>
    <n v="0"/>
  </r>
  <r>
    <n v="9727"/>
    <s v="CA-2017-167395"/>
    <d v="2017-12-02T00:00:00"/>
    <x v="3"/>
    <s v="Q4"/>
    <x v="22"/>
    <d v="2017-12-04T00:00:00"/>
    <s v="First Class"/>
    <x v="27"/>
    <x v="27"/>
    <s v="Consumer"/>
    <s v="United States"/>
    <s v="Lowell"/>
    <x v="31"/>
    <n v="1852"/>
    <x v="3"/>
    <x v="1360"/>
    <x v="1"/>
    <x v="9"/>
    <x v="1346"/>
    <n v="286.86"/>
    <s v="High"/>
    <n v="7"/>
    <n v="0"/>
    <x v="0"/>
    <x v="0"/>
    <n v="80.320800000000006"/>
    <n v="0.28000000000000003"/>
    <n v="0"/>
  </r>
  <r>
    <n v="9728"/>
    <s v="CA-2017-167395"/>
    <d v="2017-12-02T00:00:00"/>
    <x v="3"/>
    <s v="Q4"/>
    <x v="22"/>
    <d v="2017-12-04T00:00:00"/>
    <s v="First Class"/>
    <x v="27"/>
    <x v="27"/>
    <s v="Consumer"/>
    <s v="United States"/>
    <s v="Lowell"/>
    <x v="31"/>
    <n v="1852"/>
    <x v="3"/>
    <x v="34"/>
    <x v="2"/>
    <x v="7"/>
    <x v="34"/>
    <n v="979.95"/>
    <s v="High"/>
    <n v="5"/>
    <n v="0"/>
    <x v="0"/>
    <x v="0"/>
    <n v="284.18549999999999"/>
    <n v="0.28999999999999998"/>
    <n v="0"/>
  </r>
  <r>
    <n v="9729"/>
    <s v="CA-2017-167395"/>
    <d v="2017-12-02T00:00:00"/>
    <x v="3"/>
    <s v="Q4"/>
    <x v="22"/>
    <d v="2017-12-04T00:00:00"/>
    <s v="First Class"/>
    <x v="27"/>
    <x v="27"/>
    <s v="Consumer"/>
    <s v="United States"/>
    <s v="Lowell"/>
    <x v="31"/>
    <n v="1852"/>
    <x v="3"/>
    <x v="482"/>
    <x v="1"/>
    <x v="14"/>
    <x v="327"/>
    <n v="4.3600000000000003"/>
    <s v="Low"/>
    <n v="2"/>
    <n v="0"/>
    <x v="0"/>
    <x v="0"/>
    <n v="0.1744"/>
    <n v="3.9999999999999994E-2"/>
    <n v="0"/>
  </r>
  <r>
    <n v="9730"/>
    <s v="CA-2014-111962"/>
    <d v="2014-09-29T00:00:00"/>
    <x v="2"/>
    <s v="Q3"/>
    <x v="30"/>
    <d v="2014-10-04T00:00:00"/>
    <s v="Standard Class"/>
    <x v="432"/>
    <x v="432"/>
    <s v="Consumer"/>
    <s v="United States"/>
    <s v="Seattle"/>
    <x v="4"/>
    <n v="98115"/>
    <x v="1"/>
    <x v="1375"/>
    <x v="1"/>
    <x v="8"/>
    <x v="1360"/>
    <n v="10.048"/>
    <s v="Low"/>
    <n v="2"/>
    <n v="0.2"/>
    <x v="2"/>
    <x v="2"/>
    <n v="3.14"/>
    <n v="0.3125"/>
    <n v="0"/>
  </r>
  <r>
    <n v="9731"/>
    <s v="CA-2014-111962"/>
    <d v="2014-09-29T00:00:00"/>
    <x v="2"/>
    <s v="Q3"/>
    <x v="30"/>
    <d v="2014-10-04T00:00:00"/>
    <s v="Standard Class"/>
    <x v="432"/>
    <x v="432"/>
    <s v="Consumer"/>
    <s v="United States"/>
    <s v="Seattle"/>
    <x v="4"/>
    <n v="98115"/>
    <x v="1"/>
    <x v="765"/>
    <x v="1"/>
    <x v="4"/>
    <x v="764"/>
    <n v="807.75"/>
    <s v="High"/>
    <n v="5"/>
    <n v="0"/>
    <x v="0"/>
    <x v="0"/>
    <n v="153.4725"/>
    <n v="0.19"/>
    <n v="0"/>
  </r>
  <r>
    <n v="9732"/>
    <s v="CA-2017-124261"/>
    <d v="2017-11-14T00:00:00"/>
    <x v="3"/>
    <s v="Q4"/>
    <x v="23"/>
    <d v="2017-11-19T00:00:00"/>
    <s v="Standard Class"/>
    <x v="555"/>
    <x v="555"/>
    <s v="Consumer"/>
    <s v="United States"/>
    <s v="Los Angeles"/>
    <x v="1"/>
    <n v="90049"/>
    <x v="1"/>
    <x v="1046"/>
    <x v="1"/>
    <x v="6"/>
    <x v="1035"/>
    <n v="34.24"/>
    <s v="Medium"/>
    <n v="8"/>
    <n v="0"/>
    <x v="0"/>
    <x v="0"/>
    <n v="9.9296000000000006"/>
    <n v="0.28999999999999998"/>
    <n v="0"/>
  </r>
  <r>
    <n v="9733"/>
    <s v="CA-2014-114321"/>
    <d v="2014-08-20T00:00:00"/>
    <x v="2"/>
    <s v="Q3"/>
    <x v="9"/>
    <d v="2014-08-25T00:00:00"/>
    <s v="Standard Class"/>
    <x v="714"/>
    <x v="714"/>
    <s v="Corporate"/>
    <s v="United States"/>
    <s v="Hampton"/>
    <x v="17"/>
    <n v="23666"/>
    <x v="0"/>
    <x v="1464"/>
    <x v="0"/>
    <x v="1"/>
    <x v="1450"/>
    <n v="500.24"/>
    <s v="High"/>
    <n v="13"/>
    <n v="0"/>
    <x v="0"/>
    <x v="0"/>
    <n v="145.06960000000001"/>
    <n v="0.29000000000000004"/>
    <n v="0"/>
  </r>
  <r>
    <n v="9734"/>
    <s v="CA-2014-114321"/>
    <d v="2014-08-20T00:00:00"/>
    <x v="2"/>
    <s v="Q3"/>
    <x v="9"/>
    <d v="2014-08-25T00:00:00"/>
    <s v="Standard Class"/>
    <x v="714"/>
    <x v="714"/>
    <s v="Corporate"/>
    <s v="United States"/>
    <s v="Hampton"/>
    <x v="17"/>
    <n v="23666"/>
    <x v="0"/>
    <x v="1603"/>
    <x v="1"/>
    <x v="10"/>
    <x v="1595"/>
    <n v="20.12"/>
    <s v="Low"/>
    <n v="2"/>
    <n v="0"/>
    <x v="0"/>
    <x v="0"/>
    <n v="9.2552000000000003"/>
    <n v="0.46"/>
    <n v="0"/>
  </r>
  <r>
    <n v="9735"/>
    <s v="CA-2014-114321"/>
    <d v="2014-08-20T00:00:00"/>
    <x v="2"/>
    <s v="Q3"/>
    <x v="9"/>
    <d v="2014-08-25T00:00:00"/>
    <s v="Standard Class"/>
    <x v="714"/>
    <x v="714"/>
    <s v="Corporate"/>
    <s v="United States"/>
    <s v="Hampton"/>
    <x v="17"/>
    <n v="23666"/>
    <x v="0"/>
    <x v="1176"/>
    <x v="1"/>
    <x v="8"/>
    <x v="1162"/>
    <n v="896.99"/>
    <s v="High"/>
    <n v="1"/>
    <n v="0"/>
    <x v="0"/>
    <x v="0"/>
    <n v="421.58530000000002"/>
    <n v="0.47000000000000003"/>
    <n v="0"/>
  </r>
  <r>
    <n v="9736"/>
    <s v="CA-2014-128062"/>
    <d v="2014-11-19T00:00:00"/>
    <x v="2"/>
    <s v="Q4"/>
    <x v="7"/>
    <d v="2014-11-22T00:00:00"/>
    <s v="Second Class"/>
    <x v="57"/>
    <x v="57"/>
    <s v="Home Office"/>
    <s v="United States"/>
    <s v="Philadelphia"/>
    <x v="9"/>
    <n v="19134"/>
    <x v="3"/>
    <x v="1843"/>
    <x v="1"/>
    <x v="10"/>
    <x v="1831"/>
    <n v="5.88"/>
    <s v="Low"/>
    <n v="1"/>
    <n v="0.2"/>
    <x v="2"/>
    <x v="2"/>
    <n v="1.9844999999999999"/>
    <n v="0.33749999999999997"/>
    <n v="0"/>
  </r>
  <r>
    <n v="9737"/>
    <s v="US-2015-100069"/>
    <d v="2015-06-29T00:00:00"/>
    <x v="1"/>
    <s v="Q2"/>
    <x v="40"/>
    <d v="2015-07-03T00:00:00"/>
    <s v="Standard Class"/>
    <x v="739"/>
    <x v="739"/>
    <s v="Home Office"/>
    <s v="United States"/>
    <s v="Omaha"/>
    <x v="8"/>
    <n v="68104"/>
    <x v="2"/>
    <x v="524"/>
    <x v="2"/>
    <x v="7"/>
    <x v="524"/>
    <n v="269.98"/>
    <s v="High"/>
    <n v="2"/>
    <n v="0"/>
    <x v="0"/>
    <x v="0"/>
    <n v="72.894599999999997"/>
    <n v="0.26999999999999996"/>
    <n v="0"/>
  </r>
  <r>
    <n v="9738"/>
    <s v="CA-2017-129294"/>
    <d v="2017-03-16T00:00:00"/>
    <x v="3"/>
    <s v="Q1"/>
    <x v="42"/>
    <d v="2017-03-21T00:00:00"/>
    <s v="Standard Class"/>
    <x v="629"/>
    <x v="629"/>
    <s v="Corporate"/>
    <s v="United States"/>
    <s v="Los Angeles"/>
    <x v="1"/>
    <n v="90032"/>
    <x v="1"/>
    <x v="1449"/>
    <x v="1"/>
    <x v="4"/>
    <x v="1436"/>
    <n v="310.12"/>
    <s v="High"/>
    <n v="2"/>
    <n v="0"/>
    <x v="0"/>
    <x v="0"/>
    <n v="80.631200000000007"/>
    <n v="0.26"/>
    <n v="0"/>
  </r>
  <r>
    <n v="9739"/>
    <s v="CA-2017-129294"/>
    <d v="2017-03-16T00:00:00"/>
    <x v="3"/>
    <s v="Q1"/>
    <x v="42"/>
    <d v="2017-03-21T00:00:00"/>
    <s v="Standard Class"/>
    <x v="629"/>
    <x v="629"/>
    <s v="Corporate"/>
    <s v="United States"/>
    <s v="Los Angeles"/>
    <x v="1"/>
    <n v="90032"/>
    <x v="1"/>
    <x v="908"/>
    <x v="1"/>
    <x v="8"/>
    <x v="900"/>
    <n v="70.463999999999999"/>
    <s v="Medium"/>
    <n v="6"/>
    <n v="0.2"/>
    <x v="2"/>
    <x v="2"/>
    <n v="22.9008"/>
    <n v="0.32500000000000001"/>
    <n v="0"/>
  </r>
  <r>
    <n v="9740"/>
    <s v="CA-2017-129294"/>
    <d v="2017-03-16T00:00:00"/>
    <x v="3"/>
    <s v="Q1"/>
    <x v="42"/>
    <d v="2017-03-21T00:00:00"/>
    <s v="Standard Class"/>
    <x v="629"/>
    <x v="629"/>
    <s v="Corporate"/>
    <s v="United States"/>
    <s v="Los Angeles"/>
    <x v="1"/>
    <n v="90032"/>
    <x v="1"/>
    <x v="1181"/>
    <x v="1"/>
    <x v="8"/>
    <x v="1167"/>
    <n v="19.68"/>
    <s v="Low"/>
    <n v="5"/>
    <n v="0.2"/>
    <x v="2"/>
    <x v="2"/>
    <n v="6.8879999999999999"/>
    <n v="0.35"/>
    <n v="0"/>
  </r>
  <r>
    <n v="9741"/>
    <s v="CA-2017-129294"/>
    <d v="2017-03-16T00:00:00"/>
    <x v="3"/>
    <s v="Q1"/>
    <x v="42"/>
    <d v="2017-03-21T00:00:00"/>
    <s v="Standard Class"/>
    <x v="629"/>
    <x v="629"/>
    <s v="Corporate"/>
    <s v="United States"/>
    <s v="Los Angeles"/>
    <x v="1"/>
    <n v="90032"/>
    <x v="1"/>
    <x v="589"/>
    <x v="1"/>
    <x v="9"/>
    <x v="589"/>
    <n v="140.66999999999999"/>
    <s v="High"/>
    <n v="3"/>
    <n v="0"/>
    <x v="0"/>
    <x v="0"/>
    <n v="54.8613"/>
    <n v="0.39"/>
    <n v="0"/>
  </r>
  <r>
    <n v="9742"/>
    <s v="CA-2015-117086"/>
    <d v="2015-11-08T00:00:00"/>
    <x v="1"/>
    <s v="Q4"/>
    <x v="6"/>
    <d v="2015-11-12T00:00:00"/>
    <s v="Standard Class"/>
    <x v="425"/>
    <x v="425"/>
    <s v="Corporate"/>
    <s v="United States"/>
    <s v="Burlington"/>
    <x v="42"/>
    <s v="05408"/>
    <x v="3"/>
    <x v="26"/>
    <x v="0"/>
    <x v="0"/>
    <x v="26"/>
    <n v="4404.8999999999996"/>
    <s v="High"/>
    <n v="5"/>
    <n v="0"/>
    <x v="0"/>
    <x v="0"/>
    <n v="1013.127"/>
    <n v="0.23"/>
    <n v="0"/>
  </r>
  <r>
    <n v="9743"/>
    <s v="CA-2017-131303"/>
    <d v="2017-11-28T00:00:00"/>
    <x v="3"/>
    <s v="Q4"/>
    <x v="23"/>
    <d v="2017-12-02T00:00:00"/>
    <s v="Standard Class"/>
    <x v="212"/>
    <x v="212"/>
    <s v="Consumer"/>
    <s v="United States"/>
    <s v="San Diego"/>
    <x v="1"/>
    <n v="92037"/>
    <x v="1"/>
    <x v="300"/>
    <x v="1"/>
    <x v="2"/>
    <x v="300"/>
    <n v="62.65"/>
    <s v="Medium"/>
    <n v="5"/>
    <n v="0"/>
    <x v="0"/>
    <x v="0"/>
    <n v="29.445499999999999"/>
    <n v="0.47"/>
    <n v="0"/>
  </r>
  <r>
    <n v="9744"/>
    <s v="CA-2016-137127"/>
    <d v="2016-06-16T00:00:00"/>
    <x v="0"/>
    <s v="Q2"/>
    <x v="1"/>
    <d v="2016-06-22T00:00:00"/>
    <s v="Standard Class"/>
    <x v="370"/>
    <x v="370"/>
    <s v="Consumer"/>
    <s v="United States"/>
    <s v="Newark"/>
    <x v="13"/>
    <n v="19711"/>
    <x v="3"/>
    <x v="1042"/>
    <x v="1"/>
    <x v="2"/>
    <x v="1031"/>
    <n v="9.4499999999999993"/>
    <s v="Low"/>
    <n v="3"/>
    <n v="0"/>
    <x v="0"/>
    <x v="0"/>
    <n v="4.5359999999999996"/>
    <n v="0.48"/>
    <n v="0"/>
  </r>
  <r>
    <n v="9745"/>
    <s v="CA-2017-141782"/>
    <d v="2017-01-21T00:00:00"/>
    <x v="3"/>
    <s v="Q1"/>
    <x v="44"/>
    <d v="2017-01-25T00:00:00"/>
    <s v="Standard Class"/>
    <x v="648"/>
    <x v="648"/>
    <s v="Consumer"/>
    <s v="United States"/>
    <s v="Aurora"/>
    <x v="10"/>
    <n v="60505"/>
    <x v="2"/>
    <x v="556"/>
    <x v="1"/>
    <x v="12"/>
    <x v="555"/>
    <n v="268.57600000000002"/>
    <s v="High"/>
    <n v="4"/>
    <n v="0.2"/>
    <x v="2"/>
    <x v="2"/>
    <n v="90.644400000000005"/>
    <n v="0.33749999999999997"/>
    <n v="0"/>
  </r>
  <r>
    <n v="9746"/>
    <s v="CA-2017-137505"/>
    <d v="2017-11-24T00:00:00"/>
    <x v="3"/>
    <s v="Q4"/>
    <x v="23"/>
    <d v="2017-11-24T00:00:00"/>
    <s v="Same Day"/>
    <x v="443"/>
    <x v="443"/>
    <s v="Consumer"/>
    <s v="United States"/>
    <s v="Los Angeles"/>
    <x v="1"/>
    <n v="90008"/>
    <x v="1"/>
    <x v="342"/>
    <x v="0"/>
    <x v="3"/>
    <x v="342"/>
    <n v="364.08"/>
    <s v="High"/>
    <n v="2"/>
    <n v="0.2"/>
    <x v="2"/>
    <x v="2"/>
    <n v="9.1020000000000003"/>
    <n v="2.5000000000000001E-2"/>
    <n v="0"/>
  </r>
  <r>
    <n v="9747"/>
    <s v="CA-2017-137505"/>
    <d v="2017-11-24T00:00:00"/>
    <x v="3"/>
    <s v="Q4"/>
    <x v="23"/>
    <d v="2017-11-24T00:00:00"/>
    <s v="Same Day"/>
    <x v="443"/>
    <x v="443"/>
    <s v="Consumer"/>
    <s v="United States"/>
    <s v="Los Angeles"/>
    <x v="1"/>
    <n v="90008"/>
    <x v="1"/>
    <x v="972"/>
    <x v="0"/>
    <x v="3"/>
    <x v="966"/>
    <n v="71.087999999999994"/>
    <s v="Medium"/>
    <n v="2"/>
    <n v="0.2"/>
    <x v="2"/>
    <x v="2"/>
    <n v="-1.7771999999999999"/>
    <n v="-2.5000000000000001E-2"/>
    <n v="1"/>
  </r>
  <r>
    <n v="9748"/>
    <s v="US-2014-140914"/>
    <d v="2014-11-11T00:00:00"/>
    <x v="2"/>
    <s v="Q4"/>
    <x v="7"/>
    <d v="2014-11-15T00:00:00"/>
    <s v="Standard Class"/>
    <x v="3"/>
    <x v="3"/>
    <s v="Consumer"/>
    <s v="United States"/>
    <s v="Chicago"/>
    <x v="10"/>
    <n v="60653"/>
    <x v="2"/>
    <x v="1649"/>
    <x v="0"/>
    <x v="5"/>
    <x v="1638"/>
    <n v="10.984"/>
    <s v="Low"/>
    <n v="2"/>
    <n v="0.6"/>
    <x v="1"/>
    <x v="6"/>
    <n v="-7.9634"/>
    <n v="-0.72499999999999998"/>
    <n v="1"/>
  </r>
  <r>
    <n v="9749"/>
    <s v="US-2014-140914"/>
    <d v="2014-11-11T00:00:00"/>
    <x v="2"/>
    <s v="Q4"/>
    <x v="7"/>
    <d v="2014-11-15T00:00:00"/>
    <s v="Standard Class"/>
    <x v="3"/>
    <x v="3"/>
    <s v="Consumer"/>
    <s v="United States"/>
    <s v="Chicago"/>
    <x v="10"/>
    <n v="60653"/>
    <x v="2"/>
    <x v="463"/>
    <x v="0"/>
    <x v="1"/>
    <x v="464"/>
    <n v="797.94399999999996"/>
    <s v="High"/>
    <n v="4"/>
    <n v="0.3"/>
    <x v="1"/>
    <x v="4"/>
    <n v="-56.996000000000002"/>
    <n v="-7.1428571428571438E-2"/>
    <n v="1"/>
  </r>
  <r>
    <n v="9750"/>
    <s v="CA-2016-158358"/>
    <d v="2016-03-04T00:00:00"/>
    <x v="0"/>
    <s v="Q1"/>
    <x v="17"/>
    <d v="2016-03-08T00:00:00"/>
    <s v="Standard Class"/>
    <x v="613"/>
    <x v="613"/>
    <s v="Corporate"/>
    <s v="United States"/>
    <s v="Dover"/>
    <x v="38"/>
    <n v="3820"/>
    <x v="3"/>
    <x v="428"/>
    <x v="2"/>
    <x v="11"/>
    <x v="428"/>
    <n v="159.97999999999999"/>
    <s v="High"/>
    <n v="2"/>
    <n v="0"/>
    <x v="0"/>
    <x v="0"/>
    <n v="57.592799999999997"/>
    <n v="0.36"/>
    <n v="0"/>
  </r>
  <r>
    <n v="9751"/>
    <s v="CA-2016-113390"/>
    <d v="2016-10-11T00:00:00"/>
    <x v="0"/>
    <s v="Q4"/>
    <x v="32"/>
    <d v="2016-10-15T00:00:00"/>
    <s v="Standard Class"/>
    <x v="212"/>
    <x v="212"/>
    <s v="Consumer"/>
    <s v="United States"/>
    <s v="Chicago"/>
    <x v="10"/>
    <n v="60610"/>
    <x v="2"/>
    <x v="1412"/>
    <x v="1"/>
    <x v="6"/>
    <x v="1399"/>
    <n v="5.3440000000000003"/>
    <s v="Low"/>
    <n v="2"/>
    <n v="0.2"/>
    <x v="2"/>
    <x v="2"/>
    <n v="0.66800000000000004"/>
    <n v="0.125"/>
    <n v="0"/>
  </r>
  <r>
    <n v="9752"/>
    <s v="CA-2016-113390"/>
    <d v="2016-10-11T00:00:00"/>
    <x v="0"/>
    <s v="Q4"/>
    <x v="32"/>
    <d v="2016-10-15T00:00:00"/>
    <s v="Standard Class"/>
    <x v="212"/>
    <x v="212"/>
    <s v="Consumer"/>
    <s v="United States"/>
    <s v="Chicago"/>
    <x v="10"/>
    <n v="60610"/>
    <x v="2"/>
    <x v="1175"/>
    <x v="1"/>
    <x v="6"/>
    <x v="1161"/>
    <n v="27.72"/>
    <s v="Medium"/>
    <n v="3"/>
    <n v="0.2"/>
    <x v="2"/>
    <x v="2"/>
    <n v="3.4649999999999999"/>
    <n v="0.125"/>
    <n v="0"/>
  </r>
  <r>
    <n v="9753"/>
    <s v="US-2016-158680"/>
    <d v="2016-07-01T00:00:00"/>
    <x v="0"/>
    <s v="Q3"/>
    <x v="16"/>
    <d v="2016-07-02T00:00:00"/>
    <s v="First Class"/>
    <x v="125"/>
    <x v="125"/>
    <s v="Home Office"/>
    <s v="United States"/>
    <s v="Seattle"/>
    <x v="4"/>
    <n v="98115"/>
    <x v="1"/>
    <x v="744"/>
    <x v="1"/>
    <x v="8"/>
    <x v="742"/>
    <n v="2.496"/>
    <s v="Low"/>
    <n v="1"/>
    <n v="0.2"/>
    <x v="2"/>
    <x v="2"/>
    <n v="0.90480000000000005"/>
    <n v="0.36250000000000004"/>
    <n v="0"/>
  </r>
  <r>
    <n v="9754"/>
    <s v="CA-2017-113705"/>
    <d v="2017-03-27T00:00:00"/>
    <x v="3"/>
    <s v="Q1"/>
    <x v="42"/>
    <d v="2017-03-29T00:00:00"/>
    <s v="Second Class"/>
    <x v="48"/>
    <x v="48"/>
    <s v="Consumer"/>
    <s v="United States"/>
    <s v="Richmond"/>
    <x v="17"/>
    <n v="23223"/>
    <x v="0"/>
    <x v="1570"/>
    <x v="1"/>
    <x v="2"/>
    <x v="1561"/>
    <n v="8.26"/>
    <s v="Low"/>
    <n v="2"/>
    <n v="0"/>
    <x v="0"/>
    <x v="0"/>
    <n v="3.7995999999999999"/>
    <n v="0.46"/>
    <n v="0"/>
  </r>
  <r>
    <n v="9755"/>
    <s v="CA-2017-113705"/>
    <d v="2017-03-27T00:00:00"/>
    <x v="3"/>
    <s v="Q1"/>
    <x v="42"/>
    <d v="2017-03-29T00:00:00"/>
    <s v="Second Class"/>
    <x v="48"/>
    <x v="48"/>
    <s v="Consumer"/>
    <s v="United States"/>
    <s v="Richmond"/>
    <x v="17"/>
    <n v="23223"/>
    <x v="0"/>
    <x v="213"/>
    <x v="1"/>
    <x v="8"/>
    <x v="214"/>
    <n v="17.760000000000002"/>
    <s v="Low"/>
    <n v="2"/>
    <n v="0"/>
    <x v="0"/>
    <x v="0"/>
    <n v="8.8800000000000008"/>
    <n v="0.5"/>
    <n v="0"/>
  </r>
  <r>
    <n v="9756"/>
    <s v="CA-2017-113705"/>
    <d v="2017-03-27T00:00:00"/>
    <x v="3"/>
    <s v="Q1"/>
    <x v="42"/>
    <d v="2017-03-29T00:00:00"/>
    <s v="Second Class"/>
    <x v="48"/>
    <x v="48"/>
    <s v="Consumer"/>
    <s v="United States"/>
    <s v="Richmond"/>
    <x v="17"/>
    <n v="23223"/>
    <x v="0"/>
    <x v="1439"/>
    <x v="1"/>
    <x v="4"/>
    <x v="1427"/>
    <n v="332.94"/>
    <s v="High"/>
    <n v="3"/>
    <n v="0"/>
    <x v="0"/>
    <x v="0"/>
    <n v="9.9882000000000009"/>
    <n v="3.0000000000000002E-2"/>
    <n v="0"/>
  </r>
  <r>
    <n v="9757"/>
    <s v="CA-2017-113705"/>
    <d v="2017-03-27T00:00:00"/>
    <x v="3"/>
    <s v="Q1"/>
    <x v="42"/>
    <d v="2017-03-29T00:00:00"/>
    <s v="Second Class"/>
    <x v="48"/>
    <x v="48"/>
    <s v="Consumer"/>
    <s v="United States"/>
    <s v="Richmond"/>
    <x v="17"/>
    <n v="23223"/>
    <x v="0"/>
    <x v="277"/>
    <x v="0"/>
    <x v="3"/>
    <x v="277"/>
    <n v="292.10000000000002"/>
    <s v="High"/>
    <n v="2"/>
    <n v="0"/>
    <x v="0"/>
    <x v="0"/>
    <n v="58.42"/>
    <n v="0.19999999999999998"/>
    <n v="0"/>
  </r>
  <r>
    <n v="9758"/>
    <s v="CA-2017-113705"/>
    <d v="2017-03-27T00:00:00"/>
    <x v="3"/>
    <s v="Q1"/>
    <x v="42"/>
    <d v="2017-03-29T00:00:00"/>
    <s v="Second Class"/>
    <x v="48"/>
    <x v="48"/>
    <s v="Consumer"/>
    <s v="United States"/>
    <s v="Richmond"/>
    <x v="17"/>
    <n v="23223"/>
    <x v="0"/>
    <x v="1783"/>
    <x v="2"/>
    <x v="7"/>
    <x v="1773"/>
    <n v="206.1"/>
    <s v="High"/>
    <n v="5"/>
    <n v="0"/>
    <x v="0"/>
    <x v="0"/>
    <n v="55.646999999999998"/>
    <n v="0.27"/>
    <n v="0"/>
  </r>
  <r>
    <n v="9759"/>
    <s v="CA-2017-113705"/>
    <d v="2017-03-27T00:00:00"/>
    <x v="3"/>
    <s v="Q1"/>
    <x v="42"/>
    <d v="2017-03-29T00:00:00"/>
    <s v="Second Class"/>
    <x v="48"/>
    <x v="48"/>
    <s v="Consumer"/>
    <s v="United States"/>
    <s v="Richmond"/>
    <x v="17"/>
    <n v="23223"/>
    <x v="0"/>
    <x v="249"/>
    <x v="1"/>
    <x v="10"/>
    <x v="250"/>
    <n v="17.64"/>
    <s v="Low"/>
    <n v="4"/>
    <n v="0"/>
    <x v="0"/>
    <x v="0"/>
    <n v="8.1143999999999998"/>
    <n v="0.45999999999999996"/>
    <n v="0"/>
  </r>
  <r>
    <n v="9760"/>
    <s v="CA-2016-146913"/>
    <d v="2016-10-31T00:00:00"/>
    <x v="0"/>
    <s v="Q4"/>
    <x v="32"/>
    <d v="2016-11-05T00:00:00"/>
    <s v="Standard Class"/>
    <x v="245"/>
    <x v="245"/>
    <s v="Corporate"/>
    <s v="United States"/>
    <s v="San Francisco"/>
    <x v="1"/>
    <n v="94109"/>
    <x v="1"/>
    <x v="1131"/>
    <x v="0"/>
    <x v="1"/>
    <x v="1119"/>
    <n v="1403.92"/>
    <s v="High"/>
    <n v="5"/>
    <n v="0.2"/>
    <x v="2"/>
    <x v="2"/>
    <n v="70.195999999999998"/>
    <n v="4.9999999999999996E-2"/>
    <n v="0"/>
  </r>
  <r>
    <n v="9761"/>
    <s v="CA-2017-159135"/>
    <d v="2017-11-04T00:00:00"/>
    <x v="3"/>
    <s v="Q4"/>
    <x v="23"/>
    <d v="2017-11-08T00:00:00"/>
    <s v="Standard Class"/>
    <x v="454"/>
    <x v="454"/>
    <s v="Home Office"/>
    <s v="United States"/>
    <s v="Springdale"/>
    <x v="36"/>
    <n v="72762"/>
    <x v="0"/>
    <x v="1539"/>
    <x v="1"/>
    <x v="6"/>
    <x v="1527"/>
    <n v="4.3"/>
    <s v="Low"/>
    <n v="2"/>
    <n v="0"/>
    <x v="0"/>
    <x v="0"/>
    <n v="1.419"/>
    <n v="0.33"/>
    <n v="0"/>
  </r>
  <r>
    <n v="9762"/>
    <s v="CA-2014-121762"/>
    <d v="2014-02-14T00:00:00"/>
    <x v="2"/>
    <s v="Q1"/>
    <x v="45"/>
    <d v="2014-02-18T00:00:00"/>
    <s v="Standard Class"/>
    <x v="504"/>
    <x v="504"/>
    <s v="Corporate"/>
    <s v="United States"/>
    <s v="Seattle"/>
    <x v="4"/>
    <n v="98103"/>
    <x v="1"/>
    <x v="1105"/>
    <x v="2"/>
    <x v="11"/>
    <x v="1094"/>
    <n v="239.97"/>
    <s v="High"/>
    <n v="3"/>
    <n v="0"/>
    <x v="0"/>
    <x v="0"/>
    <n v="86.389200000000002"/>
    <n v="0.36"/>
    <n v="0"/>
  </r>
  <r>
    <n v="9763"/>
    <s v="CA-2014-121762"/>
    <d v="2014-02-14T00:00:00"/>
    <x v="2"/>
    <s v="Q1"/>
    <x v="45"/>
    <d v="2014-02-18T00:00:00"/>
    <s v="Standard Class"/>
    <x v="504"/>
    <x v="504"/>
    <s v="Corporate"/>
    <s v="United States"/>
    <s v="Seattle"/>
    <x v="4"/>
    <n v="98103"/>
    <x v="1"/>
    <x v="1360"/>
    <x v="1"/>
    <x v="9"/>
    <x v="1346"/>
    <n v="81.96"/>
    <s v="Medium"/>
    <n v="2"/>
    <n v="0"/>
    <x v="0"/>
    <x v="0"/>
    <n v="22.948799999999999"/>
    <n v="0.28000000000000003"/>
    <n v="0"/>
  </r>
  <r>
    <n v="9764"/>
    <s v="CA-2014-121762"/>
    <d v="2014-02-14T00:00:00"/>
    <x v="2"/>
    <s v="Q1"/>
    <x v="45"/>
    <d v="2014-02-18T00:00:00"/>
    <s v="Standard Class"/>
    <x v="504"/>
    <x v="504"/>
    <s v="Corporate"/>
    <s v="United States"/>
    <s v="Seattle"/>
    <x v="4"/>
    <n v="98103"/>
    <x v="1"/>
    <x v="1420"/>
    <x v="1"/>
    <x v="14"/>
    <x v="1408"/>
    <n v="238.62"/>
    <s v="High"/>
    <n v="2"/>
    <n v="0"/>
    <x v="0"/>
    <x v="0"/>
    <n v="4.7724000000000002"/>
    <n v="0.02"/>
    <n v="0"/>
  </r>
  <r>
    <n v="9765"/>
    <s v="CA-2014-123855"/>
    <d v="2014-06-18T00:00:00"/>
    <x v="2"/>
    <s v="Q2"/>
    <x v="3"/>
    <d v="2014-06-23T00:00:00"/>
    <s v="Standard Class"/>
    <x v="498"/>
    <x v="498"/>
    <s v="Consumer"/>
    <s v="United States"/>
    <s v="Los Angeles"/>
    <x v="1"/>
    <n v="90036"/>
    <x v="1"/>
    <x v="139"/>
    <x v="2"/>
    <x v="7"/>
    <x v="140"/>
    <n v="139.80000000000001"/>
    <s v="High"/>
    <n v="5"/>
    <n v="0.2"/>
    <x v="2"/>
    <x v="2"/>
    <n v="12.2325"/>
    <n v="8.7499999999999994E-2"/>
    <n v="0"/>
  </r>
  <r>
    <n v="9766"/>
    <s v="CA-2017-101959"/>
    <d v="2017-02-28T00:00:00"/>
    <x v="3"/>
    <s v="Q1"/>
    <x v="31"/>
    <d v="2017-03-06T00:00:00"/>
    <s v="Standard Class"/>
    <x v="551"/>
    <x v="551"/>
    <s v="Consumer"/>
    <s v="United States"/>
    <s v="Middletown"/>
    <x v="29"/>
    <n v="6457"/>
    <x v="3"/>
    <x v="1181"/>
    <x v="1"/>
    <x v="8"/>
    <x v="1167"/>
    <n v="9.84"/>
    <s v="Low"/>
    <n v="2"/>
    <n v="0"/>
    <x v="0"/>
    <x v="0"/>
    <n v="4.7232000000000003"/>
    <n v="0.48000000000000004"/>
    <n v="0"/>
  </r>
  <r>
    <n v="9767"/>
    <s v="CA-2017-101959"/>
    <d v="2017-02-28T00:00:00"/>
    <x v="3"/>
    <s v="Q1"/>
    <x v="31"/>
    <d v="2017-03-06T00:00:00"/>
    <s v="Standard Class"/>
    <x v="551"/>
    <x v="551"/>
    <s v="Consumer"/>
    <s v="United States"/>
    <s v="Middletown"/>
    <x v="29"/>
    <n v="6457"/>
    <x v="3"/>
    <x v="565"/>
    <x v="1"/>
    <x v="10"/>
    <x v="565"/>
    <n v="7.78"/>
    <s v="Low"/>
    <n v="1"/>
    <n v="0"/>
    <x v="0"/>
    <x v="0"/>
    <n v="3.5009999999999999"/>
    <n v="0.44999999999999996"/>
    <n v="0"/>
  </r>
  <r>
    <n v="9768"/>
    <s v="CA-2017-102659"/>
    <d v="2017-12-09T00:00:00"/>
    <x v="3"/>
    <s v="Q4"/>
    <x v="22"/>
    <d v="2017-12-15T00:00:00"/>
    <s v="Standard Class"/>
    <x v="560"/>
    <x v="560"/>
    <s v="Consumer"/>
    <s v="United States"/>
    <s v="Grand Rapids"/>
    <x v="12"/>
    <n v="49505"/>
    <x v="2"/>
    <x v="1045"/>
    <x v="1"/>
    <x v="8"/>
    <x v="1034"/>
    <n v="54.9"/>
    <s v="Medium"/>
    <n v="5"/>
    <n v="0"/>
    <x v="0"/>
    <x v="0"/>
    <n v="26.901"/>
    <n v="0.49"/>
    <n v="0"/>
  </r>
  <r>
    <n v="9769"/>
    <s v="CA-2017-142328"/>
    <d v="2017-12-07T00:00:00"/>
    <x v="3"/>
    <s v="Q4"/>
    <x v="22"/>
    <d v="2017-12-14T00:00:00"/>
    <s v="Standard Class"/>
    <x v="426"/>
    <x v="426"/>
    <s v="Home Office"/>
    <s v="United States"/>
    <s v="San Francisco"/>
    <x v="1"/>
    <n v="94122"/>
    <x v="1"/>
    <x v="1305"/>
    <x v="1"/>
    <x v="10"/>
    <x v="1290"/>
    <n v="50.04"/>
    <s v="Medium"/>
    <n v="6"/>
    <n v="0"/>
    <x v="0"/>
    <x v="0"/>
    <n v="25.02"/>
    <n v="0.5"/>
    <n v="0"/>
  </r>
  <r>
    <n v="9770"/>
    <s v="CA-2016-123533"/>
    <d v="2016-11-24T00:00:00"/>
    <x v="0"/>
    <s v="Q4"/>
    <x v="0"/>
    <d v="2016-11-30T00:00:00"/>
    <s v="Standard Class"/>
    <x v="337"/>
    <x v="337"/>
    <s v="Home Office"/>
    <s v="United States"/>
    <s v="Hialeah"/>
    <x v="2"/>
    <n v="33012"/>
    <x v="0"/>
    <x v="604"/>
    <x v="0"/>
    <x v="0"/>
    <x v="604"/>
    <n v="339.92"/>
    <s v="High"/>
    <n v="5"/>
    <n v="0.2"/>
    <x v="2"/>
    <x v="2"/>
    <n v="8.4979999999999993"/>
    <n v="2.4999999999999998E-2"/>
    <n v="0"/>
  </r>
  <r>
    <n v="9771"/>
    <s v="CA-2016-123533"/>
    <d v="2016-11-24T00:00:00"/>
    <x v="0"/>
    <s v="Q4"/>
    <x v="0"/>
    <d v="2016-11-30T00:00:00"/>
    <s v="Standard Class"/>
    <x v="337"/>
    <x v="337"/>
    <s v="Home Office"/>
    <s v="United States"/>
    <s v="Hialeah"/>
    <x v="2"/>
    <n v="33012"/>
    <x v="0"/>
    <x v="1128"/>
    <x v="1"/>
    <x v="10"/>
    <x v="1116"/>
    <n v="10.528"/>
    <s v="Low"/>
    <n v="4"/>
    <n v="0.2"/>
    <x v="2"/>
    <x v="2"/>
    <n v="3.4216000000000002"/>
    <n v="0.32500000000000001"/>
    <n v="0"/>
  </r>
  <r>
    <n v="9772"/>
    <s v="CA-2016-123533"/>
    <d v="2016-11-24T00:00:00"/>
    <x v="0"/>
    <s v="Q4"/>
    <x v="0"/>
    <d v="2016-11-30T00:00:00"/>
    <s v="Standard Class"/>
    <x v="337"/>
    <x v="337"/>
    <s v="Home Office"/>
    <s v="United States"/>
    <s v="Hialeah"/>
    <x v="2"/>
    <n v="33012"/>
    <x v="0"/>
    <x v="1276"/>
    <x v="1"/>
    <x v="9"/>
    <x v="1261"/>
    <n v="42.384"/>
    <s v="Medium"/>
    <n v="2"/>
    <n v="0.2"/>
    <x v="2"/>
    <x v="2"/>
    <n v="4.2384000000000004"/>
    <n v="0.1"/>
    <n v="0"/>
  </r>
  <r>
    <n v="9773"/>
    <s v="CA-2016-104983"/>
    <d v="2016-07-03T00:00:00"/>
    <x v="0"/>
    <s v="Q3"/>
    <x v="16"/>
    <d v="2016-07-03T00:00:00"/>
    <s v="Same Day"/>
    <x v="524"/>
    <x v="524"/>
    <s v="Corporate"/>
    <s v="United States"/>
    <s v="Philadelphia"/>
    <x v="9"/>
    <n v="19143"/>
    <x v="3"/>
    <x v="1090"/>
    <x v="1"/>
    <x v="10"/>
    <x v="1080"/>
    <n v="123.92"/>
    <s v="High"/>
    <n v="5"/>
    <n v="0.2"/>
    <x v="2"/>
    <x v="2"/>
    <n v="38.725000000000001"/>
    <n v="0.3125"/>
    <n v="0"/>
  </r>
  <r>
    <n v="9774"/>
    <s v="CA-2016-160234"/>
    <d v="2016-06-26T00:00:00"/>
    <x v="0"/>
    <s v="Q2"/>
    <x v="1"/>
    <d v="2016-07-03T00:00:00"/>
    <s v="Standard Class"/>
    <x v="418"/>
    <x v="418"/>
    <s v="Consumer"/>
    <s v="United States"/>
    <s v="Atlanta"/>
    <x v="32"/>
    <n v="30318"/>
    <x v="0"/>
    <x v="1623"/>
    <x v="2"/>
    <x v="7"/>
    <x v="1613"/>
    <n v="135.94999999999999"/>
    <s v="High"/>
    <n v="1"/>
    <n v="0"/>
    <x v="0"/>
    <x v="0"/>
    <n v="39.4255"/>
    <n v="0.29000000000000004"/>
    <n v="0"/>
  </r>
  <r>
    <n v="9775"/>
    <s v="CA-2014-169019"/>
    <d v="2014-07-26T00:00:00"/>
    <x v="2"/>
    <s v="Q3"/>
    <x v="39"/>
    <d v="2014-07-30T00:00:00"/>
    <s v="Standard Class"/>
    <x v="166"/>
    <x v="166"/>
    <s v="Consumer"/>
    <s v="United States"/>
    <s v="San Antonio"/>
    <x v="5"/>
    <n v="78207"/>
    <x v="2"/>
    <x v="316"/>
    <x v="1"/>
    <x v="8"/>
    <x v="316"/>
    <n v="2177.5839999999998"/>
    <s v="High"/>
    <n v="8"/>
    <n v="0.8"/>
    <x v="1"/>
    <x v="3"/>
    <n v="-3701.8928000000001"/>
    <n v="-1.7000000000000002"/>
    <n v="1"/>
  </r>
  <r>
    <n v="9776"/>
    <s v="CA-2014-169019"/>
    <d v="2014-07-26T00:00:00"/>
    <x v="2"/>
    <s v="Q3"/>
    <x v="39"/>
    <d v="2014-07-30T00:00:00"/>
    <s v="Standard Class"/>
    <x v="166"/>
    <x v="166"/>
    <s v="Consumer"/>
    <s v="United States"/>
    <s v="San Antonio"/>
    <x v="5"/>
    <n v="78207"/>
    <x v="2"/>
    <x v="1474"/>
    <x v="0"/>
    <x v="5"/>
    <x v="1461"/>
    <n v="17.495999999999999"/>
    <s v="Low"/>
    <n v="3"/>
    <n v="0.6"/>
    <x v="1"/>
    <x v="6"/>
    <n v="-10.0602"/>
    <n v="-0.57500000000000007"/>
    <n v="1"/>
  </r>
  <r>
    <n v="9777"/>
    <s v="CA-2014-169019"/>
    <d v="2014-07-26T00:00:00"/>
    <x v="2"/>
    <s v="Q3"/>
    <x v="39"/>
    <d v="2014-07-30T00:00:00"/>
    <s v="Standard Class"/>
    <x v="166"/>
    <x v="166"/>
    <s v="Consumer"/>
    <s v="United States"/>
    <s v="San Antonio"/>
    <x v="5"/>
    <n v="78207"/>
    <x v="2"/>
    <x v="301"/>
    <x v="1"/>
    <x v="8"/>
    <x v="301"/>
    <n v="16.783999999999999"/>
    <s v="Low"/>
    <n v="4"/>
    <n v="0.8"/>
    <x v="1"/>
    <x v="3"/>
    <n v="-26.854399999999998"/>
    <n v="-1.6"/>
    <n v="1"/>
  </r>
  <r>
    <n v="9778"/>
    <s v="CA-2014-169019"/>
    <d v="2014-07-26T00:00:00"/>
    <x v="2"/>
    <s v="Q3"/>
    <x v="39"/>
    <d v="2014-07-30T00:00:00"/>
    <s v="Standard Class"/>
    <x v="166"/>
    <x v="166"/>
    <s v="Consumer"/>
    <s v="United States"/>
    <s v="San Antonio"/>
    <x v="5"/>
    <n v="78207"/>
    <x v="2"/>
    <x v="333"/>
    <x v="2"/>
    <x v="11"/>
    <x v="333"/>
    <n v="431.13600000000002"/>
    <s v="High"/>
    <n v="9"/>
    <n v="0.2"/>
    <x v="2"/>
    <x v="2"/>
    <n v="-26.946000000000002"/>
    <n v="-6.25E-2"/>
    <n v="1"/>
  </r>
  <r>
    <n v="9779"/>
    <s v="CA-2014-169019"/>
    <d v="2014-07-26T00:00:00"/>
    <x v="2"/>
    <s v="Q3"/>
    <x v="39"/>
    <d v="2014-07-30T00:00:00"/>
    <s v="Standard Class"/>
    <x v="166"/>
    <x v="166"/>
    <s v="Consumer"/>
    <s v="United States"/>
    <s v="San Antonio"/>
    <x v="5"/>
    <n v="78207"/>
    <x v="2"/>
    <x v="213"/>
    <x v="1"/>
    <x v="8"/>
    <x v="214"/>
    <n v="8.8800000000000008"/>
    <s v="Low"/>
    <n v="5"/>
    <n v="0.8"/>
    <x v="1"/>
    <x v="3"/>
    <n v="-13.32"/>
    <n v="-1.5"/>
    <n v="1"/>
  </r>
  <r>
    <n v="9780"/>
    <s v="CA-2014-169019"/>
    <d v="2014-07-26T00:00:00"/>
    <x v="2"/>
    <s v="Q3"/>
    <x v="39"/>
    <d v="2014-07-30T00:00:00"/>
    <s v="Standard Class"/>
    <x v="166"/>
    <x v="166"/>
    <s v="Consumer"/>
    <s v="United States"/>
    <s v="San Antonio"/>
    <x v="5"/>
    <n v="78207"/>
    <x v="2"/>
    <x v="1204"/>
    <x v="1"/>
    <x v="9"/>
    <x v="1189"/>
    <n v="4.8360000000000003"/>
    <s v="Low"/>
    <n v="2"/>
    <n v="0.8"/>
    <x v="1"/>
    <x v="3"/>
    <n v="-12.09"/>
    <n v="-2.5"/>
    <n v="1"/>
  </r>
  <r>
    <n v="9781"/>
    <s v="CA-2016-153178"/>
    <d v="2016-09-14T00:00:00"/>
    <x v="0"/>
    <s v="Q3"/>
    <x v="21"/>
    <d v="2016-09-18T00:00:00"/>
    <s v="Standard Class"/>
    <x v="52"/>
    <x v="52"/>
    <s v="Consumer"/>
    <s v="United States"/>
    <s v="Long Beach"/>
    <x v="15"/>
    <n v="11561"/>
    <x v="3"/>
    <x v="1285"/>
    <x v="2"/>
    <x v="7"/>
    <x v="1271"/>
    <n v="437.85"/>
    <s v="High"/>
    <n v="3"/>
    <n v="0"/>
    <x v="0"/>
    <x v="0"/>
    <n v="131.35499999999999"/>
    <n v="0.29999999999999993"/>
    <n v="0"/>
  </r>
  <r>
    <n v="9782"/>
    <s v="CA-2016-153178"/>
    <d v="2016-09-14T00:00:00"/>
    <x v="0"/>
    <s v="Q3"/>
    <x v="21"/>
    <d v="2016-09-18T00:00:00"/>
    <s v="Standard Class"/>
    <x v="52"/>
    <x v="52"/>
    <s v="Consumer"/>
    <s v="United States"/>
    <s v="Long Beach"/>
    <x v="15"/>
    <n v="11561"/>
    <x v="3"/>
    <x v="1178"/>
    <x v="1"/>
    <x v="8"/>
    <x v="1164"/>
    <n v="673.56799999999998"/>
    <s v="High"/>
    <n v="2"/>
    <n v="0.2"/>
    <x v="2"/>
    <x v="2"/>
    <n v="252.58799999999999"/>
    <n v="0.375"/>
    <n v="0"/>
  </r>
  <r>
    <n v="9783"/>
    <s v="CA-2015-149748"/>
    <d v="2015-05-31T00:00:00"/>
    <x v="1"/>
    <s v="Q2"/>
    <x v="33"/>
    <d v="2015-06-02T00:00:00"/>
    <s v="Second Class"/>
    <x v="605"/>
    <x v="605"/>
    <s v="Corporate"/>
    <s v="United States"/>
    <s v="Paterson"/>
    <x v="30"/>
    <n v="7501"/>
    <x v="3"/>
    <x v="519"/>
    <x v="1"/>
    <x v="10"/>
    <x v="519"/>
    <n v="274.8"/>
    <s v="High"/>
    <n v="5"/>
    <n v="0"/>
    <x v="0"/>
    <x v="0"/>
    <n v="134.65199999999999"/>
    <n v="0.48999999999999994"/>
    <n v="0"/>
  </r>
  <r>
    <n v="9784"/>
    <s v="CA-2015-149748"/>
    <d v="2015-05-31T00:00:00"/>
    <x v="1"/>
    <s v="Q2"/>
    <x v="33"/>
    <d v="2015-06-02T00:00:00"/>
    <s v="Second Class"/>
    <x v="605"/>
    <x v="605"/>
    <s v="Corporate"/>
    <s v="United States"/>
    <s v="Paterson"/>
    <x v="30"/>
    <n v="7501"/>
    <x v="3"/>
    <x v="821"/>
    <x v="1"/>
    <x v="4"/>
    <x v="817"/>
    <n v="62.18"/>
    <s v="Medium"/>
    <n v="1"/>
    <n v="0"/>
    <x v="0"/>
    <x v="0"/>
    <n v="16.788599999999999"/>
    <n v="0.26999999999999996"/>
    <n v="0"/>
  </r>
  <r>
    <n v="9785"/>
    <s v="CA-2015-149748"/>
    <d v="2015-05-31T00:00:00"/>
    <x v="1"/>
    <s v="Q2"/>
    <x v="33"/>
    <d v="2015-06-02T00:00:00"/>
    <s v="Second Class"/>
    <x v="605"/>
    <x v="605"/>
    <s v="Corporate"/>
    <s v="United States"/>
    <s v="Paterson"/>
    <x v="30"/>
    <n v="7501"/>
    <x v="3"/>
    <x v="1379"/>
    <x v="0"/>
    <x v="5"/>
    <x v="1364"/>
    <n v="8.2799999999999994"/>
    <s v="Low"/>
    <n v="2"/>
    <n v="0"/>
    <x v="0"/>
    <x v="0"/>
    <n v="2.9807999999999999"/>
    <n v="0.36000000000000004"/>
    <n v="0"/>
  </r>
  <r>
    <n v="9786"/>
    <s v="CA-2015-155635"/>
    <d v="2015-05-09T00:00:00"/>
    <x v="1"/>
    <s v="Q2"/>
    <x v="33"/>
    <d v="2015-05-13T00:00:00"/>
    <s v="Standard Class"/>
    <x v="250"/>
    <x v="250"/>
    <s v="Consumer"/>
    <s v="United States"/>
    <s v="Louisville"/>
    <x v="0"/>
    <n v="40214"/>
    <x v="0"/>
    <x v="1526"/>
    <x v="1"/>
    <x v="8"/>
    <x v="1513"/>
    <n v="48.81"/>
    <s v="Medium"/>
    <n v="3"/>
    <n v="0"/>
    <x v="0"/>
    <x v="0"/>
    <n v="23.916899999999998"/>
    <n v="0.48999999999999994"/>
    <n v="0"/>
  </r>
  <r>
    <n v="9787"/>
    <s v="US-2014-114377"/>
    <d v="2014-11-05T00:00:00"/>
    <x v="2"/>
    <s v="Q4"/>
    <x v="7"/>
    <d v="2014-11-05T00:00:00"/>
    <s v="Same Day"/>
    <x v="767"/>
    <x v="767"/>
    <s v="Consumer"/>
    <s v="United States"/>
    <s v="Hampton"/>
    <x v="17"/>
    <n v="23666"/>
    <x v="0"/>
    <x v="1144"/>
    <x v="0"/>
    <x v="1"/>
    <x v="1132"/>
    <n v="149.9"/>
    <s v="High"/>
    <n v="5"/>
    <n v="0"/>
    <x v="0"/>
    <x v="0"/>
    <n v="40.472999999999999"/>
    <n v="0.26999999999999996"/>
    <n v="0"/>
  </r>
  <r>
    <n v="9788"/>
    <s v="CA-2017-144491"/>
    <d v="2017-03-27T00:00:00"/>
    <x v="3"/>
    <s v="Q1"/>
    <x v="42"/>
    <d v="2017-04-01T00:00:00"/>
    <s v="Standard Class"/>
    <x v="170"/>
    <x v="170"/>
    <s v="Consumer"/>
    <s v="United States"/>
    <s v="Houston"/>
    <x v="5"/>
    <n v="77070"/>
    <x v="2"/>
    <x v="789"/>
    <x v="0"/>
    <x v="0"/>
    <x v="787"/>
    <n v="1023.332"/>
    <s v="High"/>
    <n v="5"/>
    <n v="0.32"/>
    <x v="1"/>
    <x v="7"/>
    <n v="-30.097999999999999"/>
    <n v="-2.9411764705882353E-2"/>
    <n v="1"/>
  </r>
  <r>
    <n v="9789"/>
    <s v="CA-2017-144491"/>
    <d v="2017-03-27T00:00:00"/>
    <x v="3"/>
    <s v="Q1"/>
    <x v="42"/>
    <d v="2017-04-01T00:00:00"/>
    <s v="Standard Class"/>
    <x v="170"/>
    <x v="170"/>
    <s v="Consumer"/>
    <s v="United States"/>
    <s v="Houston"/>
    <x v="5"/>
    <n v="77070"/>
    <x v="2"/>
    <x v="120"/>
    <x v="0"/>
    <x v="1"/>
    <x v="120"/>
    <n v="600.55799999999999"/>
    <s v="High"/>
    <n v="3"/>
    <n v="0.3"/>
    <x v="1"/>
    <x v="4"/>
    <n v="-8.5793999999999997"/>
    <n v="-1.4285714285714285E-2"/>
    <n v="1"/>
  </r>
  <r>
    <n v="9790"/>
    <s v="CA-2017-144491"/>
    <d v="2017-03-27T00:00:00"/>
    <x v="3"/>
    <s v="Q1"/>
    <x v="42"/>
    <d v="2017-04-01T00:00:00"/>
    <s v="Standard Class"/>
    <x v="170"/>
    <x v="170"/>
    <s v="Consumer"/>
    <s v="United States"/>
    <s v="Houston"/>
    <x v="5"/>
    <n v="77070"/>
    <x v="2"/>
    <x v="648"/>
    <x v="2"/>
    <x v="11"/>
    <x v="648"/>
    <n v="39.991999999999997"/>
    <s v="Medium"/>
    <n v="1"/>
    <n v="0.2"/>
    <x v="2"/>
    <x v="2"/>
    <n v="6.9985999999999997"/>
    <n v="0.17500000000000002"/>
    <n v="0"/>
  </r>
  <r>
    <n v="9791"/>
    <s v="CA-2017-144491"/>
    <d v="2017-03-27T00:00:00"/>
    <x v="3"/>
    <s v="Q1"/>
    <x v="42"/>
    <d v="2017-04-01T00:00:00"/>
    <s v="Standard Class"/>
    <x v="170"/>
    <x v="170"/>
    <s v="Consumer"/>
    <s v="United States"/>
    <s v="Houston"/>
    <x v="5"/>
    <n v="77070"/>
    <x v="2"/>
    <x v="1318"/>
    <x v="0"/>
    <x v="1"/>
    <x v="1304"/>
    <n v="211.24600000000001"/>
    <s v="High"/>
    <n v="2"/>
    <n v="0.3"/>
    <x v="1"/>
    <x v="4"/>
    <n v="-66.391599999999997"/>
    <n v="-0.31428571428571428"/>
    <n v="1"/>
  </r>
  <r>
    <n v="9792"/>
    <s v="CA-2014-127166"/>
    <d v="2014-05-21T00:00:00"/>
    <x v="2"/>
    <s v="Q2"/>
    <x v="8"/>
    <d v="2014-05-23T00:00:00"/>
    <s v="Second Class"/>
    <x v="347"/>
    <x v="347"/>
    <s v="Consumer"/>
    <s v="United States"/>
    <s v="Houston"/>
    <x v="5"/>
    <n v="77070"/>
    <x v="2"/>
    <x v="1040"/>
    <x v="1"/>
    <x v="12"/>
    <x v="153"/>
    <n v="56.064"/>
    <s v="Medium"/>
    <n v="6"/>
    <n v="0.2"/>
    <x v="2"/>
    <x v="2"/>
    <n v="21.024000000000001"/>
    <n v="0.375"/>
    <n v="0"/>
  </r>
  <r>
    <n v="9793"/>
    <s v="CA-2014-127166"/>
    <d v="2014-05-21T00:00:00"/>
    <x v="2"/>
    <s v="Q2"/>
    <x v="8"/>
    <d v="2014-05-23T00:00:00"/>
    <s v="Second Class"/>
    <x v="347"/>
    <x v="347"/>
    <s v="Consumer"/>
    <s v="United States"/>
    <s v="Houston"/>
    <x v="5"/>
    <n v="77070"/>
    <x v="2"/>
    <x v="389"/>
    <x v="0"/>
    <x v="1"/>
    <x v="390"/>
    <n v="107.77200000000001"/>
    <s v="Medium"/>
    <n v="2"/>
    <n v="0.3"/>
    <x v="1"/>
    <x v="4"/>
    <n v="-29.252400000000002"/>
    <n v="-0.27142857142857141"/>
    <n v="1"/>
  </r>
  <r>
    <n v="9794"/>
    <s v="CA-2014-127166"/>
    <d v="2014-05-21T00:00:00"/>
    <x v="2"/>
    <s v="Q2"/>
    <x v="8"/>
    <d v="2014-05-23T00:00:00"/>
    <s v="Second Class"/>
    <x v="347"/>
    <x v="347"/>
    <s v="Consumer"/>
    <s v="United States"/>
    <s v="Houston"/>
    <x v="5"/>
    <n v="77070"/>
    <x v="2"/>
    <x v="670"/>
    <x v="1"/>
    <x v="10"/>
    <x v="670"/>
    <n v="4.8319999999999999"/>
    <s v="Low"/>
    <n v="1"/>
    <n v="0.2"/>
    <x v="2"/>
    <x v="2"/>
    <n v="1.6308"/>
    <n v="0.33750000000000002"/>
    <n v="0"/>
  </r>
  <r>
    <n v="9795"/>
    <s v="CA-2014-127166"/>
    <d v="2014-05-21T00:00:00"/>
    <x v="2"/>
    <s v="Q2"/>
    <x v="8"/>
    <d v="2014-05-23T00:00:00"/>
    <s v="Second Class"/>
    <x v="347"/>
    <x v="347"/>
    <s v="Consumer"/>
    <s v="United States"/>
    <s v="Houston"/>
    <x v="5"/>
    <n v="77070"/>
    <x v="2"/>
    <x v="999"/>
    <x v="1"/>
    <x v="8"/>
    <x v="991"/>
    <n v="18.239999999999998"/>
    <s v="Low"/>
    <n v="3"/>
    <n v="0.8"/>
    <x v="1"/>
    <x v="3"/>
    <n v="-31.007999999999999"/>
    <n v="-1.7000000000000002"/>
    <n v="1"/>
  </r>
  <r>
    <n v="9796"/>
    <s v="CA-2016-125920"/>
    <d v="2016-05-21T00:00:00"/>
    <x v="0"/>
    <s v="Q2"/>
    <x v="35"/>
    <d v="2016-05-28T00:00:00"/>
    <s v="Standard Class"/>
    <x v="64"/>
    <x v="64"/>
    <s v="Corporate"/>
    <s v="United States"/>
    <s v="Chicago"/>
    <x v="10"/>
    <n v="60610"/>
    <x v="2"/>
    <x v="858"/>
    <x v="1"/>
    <x v="8"/>
    <x v="852"/>
    <n v="3.798"/>
    <s v="Low"/>
    <n v="3"/>
    <n v="0.8"/>
    <x v="1"/>
    <x v="3"/>
    <n v="-5.8868999999999998"/>
    <n v="-1.5499999999999998"/>
    <n v="1"/>
  </r>
  <r>
    <n v="9797"/>
    <s v="CA-2015-128608"/>
    <d v="2015-01-12T00:00:00"/>
    <x v="1"/>
    <s v="Q1"/>
    <x v="26"/>
    <d v="2015-01-17T00:00:00"/>
    <s v="Standard Class"/>
    <x v="703"/>
    <x v="703"/>
    <s v="Corporate"/>
    <s v="United States"/>
    <s v="Toledo"/>
    <x v="24"/>
    <n v="43615"/>
    <x v="3"/>
    <x v="313"/>
    <x v="1"/>
    <x v="6"/>
    <x v="313"/>
    <n v="10.368"/>
    <s v="Low"/>
    <n v="2"/>
    <n v="0.2"/>
    <x v="2"/>
    <x v="2"/>
    <n v="1.5551999999999999"/>
    <n v="0.15"/>
    <n v="0"/>
  </r>
  <r>
    <n v="9798"/>
    <s v="CA-2015-128608"/>
    <d v="2015-01-12T00:00:00"/>
    <x v="1"/>
    <s v="Q1"/>
    <x v="26"/>
    <d v="2015-01-17T00:00:00"/>
    <s v="Standard Class"/>
    <x v="703"/>
    <x v="703"/>
    <s v="Corporate"/>
    <s v="United States"/>
    <s v="Toledo"/>
    <x v="24"/>
    <n v="43615"/>
    <x v="3"/>
    <x v="34"/>
    <x v="2"/>
    <x v="7"/>
    <x v="34"/>
    <n v="235.18799999999999"/>
    <s v="High"/>
    <n v="2"/>
    <n v="0.4"/>
    <x v="1"/>
    <x v="7"/>
    <n v="-43.117800000000003"/>
    <n v="-0.18333333333333335"/>
    <n v="1"/>
  </r>
  <r>
    <n v="9799"/>
    <s v="CA-2015-128608"/>
    <d v="2015-01-12T00:00:00"/>
    <x v="1"/>
    <s v="Q1"/>
    <x v="26"/>
    <d v="2015-01-17T00:00:00"/>
    <s v="Standard Class"/>
    <x v="703"/>
    <x v="703"/>
    <s v="Corporate"/>
    <s v="United States"/>
    <s v="Toledo"/>
    <x v="24"/>
    <n v="43615"/>
    <x v="3"/>
    <x v="1353"/>
    <x v="2"/>
    <x v="7"/>
    <x v="1339"/>
    <n v="26.376000000000001"/>
    <s v="Medium"/>
    <n v="4"/>
    <n v="0.4"/>
    <x v="1"/>
    <x v="7"/>
    <n v="2.6375999999999999"/>
    <n v="9.9999999999999992E-2"/>
    <n v="0"/>
  </r>
  <r>
    <n v="9800"/>
    <s v="CA-2015-128608"/>
    <d v="2015-01-12T00:00:00"/>
    <x v="1"/>
    <s v="Q1"/>
    <x v="26"/>
    <d v="2015-01-17T00:00:00"/>
    <s v="Standard Class"/>
    <x v="703"/>
    <x v="703"/>
    <s v="Corporate"/>
    <s v="United States"/>
    <s v="Toledo"/>
    <x v="24"/>
    <n v="43615"/>
    <x v="3"/>
    <x v="1694"/>
    <x v="2"/>
    <x v="11"/>
    <x v="1682"/>
    <n v="10.384"/>
    <s v="Low"/>
    <n v="2"/>
    <n v="0.2"/>
    <x v="2"/>
    <x v="2"/>
    <n v="2.2065999999999999"/>
    <n v="0.21249999999999999"/>
    <n v="0"/>
  </r>
  <r>
    <n v="9801"/>
    <s v="CA-2015-128608"/>
    <d v="2015-01-12T00:00:00"/>
    <x v="1"/>
    <s v="Q1"/>
    <x v="26"/>
    <d v="2015-01-17T00:00:00"/>
    <s v="Standard Class"/>
    <x v="703"/>
    <x v="703"/>
    <s v="Corporate"/>
    <s v="United States"/>
    <s v="Toledo"/>
    <x v="24"/>
    <n v="43615"/>
    <x v="3"/>
    <x v="476"/>
    <x v="2"/>
    <x v="7"/>
    <x v="477"/>
    <n v="107.11799999999999"/>
    <s v="Medium"/>
    <n v="3"/>
    <n v="0.4"/>
    <x v="1"/>
    <x v="7"/>
    <n v="-21.4236"/>
    <n v="-0.2"/>
    <n v="1"/>
  </r>
  <r>
    <n v="9802"/>
    <s v="CA-2017-137918"/>
    <d v="2017-09-29T00:00:00"/>
    <x v="3"/>
    <s v="Q3"/>
    <x v="15"/>
    <d v="2017-10-06T00:00:00"/>
    <s v="Standard Class"/>
    <x v="300"/>
    <x v="300"/>
    <s v="Consumer"/>
    <s v="United States"/>
    <s v="Lodi"/>
    <x v="1"/>
    <n v="95240"/>
    <x v="1"/>
    <x v="1205"/>
    <x v="1"/>
    <x v="14"/>
    <x v="1190"/>
    <n v="97.3"/>
    <s v="Medium"/>
    <n v="7"/>
    <n v="0"/>
    <x v="0"/>
    <x v="0"/>
    <n v="28.216999999999999"/>
    <n v="0.28999999999999998"/>
    <n v="0"/>
  </r>
  <r>
    <n v="9803"/>
    <s v="CA-2015-122973"/>
    <d v="2015-07-18T00:00:00"/>
    <x v="1"/>
    <s v="Q3"/>
    <x v="38"/>
    <d v="2015-07-20T00:00:00"/>
    <s v="Second Class"/>
    <x v="307"/>
    <x v="307"/>
    <s v="Consumer"/>
    <s v="United States"/>
    <s v="New York City"/>
    <x v="15"/>
    <n v="10024"/>
    <x v="3"/>
    <x v="73"/>
    <x v="1"/>
    <x v="8"/>
    <x v="73"/>
    <n v="3.3279999999999998"/>
    <s v="Low"/>
    <n v="2"/>
    <n v="0.2"/>
    <x v="2"/>
    <x v="2"/>
    <n v="1.2063999999999999"/>
    <n v="0.36249999999999999"/>
    <n v="0"/>
  </r>
  <r>
    <n v="9804"/>
    <s v="CA-2015-122973"/>
    <d v="2015-07-18T00:00:00"/>
    <x v="1"/>
    <s v="Q3"/>
    <x v="38"/>
    <d v="2015-07-20T00:00:00"/>
    <s v="Second Class"/>
    <x v="307"/>
    <x v="307"/>
    <s v="Consumer"/>
    <s v="United States"/>
    <s v="New York City"/>
    <x v="15"/>
    <n v="10024"/>
    <x v="3"/>
    <x v="1236"/>
    <x v="2"/>
    <x v="7"/>
    <x v="1219"/>
    <n v="135.99"/>
    <s v="High"/>
    <n v="1"/>
    <n v="0"/>
    <x v="0"/>
    <x v="0"/>
    <n v="36.717300000000002"/>
    <n v="0.27"/>
    <n v="0"/>
  </r>
  <r>
    <n v="9805"/>
    <s v="CA-2015-122973"/>
    <d v="2015-07-18T00:00:00"/>
    <x v="1"/>
    <s v="Q3"/>
    <x v="38"/>
    <d v="2015-07-20T00:00:00"/>
    <s v="Second Class"/>
    <x v="307"/>
    <x v="307"/>
    <s v="Consumer"/>
    <s v="United States"/>
    <s v="New York City"/>
    <x v="15"/>
    <n v="10024"/>
    <x v="3"/>
    <x v="1256"/>
    <x v="0"/>
    <x v="5"/>
    <x v="1240"/>
    <n v="7.38"/>
    <s v="Low"/>
    <n v="1"/>
    <n v="0"/>
    <x v="0"/>
    <x v="0"/>
    <n v="2.1402000000000001"/>
    <n v="0.29000000000000004"/>
    <n v="0"/>
  </r>
  <r>
    <n v="9806"/>
    <s v="CA-2016-136322"/>
    <d v="2016-10-21T00:00:00"/>
    <x v="0"/>
    <s v="Q4"/>
    <x v="32"/>
    <d v="2016-10-26T00:00:00"/>
    <s v="Standard Class"/>
    <x v="399"/>
    <x v="399"/>
    <s v="Home Office"/>
    <s v="United States"/>
    <s v="Fort Lauderdale"/>
    <x v="2"/>
    <n v="33311"/>
    <x v="0"/>
    <x v="1146"/>
    <x v="0"/>
    <x v="5"/>
    <x v="1134"/>
    <n v="45.567999999999998"/>
    <s v="Medium"/>
    <n v="2"/>
    <n v="0.2"/>
    <x v="2"/>
    <x v="2"/>
    <n v="9.6831999999999994"/>
    <n v="0.21249999999999999"/>
    <n v="0"/>
  </r>
  <r>
    <n v="9807"/>
    <s v="CA-2016-136322"/>
    <d v="2016-10-21T00:00:00"/>
    <x v="0"/>
    <s v="Q4"/>
    <x v="32"/>
    <d v="2016-10-26T00:00:00"/>
    <s v="Standard Class"/>
    <x v="399"/>
    <x v="399"/>
    <s v="Home Office"/>
    <s v="United States"/>
    <s v="Fort Lauderdale"/>
    <x v="2"/>
    <n v="33311"/>
    <x v="0"/>
    <x v="1224"/>
    <x v="1"/>
    <x v="8"/>
    <x v="1208"/>
    <n v="28.751999999999999"/>
    <s v="Medium"/>
    <n v="8"/>
    <n v="0.7"/>
    <x v="1"/>
    <x v="5"/>
    <n v="-21.084800000000001"/>
    <n v="-0.73333333333333339"/>
    <n v="1"/>
  </r>
  <r>
    <n v="9808"/>
    <s v="CA-2017-107209"/>
    <d v="2017-07-27T00:00:00"/>
    <x v="3"/>
    <s v="Q3"/>
    <x v="10"/>
    <d v="2017-08-01T00:00:00"/>
    <s v="Second Class"/>
    <x v="527"/>
    <x v="527"/>
    <s v="Consumer"/>
    <s v="United States"/>
    <s v="Raleigh"/>
    <x v="3"/>
    <n v="27604"/>
    <x v="0"/>
    <x v="64"/>
    <x v="0"/>
    <x v="1"/>
    <x v="64"/>
    <n v="194.84800000000001"/>
    <s v="High"/>
    <n v="4"/>
    <n v="0.2"/>
    <x v="2"/>
    <x v="2"/>
    <n v="12.178000000000001"/>
    <n v="6.25E-2"/>
    <n v="0"/>
  </r>
  <r>
    <n v="9809"/>
    <s v="CA-2017-145093"/>
    <d v="2017-07-21T00:00:00"/>
    <x v="3"/>
    <s v="Q3"/>
    <x v="10"/>
    <d v="2017-07-26T00:00:00"/>
    <s v="Standard Class"/>
    <x v="690"/>
    <x v="690"/>
    <s v="Consumer"/>
    <s v="United States"/>
    <s v="Chicago"/>
    <x v="10"/>
    <n v="60623"/>
    <x v="2"/>
    <x v="1085"/>
    <x v="1"/>
    <x v="8"/>
    <x v="1075"/>
    <n v="2.1120000000000001"/>
    <s v="Low"/>
    <n v="2"/>
    <n v="0.8"/>
    <x v="1"/>
    <x v="3"/>
    <n v="-3.3792"/>
    <n v="-1.5999999999999999"/>
    <n v="1"/>
  </r>
  <r>
    <n v="9810"/>
    <s v="US-2014-139640"/>
    <d v="2014-11-07T00:00:00"/>
    <x v="2"/>
    <s v="Q4"/>
    <x v="7"/>
    <d v="2014-11-11T00:00:00"/>
    <s v="Second Class"/>
    <x v="180"/>
    <x v="180"/>
    <s v="Consumer"/>
    <s v="United States"/>
    <s v="Portland"/>
    <x v="21"/>
    <n v="97206"/>
    <x v="1"/>
    <x v="88"/>
    <x v="1"/>
    <x v="10"/>
    <x v="88"/>
    <n v="25.92"/>
    <s v="Medium"/>
    <n v="5"/>
    <n v="0.2"/>
    <x v="2"/>
    <x v="2"/>
    <n v="9.0719999999999992"/>
    <n v="0.34999999999999992"/>
    <n v="0"/>
  </r>
  <r>
    <n v="9811"/>
    <s v="US-2014-139640"/>
    <d v="2014-11-07T00:00:00"/>
    <x v="2"/>
    <s v="Q4"/>
    <x v="7"/>
    <d v="2014-11-11T00:00:00"/>
    <s v="Second Class"/>
    <x v="180"/>
    <x v="180"/>
    <s v="Consumer"/>
    <s v="United States"/>
    <s v="Portland"/>
    <x v="21"/>
    <n v="97206"/>
    <x v="1"/>
    <x v="978"/>
    <x v="1"/>
    <x v="6"/>
    <x v="971"/>
    <n v="120.768"/>
    <s v="Medium"/>
    <n v="4"/>
    <n v="0.2"/>
    <x v="2"/>
    <x v="2"/>
    <n v="9.0576000000000008"/>
    <n v="7.5000000000000011E-2"/>
    <n v="0"/>
  </r>
  <r>
    <n v="9812"/>
    <s v="CA-2016-117583"/>
    <d v="2016-11-27T00:00:00"/>
    <x v="0"/>
    <s v="Q4"/>
    <x v="0"/>
    <d v="2016-11-30T00:00:00"/>
    <s v="First Class"/>
    <x v="90"/>
    <x v="90"/>
    <s v="Consumer"/>
    <s v="United States"/>
    <s v="East Orange"/>
    <x v="30"/>
    <n v="7017"/>
    <x v="3"/>
    <x v="1414"/>
    <x v="1"/>
    <x v="10"/>
    <x v="1401"/>
    <n v="25.92"/>
    <s v="Medium"/>
    <n v="4"/>
    <n v="0"/>
    <x v="0"/>
    <x v="0"/>
    <n v="12.441599999999999"/>
    <n v="0.47999999999999993"/>
    <n v="0"/>
  </r>
  <r>
    <n v="9813"/>
    <s v="CA-2016-117583"/>
    <d v="2016-11-27T00:00:00"/>
    <x v="0"/>
    <s v="Q4"/>
    <x v="0"/>
    <d v="2016-11-30T00:00:00"/>
    <s v="First Class"/>
    <x v="90"/>
    <x v="90"/>
    <s v="Consumer"/>
    <s v="United States"/>
    <s v="East Orange"/>
    <x v="30"/>
    <n v="7017"/>
    <x v="3"/>
    <x v="332"/>
    <x v="1"/>
    <x v="6"/>
    <x v="332"/>
    <n v="34.65"/>
    <s v="Medium"/>
    <n v="3"/>
    <n v="0"/>
    <x v="0"/>
    <x v="0"/>
    <n v="9.702"/>
    <n v="0.28000000000000003"/>
    <n v="0"/>
  </r>
  <r>
    <n v="9814"/>
    <s v="CA-2016-117583"/>
    <d v="2016-11-27T00:00:00"/>
    <x v="0"/>
    <s v="Q4"/>
    <x v="0"/>
    <d v="2016-11-30T00:00:00"/>
    <s v="First Class"/>
    <x v="90"/>
    <x v="90"/>
    <s v="Consumer"/>
    <s v="United States"/>
    <s v="East Orange"/>
    <x v="30"/>
    <n v="7017"/>
    <x v="3"/>
    <x v="839"/>
    <x v="1"/>
    <x v="10"/>
    <x v="833"/>
    <n v="204.95"/>
    <s v="High"/>
    <n v="5"/>
    <n v="0"/>
    <x v="0"/>
    <x v="0"/>
    <n v="100.4255"/>
    <n v="0.49000000000000005"/>
    <n v="0"/>
  </r>
  <r>
    <n v="9815"/>
    <s v="CA-2016-117583"/>
    <d v="2016-11-27T00:00:00"/>
    <x v="0"/>
    <s v="Q4"/>
    <x v="0"/>
    <d v="2016-11-30T00:00:00"/>
    <s v="First Class"/>
    <x v="90"/>
    <x v="90"/>
    <s v="Consumer"/>
    <s v="United States"/>
    <s v="East Orange"/>
    <x v="30"/>
    <n v="7017"/>
    <x v="3"/>
    <x v="1399"/>
    <x v="1"/>
    <x v="8"/>
    <x v="1386"/>
    <n v="79.95"/>
    <s v="Medium"/>
    <n v="5"/>
    <n v="0"/>
    <x v="0"/>
    <x v="0"/>
    <n v="38.375999999999998"/>
    <n v="0.47999999999999993"/>
    <n v="0"/>
  </r>
  <r>
    <n v="9816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1323"/>
    <x v="1"/>
    <x v="10"/>
    <x v="1309"/>
    <n v="173.488"/>
    <s v="High"/>
    <n v="7"/>
    <n v="0.2"/>
    <x v="2"/>
    <x v="2"/>
    <n v="54.215000000000003"/>
    <n v="0.3125"/>
    <n v="0"/>
  </r>
  <r>
    <n v="9817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765"/>
    <x v="1"/>
    <x v="4"/>
    <x v="764"/>
    <n v="516.96"/>
    <s v="High"/>
    <n v="4"/>
    <n v="0.2"/>
    <x v="2"/>
    <x v="2"/>
    <n v="-6.4619999999999997"/>
    <n v="-1.2499999999999999E-2"/>
    <n v="1"/>
  </r>
  <r>
    <n v="9818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1435"/>
    <x v="0"/>
    <x v="5"/>
    <x v="1423"/>
    <n v="173.208"/>
    <s v="High"/>
    <n v="7"/>
    <n v="0.2"/>
    <x v="2"/>
    <x v="2"/>
    <n v="45.467100000000002"/>
    <n v="0.26250000000000001"/>
    <n v="0"/>
  </r>
  <r>
    <n v="9819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449"/>
    <x v="1"/>
    <x v="6"/>
    <x v="449"/>
    <n v="4.4480000000000004"/>
    <s v="Low"/>
    <n v="2"/>
    <n v="0.2"/>
    <x v="2"/>
    <x v="2"/>
    <n v="0.33360000000000001"/>
    <n v="7.4999999999999997E-2"/>
    <n v="0"/>
  </r>
  <r>
    <n v="9820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1550"/>
    <x v="1"/>
    <x v="2"/>
    <x v="1538"/>
    <n v="9"/>
    <s v="Low"/>
    <n v="3"/>
    <n v="0.2"/>
    <x v="2"/>
    <x v="2"/>
    <n v="3.15"/>
    <n v="0.35"/>
    <n v="0"/>
  </r>
  <r>
    <n v="9821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1737"/>
    <x v="1"/>
    <x v="10"/>
    <x v="1726"/>
    <n v="42.24"/>
    <s v="Medium"/>
    <n v="10"/>
    <n v="0.2"/>
    <x v="2"/>
    <x v="2"/>
    <n v="13.2"/>
    <n v="0.31249999999999994"/>
    <n v="0"/>
  </r>
  <r>
    <n v="9822"/>
    <s v="CA-2015-162201"/>
    <d v="2015-06-08T00:00:00"/>
    <x v="1"/>
    <s v="Q2"/>
    <x v="40"/>
    <d v="2015-06-12T00:00:00"/>
    <s v="Standard Class"/>
    <x v="122"/>
    <x v="122"/>
    <s v="Corporate"/>
    <s v="United States"/>
    <s v="Saint Petersburg"/>
    <x v="2"/>
    <n v="33710"/>
    <x v="0"/>
    <x v="471"/>
    <x v="1"/>
    <x v="8"/>
    <x v="472"/>
    <n v="18.263999999999999"/>
    <s v="Low"/>
    <n v="2"/>
    <n v="0.7"/>
    <x v="1"/>
    <x v="5"/>
    <n v="-13.393599999999999"/>
    <n v="-0.73333333333333328"/>
    <n v="1"/>
  </r>
  <r>
    <n v="9823"/>
    <s v="US-2014-164406"/>
    <d v="2014-08-15T00:00:00"/>
    <x v="2"/>
    <s v="Q3"/>
    <x v="9"/>
    <d v="2014-08-19T00:00:00"/>
    <s v="Standard Class"/>
    <x v="205"/>
    <x v="205"/>
    <s v="Consumer"/>
    <s v="United States"/>
    <s v="San Francisco"/>
    <x v="1"/>
    <n v="94122"/>
    <x v="1"/>
    <x v="543"/>
    <x v="1"/>
    <x v="9"/>
    <x v="543"/>
    <n v="152.91"/>
    <s v="High"/>
    <n v="3"/>
    <n v="0"/>
    <x v="0"/>
    <x v="0"/>
    <n v="42.814799999999998"/>
    <n v="0.27999999999999997"/>
    <n v="0"/>
  </r>
  <r>
    <n v="9824"/>
    <s v="US-2014-164406"/>
    <d v="2014-08-15T00:00:00"/>
    <x v="2"/>
    <s v="Q3"/>
    <x v="9"/>
    <d v="2014-08-19T00:00:00"/>
    <s v="Standard Class"/>
    <x v="205"/>
    <x v="205"/>
    <s v="Consumer"/>
    <s v="United States"/>
    <s v="San Francisco"/>
    <x v="1"/>
    <n v="94122"/>
    <x v="1"/>
    <x v="1090"/>
    <x v="1"/>
    <x v="10"/>
    <x v="1080"/>
    <n v="92.94"/>
    <s v="Medium"/>
    <n v="3"/>
    <n v="0"/>
    <x v="0"/>
    <x v="0"/>
    <n v="41.823"/>
    <n v="0.45"/>
    <n v="0"/>
  </r>
  <r>
    <n v="9825"/>
    <s v="US-2014-164406"/>
    <d v="2014-08-15T00:00:00"/>
    <x v="2"/>
    <s v="Q3"/>
    <x v="9"/>
    <d v="2014-08-19T00:00:00"/>
    <s v="Standard Class"/>
    <x v="205"/>
    <x v="205"/>
    <s v="Consumer"/>
    <s v="United States"/>
    <s v="San Francisco"/>
    <x v="1"/>
    <n v="94122"/>
    <x v="1"/>
    <x v="78"/>
    <x v="1"/>
    <x v="8"/>
    <x v="78"/>
    <n v="17.856000000000002"/>
    <s v="Low"/>
    <n v="4"/>
    <n v="0.2"/>
    <x v="2"/>
    <x v="2"/>
    <n v="6.2496"/>
    <n v="0.35"/>
    <n v="0"/>
  </r>
  <r>
    <n v="9826"/>
    <s v="US-2014-164406"/>
    <d v="2014-08-15T00:00:00"/>
    <x v="2"/>
    <s v="Q3"/>
    <x v="9"/>
    <d v="2014-08-19T00:00:00"/>
    <s v="Standard Class"/>
    <x v="205"/>
    <x v="205"/>
    <s v="Consumer"/>
    <s v="United States"/>
    <s v="San Francisco"/>
    <x v="1"/>
    <n v="94122"/>
    <x v="1"/>
    <x v="612"/>
    <x v="1"/>
    <x v="8"/>
    <x v="612"/>
    <n v="46.44"/>
    <s v="Medium"/>
    <n v="3"/>
    <n v="0.2"/>
    <x v="2"/>
    <x v="2"/>
    <n v="15.093"/>
    <n v="0.32500000000000001"/>
    <n v="0"/>
  </r>
  <r>
    <n v="9827"/>
    <s v="US-2014-164406"/>
    <d v="2014-08-15T00:00:00"/>
    <x v="2"/>
    <s v="Q3"/>
    <x v="9"/>
    <d v="2014-08-19T00:00:00"/>
    <s v="Standard Class"/>
    <x v="205"/>
    <x v="205"/>
    <s v="Consumer"/>
    <s v="United States"/>
    <s v="San Francisco"/>
    <x v="1"/>
    <n v="94122"/>
    <x v="1"/>
    <x v="1225"/>
    <x v="0"/>
    <x v="1"/>
    <x v="1209"/>
    <n v="195.136"/>
    <s v="High"/>
    <n v="4"/>
    <n v="0.2"/>
    <x v="2"/>
    <x v="2"/>
    <n v="-12.196"/>
    <n v="-6.25E-2"/>
    <n v="1"/>
  </r>
  <r>
    <n v="9828"/>
    <s v="CA-2017-169999"/>
    <d v="2017-06-19T00:00:00"/>
    <x v="3"/>
    <s v="Q2"/>
    <x v="27"/>
    <d v="2017-06-26T00:00:00"/>
    <s v="Standard Class"/>
    <x v="40"/>
    <x v="40"/>
    <s v="Corporate"/>
    <s v="United States"/>
    <s v="New York City"/>
    <x v="15"/>
    <n v="10035"/>
    <x v="3"/>
    <x v="557"/>
    <x v="1"/>
    <x v="4"/>
    <x v="556"/>
    <n v="129.30000000000001"/>
    <s v="High"/>
    <n v="2"/>
    <n v="0"/>
    <x v="0"/>
    <x v="0"/>
    <n v="6.4649999999999999"/>
    <n v="4.9999999999999996E-2"/>
    <n v="0"/>
  </r>
  <r>
    <n v="9829"/>
    <s v="CA-2017-169999"/>
    <d v="2017-06-19T00:00:00"/>
    <x v="3"/>
    <s v="Q2"/>
    <x v="27"/>
    <d v="2017-06-26T00:00:00"/>
    <s v="Standard Class"/>
    <x v="40"/>
    <x v="40"/>
    <s v="Corporate"/>
    <s v="United States"/>
    <s v="New York City"/>
    <x v="15"/>
    <n v="10035"/>
    <x v="3"/>
    <x v="544"/>
    <x v="1"/>
    <x v="8"/>
    <x v="544"/>
    <n v="11.568"/>
    <s v="Low"/>
    <n v="3"/>
    <n v="0.2"/>
    <x v="2"/>
    <x v="2"/>
    <n v="3.7595999999999998"/>
    <n v="0.32500000000000001"/>
    <n v="0"/>
  </r>
  <r>
    <n v="9830"/>
    <s v="US-2017-152842"/>
    <d v="2017-07-16T00:00:00"/>
    <x v="3"/>
    <s v="Q3"/>
    <x v="10"/>
    <d v="2017-07-23T00:00:00"/>
    <s v="Standard Class"/>
    <x v="173"/>
    <x v="173"/>
    <s v="Consumer"/>
    <s v="United States"/>
    <s v="Charlotte"/>
    <x v="3"/>
    <n v="28205"/>
    <x v="0"/>
    <x v="38"/>
    <x v="0"/>
    <x v="1"/>
    <x v="38"/>
    <n v="242.352"/>
    <s v="High"/>
    <n v="3"/>
    <n v="0.2"/>
    <x v="2"/>
    <x v="2"/>
    <n v="15.147"/>
    <n v="6.25E-2"/>
    <n v="0"/>
  </r>
  <r>
    <n v="9831"/>
    <s v="CA-2014-113257"/>
    <d v="2014-12-16T00:00:00"/>
    <x v="2"/>
    <s v="Q4"/>
    <x v="20"/>
    <d v="2014-12-18T00:00:00"/>
    <s v="Second Class"/>
    <x v="253"/>
    <x v="253"/>
    <s v="Consumer"/>
    <s v="United States"/>
    <s v="Beaumont"/>
    <x v="5"/>
    <n v="77705"/>
    <x v="2"/>
    <x v="1336"/>
    <x v="2"/>
    <x v="11"/>
    <x v="1321"/>
    <n v="319.96800000000002"/>
    <s v="High"/>
    <n v="4"/>
    <n v="0.2"/>
    <x v="2"/>
    <x v="2"/>
    <n v="95.990399999999994"/>
    <n v="0.3"/>
    <n v="0"/>
  </r>
  <r>
    <n v="9832"/>
    <s v="CA-2014-113257"/>
    <d v="2014-12-16T00:00:00"/>
    <x v="2"/>
    <s v="Q4"/>
    <x v="20"/>
    <d v="2014-12-18T00:00:00"/>
    <s v="Second Class"/>
    <x v="253"/>
    <x v="253"/>
    <s v="Consumer"/>
    <s v="United States"/>
    <s v="Beaumont"/>
    <x v="5"/>
    <n v="77705"/>
    <x v="2"/>
    <x v="50"/>
    <x v="0"/>
    <x v="5"/>
    <x v="50"/>
    <n v="8.6240000000000006"/>
    <s v="Low"/>
    <n v="7"/>
    <n v="0.6"/>
    <x v="1"/>
    <x v="6"/>
    <n v="-2.5872000000000002"/>
    <n v="-0.3"/>
    <n v="1"/>
  </r>
  <r>
    <n v="9833"/>
    <s v="CA-2014-133963"/>
    <d v="2014-05-18T00:00:00"/>
    <x v="2"/>
    <s v="Q2"/>
    <x v="8"/>
    <d v="2014-05-22T00:00:00"/>
    <s v="Second Class"/>
    <x v="654"/>
    <x v="654"/>
    <s v="Consumer"/>
    <s v="United States"/>
    <s v="Dallas"/>
    <x v="5"/>
    <n v="75220"/>
    <x v="2"/>
    <x v="1050"/>
    <x v="1"/>
    <x v="10"/>
    <x v="1039"/>
    <n v="3.984"/>
    <s v="Low"/>
    <n v="1"/>
    <n v="0.2"/>
    <x v="2"/>
    <x v="2"/>
    <n v="1.4441999999999999"/>
    <n v="0.36249999999999999"/>
    <n v="0"/>
  </r>
  <r>
    <n v="9834"/>
    <s v="CA-2017-130302"/>
    <d v="2017-09-14T00:00:00"/>
    <x v="3"/>
    <s v="Q3"/>
    <x v="15"/>
    <d v="2017-09-19T00:00:00"/>
    <s v="Standard Class"/>
    <x v="388"/>
    <x v="388"/>
    <s v="Corporate"/>
    <s v="United States"/>
    <s v="Springfield"/>
    <x v="24"/>
    <n v="45503"/>
    <x v="3"/>
    <x v="265"/>
    <x v="2"/>
    <x v="11"/>
    <x v="265"/>
    <n v="895.94399999999996"/>
    <s v="High"/>
    <n v="7"/>
    <n v="0.2"/>
    <x v="2"/>
    <x v="2"/>
    <n v="190.38810000000001"/>
    <n v="0.21250000000000002"/>
    <n v="0"/>
  </r>
  <r>
    <n v="9835"/>
    <s v="CA-2016-126627"/>
    <d v="2016-10-10T00:00:00"/>
    <x v="0"/>
    <s v="Q4"/>
    <x v="32"/>
    <d v="2016-10-12T00:00:00"/>
    <s v="First Class"/>
    <x v="576"/>
    <x v="576"/>
    <s v="Consumer"/>
    <s v="United States"/>
    <s v="La Porte"/>
    <x v="5"/>
    <n v="77571"/>
    <x v="2"/>
    <x v="1457"/>
    <x v="0"/>
    <x v="5"/>
    <x v="1443"/>
    <n v="14"/>
    <s v="Low"/>
    <n v="4"/>
    <n v="0.6"/>
    <x v="1"/>
    <x v="6"/>
    <n v="-6.3"/>
    <n v="-0.45"/>
    <n v="1"/>
  </r>
  <r>
    <n v="9836"/>
    <s v="CA-2016-126627"/>
    <d v="2016-10-10T00:00:00"/>
    <x v="0"/>
    <s v="Q4"/>
    <x v="32"/>
    <d v="2016-10-12T00:00:00"/>
    <s v="First Class"/>
    <x v="576"/>
    <x v="576"/>
    <s v="Consumer"/>
    <s v="United States"/>
    <s v="La Porte"/>
    <x v="5"/>
    <n v="77571"/>
    <x v="2"/>
    <x v="800"/>
    <x v="1"/>
    <x v="8"/>
    <x v="798"/>
    <n v="16.391999999999999"/>
    <s v="Low"/>
    <n v="2"/>
    <n v="0.8"/>
    <x v="1"/>
    <x v="3"/>
    <n v="-26.2272"/>
    <n v="-1.6"/>
    <n v="1"/>
  </r>
  <r>
    <n v="9837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834"/>
    <x v="1"/>
    <x v="10"/>
    <x v="829"/>
    <n v="10.9"/>
    <s v="Low"/>
    <n v="5"/>
    <n v="0"/>
    <x v="0"/>
    <x v="0"/>
    <n v="5.1230000000000002"/>
    <n v="0.47000000000000003"/>
    <n v="0"/>
  </r>
  <r>
    <n v="9838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429"/>
    <x v="1"/>
    <x v="2"/>
    <x v="429"/>
    <n v="29.6"/>
    <s v="Medium"/>
    <n v="2"/>
    <n v="0"/>
    <x v="0"/>
    <x v="0"/>
    <n v="14.8"/>
    <n v="0.5"/>
    <n v="0"/>
  </r>
  <r>
    <n v="9839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1140"/>
    <x v="1"/>
    <x v="2"/>
    <x v="1128"/>
    <n v="4.9800000000000004"/>
    <s v="Low"/>
    <n v="1"/>
    <n v="0"/>
    <x v="0"/>
    <x v="0"/>
    <n v="2.2907999999999999"/>
    <n v="0.45999999999999996"/>
    <n v="0"/>
  </r>
  <r>
    <n v="9840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1687"/>
    <x v="2"/>
    <x v="16"/>
    <x v="1675"/>
    <n v="479.976"/>
    <s v="High"/>
    <n v="3"/>
    <n v="0.2"/>
    <x v="2"/>
    <x v="2"/>
    <n v="161.99189999999999"/>
    <n v="0.33749999999999997"/>
    <n v="0"/>
  </r>
  <r>
    <n v="9841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1709"/>
    <x v="2"/>
    <x v="7"/>
    <x v="1698"/>
    <n v="44.735999999999997"/>
    <s v="Medium"/>
    <n v="8"/>
    <n v="0.2"/>
    <x v="2"/>
    <x v="2"/>
    <n v="4.4736000000000002"/>
    <n v="0.1"/>
    <n v="0"/>
  </r>
  <r>
    <n v="9842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826"/>
    <x v="1"/>
    <x v="6"/>
    <x v="822"/>
    <n v="5.76"/>
    <s v="Low"/>
    <n v="2"/>
    <n v="0"/>
    <x v="0"/>
    <x v="0"/>
    <n v="1.6704000000000001"/>
    <n v="0.29000000000000004"/>
    <n v="0"/>
  </r>
  <r>
    <n v="9843"/>
    <s v="US-2016-125402"/>
    <d v="2016-09-25T00:00:00"/>
    <x v="0"/>
    <s v="Q3"/>
    <x v="21"/>
    <d v="2016-10-01T00:00:00"/>
    <s v="Standard Class"/>
    <x v="297"/>
    <x v="297"/>
    <s v="Consumer"/>
    <s v="United States"/>
    <s v="Long Beach"/>
    <x v="1"/>
    <n v="90805"/>
    <x v="1"/>
    <x v="662"/>
    <x v="0"/>
    <x v="1"/>
    <x v="662"/>
    <n v="483.13600000000002"/>
    <s v="High"/>
    <n v="4"/>
    <n v="0.2"/>
    <x v="2"/>
    <x v="2"/>
    <n v="60.392000000000003"/>
    <n v="0.125"/>
    <n v="0"/>
  </r>
  <r>
    <n v="9844"/>
    <s v="CA-2014-163867"/>
    <d v="2014-06-03T00:00:00"/>
    <x v="2"/>
    <s v="Q2"/>
    <x v="3"/>
    <d v="2014-06-06T00:00:00"/>
    <s v="First Class"/>
    <x v="681"/>
    <x v="681"/>
    <s v="Consumer"/>
    <s v="United States"/>
    <s v="Decatur"/>
    <x v="10"/>
    <n v="62521"/>
    <x v="2"/>
    <x v="1140"/>
    <x v="1"/>
    <x v="2"/>
    <x v="1128"/>
    <n v="15.936"/>
    <s v="Low"/>
    <n v="4"/>
    <n v="0.2"/>
    <x v="2"/>
    <x v="2"/>
    <n v="5.1791999999999998"/>
    <n v="0.32500000000000001"/>
    <n v="0"/>
  </r>
  <r>
    <n v="9845"/>
    <s v="CA-2014-163867"/>
    <d v="2014-06-03T00:00:00"/>
    <x v="2"/>
    <s v="Q2"/>
    <x v="3"/>
    <d v="2014-06-06T00:00:00"/>
    <s v="First Class"/>
    <x v="681"/>
    <x v="681"/>
    <s v="Consumer"/>
    <s v="United States"/>
    <s v="Decatur"/>
    <x v="10"/>
    <n v="62521"/>
    <x v="2"/>
    <x v="504"/>
    <x v="0"/>
    <x v="5"/>
    <x v="504"/>
    <n v="61.543999999999997"/>
    <s v="Medium"/>
    <n v="7"/>
    <n v="0.6"/>
    <x v="1"/>
    <x v="6"/>
    <n v="-40.003599999999999"/>
    <n v="-0.65"/>
    <n v="1"/>
  </r>
  <r>
    <n v="9846"/>
    <s v="CA-2014-163867"/>
    <d v="2014-06-03T00:00:00"/>
    <x v="2"/>
    <s v="Q2"/>
    <x v="3"/>
    <d v="2014-06-06T00:00:00"/>
    <s v="First Class"/>
    <x v="681"/>
    <x v="681"/>
    <s v="Consumer"/>
    <s v="United States"/>
    <s v="Decatur"/>
    <x v="10"/>
    <n v="62521"/>
    <x v="2"/>
    <x v="1125"/>
    <x v="1"/>
    <x v="4"/>
    <x v="1113"/>
    <n v="132.696"/>
    <s v="High"/>
    <n v="3"/>
    <n v="0.2"/>
    <x v="2"/>
    <x v="2"/>
    <n v="9.9521999999999995"/>
    <n v="7.4999999999999997E-2"/>
    <n v="0"/>
  </r>
  <r>
    <n v="9847"/>
    <s v="CA-2017-169327"/>
    <d v="2017-09-02T00:00:00"/>
    <x v="3"/>
    <s v="Q3"/>
    <x v="15"/>
    <d v="2017-09-04T00:00:00"/>
    <s v="Second Class"/>
    <x v="762"/>
    <x v="762"/>
    <s v="Home Office"/>
    <s v="United States"/>
    <s v="Los Angeles"/>
    <x v="1"/>
    <n v="90008"/>
    <x v="1"/>
    <x v="22"/>
    <x v="1"/>
    <x v="9"/>
    <x v="22"/>
    <n v="43.1"/>
    <s v="Medium"/>
    <n v="5"/>
    <n v="0"/>
    <x v="0"/>
    <x v="0"/>
    <n v="11.206"/>
    <n v="0.25999999999999995"/>
    <n v="0"/>
  </r>
  <r>
    <n v="9848"/>
    <s v="CA-2017-169327"/>
    <d v="2017-09-02T00:00:00"/>
    <x v="3"/>
    <s v="Q3"/>
    <x v="15"/>
    <d v="2017-09-04T00:00:00"/>
    <s v="Second Class"/>
    <x v="762"/>
    <x v="762"/>
    <s v="Home Office"/>
    <s v="United States"/>
    <s v="Los Angeles"/>
    <x v="1"/>
    <n v="90008"/>
    <x v="1"/>
    <x v="743"/>
    <x v="0"/>
    <x v="5"/>
    <x v="741"/>
    <n v="511.5"/>
    <s v="High"/>
    <n v="5"/>
    <n v="0"/>
    <x v="0"/>
    <x v="0"/>
    <n v="132.99"/>
    <n v="0.26"/>
    <n v="0"/>
  </r>
  <r>
    <n v="9849"/>
    <s v="CA-2017-169327"/>
    <d v="2017-09-02T00:00:00"/>
    <x v="3"/>
    <s v="Q3"/>
    <x v="15"/>
    <d v="2017-09-04T00:00:00"/>
    <s v="Second Class"/>
    <x v="762"/>
    <x v="762"/>
    <s v="Home Office"/>
    <s v="United States"/>
    <s v="Los Angeles"/>
    <x v="1"/>
    <n v="90008"/>
    <x v="1"/>
    <x v="805"/>
    <x v="1"/>
    <x v="8"/>
    <x v="803"/>
    <n v="147.91999999999999"/>
    <s v="High"/>
    <n v="5"/>
    <n v="0.2"/>
    <x v="2"/>
    <x v="2"/>
    <n v="46.225000000000001"/>
    <n v="0.31250000000000006"/>
    <n v="0"/>
  </r>
  <r>
    <n v="9850"/>
    <s v="CA-2014-142979"/>
    <d v="2014-04-12T00:00:00"/>
    <x v="2"/>
    <s v="Q2"/>
    <x v="41"/>
    <d v="2014-04-18T00:00:00"/>
    <s v="Standard Class"/>
    <x v="553"/>
    <x v="553"/>
    <s v="Corporate"/>
    <s v="United States"/>
    <s v="Lodi"/>
    <x v="1"/>
    <n v="95240"/>
    <x v="1"/>
    <x v="1571"/>
    <x v="1"/>
    <x v="6"/>
    <x v="1562"/>
    <n v="39.68"/>
    <s v="Medium"/>
    <n v="2"/>
    <n v="0"/>
    <x v="0"/>
    <x v="0"/>
    <n v="16.268799999999999"/>
    <n v="0.41"/>
    <n v="0"/>
  </r>
  <r>
    <n v="9851"/>
    <s v="CA-2016-158155"/>
    <d v="2016-05-02T00:00:00"/>
    <x v="0"/>
    <s v="Q2"/>
    <x v="35"/>
    <d v="2016-05-06T00:00:00"/>
    <s v="Standard Class"/>
    <x v="553"/>
    <x v="553"/>
    <s v="Corporate"/>
    <s v="United States"/>
    <s v="New York City"/>
    <x v="15"/>
    <n v="10009"/>
    <x v="3"/>
    <x v="545"/>
    <x v="0"/>
    <x v="5"/>
    <x v="545"/>
    <n v="12.56"/>
    <s v="Low"/>
    <n v="2"/>
    <n v="0"/>
    <x v="0"/>
    <x v="0"/>
    <n v="4.0191999999999997"/>
    <n v="0.31999999999999995"/>
    <n v="0"/>
  </r>
  <r>
    <n v="9852"/>
    <s v="CA-2016-158155"/>
    <d v="2016-05-02T00:00:00"/>
    <x v="0"/>
    <s v="Q2"/>
    <x v="35"/>
    <d v="2016-05-06T00:00:00"/>
    <s v="Standard Class"/>
    <x v="553"/>
    <x v="553"/>
    <s v="Corporate"/>
    <s v="United States"/>
    <s v="New York City"/>
    <x v="15"/>
    <n v="10009"/>
    <x v="3"/>
    <x v="443"/>
    <x v="1"/>
    <x v="8"/>
    <x v="443"/>
    <n v="90.48"/>
    <s v="Medium"/>
    <n v="3"/>
    <n v="0.2"/>
    <x v="2"/>
    <x v="2"/>
    <n v="33.93"/>
    <n v="0.375"/>
    <n v="0"/>
  </r>
  <r>
    <n v="9853"/>
    <s v="CA-2016-158155"/>
    <d v="2016-05-02T00:00:00"/>
    <x v="0"/>
    <s v="Q2"/>
    <x v="35"/>
    <d v="2016-05-06T00:00:00"/>
    <s v="Standard Class"/>
    <x v="553"/>
    <x v="553"/>
    <s v="Corporate"/>
    <s v="United States"/>
    <s v="New York City"/>
    <x v="15"/>
    <n v="10009"/>
    <x v="3"/>
    <x v="1221"/>
    <x v="1"/>
    <x v="10"/>
    <x v="1205"/>
    <n v="13.08"/>
    <s v="Low"/>
    <n v="2"/>
    <n v="0"/>
    <x v="0"/>
    <x v="0"/>
    <n v="6.0167999999999999"/>
    <n v="0.45999999999999996"/>
    <n v="0"/>
  </r>
  <r>
    <n v="9854"/>
    <s v="CA-2016-158155"/>
    <d v="2016-05-02T00:00:00"/>
    <x v="0"/>
    <s v="Q2"/>
    <x v="35"/>
    <d v="2016-05-06T00:00:00"/>
    <s v="Standard Class"/>
    <x v="553"/>
    <x v="553"/>
    <s v="Corporate"/>
    <s v="United States"/>
    <s v="New York City"/>
    <x v="15"/>
    <n v="10009"/>
    <x v="3"/>
    <x v="592"/>
    <x v="0"/>
    <x v="5"/>
    <x v="592"/>
    <n v="214.7"/>
    <s v="High"/>
    <n v="5"/>
    <n v="0"/>
    <x v="0"/>
    <x v="0"/>
    <n v="83.733000000000004"/>
    <n v="0.39"/>
    <n v="0"/>
  </r>
  <r>
    <n v="9855"/>
    <s v="CA-2017-138870"/>
    <d v="2017-06-19T00:00:00"/>
    <x v="3"/>
    <s v="Q2"/>
    <x v="27"/>
    <d v="2017-06-23T00:00:00"/>
    <s v="Standard Class"/>
    <x v="654"/>
    <x v="654"/>
    <s v="Consumer"/>
    <s v="United States"/>
    <s v="San Francisco"/>
    <x v="1"/>
    <n v="94109"/>
    <x v="1"/>
    <x v="1598"/>
    <x v="0"/>
    <x v="5"/>
    <x v="1590"/>
    <n v="50.32"/>
    <s v="Medium"/>
    <n v="4"/>
    <n v="0"/>
    <x v="0"/>
    <x v="0"/>
    <n v="21.134399999999999"/>
    <n v="0.42"/>
    <n v="0"/>
  </r>
  <r>
    <n v="9856"/>
    <s v="CA-2017-138870"/>
    <d v="2017-06-19T00:00:00"/>
    <x v="3"/>
    <s v="Q2"/>
    <x v="27"/>
    <d v="2017-06-23T00:00:00"/>
    <s v="Standard Class"/>
    <x v="654"/>
    <x v="654"/>
    <s v="Consumer"/>
    <s v="United States"/>
    <s v="San Francisco"/>
    <x v="1"/>
    <n v="94109"/>
    <x v="1"/>
    <x v="1493"/>
    <x v="1"/>
    <x v="10"/>
    <x v="1481"/>
    <n v="24.56"/>
    <s v="Low"/>
    <n v="2"/>
    <n v="0"/>
    <x v="0"/>
    <x v="0"/>
    <n v="11.543200000000001"/>
    <n v="0.47000000000000003"/>
    <n v="0"/>
  </r>
  <r>
    <n v="9857"/>
    <s v="CA-2014-120950"/>
    <d v="2014-11-06T00:00:00"/>
    <x v="2"/>
    <s v="Q4"/>
    <x v="7"/>
    <d v="2014-11-11T00:00:00"/>
    <s v="Standard Class"/>
    <x v="654"/>
    <x v="654"/>
    <s v="Consumer"/>
    <s v="United States"/>
    <s v="Columbus"/>
    <x v="32"/>
    <n v="31907"/>
    <x v="0"/>
    <x v="57"/>
    <x v="1"/>
    <x v="10"/>
    <x v="57"/>
    <n v="43.68"/>
    <s v="Medium"/>
    <n v="6"/>
    <n v="0"/>
    <x v="0"/>
    <x v="0"/>
    <n v="20.9664"/>
    <n v="0.48"/>
    <n v="0"/>
  </r>
  <r>
    <n v="9858"/>
    <s v="CA-2015-164301"/>
    <d v="2015-03-26T00:00:00"/>
    <x v="1"/>
    <s v="Q1"/>
    <x v="29"/>
    <d v="2015-03-30T00:00:00"/>
    <s v="Standard Class"/>
    <x v="225"/>
    <x v="225"/>
    <s v="Corporate"/>
    <s v="United States"/>
    <s v="Seattle"/>
    <x v="4"/>
    <n v="98103"/>
    <x v="1"/>
    <x v="411"/>
    <x v="0"/>
    <x v="3"/>
    <x v="411"/>
    <n v="3393.68"/>
    <s v="High"/>
    <n v="8"/>
    <n v="0"/>
    <x v="0"/>
    <x v="0"/>
    <n v="610.86239999999998"/>
    <n v="0.18"/>
    <n v="0"/>
  </r>
  <r>
    <n v="9859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146"/>
    <x v="1"/>
    <x v="4"/>
    <x v="147"/>
    <n v="67.400000000000006"/>
    <s v="Medium"/>
    <n v="5"/>
    <n v="0"/>
    <x v="0"/>
    <x v="0"/>
    <n v="17.524000000000001"/>
    <n v="0.26"/>
    <n v="0"/>
  </r>
  <r>
    <n v="9860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242"/>
    <x v="1"/>
    <x v="13"/>
    <x v="243"/>
    <n v="2.52"/>
    <s v="Low"/>
    <n v="2"/>
    <n v="0"/>
    <x v="0"/>
    <x v="0"/>
    <n v="0.1008"/>
    <n v="0.04"/>
    <n v="0"/>
  </r>
  <r>
    <n v="9861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1049"/>
    <x v="2"/>
    <x v="7"/>
    <x v="1038"/>
    <n v="67.8"/>
    <s v="Medium"/>
    <n v="4"/>
    <n v="0"/>
    <x v="0"/>
    <x v="0"/>
    <n v="1.3560000000000001"/>
    <n v="2.0000000000000004E-2"/>
    <n v="0"/>
  </r>
  <r>
    <n v="9862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1190"/>
    <x v="1"/>
    <x v="4"/>
    <x v="683"/>
    <n v="18.760000000000002"/>
    <s v="Low"/>
    <n v="2"/>
    <n v="0"/>
    <x v="0"/>
    <x v="0"/>
    <n v="5.2527999999999997"/>
    <n v="0.27999999999999997"/>
    <n v="0"/>
  </r>
  <r>
    <n v="9863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427"/>
    <x v="2"/>
    <x v="11"/>
    <x v="427"/>
    <n v="12.12"/>
    <s v="Low"/>
    <n v="4"/>
    <n v="0"/>
    <x v="0"/>
    <x v="0"/>
    <n v="2.5451999999999999"/>
    <n v="0.21"/>
    <n v="0"/>
  </r>
  <r>
    <n v="9864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752"/>
    <x v="1"/>
    <x v="10"/>
    <x v="750"/>
    <n v="11.34"/>
    <s v="Low"/>
    <n v="1"/>
    <n v="0"/>
    <x v="0"/>
    <x v="0"/>
    <n v="5.5566000000000004"/>
    <n v="0.49000000000000005"/>
    <n v="0"/>
  </r>
  <r>
    <n v="9865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240"/>
    <x v="2"/>
    <x v="11"/>
    <x v="241"/>
    <n v="159.80000000000001"/>
    <s v="High"/>
    <n v="4"/>
    <n v="0"/>
    <x v="0"/>
    <x v="0"/>
    <n v="70.311999999999998"/>
    <n v="0.43999999999999995"/>
    <n v="0"/>
  </r>
  <r>
    <n v="9866"/>
    <s v="CA-2017-113278"/>
    <d v="2017-01-14T00:00:00"/>
    <x v="3"/>
    <s v="Q1"/>
    <x v="44"/>
    <d v="2017-01-20T00:00:00"/>
    <s v="Standard Class"/>
    <x v="367"/>
    <x v="367"/>
    <s v="Home Office"/>
    <s v="United States"/>
    <s v="Richmond"/>
    <x v="14"/>
    <n v="47374"/>
    <x v="2"/>
    <x v="1183"/>
    <x v="0"/>
    <x v="5"/>
    <x v="1169"/>
    <n v="18.96"/>
    <s v="Low"/>
    <n v="2"/>
    <n v="0"/>
    <x v="0"/>
    <x v="0"/>
    <n v="8.532"/>
    <n v="0.44999999999999996"/>
    <n v="0"/>
  </r>
  <r>
    <n v="9867"/>
    <s v="US-2015-116981"/>
    <d v="2015-03-26T00:00:00"/>
    <x v="1"/>
    <s v="Q1"/>
    <x v="29"/>
    <d v="2015-03-28T00:00:00"/>
    <s v="Second Class"/>
    <x v="416"/>
    <x v="416"/>
    <s v="Corporate"/>
    <s v="United States"/>
    <s v="New York City"/>
    <x v="15"/>
    <n v="10009"/>
    <x v="3"/>
    <x v="1449"/>
    <x v="1"/>
    <x v="4"/>
    <x v="1436"/>
    <n v="1085.42"/>
    <s v="High"/>
    <n v="7"/>
    <n v="0"/>
    <x v="0"/>
    <x v="0"/>
    <n v="282.20920000000001"/>
    <n v="0.26"/>
    <n v="0"/>
  </r>
  <r>
    <n v="9868"/>
    <s v="US-2015-116981"/>
    <d v="2015-03-26T00:00:00"/>
    <x v="1"/>
    <s v="Q1"/>
    <x v="29"/>
    <d v="2015-03-28T00:00:00"/>
    <s v="Second Class"/>
    <x v="416"/>
    <x v="416"/>
    <s v="Corporate"/>
    <s v="United States"/>
    <s v="New York City"/>
    <x v="15"/>
    <n v="10009"/>
    <x v="3"/>
    <x v="1518"/>
    <x v="1"/>
    <x v="9"/>
    <x v="1505"/>
    <n v="13.11"/>
    <s v="Low"/>
    <n v="3"/>
    <n v="0"/>
    <x v="0"/>
    <x v="0"/>
    <n v="3.4085999999999999"/>
    <n v="0.26"/>
    <n v="0"/>
  </r>
  <r>
    <n v="9869"/>
    <s v="CA-2014-114195"/>
    <d v="2014-11-01T00:00:00"/>
    <x v="2"/>
    <s v="Q4"/>
    <x v="7"/>
    <d v="2014-11-03T00:00:00"/>
    <s v="First Class"/>
    <x v="105"/>
    <x v="105"/>
    <s v="Corporate"/>
    <s v="United States"/>
    <s v="Mason"/>
    <x v="24"/>
    <n v="45040"/>
    <x v="3"/>
    <x v="592"/>
    <x v="0"/>
    <x v="5"/>
    <x v="592"/>
    <n v="68.703999999999994"/>
    <s v="Medium"/>
    <n v="2"/>
    <n v="0.2"/>
    <x v="2"/>
    <x v="2"/>
    <n v="16.3172"/>
    <n v="0.23750000000000002"/>
    <n v="0"/>
  </r>
  <r>
    <n v="9870"/>
    <s v="CA-2014-114195"/>
    <d v="2014-11-01T00:00:00"/>
    <x v="2"/>
    <s v="Q4"/>
    <x v="7"/>
    <d v="2014-11-03T00:00:00"/>
    <s v="First Class"/>
    <x v="105"/>
    <x v="105"/>
    <s v="Corporate"/>
    <s v="United States"/>
    <s v="Mason"/>
    <x v="24"/>
    <n v="45040"/>
    <x v="3"/>
    <x v="1581"/>
    <x v="1"/>
    <x v="8"/>
    <x v="1572"/>
    <n v="3.1320000000000001"/>
    <s v="Low"/>
    <n v="2"/>
    <n v="0.7"/>
    <x v="1"/>
    <x v="5"/>
    <n v="-2.61"/>
    <n v="-0.83333333333333326"/>
    <n v="1"/>
  </r>
  <r>
    <n v="9871"/>
    <s v="CA-2014-114195"/>
    <d v="2014-11-01T00:00:00"/>
    <x v="2"/>
    <s v="Q4"/>
    <x v="7"/>
    <d v="2014-11-03T00:00:00"/>
    <s v="First Class"/>
    <x v="105"/>
    <x v="105"/>
    <s v="Corporate"/>
    <s v="United States"/>
    <s v="Mason"/>
    <x v="24"/>
    <n v="45040"/>
    <x v="3"/>
    <x v="444"/>
    <x v="1"/>
    <x v="8"/>
    <x v="444"/>
    <n v="22.428000000000001"/>
    <s v="Low"/>
    <n v="3"/>
    <n v="0.7"/>
    <x v="1"/>
    <x v="5"/>
    <n v="-17.942399999999999"/>
    <n v="-0.79999999999999993"/>
    <n v="1"/>
  </r>
  <r>
    <n v="9872"/>
    <s v="CA-2017-146269"/>
    <d v="2017-10-06T00:00:00"/>
    <x v="3"/>
    <s v="Q4"/>
    <x v="13"/>
    <d v="2017-10-06T00:00:00"/>
    <s v="Same Day"/>
    <x v="708"/>
    <x v="708"/>
    <s v="Consumer"/>
    <s v="United States"/>
    <s v="Chicago"/>
    <x v="10"/>
    <n v="60623"/>
    <x v="2"/>
    <x v="245"/>
    <x v="1"/>
    <x v="4"/>
    <x v="246"/>
    <n v="290.33600000000001"/>
    <s v="High"/>
    <n v="2"/>
    <n v="0.2"/>
    <x v="2"/>
    <x v="2"/>
    <n v="32.662799999999997"/>
    <n v="0.11249999999999999"/>
    <n v="0"/>
  </r>
  <r>
    <n v="9873"/>
    <s v="CA-2017-146269"/>
    <d v="2017-10-06T00:00:00"/>
    <x v="3"/>
    <s v="Q4"/>
    <x v="13"/>
    <d v="2017-10-06T00:00:00"/>
    <s v="Same Day"/>
    <x v="708"/>
    <x v="708"/>
    <s v="Consumer"/>
    <s v="United States"/>
    <s v="Chicago"/>
    <x v="10"/>
    <n v="60623"/>
    <x v="2"/>
    <x v="787"/>
    <x v="1"/>
    <x v="6"/>
    <x v="772"/>
    <n v="19.152000000000001"/>
    <s v="Low"/>
    <n v="2"/>
    <n v="0.2"/>
    <x v="2"/>
    <x v="2"/>
    <n v="1.1970000000000001"/>
    <n v="6.25E-2"/>
    <n v="0"/>
  </r>
  <r>
    <n v="9874"/>
    <s v="CA-2016-100587"/>
    <d v="2016-12-10T00:00:00"/>
    <x v="0"/>
    <s v="Q4"/>
    <x v="5"/>
    <d v="2016-12-14T00:00:00"/>
    <s v="Standard Class"/>
    <x v="359"/>
    <x v="359"/>
    <s v="Home Office"/>
    <s v="United States"/>
    <s v="New York City"/>
    <x v="15"/>
    <n v="10024"/>
    <x v="3"/>
    <x v="1516"/>
    <x v="1"/>
    <x v="10"/>
    <x v="1503"/>
    <n v="6.48"/>
    <s v="Low"/>
    <n v="1"/>
    <n v="0"/>
    <x v="0"/>
    <x v="0"/>
    <n v="3.1103999999999998"/>
    <n v="0.47999999999999993"/>
    <n v="0"/>
  </r>
  <r>
    <n v="9875"/>
    <s v="CA-2016-166653"/>
    <d v="2016-09-22T00:00:00"/>
    <x v="0"/>
    <s v="Q3"/>
    <x v="21"/>
    <d v="2016-09-24T00:00:00"/>
    <s v="Second Class"/>
    <x v="472"/>
    <x v="472"/>
    <s v="Home Office"/>
    <s v="United States"/>
    <s v="Parma"/>
    <x v="24"/>
    <n v="44134"/>
    <x v="3"/>
    <x v="889"/>
    <x v="1"/>
    <x v="12"/>
    <x v="882"/>
    <n v="63.968000000000004"/>
    <s v="Medium"/>
    <n v="2"/>
    <n v="0.2"/>
    <x v="2"/>
    <x v="2"/>
    <n v="19.989999999999998"/>
    <n v="0.31249999999999994"/>
    <n v="0"/>
  </r>
  <r>
    <n v="9876"/>
    <s v="CA-2015-130855"/>
    <d v="2015-12-29T00:00:00"/>
    <x v="1"/>
    <s v="Q4"/>
    <x v="14"/>
    <d v="2016-01-05T00:00:00"/>
    <s v="Standard Class"/>
    <x v="167"/>
    <x v="167"/>
    <s v="Consumer"/>
    <s v="United States"/>
    <s v="New York City"/>
    <x v="15"/>
    <n v="10035"/>
    <x v="3"/>
    <x v="1847"/>
    <x v="1"/>
    <x v="14"/>
    <x v="1835"/>
    <n v="6.36"/>
    <s v="Low"/>
    <n v="2"/>
    <n v="0"/>
    <x v="0"/>
    <x v="0"/>
    <n v="6.3600000000000004E-2"/>
    <n v="0.01"/>
    <n v="0"/>
  </r>
  <r>
    <n v="9877"/>
    <s v="US-2017-166324"/>
    <d v="2017-04-20T00:00:00"/>
    <x v="3"/>
    <s v="Q2"/>
    <x v="4"/>
    <d v="2017-04-21T00:00:00"/>
    <s v="First Class"/>
    <x v="534"/>
    <x v="534"/>
    <s v="Home Office"/>
    <s v="United States"/>
    <s v="Cleveland"/>
    <x v="24"/>
    <n v="44105"/>
    <x v="3"/>
    <x v="1244"/>
    <x v="1"/>
    <x v="4"/>
    <x v="1227"/>
    <n v="848.54399999999998"/>
    <s v="High"/>
    <n v="4"/>
    <n v="0.2"/>
    <x v="2"/>
    <x v="2"/>
    <n v="-21.2136"/>
    <n v="-2.5000000000000001E-2"/>
    <n v="1"/>
  </r>
  <r>
    <n v="9878"/>
    <s v="US-2017-166324"/>
    <d v="2017-04-20T00:00:00"/>
    <x v="3"/>
    <s v="Q2"/>
    <x v="4"/>
    <d v="2017-04-21T00:00:00"/>
    <s v="First Class"/>
    <x v="534"/>
    <x v="534"/>
    <s v="Home Office"/>
    <s v="United States"/>
    <s v="Cleveland"/>
    <x v="24"/>
    <n v="44105"/>
    <x v="3"/>
    <x v="1458"/>
    <x v="1"/>
    <x v="8"/>
    <x v="1444"/>
    <n v="8.6999999999999993"/>
    <s v="Low"/>
    <n v="5"/>
    <n v="0.7"/>
    <x v="1"/>
    <x v="5"/>
    <n v="-6.38"/>
    <n v="-0.73333333333333339"/>
    <n v="1"/>
  </r>
  <r>
    <n v="9879"/>
    <s v="US-2017-166324"/>
    <d v="2017-04-20T00:00:00"/>
    <x v="3"/>
    <s v="Q2"/>
    <x v="4"/>
    <d v="2017-04-21T00:00:00"/>
    <s v="First Class"/>
    <x v="534"/>
    <x v="534"/>
    <s v="Home Office"/>
    <s v="United States"/>
    <s v="Cleveland"/>
    <x v="24"/>
    <n v="44105"/>
    <x v="3"/>
    <x v="1787"/>
    <x v="2"/>
    <x v="7"/>
    <x v="1777"/>
    <n v="122.38200000000001"/>
    <s v="Medium"/>
    <n v="3"/>
    <n v="0.4"/>
    <x v="1"/>
    <x v="7"/>
    <n v="-24.476400000000002"/>
    <n v="-0.2"/>
    <n v="1"/>
  </r>
  <r>
    <n v="9880"/>
    <s v="CA-2016-122581"/>
    <d v="2016-08-21T00:00:00"/>
    <x v="0"/>
    <s v="Q3"/>
    <x v="28"/>
    <d v="2016-08-25T00:00:00"/>
    <s v="Standard Class"/>
    <x v="271"/>
    <x v="271"/>
    <s v="Consumer"/>
    <s v="United States"/>
    <s v="New York City"/>
    <x v="15"/>
    <n v="10035"/>
    <x v="3"/>
    <x v="955"/>
    <x v="0"/>
    <x v="1"/>
    <x v="948"/>
    <n v="573.17399999999998"/>
    <s v="High"/>
    <n v="7"/>
    <n v="0.1"/>
    <x v="3"/>
    <x v="8"/>
    <n v="63.686"/>
    <n v="0.11111111111111112"/>
    <n v="0"/>
  </r>
  <r>
    <n v="9881"/>
    <s v="CA-2015-104297"/>
    <d v="2015-05-29T00:00:00"/>
    <x v="1"/>
    <s v="Q2"/>
    <x v="33"/>
    <d v="2015-05-31T00:00:00"/>
    <s v="First Class"/>
    <x v="385"/>
    <x v="385"/>
    <s v="Home Office"/>
    <s v="United States"/>
    <s v="Cleveland"/>
    <x v="24"/>
    <n v="44105"/>
    <x v="3"/>
    <x v="258"/>
    <x v="1"/>
    <x v="10"/>
    <x v="33"/>
    <n v="85.055999999999997"/>
    <s v="Medium"/>
    <n v="3"/>
    <n v="0.2"/>
    <x v="2"/>
    <x v="2"/>
    <n v="28.706399999999999"/>
    <n v="0.33749999999999997"/>
    <n v="0"/>
  </r>
  <r>
    <n v="9882"/>
    <s v="CA-2014-153927"/>
    <d v="2014-08-12T00:00:00"/>
    <x v="2"/>
    <s v="Q3"/>
    <x v="9"/>
    <d v="2014-08-13T00:00:00"/>
    <s v="First Class"/>
    <x v="328"/>
    <x v="328"/>
    <s v="Consumer"/>
    <s v="United States"/>
    <s v="Woodstock"/>
    <x v="32"/>
    <n v="30188"/>
    <x v="0"/>
    <x v="605"/>
    <x v="1"/>
    <x v="8"/>
    <x v="605"/>
    <n v="14.04"/>
    <s v="Low"/>
    <n v="3"/>
    <n v="0"/>
    <x v="0"/>
    <x v="0"/>
    <n v="6.7392000000000003"/>
    <n v="0.48000000000000004"/>
    <n v="0"/>
  </r>
  <r>
    <n v="9883"/>
    <s v="CA-2014-153927"/>
    <d v="2014-08-12T00:00:00"/>
    <x v="2"/>
    <s v="Q3"/>
    <x v="9"/>
    <d v="2014-08-13T00:00:00"/>
    <s v="First Class"/>
    <x v="328"/>
    <x v="328"/>
    <s v="Consumer"/>
    <s v="United States"/>
    <s v="Woodstock"/>
    <x v="32"/>
    <n v="30188"/>
    <x v="0"/>
    <x v="917"/>
    <x v="2"/>
    <x v="11"/>
    <x v="909"/>
    <n v="272.61"/>
    <s v="High"/>
    <n v="13"/>
    <n v="0"/>
    <x v="0"/>
    <x v="0"/>
    <n v="98.139600000000002"/>
    <n v="0.36"/>
    <n v="0"/>
  </r>
  <r>
    <n v="9884"/>
    <s v="CA-2014-112291"/>
    <d v="2014-04-03T00:00:00"/>
    <x v="2"/>
    <s v="Q2"/>
    <x v="41"/>
    <d v="2014-04-08T00:00:00"/>
    <s v="Standard Class"/>
    <x v="722"/>
    <x v="722"/>
    <s v="Corporate"/>
    <s v="United States"/>
    <s v="Los Angeles"/>
    <x v="1"/>
    <n v="90008"/>
    <x v="1"/>
    <x v="407"/>
    <x v="1"/>
    <x v="12"/>
    <x v="153"/>
    <n v="11.16"/>
    <s v="Low"/>
    <n v="2"/>
    <n v="0"/>
    <x v="0"/>
    <x v="0"/>
    <n v="5.58"/>
    <n v="0.5"/>
    <n v="0"/>
  </r>
  <r>
    <n v="9885"/>
    <s v="CA-2014-112291"/>
    <d v="2014-04-03T00:00:00"/>
    <x v="2"/>
    <s v="Q2"/>
    <x v="41"/>
    <d v="2014-04-08T00:00:00"/>
    <s v="Standard Class"/>
    <x v="722"/>
    <x v="722"/>
    <s v="Corporate"/>
    <s v="United States"/>
    <s v="Los Angeles"/>
    <x v="1"/>
    <n v="90008"/>
    <x v="1"/>
    <x v="1196"/>
    <x v="2"/>
    <x v="11"/>
    <x v="1181"/>
    <n v="62.31"/>
    <s v="Medium"/>
    <n v="3"/>
    <n v="0"/>
    <x v="0"/>
    <x v="0"/>
    <n v="22.4316"/>
    <n v="0.36"/>
    <n v="0"/>
  </r>
  <r>
    <n v="9886"/>
    <s v="CA-2014-112291"/>
    <d v="2014-04-03T00:00:00"/>
    <x v="2"/>
    <s v="Q2"/>
    <x v="41"/>
    <d v="2014-04-08T00:00:00"/>
    <s v="Standard Class"/>
    <x v="722"/>
    <x v="722"/>
    <s v="Corporate"/>
    <s v="United States"/>
    <s v="Los Angeles"/>
    <x v="1"/>
    <n v="90008"/>
    <x v="1"/>
    <x v="1105"/>
    <x v="2"/>
    <x v="11"/>
    <x v="1094"/>
    <n v="159.97999999999999"/>
    <s v="High"/>
    <n v="2"/>
    <n v="0"/>
    <x v="0"/>
    <x v="0"/>
    <n v="57.592799999999997"/>
    <n v="0.36"/>
    <n v="0"/>
  </r>
  <r>
    <n v="9887"/>
    <s v="CA-2014-146997"/>
    <d v="2014-01-23T00:00:00"/>
    <x v="2"/>
    <s v="Q1"/>
    <x v="46"/>
    <d v="2014-01-27T00:00:00"/>
    <s v="Standard Class"/>
    <x v="611"/>
    <x v="611"/>
    <s v="Consumer"/>
    <s v="United States"/>
    <s v="Lafayette"/>
    <x v="14"/>
    <n v="47905"/>
    <x v="2"/>
    <x v="494"/>
    <x v="1"/>
    <x v="13"/>
    <x v="494"/>
    <n v="5.94"/>
    <s v="Low"/>
    <n v="3"/>
    <n v="0"/>
    <x v="0"/>
    <x v="0"/>
    <n v="0"/>
    <n v="0"/>
    <n v="0"/>
  </r>
  <r>
    <n v="9888"/>
    <s v="CA-2017-169607"/>
    <d v="2017-10-12T00:00:00"/>
    <x v="3"/>
    <s v="Q4"/>
    <x v="13"/>
    <d v="2017-10-15T00:00:00"/>
    <s v="First Class"/>
    <x v="244"/>
    <x v="244"/>
    <s v="Consumer"/>
    <s v="United States"/>
    <s v="New York City"/>
    <x v="15"/>
    <n v="10024"/>
    <x v="3"/>
    <x v="1231"/>
    <x v="1"/>
    <x v="10"/>
    <x v="1214"/>
    <n v="9.9600000000000009"/>
    <s v="Low"/>
    <n v="2"/>
    <n v="0"/>
    <x v="0"/>
    <x v="0"/>
    <n v="4.6811999999999996"/>
    <n v="0.46999999999999992"/>
    <n v="0"/>
  </r>
  <r>
    <n v="9889"/>
    <s v="CA-2015-127544"/>
    <d v="2015-08-08T00:00:00"/>
    <x v="1"/>
    <s v="Q3"/>
    <x v="37"/>
    <d v="2015-08-12T00:00:00"/>
    <s v="Standard Class"/>
    <x v="361"/>
    <x v="361"/>
    <s v="Consumer"/>
    <s v="United States"/>
    <s v="Utica"/>
    <x v="15"/>
    <n v="13501"/>
    <x v="3"/>
    <x v="1105"/>
    <x v="2"/>
    <x v="11"/>
    <x v="1094"/>
    <n v="79.989999999999995"/>
    <s v="Medium"/>
    <n v="1"/>
    <n v="0"/>
    <x v="0"/>
    <x v="0"/>
    <n v="28.796399999999998"/>
    <n v="0.36"/>
    <n v="0"/>
  </r>
  <r>
    <n v="9890"/>
    <s v="CA-2017-166499"/>
    <d v="2017-03-19T00:00:00"/>
    <x v="3"/>
    <s v="Q1"/>
    <x v="42"/>
    <d v="2017-03-20T00:00:00"/>
    <s v="First Class"/>
    <x v="500"/>
    <x v="500"/>
    <s v="Corporate"/>
    <s v="United States"/>
    <s v="Lakewood"/>
    <x v="30"/>
    <n v="8701"/>
    <x v="3"/>
    <x v="1701"/>
    <x v="1"/>
    <x v="6"/>
    <x v="1690"/>
    <n v="8.94"/>
    <s v="Low"/>
    <n v="3"/>
    <n v="0"/>
    <x v="0"/>
    <x v="0"/>
    <n v="2.4138000000000002"/>
    <n v="0.27"/>
    <n v="0"/>
  </r>
  <r>
    <n v="9891"/>
    <s v="US-2016-115441"/>
    <d v="2016-07-25T00:00:00"/>
    <x v="0"/>
    <s v="Q3"/>
    <x v="16"/>
    <d v="2016-07-28T00:00:00"/>
    <s v="Second Class"/>
    <x v="64"/>
    <x v="64"/>
    <s v="Corporate"/>
    <s v="United States"/>
    <s v="Milwaukee"/>
    <x v="6"/>
    <n v="53209"/>
    <x v="2"/>
    <x v="1540"/>
    <x v="1"/>
    <x v="10"/>
    <x v="1528"/>
    <n v="20.62"/>
    <s v="Low"/>
    <n v="2"/>
    <n v="0"/>
    <x v="0"/>
    <x v="0"/>
    <n v="9.6913999999999998"/>
    <n v="0.47"/>
    <n v="0"/>
  </r>
  <r>
    <n v="9892"/>
    <s v="US-2016-115441"/>
    <d v="2016-07-25T00:00:00"/>
    <x v="0"/>
    <s v="Q3"/>
    <x v="16"/>
    <d v="2016-07-28T00:00:00"/>
    <s v="Second Class"/>
    <x v="64"/>
    <x v="64"/>
    <s v="Corporate"/>
    <s v="United States"/>
    <s v="Milwaukee"/>
    <x v="6"/>
    <n v="53209"/>
    <x v="2"/>
    <x v="936"/>
    <x v="2"/>
    <x v="11"/>
    <x v="929"/>
    <n v="124.25"/>
    <s v="High"/>
    <n v="7"/>
    <n v="0"/>
    <x v="0"/>
    <x v="0"/>
    <n v="48.457500000000003"/>
    <n v="0.39"/>
    <n v="0"/>
  </r>
  <r>
    <n v="9893"/>
    <s v="US-2016-115441"/>
    <d v="2016-07-25T00:00:00"/>
    <x v="0"/>
    <s v="Q3"/>
    <x v="16"/>
    <d v="2016-07-28T00:00:00"/>
    <s v="Second Class"/>
    <x v="64"/>
    <x v="64"/>
    <s v="Corporate"/>
    <s v="United States"/>
    <s v="Milwaukee"/>
    <x v="6"/>
    <n v="53209"/>
    <x v="2"/>
    <x v="476"/>
    <x v="2"/>
    <x v="7"/>
    <x v="477"/>
    <n v="297.55"/>
    <s v="High"/>
    <n v="5"/>
    <n v="0"/>
    <x v="0"/>
    <x v="0"/>
    <n v="83.313999999999993"/>
    <n v="0.27999999999999997"/>
    <n v="0"/>
  </r>
  <r>
    <n v="9894"/>
    <s v="US-2016-115441"/>
    <d v="2016-07-25T00:00:00"/>
    <x v="0"/>
    <s v="Q3"/>
    <x v="16"/>
    <d v="2016-07-28T00:00:00"/>
    <s v="Second Class"/>
    <x v="64"/>
    <x v="64"/>
    <s v="Corporate"/>
    <s v="United States"/>
    <s v="Milwaukee"/>
    <x v="6"/>
    <n v="53209"/>
    <x v="2"/>
    <x v="1719"/>
    <x v="0"/>
    <x v="1"/>
    <x v="1706"/>
    <n v="403.56"/>
    <s v="High"/>
    <n v="4"/>
    <n v="0"/>
    <x v="0"/>
    <x v="0"/>
    <n v="96.854399999999998"/>
    <n v="0.24"/>
    <n v="0"/>
  </r>
  <r>
    <n v="9895"/>
    <s v="US-2016-115441"/>
    <d v="2016-07-25T00:00:00"/>
    <x v="0"/>
    <s v="Q3"/>
    <x v="16"/>
    <d v="2016-07-28T00:00:00"/>
    <s v="Second Class"/>
    <x v="64"/>
    <x v="64"/>
    <s v="Corporate"/>
    <s v="United States"/>
    <s v="Milwaukee"/>
    <x v="6"/>
    <n v="53209"/>
    <x v="2"/>
    <x v="285"/>
    <x v="0"/>
    <x v="5"/>
    <x v="285"/>
    <n v="95.2"/>
    <s v="Medium"/>
    <n v="5"/>
    <n v="0"/>
    <x v="0"/>
    <x v="0"/>
    <n v="27.608000000000001"/>
    <n v="0.28999999999999998"/>
    <n v="0"/>
  </r>
  <r>
    <n v="9896"/>
    <s v="CA-2014-115049"/>
    <d v="2014-09-26T00:00:00"/>
    <x v="2"/>
    <s v="Q3"/>
    <x v="30"/>
    <d v="2014-10-01T00:00:00"/>
    <s v="Standard Class"/>
    <x v="462"/>
    <x v="462"/>
    <s v="Consumer"/>
    <s v="United States"/>
    <s v="Chicago"/>
    <x v="10"/>
    <n v="60623"/>
    <x v="2"/>
    <x v="1563"/>
    <x v="2"/>
    <x v="11"/>
    <x v="1554"/>
    <n v="153.82400000000001"/>
    <s v="High"/>
    <n v="11"/>
    <n v="0.2"/>
    <x v="2"/>
    <x v="2"/>
    <n v="38.456000000000003"/>
    <n v="0.25"/>
    <n v="0"/>
  </r>
  <r>
    <n v="9897"/>
    <s v="CA-2014-156342"/>
    <d v="2014-06-17T00:00:00"/>
    <x v="2"/>
    <s v="Q2"/>
    <x v="3"/>
    <d v="2014-06-20T00:00:00"/>
    <s v="Second Class"/>
    <x v="226"/>
    <x v="226"/>
    <s v="Consumer"/>
    <s v="United States"/>
    <s v="Chicago"/>
    <x v="10"/>
    <n v="60653"/>
    <x v="2"/>
    <x v="1669"/>
    <x v="1"/>
    <x v="10"/>
    <x v="1657"/>
    <n v="62.015999999999998"/>
    <s v="Medium"/>
    <n v="2"/>
    <n v="0.2"/>
    <x v="2"/>
    <x v="2"/>
    <n v="22.480799999999999"/>
    <n v="0.36249999999999999"/>
    <n v="0"/>
  </r>
  <r>
    <n v="9898"/>
    <s v="CA-2016-112830"/>
    <d v="2016-06-06T00:00:00"/>
    <x v="0"/>
    <s v="Q2"/>
    <x v="1"/>
    <d v="2016-06-10T00:00:00"/>
    <s v="Standard Class"/>
    <x v="431"/>
    <x v="431"/>
    <s v="Consumer"/>
    <s v="United States"/>
    <s v="Fairfield"/>
    <x v="24"/>
    <n v="45014"/>
    <x v="3"/>
    <x v="622"/>
    <x v="0"/>
    <x v="5"/>
    <x v="622"/>
    <n v="466.32"/>
    <s v="High"/>
    <n v="3"/>
    <n v="0.2"/>
    <x v="2"/>
    <x v="2"/>
    <n v="34.973999999999997"/>
    <n v="7.4999999999999997E-2"/>
    <n v="0"/>
  </r>
  <r>
    <n v="9899"/>
    <s v="CA-2016-112830"/>
    <d v="2016-06-06T00:00:00"/>
    <x v="0"/>
    <s v="Q2"/>
    <x v="1"/>
    <d v="2016-06-10T00:00:00"/>
    <s v="Standard Class"/>
    <x v="431"/>
    <x v="431"/>
    <s v="Consumer"/>
    <s v="United States"/>
    <s v="Fairfield"/>
    <x v="24"/>
    <n v="45014"/>
    <x v="3"/>
    <x v="1704"/>
    <x v="0"/>
    <x v="5"/>
    <x v="1693"/>
    <n v="82.64"/>
    <s v="Medium"/>
    <n v="2"/>
    <n v="0.2"/>
    <x v="2"/>
    <x v="2"/>
    <n v="0"/>
    <n v="0"/>
    <n v="0"/>
  </r>
  <r>
    <n v="9900"/>
    <s v="US-2014-117380"/>
    <d v="2014-03-28T00:00:00"/>
    <x v="2"/>
    <s v="Q1"/>
    <x v="34"/>
    <d v="2014-04-03T00:00:00"/>
    <s v="Standard Class"/>
    <x v="486"/>
    <x v="486"/>
    <s v="Home Office"/>
    <s v="United States"/>
    <s v="Springfield"/>
    <x v="24"/>
    <n v="45503"/>
    <x v="3"/>
    <x v="594"/>
    <x v="0"/>
    <x v="3"/>
    <x v="594"/>
    <n v="330.58800000000002"/>
    <s v="High"/>
    <n v="1"/>
    <n v="0.4"/>
    <x v="1"/>
    <x v="7"/>
    <n v="-143.25479999999999"/>
    <n v="-0.43333333333333329"/>
    <n v="1"/>
  </r>
  <r>
    <n v="9901"/>
    <s v="CA-2017-117646"/>
    <d v="2017-08-21T00:00:00"/>
    <x v="3"/>
    <s v="Q3"/>
    <x v="43"/>
    <d v="2017-08-25T00:00:00"/>
    <s v="Standard Class"/>
    <x v="790"/>
    <x v="790"/>
    <s v="Consumer"/>
    <s v="United States"/>
    <s v="Louisville"/>
    <x v="22"/>
    <n v="80027"/>
    <x v="1"/>
    <x v="595"/>
    <x v="1"/>
    <x v="4"/>
    <x v="595"/>
    <n v="237.096"/>
    <s v="High"/>
    <n v="3"/>
    <n v="0.2"/>
    <x v="2"/>
    <x v="2"/>
    <n v="20.745899999999999"/>
    <n v="8.7499999999999994E-2"/>
    <n v="0"/>
  </r>
  <r>
    <n v="9902"/>
    <s v="CA-2017-117646"/>
    <d v="2017-08-21T00:00:00"/>
    <x v="3"/>
    <s v="Q3"/>
    <x v="43"/>
    <d v="2017-08-25T00:00:00"/>
    <s v="Standard Class"/>
    <x v="790"/>
    <x v="790"/>
    <s v="Consumer"/>
    <s v="United States"/>
    <s v="Louisville"/>
    <x v="22"/>
    <n v="80027"/>
    <x v="1"/>
    <x v="1183"/>
    <x v="0"/>
    <x v="5"/>
    <x v="1169"/>
    <n v="22.751999999999999"/>
    <s v="Low"/>
    <n v="3"/>
    <n v="0.2"/>
    <x v="2"/>
    <x v="2"/>
    <n v="7.11"/>
    <n v="0.31250000000000006"/>
    <n v="0"/>
  </r>
  <r>
    <n v="9903"/>
    <s v="CA-2017-117646"/>
    <d v="2017-08-21T00:00:00"/>
    <x v="3"/>
    <s v="Q3"/>
    <x v="43"/>
    <d v="2017-08-25T00:00:00"/>
    <s v="Standard Class"/>
    <x v="790"/>
    <x v="790"/>
    <s v="Consumer"/>
    <s v="United States"/>
    <s v="Louisville"/>
    <x v="22"/>
    <n v="80027"/>
    <x v="1"/>
    <x v="144"/>
    <x v="1"/>
    <x v="10"/>
    <x v="145"/>
    <n v="6.6719999999999997"/>
    <s v="Low"/>
    <n v="1"/>
    <n v="0.2"/>
    <x v="2"/>
    <x v="2"/>
    <n v="2.085"/>
    <n v="0.3125"/>
    <n v="0"/>
  </r>
  <r>
    <n v="9904"/>
    <s v="CA-2014-122609"/>
    <d v="2014-11-12T00:00:00"/>
    <x v="2"/>
    <s v="Q4"/>
    <x v="7"/>
    <d v="2014-11-18T00:00:00"/>
    <s v="Standard Class"/>
    <x v="24"/>
    <x v="24"/>
    <s v="Consumer"/>
    <s v="United States"/>
    <s v="Carrollton"/>
    <x v="5"/>
    <n v="75007"/>
    <x v="2"/>
    <x v="1377"/>
    <x v="0"/>
    <x v="5"/>
    <x v="1362"/>
    <n v="25.128"/>
    <s v="Medium"/>
    <n v="3"/>
    <n v="0.6"/>
    <x v="1"/>
    <x v="6"/>
    <n v="-6.9101999999999997"/>
    <n v="-0.27499999999999997"/>
    <n v="1"/>
  </r>
  <r>
    <n v="9905"/>
    <s v="CA-2014-122609"/>
    <d v="2014-11-12T00:00:00"/>
    <x v="2"/>
    <s v="Q4"/>
    <x v="7"/>
    <d v="2014-11-18T00:00:00"/>
    <s v="Standard Class"/>
    <x v="24"/>
    <x v="24"/>
    <s v="Consumer"/>
    <s v="United States"/>
    <s v="Carrollton"/>
    <x v="5"/>
    <n v="75007"/>
    <x v="2"/>
    <x v="428"/>
    <x v="2"/>
    <x v="11"/>
    <x v="428"/>
    <n v="127.98399999999999"/>
    <s v="High"/>
    <n v="2"/>
    <n v="0.2"/>
    <x v="2"/>
    <x v="2"/>
    <n v="25.596800000000002"/>
    <n v="0.2"/>
    <n v="0"/>
  </r>
  <r>
    <n v="9906"/>
    <s v="US-2015-129007"/>
    <d v="2015-09-13T00:00:00"/>
    <x v="1"/>
    <s v="Q3"/>
    <x v="11"/>
    <d v="2015-09-15T00:00:00"/>
    <s v="First Class"/>
    <x v="629"/>
    <x v="629"/>
    <s v="Corporate"/>
    <s v="United States"/>
    <s v="Anaheim"/>
    <x v="1"/>
    <n v="92804"/>
    <x v="1"/>
    <x v="1155"/>
    <x v="0"/>
    <x v="5"/>
    <x v="1143"/>
    <n v="131.88"/>
    <s v="High"/>
    <n v="7"/>
    <n v="0"/>
    <x v="0"/>
    <x v="0"/>
    <n v="55.389600000000002"/>
    <n v="0.42000000000000004"/>
    <n v="0"/>
  </r>
  <r>
    <n v="9907"/>
    <s v="US-2015-129007"/>
    <d v="2015-09-13T00:00:00"/>
    <x v="1"/>
    <s v="Q3"/>
    <x v="11"/>
    <d v="2015-09-15T00:00:00"/>
    <s v="First Class"/>
    <x v="629"/>
    <x v="629"/>
    <s v="Corporate"/>
    <s v="United States"/>
    <s v="Anaheim"/>
    <x v="1"/>
    <n v="92804"/>
    <x v="1"/>
    <x v="1124"/>
    <x v="1"/>
    <x v="8"/>
    <x v="1112"/>
    <n v="25.032"/>
    <s v="Medium"/>
    <n v="3"/>
    <n v="0.2"/>
    <x v="2"/>
    <x v="2"/>
    <n v="7.8224999999999998"/>
    <n v="0.3125"/>
    <n v="0"/>
  </r>
  <r>
    <n v="9908"/>
    <s v="US-2015-129007"/>
    <d v="2015-09-13T00:00:00"/>
    <x v="1"/>
    <s v="Q3"/>
    <x v="11"/>
    <d v="2015-09-15T00:00:00"/>
    <s v="First Class"/>
    <x v="629"/>
    <x v="629"/>
    <s v="Corporate"/>
    <s v="United States"/>
    <s v="Anaheim"/>
    <x v="1"/>
    <n v="92804"/>
    <x v="1"/>
    <x v="1180"/>
    <x v="0"/>
    <x v="1"/>
    <x v="1166"/>
    <n v="717.72"/>
    <s v="High"/>
    <n v="3"/>
    <n v="0.2"/>
    <x v="2"/>
    <x v="2"/>
    <n v="71.772000000000006"/>
    <n v="0.1"/>
    <n v="0"/>
  </r>
  <r>
    <n v="9909"/>
    <s v="US-2015-129007"/>
    <d v="2015-09-13T00:00:00"/>
    <x v="1"/>
    <s v="Q3"/>
    <x v="11"/>
    <d v="2015-09-15T00:00:00"/>
    <s v="First Class"/>
    <x v="629"/>
    <x v="629"/>
    <s v="Corporate"/>
    <s v="United States"/>
    <s v="Anaheim"/>
    <x v="1"/>
    <n v="92804"/>
    <x v="1"/>
    <x v="1484"/>
    <x v="0"/>
    <x v="5"/>
    <x v="1471"/>
    <n v="207.35"/>
    <s v="High"/>
    <n v="5"/>
    <n v="0"/>
    <x v="0"/>
    <x v="0"/>
    <n v="24.882000000000001"/>
    <n v="0.12000000000000001"/>
    <n v="0"/>
  </r>
  <r>
    <n v="9910"/>
    <s v="US-2015-129007"/>
    <d v="2015-09-13T00:00:00"/>
    <x v="1"/>
    <s v="Q3"/>
    <x v="11"/>
    <d v="2015-09-15T00:00:00"/>
    <s v="First Class"/>
    <x v="629"/>
    <x v="629"/>
    <s v="Corporate"/>
    <s v="United States"/>
    <s v="Anaheim"/>
    <x v="1"/>
    <n v="92804"/>
    <x v="1"/>
    <x v="943"/>
    <x v="0"/>
    <x v="5"/>
    <x v="936"/>
    <n v="44.67"/>
    <s v="Medium"/>
    <n v="3"/>
    <n v="0"/>
    <x v="0"/>
    <x v="0"/>
    <n v="12.0609"/>
    <n v="0.27"/>
    <n v="0"/>
  </r>
  <r>
    <n v="9911"/>
    <s v="US-2015-129007"/>
    <d v="2015-09-13T00:00:00"/>
    <x v="1"/>
    <s v="Q3"/>
    <x v="11"/>
    <d v="2015-09-15T00:00:00"/>
    <s v="First Class"/>
    <x v="629"/>
    <x v="629"/>
    <s v="Corporate"/>
    <s v="United States"/>
    <s v="Anaheim"/>
    <x v="1"/>
    <n v="92804"/>
    <x v="1"/>
    <x v="921"/>
    <x v="1"/>
    <x v="10"/>
    <x v="913"/>
    <n v="209.7"/>
    <s v="High"/>
    <n v="2"/>
    <n v="0"/>
    <x v="0"/>
    <x v="0"/>
    <n v="100.65600000000001"/>
    <n v="0.48000000000000004"/>
    <n v="0"/>
  </r>
  <r>
    <n v="9912"/>
    <s v="US-2014-157231"/>
    <d v="2014-04-05T00:00:00"/>
    <x v="2"/>
    <s v="Q2"/>
    <x v="41"/>
    <d v="2014-04-09T00:00:00"/>
    <s v="Standard Class"/>
    <x v="532"/>
    <x v="532"/>
    <s v="Corporate"/>
    <s v="United States"/>
    <s v="Richmond"/>
    <x v="0"/>
    <n v="40475"/>
    <x v="0"/>
    <x v="91"/>
    <x v="1"/>
    <x v="8"/>
    <x v="91"/>
    <n v="115.36"/>
    <s v="Medium"/>
    <n v="7"/>
    <n v="0"/>
    <x v="0"/>
    <x v="0"/>
    <n v="56.526400000000002"/>
    <n v="0.49000000000000005"/>
    <n v="0"/>
  </r>
  <r>
    <n v="9913"/>
    <s v="CA-2015-132388"/>
    <d v="2015-10-10T00:00:00"/>
    <x v="1"/>
    <s v="Q4"/>
    <x v="2"/>
    <d v="2015-10-12T00:00:00"/>
    <s v="First Class"/>
    <x v="471"/>
    <x v="471"/>
    <s v="Corporate"/>
    <s v="United States"/>
    <s v="Santa Barbara"/>
    <x v="1"/>
    <n v="93101"/>
    <x v="1"/>
    <x v="1318"/>
    <x v="0"/>
    <x v="1"/>
    <x v="1304"/>
    <n v="362.13600000000002"/>
    <s v="High"/>
    <n v="3"/>
    <n v="0.2"/>
    <x v="2"/>
    <x v="2"/>
    <n v="-54.320399999999999"/>
    <n v="-0.15"/>
    <n v="1"/>
  </r>
  <r>
    <n v="9914"/>
    <s v="CA-2015-132388"/>
    <d v="2015-10-10T00:00:00"/>
    <x v="1"/>
    <s v="Q4"/>
    <x v="2"/>
    <d v="2015-10-12T00:00:00"/>
    <s v="First Class"/>
    <x v="471"/>
    <x v="471"/>
    <s v="Corporate"/>
    <s v="United States"/>
    <s v="Santa Barbara"/>
    <x v="1"/>
    <n v="93101"/>
    <x v="1"/>
    <x v="1655"/>
    <x v="1"/>
    <x v="2"/>
    <x v="1643"/>
    <n v="31.05"/>
    <s v="Medium"/>
    <n v="3"/>
    <n v="0"/>
    <x v="0"/>
    <x v="0"/>
    <n v="14.904"/>
    <n v="0.48"/>
    <n v="0"/>
  </r>
  <r>
    <n v="9915"/>
    <s v="CA-2017-160927"/>
    <d v="2017-01-29T00:00:00"/>
    <x v="3"/>
    <s v="Q1"/>
    <x v="44"/>
    <d v="2017-01-31T00:00:00"/>
    <s v="Second Class"/>
    <x v="612"/>
    <x v="612"/>
    <s v="Consumer"/>
    <s v="United States"/>
    <s v="Marion"/>
    <x v="23"/>
    <n v="52302"/>
    <x v="2"/>
    <x v="1465"/>
    <x v="1"/>
    <x v="10"/>
    <x v="1451"/>
    <n v="12.96"/>
    <s v="Low"/>
    <n v="2"/>
    <n v="0"/>
    <x v="0"/>
    <x v="0"/>
    <n v="6.2207999999999997"/>
    <n v="0.47999999999999993"/>
    <n v="0"/>
  </r>
  <r>
    <n v="9916"/>
    <s v="CA-2017-160927"/>
    <d v="2017-01-29T00:00:00"/>
    <x v="3"/>
    <s v="Q1"/>
    <x v="44"/>
    <d v="2017-01-31T00:00:00"/>
    <s v="Second Class"/>
    <x v="612"/>
    <x v="612"/>
    <s v="Consumer"/>
    <s v="United States"/>
    <s v="Marion"/>
    <x v="23"/>
    <n v="52302"/>
    <x v="2"/>
    <x v="640"/>
    <x v="1"/>
    <x v="10"/>
    <x v="640"/>
    <n v="94.85"/>
    <s v="Medium"/>
    <n v="5"/>
    <n v="0"/>
    <x v="0"/>
    <x v="0"/>
    <n v="45.527999999999999"/>
    <n v="0.48000000000000004"/>
    <n v="0"/>
  </r>
  <r>
    <n v="9917"/>
    <s v="CA-2017-160927"/>
    <d v="2017-01-29T00:00:00"/>
    <x v="3"/>
    <s v="Q1"/>
    <x v="44"/>
    <d v="2017-01-31T00:00:00"/>
    <s v="Second Class"/>
    <x v="612"/>
    <x v="612"/>
    <s v="Consumer"/>
    <s v="United States"/>
    <s v="Marion"/>
    <x v="23"/>
    <n v="52302"/>
    <x v="2"/>
    <x v="146"/>
    <x v="1"/>
    <x v="4"/>
    <x v="147"/>
    <n v="13.48"/>
    <s v="Low"/>
    <n v="1"/>
    <n v="0"/>
    <x v="0"/>
    <x v="0"/>
    <n v="3.5047999999999999"/>
    <n v="0.26"/>
    <n v="0"/>
  </r>
  <r>
    <n v="9918"/>
    <s v="CA-2017-160927"/>
    <d v="2017-01-29T00:00:00"/>
    <x v="3"/>
    <s v="Q1"/>
    <x v="44"/>
    <d v="2017-01-31T00:00:00"/>
    <s v="Second Class"/>
    <x v="612"/>
    <x v="612"/>
    <s v="Consumer"/>
    <s v="United States"/>
    <s v="Marion"/>
    <x v="23"/>
    <n v="52302"/>
    <x v="2"/>
    <x v="527"/>
    <x v="0"/>
    <x v="5"/>
    <x v="527"/>
    <n v="14.91"/>
    <s v="Low"/>
    <n v="3"/>
    <n v="0"/>
    <x v="0"/>
    <x v="0"/>
    <n v="4.6220999999999997"/>
    <n v="0.31"/>
    <n v="0"/>
  </r>
  <r>
    <n v="9919"/>
    <s v="CA-2015-105508"/>
    <d v="2015-09-24T00:00:00"/>
    <x v="1"/>
    <s v="Q3"/>
    <x v="11"/>
    <d v="2015-09-29T00:00:00"/>
    <s v="Standard Class"/>
    <x v="440"/>
    <x v="440"/>
    <s v="Consumer"/>
    <s v="United States"/>
    <s v="New York City"/>
    <x v="15"/>
    <n v="10035"/>
    <x v="3"/>
    <x v="889"/>
    <x v="1"/>
    <x v="12"/>
    <x v="882"/>
    <n v="39.979999999999997"/>
    <s v="Medium"/>
    <n v="1"/>
    <n v="0"/>
    <x v="0"/>
    <x v="0"/>
    <n v="17.991"/>
    <n v="0.45"/>
    <n v="0"/>
  </r>
  <r>
    <n v="9920"/>
    <s v="CA-2016-149272"/>
    <d v="2016-03-15T00:00:00"/>
    <x v="0"/>
    <s v="Q1"/>
    <x v="17"/>
    <d v="2016-03-19T00:00:00"/>
    <s v="Standard Class"/>
    <x v="501"/>
    <x v="501"/>
    <s v="Corporate"/>
    <s v="United States"/>
    <s v="Bryan"/>
    <x v="5"/>
    <n v="77803"/>
    <x v="2"/>
    <x v="83"/>
    <x v="0"/>
    <x v="1"/>
    <x v="83"/>
    <n v="528.42999999999995"/>
    <s v="High"/>
    <n v="5"/>
    <n v="0.3"/>
    <x v="1"/>
    <x v="4"/>
    <n v="-143.43100000000001"/>
    <n v="-0.27142857142857146"/>
    <n v="1"/>
  </r>
  <r>
    <n v="9921"/>
    <s v="CA-2016-149272"/>
    <d v="2016-03-15T00:00:00"/>
    <x v="0"/>
    <s v="Q1"/>
    <x v="17"/>
    <d v="2016-03-19T00:00:00"/>
    <s v="Standard Class"/>
    <x v="501"/>
    <x v="501"/>
    <s v="Corporate"/>
    <s v="United States"/>
    <s v="Bryan"/>
    <x v="5"/>
    <n v="77803"/>
    <x v="2"/>
    <x v="1399"/>
    <x v="1"/>
    <x v="8"/>
    <x v="1386"/>
    <n v="22.385999999999999"/>
    <s v="Low"/>
    <n v="7"/>
    <n v="0.8"/>
    <x v="1"/>
    <x v="3"/>
    <n v="-35.817599999999999"/>
    <n v="-1.6"/>
    <n v="1"/>
  </r>
  <r>
    <n v="9922"/>
    <s v="CA-2014-111360"/>
    <d v="2014-11-24T00:00:00"/>
    <x v="2"/>
    <s v="Q4"/>
    <x v="7"/>
    <d v="2014-11-30T00:00:00"/>
    <s v="Standard Class"/>
    <x v="401"/>
    <x v="401"/>
    <s v="Home Office"/>
    <s v="United States"/>
    <s v="Akron"/>
    <x v="24"/>
    <n v="44312"/>
    <x v="3"/>
    <x v="849"/>
    <x v="1"/>
    <x v="8"/>
    <x v="842"/>
    <n v="5.742"/>
    <s v="Low"/>
    <n v="3"/>
    <n v="0.7"/>
    <x v="1"/>
    <x v="5"/>
    <n v="-4.5936000000000003"/>
    <n v="-0.8"/>
    <n v="1"/>
  </r>
  <r>
    <n v="9923"/>
    <s v="US-2017-162124"/>
    <d v="2017-05-06T00:00:00"/>
    <x v="3"/>
    <s v="Q2"/>
    <x v="24"/>
    <d v="2017-05-10T00:00:00"/>
    <s v="Standard Class"/>
    <x v="223"/>
    <x v="223"/>
    <s v="Consumer"/>
    <s v="United States"/>
    <s v="Chicago"/>
    <x v="10"/>
    <n v="60653"/>
    <x v="2"/>
    <x v="876"/>
    <x v="2"/>
    <x v="11"/>
    <x v="870"/>
    <n v="191.96799999999999"/>
    <s v="High"/>
    <n v="4"/>
    <n v="0.2"/>
    <x v="2"/>
    <x v="2"/>
    <n v="28.795200000000001"/>
    <n v="0.15000000000000002"/>
    <n v="0"/>
  </r>
  <r>
    <n v="9924"/>
    <s v="CA-2015-159534"/>
    <d v="2015-03-20T00:00:00"/>
    <x v="1"/>
    <s v="Q1"/>
    <x v="29"/>
    <d v="2015-03-23T00:00:00"/>
    <s v="First Class"/>
    <x v="704"/>
    <x v="704"/>
    <s v="Corporate"/>
    <s v="United States"/>
    <s v="New York City"/>
    <x v="15"/>
    <n v="10035"/>
    <x v="3"/>
    <x v="350"/>
    <x v="1"/>
    <x v="8"/>
    <x v="350"/>
    <n v="49.847999999999999"/>
    <s v="Medium"/>
    <n v="3"/>
    <n v="0.2"/>
    <x v="2"/>
    <x v="2"/>
    <n v="16.823699999999999"/>
    <n v="0.33749999999999997"/>
    <n v="0"/>
  </r>
  <r>
    <n v="9925"/>
    <s v="CA-2015-159534"/>
    <d v="2015-03-20T00:00:00"/>
    <x v="1"/>
    <s v="Q1"/>
    <x v="29"/>
    <d v="2015-03-23T00:00:00"/>
    <s v="First Class"/>
    <x v="704"/>
    <x v="704"/>
    <s v="Corporate"/>
    <s v="United States"/>
    <s v="New York City"/>
    <x v="15"/>
    <n v="10035"/>
    <x v="3"/>
    <x v="244"/>
    <x v="1"/>
    <x v="12"/>
    <x v="245"/>
    <n v="23.99"/>
    <s v="Low"/>
    <n v="1"/>
    <n v="0"/>
    <x v="0"/>
    <x v="0"/>
    <n v="11.994999999999999"/>
    <n v="0.5"/>
    <n v="0"/>
  </r>
  <r>
    <n v="9926"/>
    <s v="CA-2015-159534"/>
    <d v="2015-03-20T00:00:00"/>
    <x v="1"/>
    <s v="Q1"/>
    <x v="29"/>
    <d v="2015-03-23T00:00:00"/>
    <s v="First Class"/>
    <x v="704"/>
    <x v="704"/>
    <s v="Corporate"/>
    <s v="United States"/>
    <s v="New York City"/>
    <x v="15"/>
    <n v="10035"/>
    <x v="3"/>
    <x v="13"/>
    <x v="1"/>
    <x v="8"/>
    <x v="13"/>
    <n v="1087.9359999999999"/>
    <s v="High"/>
    <n v="8"/>
    <n v="0.2"/>
    <x v="2"/>
    <x v="2"/>
    <n v="353.57920000000001"/>
    <n v="0.32500000000000001"/>
    <n v="0"/>
  </r>
  <r>
    <n v="9927"/>
    <s v="CA-2015-159534"/>
    <d v="2015-03-20T00:00:00"/>
    <x v="1"/>
    <s v="Q1"/>
    <x v="29"/>
    <d v="2015-03-23T00:00:00"/>
    <s v="First Class"/>
    <x v="704"/>
    <x v="704"/>
    <s v="Corporate"/>
    <s v="United States"/>
    <s v="New York City"/>
    <x v="15"/>
    <n v="10035"/>
    <x v="3"/>
    <x v="966"/>
    <x v="2"/>
    <x v="7"/>
    <x v="959"/>
    <n v="199.98"/>
    <s v="High"/>
    <n v="2"/>
    <n v="0"/>
    <x v="0"/>
    <x v="0"/>
    <n v="53.994599999999998"/>
    <n v="0.27"/>
    <n v="0"/>
  </r>
  <r>
    <n v="9928"/>
    <s v="CA-2015-159534"/>
    <d v="2015-03-20T00:00:00"/>
    <x v="1"/>
    <s v="Q1"/>
    <x v="29"/>
    <d v="2015-03-23T00:00:00"/>
    <s v="First Class"/>
    <x v="704"/>
    <x v="704"/>
    <s v="Corporate"/>
    <s v="United States"/>
    <s v="New York City"/>
    <x v="15"/>
    <n v="10035"/>
    <x v="3"/>
    <x v="1222"/>
    <x v="1"/>
    <x v="4"/>
    <x v="1206"/>
    <n v="83.92"/>
    <s v="Medium"/>
    <n v="4"/>
    <n v="0"/>
    <x v="0"/>
    <x v="0"/>
    <n v="20.140799999999999"/>
    <n v="0.24"/>
    <n v="0"/>
  </r>
  <r>
    <n v="9929"/>
    <s v="CA-2016-129630"/>
    <d v="2016-09-04T00:00:00"/>
    <x v="0"/>
    <s v="Q3"/>
    <x v="21"/>
    <d v="2016-09-04T00:00:00"/>
    <s v="Same Day"/>
    <x v="780"/>
    <x v="780"/>
    <s v="Consumer"/>
    <s v="United States"/>
    <s v="San Francisco"/>
    <x v="1"/>
    <n v="94122"/>
    <x v="1"/>
    <x v="74"/>
    <x v="0"/>
    <x v="5"/>
    <x v="74"/>
    <n v="24.27"/>
    <s v="Low"/>
    <n v="3"/>
    <n v="0"/>
    <x v="0"/>
    <x v="0"/>
    <n v="8.7371999999999996"/>
    <n v="0.36"/>
    <n v="0"/>
  </r>
  <r>
    <n v="9930"/>
    <s v="CA-2016-129630"/>
    <d v="2016-09-04T00:00:00"/>
    <x v="0"/>
    <s v="Q3"/>
    <x v="21"/>
    <d v="2016-09-04T00:00:00"/>
    <s v="Same Day"/>
    <x v="780"/>
    <x v="780"/>
    <s v="Consumer"/>
    <s v="United States"/>
    <s v="San Francisco"/>
    <x v="1"/>
    <n v="94122"/>
    <x v="1"/>
    <x v="1293"/>
    <x v="2"/>
    <x v="16"/>
    <x v="1279"/>
    <n v="2799.96"/>
    <s v="High"/>
    <n v="5"/>
    <n v="0.2"/>
    <x v="2"/>
    <x v="2"/>
    <n v="944.98649999999998"/>
    <n v="0.33749999999999997"/>
    <n v="0"/>
  </r>
  <r>
    <n v="9931"/>
    <s v="CA-2015-104948"/>
    <d v="2015-11-13T00:00:00"/>
    <x v="1"/>
    <s v="Q4"/>
    <x v="6"/>
    <d v="2015-11-17T00:00:00"/>
    <s v="Standard Class"/>
    <x v="168"/>
    <x v="168"/>
    <s v="Consumer"/>
    <s v="United States"/>
    <s v="San Bernardino"/>
    <x v="1"/>
    <n v="92404"/>
    <x v="1"/>
    <x v="1488"/>
    <x v="1"/>
    <x v="8"/>
    <x v="1475"/>
    <n v="9.8719999999999999"/>
    <s v="Low"/>
    <n v="2"/>
    <n v="0.2"/>
    <x v="2"/>
    <x v="2"/>
    <n v="3.4552"/>
    <n v="0.35000000000000003"/>
    <n v="0"/>
  </r>
  <r>
    <n v="9932"/>
    <s v="CA-2015-104948"/>
    <d v="2015-11-13T00:00:00"/>
    <x v="1"/>
    <s v="Q4"/>
    <x v="6"/>
    <d v="2015-11-17T00:00:00"/>
    <s v="Standard Class"/>
    <x v="168"/>
    <x v="168"/>
    <s v="Consumer"/>
    <s v="United States"/>
    <s v="San Bernardino"/>
    <x v="1"/>
    <n v="92404"/>
    <x v="1"/>
    <x v="1373"/>
    <x v="0"/>
    <x v="0"/>
    <x v="1358"/>
    <n v="683.33199999999999"/>
    <s v="High"/>
    <n v="4"/>
    <n v="0.15"/>
    <x v="2"/>
    <x v="2"/>
    <n v="-40.195999999999998"/>
    <n v="-5.8823529411764705E-2"/>
    <n v="1"/>
  </r>
  <r>
    <n v="9933"/>
    <s v="CA-2015-104948"/>
    <d v="2015-11-13T00:00:00"/>
    <x v="1"/>
    <s v="Q4"/>
    <x v="6"/>
    <d v="2015-11-17T00:00:00"/>
    <s v="Standard Class"/>
    <x v="168"/>
    <x v="168"/>
    <s v="Consumer"/>
    <s v="United States"/>
    <s v="San Bernardino"/>
    <x v="1"/>
    <n v="92404"/>
    <x v="1"/>
    <x v="1532"/>
    <x v="1"/>
    <x v="10"/>
    <x v="1520"/>
    <n v="29.96"/>
    <s v="Medium"/>
    <n v="7"/>
    <n v="0"/>
    <x v="0"/>
    <x v="0"/>
    <n v="13.481999999999999"/>
    <n v="0.44999999999999996"/>
    <n v="0"/>
  </r>
  <r>
    <n v="9934"/>
    <s v="CA-2014-166555"/>
    <d v="2014-07-11T00:00:00"/>
    <x v="2"/>
    <s v="Q3"/>
    <x v="39"/>
    <d v="2014-07-14T00:00:00"/>
    <s v="First Class"/>
    <x v="523"/>
    <x v="523"/>
    <s v="Consumer"/>
    <s v="United States"/>
    <s v="Niagara Falls"/>
    <x v="15"/>
    <n v="14304"/>
    <x v="3"/>
    <x v="1514"/>
    <x v="2"/>
    <x v="7"/>
    <x v="1501"/>
    <n v="164.85"/>
    <s v="High"/>
    <n v="3"/>
    <n v="0"/>
    <x v="0"/>
    <x v="0"/>
    <n v="47.8065"/>
    <n v="0.29000000000000004"/>
    <n v="0"/>
  </r>
  <r>
    <n v="9935"/>
    <s v="CA-2016-114405"/>
    <d v="2016-04-07T00:00:00"/>
    <x v="0"/>
    <s v="Q2"/>
    <x v="25"/>
    <d v="2016-04-12T00:00:00"/>
    <s v="Standard Class"/>
    <x v="238"/>
    <x v="238"/>
    <s v="Consumer"/>
    <s v="United States"/>
    <s v="Philadelphia"/>
    <x v="9"/>
    <n v="19120"/>
    <x v="3"/>
    <x v="1803"/>
    <x v="1"/>
    <x v="9"/>
    <x v="1793"/>
    <n v="33.527999999999999"/>
    <s v="Medium"/>
    <n v="3"/>
    <n v="0.2"/>
    <x v="2"/>
    <x v="2"/>
    <n v="2.5146000000000002"/>
    <n v="7.5000000000000011E-2"/>
    <n v="0"/>
  </r>
  <r>
    <n v="9936"/>
    <s v="CA-2016-114405"/>
    <d v="2016-04-07T00:00:00"/>
    <x v="0"/>
    <s v="Q2"/>
    <x v="25"/>
    <d v="2016-04-12T00:00:00"/>
    <s v="Standard Class"/>
    <x v="238"/>
    <x v="238"/>
    <s v="Consumer"/>
    <s v="United States"/>
    <s v="Philadelphia"/>
    <x v="9"/>
    <n v="19120"/>
    <x v="3"/>
    <x v="1861"/>
    <x v="1"/>
    <x v="4"/>
    <x v="1849"/>
    <n v="36.744"/>
    <s v="Medium"/>
    <n v="3"/>
    <n v="0.2"/>
    <x v="2"/>
    <x v="2"/>
    <n v="3.6743999999999999"/>
    <n v="9.9999999999999992E-2"/>
    <n v="0"/>
  </r>
  <r>
    <n v="9937"/>
    <s v="CA-2017-132955"/>
    <d v="2017-06-24T00:00:00"/>
    <x v="3"/>
    <s v="Q2"/>
    <x v="27"/>
    <d v="2017-06-28T00:00:00"/>
    <s v="Standard Class"/>
    <x v="623"/>
    <x v="623"/>
    <s v="Consumer"/>
    <s v="United States"/>
    <s v="Cranston"/>
    <x v="34"/>
    <n v="2920"/>
    <x v="3"/>
    <x v="141"/>
    <x v="1"/>
    <x v="8"/>
    <x v="142"/>
    <n v="102.93"/>
    <s v="Medium"/>
    <n v="3"/>
    <n v="0"/>
    <x v="0"/>
    <x v="0"/>
    <n v="48.377099999999999"/>
    <n v="0.47"/>
    <n v="0"/>
  </r>
  <r>
    <n v="9938"/>
    <s v="CA-2016-164889"/>
    <d v="2016-06-03T00:00:00"/>
    <x v="0"/>
    <s v="Q2"/>
    <x v="1"/>
    <d v="2016-06-06T00:00:00"/>
    <s v="Second Class"/>
    <x v="291"/>
    <x v="291"/>
    <s v="Corporate"/>
    <s v="United States"/>
    <s v="Los Angeles"/>
    <x v="1"/>
    <n v="90049"/>
    <x v="1"/>
    <x v="972"/>
    <x v="0"/>
    <x v="3"/>
    <x v="966"/>
    <n v="71.087999999999994"/>
    <s v="Medium"/>
    <n v="2"/>
    <n v="0.2"/>
    <x v="2"/>
    <x v="2"/>
    <n v="-1.7771999999999999"/>
    <n v="-2.5000000000000001E-2"/>
    <n v="1"/>
  </r>
  <r>
    <n v="9939"/>
    <s v="CA-2016-169824"/>
    <d v="2016-12-12T00:00:00"/>
    <x v="0"/>
    <s v="Q4"/>
    <x v="5"/>
    <d v="2016-12-17T00:00:00"/>
    <s v="Standard Class"/>
    <x v="374"/>
    <x v="374"/>
    <s v="Corporate"/>
    <s v="United States"/>
    <s v="New York City"/>
    <x v="15"/>
    <n v="10009"/>
    <x v="3"/>
    <x v="441"/>
    <x v="0"/>
    <x v="5"/>
    <x v="1719"/>
    <n v="60.35"/>
    <s v="Medium"/>
    <n v="5"/>
    <n v="0"/>
    <x v="0"/>
    <x v="0"/>
    <n v="19.915500000000002"/>
    <n v="0.33"/>
    <n v="0"/>
  </r>
  <r>
    <n v="9940"/>
    <s v="CA-2016-169824"/>
    <d v="2016-12-12T00:00:00"/>
    <x v="0"/>
    <s v="Q4"/>
    <x v="5"/>
    <d v="2016-12-17T00:00:00"/>
    <s v="Standard Class"/>
    <x v="374"/>
    <x v="374"/>
    <s v="Corporate"/>
    <s v="United States"/>
    <s v="New York City"/>
    <x v="15"/>
    <n v="10009"/>
    <x v="3"/>
    <x v="1280"/>
    <x v="1"/>
    <x v="14"/>
    <x v="1265"/>
    <n v="35.520000000000003"/>
    <s v="Medium"/>
    <n v="4"/>
    <n v="0"/>
    <x v="0"/>
    <x v="0"/>
    <n v="9.9456000000000007"/>
    <n v="0.27999999999999997"/>
    <n v="0"/>
  </r>
  <r>
    <n v="9941"/>
    <s v="CA-2016-169824"/>
    <d v="2016-12-12T00:00:00"/>
    <x v="0"/>
    <s v="Q4"/>
    <x v="5"/>
    <d v="2016-12-17T00:00:00"/>
    <s v="Standard Class"/>
    <x v="374"/>
    <x v="374"/>
    <s v="Corporate"/>
    <s v="United States"/>
    <s v="New York City"/>
    <x v="15"/>
    <n v="10009"/>
    <x v="3"/>
    <x v="902"/>
    <x v="1"/>
    <x v="6"/>
    <x v="894"/>
    <n v="11.2"/>
    <s v="Low"/>
    <n v="7"/>
    <n v="0"/>
    <x v="0"/>
    <x v="0"/>
    <n v="4.8159999999999998"/>
    <n v="0.43"/>
    <n v="0"/>
  </r>
  <r>
    <n v="9942"/>
    <s v="CA-2017-164028"/>
    <d v="2017-11-24T00:00:00"/>
    <x v="3"/>
    <s v="Q4"/>
    <x v="23"/>
    <d v="2017-11-30T00:00:00"/>
    <s v="Standard Class"/>
    <x v="252"/>
    <x v="252"/>
    <s v="Consumer"/>
    <s v="United States"/>
    <s v="San Francisco"/>
    <x v="1"/>
    <n v="94122"/>
    <x v="1"/>
    <x v="404"/>
    <x v="2"/>
    <x v="11"/>
    <x v="405"/>
    <n v="223.58"/>
    <s v="High"/>
    <n v="14"/>
    <n v="0"/>
    <x v="0"/>
    <x v="0"/>
    <n v="87.196200000000005"/>
    <n v="0.39"/>
    <n v="0"/>
  </r>
  <r>
    <n v="9943"/>
    <s v="CA-2014-143371"/>
    <d v="2014-12-28T00:00:00"/>
    <x v="2"/>
    <s v="Q4"/>
    <x v="20"/>
    <d v="2015-01-03T00:00:00"/>
    <s v="Standard Class"/>
    <x v="198"/>
    <x v="198"/>
    <s v="Consumer"/>
    <s v="United States"/>
    <s v="Anaheim"/>
    <x v="1"/>
    <n v="92804"/>
    <x v="1"/>
    <x v="1439"/>
    <x v="1"/>
    <x v="4"/>
    <x v="1427"/>
    <n v="998.82"/>
    <s v="High"/>
    <n v="9"/>
    <n v="0"/>
    <x v="0"/>
    <x v="0"/>
    <n v="29.964600000000001"/>
    <n v="0.03"/>
    <n v="0"/>
  </r>
  <r>
    <n v="9944"/>
    <s v="CA-2014-143371"/>
    <d v="2014-12-28T00:00:00"/>
    <x v="2"/>
    <s v="Q4"/>
    <x v="20"/>
    <d v="2015-01-03T00:00:00"/>
    <s v="Standard Class"/>
    <x v="198"/>
    <x v="198"/>
    <s v="Consumer"/>
    <s v="United States"/>
    <s v="Anaheim"/>
    <x v="1"/>
    <n v="92804"/>
    <x v="1"/>
    <x v="682"/>
    <x v="1"/>
    <x v="14"/>
    <x v="682"/>
    <n v="51.15"/>
    <s v="Medium"/>
    <n v="5"/>
    <n v="0"/>
    <x v="0"/>
    <x v="0"/>
    <n v="13.298999999999999"/>
    <n v="0.26"/>
    <n v="0"/>
  </r>
  <r>
    <n v="9945"/>
    <s v="CA-2015-145415"/>
    <d v="2015-04-12T00:00:00"/>
    <x v="1"/>
    <s v="Q2"/>
    <x v="19"/>
    <d v="2015-04-17T00:00:00"/>
    <s v="Second Class"/>
    <x v="372"/>
    <x v="372"/>
    <s v="Home Office"/>
    <s v="United States"/>
    <s v="Seattle"/>
    <x v="4"/>
    <n v="98103"/>
    <x v="1"/>
    <x v="1033"/>
    <x v="1"/>
    <x v="4"/>
    <x v="1024"/>
    <n v="40.74"/>
    <s v="Medium"/>
    <n v="3"/>
    <n v="0"/>
    <x v="0"/>
    <x v="0"/>
    <n v="0.40739999999999998"/>
    <n v="9.9999999999999985E-3"/>
    <n v="0"/>
  </r>
  <r>
    <n v="9946"/>
    <s v="CA-2014-111157"/>
    <d v="2014-03-02T00:00:00"/>
    <x v="2"/>
    <s v="Q1"/>
    <x v="34"/>
    <d v="2014-03-06T00:00:00"/>
    <s v="Standard Class"/>
    <x v="468"/>
    <x v="468"/>
    <s v="Corporate"/>
    <s v="United States"/>
    <s v="Philadelphia"/>
    <x v="9"/>
    <n v="19120"/>
    <x v="3"/>
    <x v="1450"/>
    <x v="1"/>
    <x v="10"/>
    <x v="1437"/>
    <n v="3.4239999999999999"/>
    <s v="Low"/>
    <n v="1"/>
    <n v="0.2"/>
    <x v="2"/>
    <x v="2"/>
    <n v="1.07"/>
    <n v="0.3125"/>
    <n v="0"/>
  </r>
  <r>
    <n v="9947"/>
    <s v="CA-2014-111157"/>
    <d v="2014-03-02T00:00:00"/>
    <x v="2"/>
    <s v="Q1"/>
    <x v="34"/>
    <d v="2014-03-06T00:00:00"/>
    <s v="Standard Class"/>
    <x v="468"/>
    <x v="468"/>
    <s v="Corporate"/>
    <s v="United States"/>
    <s v="Philadelphia"/>
    <x v="9"/>
    <n v="19120"/>
    <x v="3"/>
    <x v="725"/>
    <x v="2"/>
    <x v="11"/>
    <x v="724"/>
    <n v="151.19999999999999"/>
    <s v="High"/>
    <n v="3"/>
    <n v="0.2"/>
    <x v="2"/>
    <x v="2"/>
    <n v="32.130000000000003"/>
    <n v="0.21250000000000002"/>
    <n v="0"/>
  </r>
  <r>
    <n v="9948"/>
    <s v="CA-2017-121559"/>
    <d v="2017-06-01T00:00:00"/>
    <x v="3"/>
    <s v="Q2"/>
    <x v="27"/>
    <d v="2017-06-03T00:00:00"/>
    <s v="Second Class"/>
    <x v="304"/>
    <x v="304"/>
    <s v="Corporate"/>
    <s v="United States"/>
    <s v="Indianapolis"/>
    <x v="14"/>
    <n v="46203"/>
    <x v="2"/>
    <x v="623"/>
    <x v="0"/>
    <x v="1"/>
    <x v="623"/>
    <n v="1925.88"/>
    <s v="High"/>
    <n v="6"/>
    <n v="0"/>
    <x v="0"/>
    <x v="0"/>
    <n v="539.24639999999999"/>
    <n v="0.27999999999999997"/>
    <n v="0"/>
  </r>
  <r>
    <n v="9949"/>
    <s v="CA-2017-121559"/>
    <d v="2017-06-01T00:00:00"/>
    <x v="3"/>
    <s v="Q2"/>
    <x v="27"/>
    <d v="2017-06-03T00:00:00"/>
    <s v="Second Class"/>
    <x v="304"/>
    <x v="304"/>
    <s v="Corporate"/>
    <s v="United States"/>
    <s v="Indianapolis"/>
    <x v="14"/>
    <n v="46203"/>
    <x v="2"/>
    <x v="227"/>
    <x v="1"/>
    <x v="9"/>
    <x v="228"/>
    <n v="2405.1999999999998"/>
    <s v="High"/>
    <n v="8"/>
    <n v="0"/>
    <x v="0"/>
    <x v="0"/>
    <n v="793.71600000000001"/>
    <n v="0.33"/>
    <n v="0"/>
  </r>
  <r>
    <n v="9950"/>
    <s v="CA-2017-121559"/>
    <d v="2017-06-01T00:00:00"/>
    <x v="3"/>
    <s v="Q2"/>
    <x v="27"/>
    <d v="2017-06-03T00:00:00"/>
    <s v="Second Class"/>
    <x v="304"/>
    <x v="304"/>
    <s v="Corporate"/>
    <s v="United States"/>
    <s v="Indianapolis"/>
    <x v="14"/>
    <n v="46203"/>
    <x v="2"/>
    <x v="1130"/>
    <x v="2"/>
    <x v="11"/>
    <x v="1118"/>
    <n v="83.97"/>
    <s v="Medium"/>
    <n v="3"/>
    <n v="0"/>
    <x v="0"/>
    <x v="0"/>
    <n v="15.9543"/>
    <n v="0.19"/>
    <n v="0"/>
  </r>
  <r>
    <n v="9951"/>
    <s v="CA-2017-121559"/>
    <d v="2017-06-01T00:00:00"/>
    <x v="3"/>
    <s v="Q2"/>
    <x v="27"/>
    <d v="2017-06-03T00:00:00"/>
    <s v="Second Class"/>
    <x v="304"/>
    <x v="304"/>
    <s v="Corporate"/>
    <s v="United States"/>
    <s v="Indianapolis"/>
    <x v="14"/>
    <n v="46203"/>
    <x v="2"/>
    <x v="685"/>
    <x v="2"/>
    <x v="11"/>
    <x v="685"/>
    <n v="39.89"/>
    <s v="Medium"/>
    <n v="1"/>
    <n v="0"/>
    <x v="0"/>
    <x v="0"/>
    <n v="14.7593"/>
    <n v="0.37"/>
    <n v="0"/>
  </r>
  <r>
    <n v="9952"/>
    <s v="CA-2017-121559"/>
    <d v="2017-06-01T00:00:00"/>
    <x v="3"/>
    <s v="Q2"/>
    <x v="27"/>
    <d v="2017-06-03T00:00:00"/>
    <s v="Second Class"/>
    <x v="304"/>
    <x v="304"/>
    <s v="Corporate"/>
    <s v="United States"/>
    <s v="Indianapolis"/>
    <x v="14"/>
    <n v="46203"/>
    <x v="2"/>
    <x v="844"/>
    <x v="1"/>
    <x v="8"/>
    <x v="838"/>
    <n v="17.38"/>
    <s v="Low"/>
    <n v="2"/>
    <n v="0"/>
    <x v="0"/>
    <x v="0"/>
    <n v="8.69"/>
    <n v="0.5"/>
    <n v="0"/>
  </r>
  <r>
    <n v="9953"/>
    <s v="CA-2015-141593"/>
    <d v="2015-12-14T00:00:00"/>
    <x v="1"/>
    <s v="Q4"/>
    <x v="14"/>
    <d v="2015-12-16T00:00:00"/>
    <s v="Second Class"/>
    <x v="715"/>
    <x v="715"/>
    <s v="Corporate"/>
    <s v="United States"/>
    <s v="Los Angeles"/>
    <x v="1"/>
    <n v="90045"/>
    <x v="1"/>
    <x v="303"/>
    <x v="1"/>
    <x v="8"/>
    <x v="303"/>
    <n v="55.264000000000003"/>
    <s v="Medium"/>
    <n v="2"/>
    <n v="0.2"/>
    <x v="2"/>
    <x v="2"/>
    <n v="20.724"/>
    <n v="0.375"/>
    <n v="0"/>
  </r>
  <r>
    <n v="9954"/>
    <s v="CA-2015-141593"/>
    <d v="2015-12-14T00:00:00"/>
    <x v="1"/>
    <s v="Q4"/>
    <x v="14"/>
    <d v="2015-12-16T00:00:00"/>
    <s v="Second Class"/>
    <x v="715"/>
    <x v="715"/>
    <s v="Corporate"/>
    <s v="United States"/>
    <s v="Los Angeles"/>
    <x v="1"/>
    <n v="90045"/>
    <x v="1"/>
    <x v="1347"/>
    <x v="1"/>
    <x v="10"/>
    <x v="1332"/>
    <n v="6.48"/>
    <s v="Low"/>
    <n v="1"/>
    <n v="0"/>
    <x v="0"/>
    <x v="0"/>
    <n v="3.1103999999999998"/>
    <n v="0.47999999999999993"/>
    <n v="0"/>
  </r>
  <r>
    <n v="9955"/>
    <s v="CA-2015-141593"/>
    <d v="2015-12-14T00:00:00"/>
    <x v="1"/>
    <s v="Q4"/>
    <x v="14"/>
    <d v="2015-12-16T00:00:00"/>
    <s v="Second Class"/>
    <x v="715"/>
    <x v="715"/>
    <s v="Corporate"/>
    <s v="United States"/>
    <s v="Los Angeles"/>
    <x v="1"/>
    <n v="90045"/>
    <x v="1"/>
    <x v="1395"/>
    <x v="1"/>
    <x v="8"/>
    <x v="1382"/>
    <n v="34.247999999999998"/>
    <s v="Medium"/>
    <n v="3"/>
    <n v="0.2"/>
    <x v="2"/>
    <x v="2"/>
    <n v="11.5587"/>
    <n v="0.33750000000000002"/>
    <n v="0"/>
  </r>
  <r>
    <n v="9956"/>
    <s v="CA-2015-141593"/>
    <d v="2015-12-14T00:00:00"/>
    <x v="1"/>
    <s v="Q4"/>
    <x v="14"/>
    <d v="2015-12-16T00:00:00"/>
    <s v="Second Class"/>
    <x v="715"/>
    <x v="715"/>
    <s v="Corporate"/>
    <s v="United States"/>
    <s v="Los Angeles"/>
    <x v="1"/>
    <n v="90045"/>
    <x v="1"/>
    <x v="975"/>
    <x v="0"/>
    <x v="3"/>
    <x v="969"/>
    <n v="273.56799999999998"/>
    <s v="High"/>
    <n v="2"/>
    <n v="0.2"/>
    <x v="2"/>
    <x v="2"/>
    <n v="10.258800000000001"/>
    <n v="3.7500000000000006E-2"/>
    <n v="0"/>
  </r>
  <r>
    <n v="9957"/>
    <s v="US-2014-143287"/>
    <d v="2014-11-11T00:00:00"/>
    <x v="2"/>
    <s v="Q4"/>
    <x v="7"/>
    <d v="2014-11-17T00:00:00"/>
    <s v="Standard Class"/>
    <x v="607"/>
    <x v="607"/>
    <s v="Home Office"/>
    <s v="United States"/>
    <s v="New Rochelle"/>
    <x v="15"/>
    <n v="10801"/>
    <x v="3"/>
    <x v="1286"/>
    <x v="1"/>
    <x v="10"/>
    <x v="1272"/>
    <n v="46.35"/>
    <s v="Medium"/>
    <n v="5"/>
    <n v="0"/>
    <x v="0"/>
    <x v="0"/>
    <n v="21.784500000000001"/>
    <n v="0.47000000000000003"/>
    <n v="0"/>
  </r>
  <r>
    <n v="9958"/>
    <s v="US-2014-143287"/>
    <d v="2014-11-11T00:00:00"/>
    <x v="2"/>
    <s v="Q4"/>
    <x v="7"/>
    <d v="2014-11-17T00:00:00"/>
    <s v="Standard Class"/>
    <x v="607"/>
    <x v="607"/>
    <s v="Home Office"/>
    <s v="United States"/>
    <s v="New Rochelle"/>
    <x v="15"/>
    <n v="10801"/>
    <x v="3"/>
    <x v="1558"/>
    <x v="1"/>
    <x v="10"/>
    <x v="1547"/>
    <n v="223.92"/>
    <s v="High"/>
    <n v="4"/>
    <n v="0"/>
    <x v="0"/>
    <x v="0"/>
    <n v="109.7208"/>
    <n v="0.49"/>
    <n v="0"/>
  </r>
  <r>
    <n v="9959"/>
    <s v="US-2014-143287"/>
    <d v="2014-11-11T00:00:00"/>
    <x v="2"/>
    <s v="Q4"/>
    <x v="7"/>
    <d v="2014-11-17T00:00:00"/>
    <s v="Standard Class"/>
    <x v="607"/>
    <x v="607"/>
    <s v="Home Office"/>
    <s v="United States"/>
    <s v="New Rochelle"/>
    <x v="15"/>
    <n v="10801"/>
    <x v="3"/>
    <x v="503"/>
    <x v="1"/>
    <x v="14"/>
    <x v="503"/>
    <n v="7.3"/>
    <s v="Low"/>
    <n v="2"/>
    <n v="0"/>
    <x v="0"/>
    <x v="0"/>
    <n v="2.19"/>
    <n v="0.3"/>
    <n v="0"/>
  </r>
  <r>
    <n v="9960"/>
    <s v="CA-2017-137421"/>
    <d v="2017-10-06T00:00:00"/>
    <x v="3"/>
    <s v="Q4"/>
    <x v="13"/>
    <d v="2017-10-11T00:00:00"/>
    <s v="Standard Class"/>
    <x v="219"/>
    <x v="219"/>
    <s v="Consumer"/>
    <s v="United States"/>
    <s v="Chandler"/>
    <x v="16"/>
    <n v="85224"/>
    <x v="1"/>
    <x v="1663"/>
    <x v="1"/>
    <x v="6"/>
    <x v="1651"/>
    <n v="9.3439999999999994"/>
    <s v="Low"/>
    <n v="2"/>
    <n v="0.2"/>
    <x v="2"/>
    <x v="2"/>
    <n v="1.8688"/>
    <n v="0.2"/>
    <n v="0"/>
  </r>
  <r>
    <n v="9961"/>
    <s v="CA-2017-141446"/>
    <d v="2017-09-16T00:00:00"/>
    <x v="3"/>
    <s v="Q3"/>
    <x v="15"/>
    <d v="2017-09-18T00:00:00"/>
    <s v="Second Class"/>
    <x v="642"/>
    <x v="642"/>
    <s v="Home Office"/>
    <s v="United States"/>
    <s v="Florence"/>
    <x v="0"/>
    <n v="41042"/>
    <x v="0"/>
    <x v="1542"/>
    <x v="2"/>
    <x v="11"/>
    <x v="1530"/>
    <n v="18"/>
    <s v="Low"/>
    <n v="1"/>
    <n v="0"/>
    <x v="0"/>
    <x v="0"/>
    <n v="3.24"/>
    <n v="0.18000000000000002"/>
    <n v="0"/>
  </r>
  <r>
    <n v="9962"/>
    <s v="CA-2015-168088"/>
    <d v="2015-03-19T00:00:00"/>
    <x v="1"/>
    <s v="Q1"/>
    <x v="29"/>
    <d v="2015-03-22T00:00:00"/>
    <s v="First Class"/>
    <x v="475"/>
    <x v="475"/>
    <s v="Home Office"/>
    <s v="United States"/>
    <s v="Houston"/>
    <x v="5"/>
    <n v="77041"/>
    <x v="2"/>
    <x v="1127"/>
    <x v="1"/>
    <x v="10"/>
    <x v="1115"/>
    <n v="65.584000000000003"/>
    <s v="Medium"/>
    <n v="2"/>
    <n v="0.2"/>
    <x v="2"/>
    <x v="2"/>
    <n v="23.7742"/>
    <n v="0.36249999999999999"/>
    <n v="0"/>
  </r>
  <r>
    <n v="9963"/>
    <s v="CA-2015-168088"/>
    <d v="2015-03-19T00:00:00"/>
    <x v="1"/>
    <s v="Q1"/>
    <x v="29"/>
    <d v="2015-03-22T00:00:00"/>
    <s v="First Class"/>
    <x v="475"/>
    <x v="475"/>
    <s v="Home Office"/>
    <s v="United States"/>
    <s v="Houston"/>
    <x v="5"/>
    <n v="77041"/>
    <x v="2"/>
    <x v="1601"/>
    <x v="0"/>
    <x v="0"/>
    <x v="1593"/>
    <n v="383.46559999999999"/>
    <s v="High"/>
    <n v="4"/>
    <n v="0.32"/>
    <x v="1"/>
    <x v="7"/>
    <n v="-67.670400000000001"/>
    <n v="-0.17647058823529413"/>
    <n v="1"/>
  </r>
  <r>
    <n v="9964"/>
    <s v="CA-2015-143700"/>
    <d v="2015-07-26T00:00:00"/>
    <x v="1"/>
    <s v="Q3"/>
    <x v="38"/>
    <d v="2015-07-26T00:00:00"/>
    <s v="Same Day"/>
    <x v="238"/>
    <x v="238"/>
    <s v="Consumer"/>
    <s v="United States"/>
    <s v="Philadelphia"/>
    <x v="9"/>
    <n v="19140"/>
    <x v="3"/>
    <x v="934"/>
    <x v="1"/>
    <x v="10"/>
    <x v="927"/>
    <n v="10.368"/>
    <s v="Low"/>
    <n v="2"/>
    <n v="0.2"/>
    <x v="2"/>
    <x v="2"/>
    <n v="3.6288"/>
    <n v="0.35"/>
    <n v="0"/>
  </r>
  <r>
    <n v="9965"/>
    <s v="CA-2016-146374"/>
    <d v="2016-12-05T00:00:00"/>
    <x v="0"/>
    <s v="Q4"/>
    <x v="5"/>
    <d v="2016-12-10T00:00:00"/>
    <s v="Second Class"/>
    <x v="785"/>
    <x v="785"/>
    <s v="Corporate"/>
    <s v="United States"/>
    <s v="Newark"/>
    <x v="13"/>
    <n v="19711"/>
    <x v="3"/>
    <x v="278"/>
    <x v="0"/>
    <x v="5"/>
    <x v="278"/>
    <n v="13.4"/>
    <s v="Low"/>
    <n v="1"/>
    <n v="0"/>
    <x v="0"/>
    <x v="0"/>
    <n v="6.4320000000000004"/>
    <n v="0.48000000000000004"/>
    <n v="0"/>
  </r>
  <r>
    <n v="9966"/>
    <s v="CA-2016-146374"/>
    <d v="2016-12-05T00:00:00"/>
    <x v="0"/>
    <s v="Q4"/>
    <x v="5"/>
    <d v="2016-12-10T00:00:00"/>
    <s v="Second Class"/>
    <x v="785"/>
    <x v="785"/>
    <s v="Corporate"/>
    <s v="United States"/>
    <s v="Newark"/>
    <x v="13"/>
    <n v="19711"/>
    <x v="3"/>
    <x v="811"/>
    <x v="1"/>
    <x v="10"/>
    <x v="33"/>
    <n v="4.9800000000000004"/>
    <s v="Low"/>
    <n v="1"/>
    <n v="0"/>
    <x v="0"/>
    <x v="0"/>
    <n v="2.3405999999999998"/>
    <n v="0.46999999999999992"/>
    <n v="0"/>
  </r>
  <r>
    <n v="9967"/>
    <s v="CA-2016-146374"/>
    <d v="2016-12-05T00:00:00"/>
    <x v="0"/>
    <s v="Q4"/>
    <x v="5"/>
    <d v="2016-12-10T00:00:00"/>
    <s v="Second Class"/>
    <x v="785"/>
    <x v="785"/>
    <s v="Corporate"/>
    <s v="United States"/>
    <s v="Newark"/>
    <x v="13"/>
    <n v="19711"/>
    <x v="3"/>
    <x v="1358"/>
    <x v="1"/>
    <x v="12"/>
    <x v="1344"/>
    <n v="109.69"/>
    <s v="Medium"/>
    <n v="7"/>
    <n v="0"/>
    <x v="0"/>
    <x v="0"/>
    <n v="51.554299999999998"/>
    <n v="0.47"/>
    <n v="0"/>
  </r>
  <r>
    <n v="9968"/>
    <s v="CA-2017-153871"/>
    <d v="2017-12-11T00:00:00"/>
    <x v="3"/>
    <s v="Q4"/>
    <x v="22"/>
    <d v="2017-12-17T00:00:00"/>
    <s v="Standard Class"/>
    <x v="579"/>
    <x v="579"/>
    <s v="Consumer"/>
    <s v="United States"/>
    <s v="Plainfield"/>
    <x v="30"/>
    <n v="7060"/>
    <x v="3"/>
    <x v="1232"/>
    <x v="1"/>
    <x v="8"/>
    <x v="1215"/>
    <n v="40.200000000000003"/>
    <s v="Medium"/>
    <n v="5"/>
    <n v="0"/>
    <x v="0"/>
    <x v="0"/>
    <n v="18.09"/>
    <n v="0.44999999999999996"/>
    <n v="0"/>
  </r>
  <r>
    <n v="9969"/>
    <s v="CA-2017-153871"/>
    <d v="2017-12-11T00:00:00"/>
    <x v="3"/>
    <s v="Q4"/>
    <x v="22"/>
    <d v="2017-12-17T00:00:00"/>
    <s v="Standard Class"/>
    <x v="579"/>
    <x v="579"/>
    <s v="Consumer"/>
    <s v="United States"/>
    <s v="Plainfield"/>
    <x v="30"/>
    <n v="7060"/>
    <x v="3"/>
    <x v="1498"/>
    <x v="1"/>
    <x v="8"/>
    <x v="1486"/>
    <n v="735.98"/>
    <s v="High"/>
    <n v="2"/>
    <n v="0"/>
    <x v="0"/>
    <x v="0"/>
    <n v="331.19099999999997"/>
    <n v="0.44999999999999996"/>
    <n v="0"/>
  </r>
  <r>
    <n v="9970"/>
    <s v="CA-2017-153871"/>
    <d v="2017-12-11T00:00:00"/>
    <x v="3"/>
    <s v="Q4"/>
    <x v="22"/>
    <d v="2017-12-17T00:00:00"/>
    <s v="Standard Class"/>
    <x v="579"/>
    <x v="579"/>
    <s v="Consumer"/>
    <s v="United States"/>
    <s v="Plainfield"/>
    <x v="30"/>
    <n v="7060"/>
    <x v="3"/>
    <x v="189"/>
    <x v="1"/>
    <x v="9"/>
    <x v="190"/>
    <n v="22.75"/>
    <s v="Low"/>
    <n v="7"/>
    <n v="0"/>
    <x v="0"/>
    <x v="0"/>
    <n v="6.5975000000000001"/>
    <n v="0.28999999999999998"/>
    <n v="0"/>
  </r>
  <r>
    <n v="9971"/>
    <s v="CA-2015-103772"/>
    <d v="2015-06-28T00:00:00"/>
    <x v="1"/>
    <s v="Q2"/>
    <x v="40"/>
    <d v="2015-07-02T00:00:00"/>
    <s v="Standard Class"/>
    <x v="88"/>
    <x v="88"/>
    <s v="Home Office"/>
    <s v="United States"/>
    <s v="Smyrna"/>
    <x v="32"/>
    <n v="30080"/>
    <x v="0"/>
    <x v="979"/>
    <x v="1"/>
    <x v="8"/>
    <x v="972"/>
    <n v="119.56"/>
    <s v="Medium"/>
    <n v="2"/>
    <n v="0"/>
    <x v="0"/>
    <x v="0"/>
    <n v="54.997599999999998"/>
    <n v="0.45999999999999996"/>
    <n v="0"/>
  </r>
  <r>
    <n v="9972"/>
    <s v="CA-2015-103772"/>
    <d v="2015-06-28T00:00:00"/>
    <x v="1"/>
    <s v="Q2"/>
    <x v="40"/>
    <d v="2015-07-02T00:00:00"/>
    <s v="Standard Class"/>
    <x v="88"/>
    <x v="88"/>
    <s v="Home Office"/>
    <s v="United States"/>
    <s v="Smyrna"/>
    <x v="32"/>
    <n v="30080"/>
    <x v="0"/>
    <x v="1269"/>
    <x v="1"/>
    <x v="6"/>
    <x v="1254"/>
    <n v="140.75"/>
    <s v="High"/>
    <n v="5"/>
    <n v="0"/>
    <x v="0"/>
    <x v="0"/>
    <n v="42.225000000000001"/>
    <n v="0.3"/>
    <n v="0"/>
  </r>
  <r>
    <n v="9973"/>
    <s v="CA-2016-130225"/>
    <d v="2016-09-11T00:00:00"/>
    <x v="0"/>
    <s v="Q3"/>
    <x v="21"/>
    <d v="2016-09-17T00:00:00"/>
    <s v="Standard Class"/>
    <x v="53"/>
    <x v="53"/>
    <s v="Consumer"/>
    <s v="United States"/>
    <s v="Houston"/>
    <x v="5"/>
    <n v="77041"/>
    <x v="2"/>
    <x v="633"/>
    <x v="1"/>
    <x v="12"/>
    <x v="633"/>
    <n v="99.567999999999998"/>
    <s v="Medium"/>
    <n v="2"/>
    <n v="0.2"/>
    <x v="2"/>
    <x v="2"/>
    <n v="33.604199999999999"/>
    <n v="0.33750000000000002"/>
    <n v="0"/>
  </r>
  <r>
    <n v="9974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1787"/>
    <x v="2"/>
    <x v="7"/>
    <x v="1777"/>
    <n v="271.95999999999998"/>
    <s v="High"/>
    <n v="5"/>
    <n v="0.2"/>
    <x v="2"/>
    <x v="2"/>
    <n v="27.196000000000002"/>
    <n v="0.10000000000000002"/>
    <n v="0"/>
  </r>
  <r>
    <n v="9975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1126"/>
    <x v="1"/>
    <x v="6"/>
    <x v="1114"/>
    <n v="18.690000000000001"/>
    <s v="Low"/>
    <n v="7"/>
    <n v="0"/>
    <x v="0"/>
    <x v="0"/>
    <n v="5.2332000000000001"/>
    <n v="0.27999999999999997"/>
    <n v="0"/>
  </r>
  <r>
    <n v="9976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578"/>
    <x v="1"/>
    <x v="10"/>
    <x v="578"/>
    <n v="13.36"/>
    <s v="Low"/>
    <n v="2"/>
    <n v="0"/>
    <x v="0"/>
    <x v="0"/>
    <n v="6.4127999999999998"/>
    <n v="0.48"/>
    <n v="0"/>
  </r>
  <r>
    <n v="9977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495"/>
    <x v="2"/>
    <x v="7"/>
    <x v="495"/>
    <n v="249.584"/>
    <s v="High"/>
    <n v="2"/>
    <n v="0.2"/>
    <x v="2"/>
    <x v="2"/>
    <n v="31.198"/>
    <n v="0.125"/>
    <n v="0"/>
  </r>
  <r>
    <n v="9978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494"/>
    <x v="1"/>
    <x v="13"/>
    <x v="494"/>
    <n v="13.86"/>
    <s v="Low"/>
    <n v="7"/>
    <n v="0"/>
    <x v="0"/>
    <x v="0"/>
    <n v="0"/>
    <n v="0"/>
    <n v="0"/>
  </r>
  <r>
    <n v="9979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807"/>
    <x v="1"/>
    <x v="8"/>
    <x v="805"/>
    <n v="13.375999999999999"/>
    <s v="Low"/>
    <n v="4"/>
    <n v="0.2"/>
    <x v="2"/>
    <x v="2"/>
    <n v="4.6816000000000004"/>
    <n v="0.35000000000000003"/>
    <n v="0"/>
  </r>
  <r>
    <n v="9980"/>
    <s v="US-2016-103674"/>
    <d v="2016-12-06T00:00:00"/>
    <x v="0"/>
    <s v="Q4"/>
    <x v="5"/>
    <d v="2016-12-10T00:00:00"/>
    <s v="Standard Class"/>
    <x v="399"/>
    <x v="399"/>
    <s v="Home Office"/>
    <s v="United States"/>
    <s v="Los Angeles"/>
    <x v="1"/>
    <n v="90032"/>
    <x v="1"/>
    <x v="920"/>
    <x v="1"/>
    <x v="8"/>
    <x v="1758"/>
    <n v="437.47199999999998"/>
    <s v="High"/>
    <n v="14"/>
    <n v="0.2"/>
    <x v="2"/>
    <x v="2"/>
    <n v="153.11519999999999"/>
    <n v="0.35"/>
    <n v="0"/>
  </r>
  <r>
    <n v="9981"/>
    <s v="US-2015-151435"/>
    <d v="2015-09-06T00:00:00"/>
    <x v="1"/>
    <s v="Q3"/>
    <x v="11"/>
    <d v="2015-09-09T00:00:00"/>
    <s v="Second Class"/>
    <x v="517"/>
    <x v="517"/>
    <s v="Consumer"/>
    <s v="United States"/>
    <s v="Lafayette"/>
    <x v="28"/>
    <n v="70506"/>
    <x v="0"/>
    <x v="977"/>
    <x v="0"/>
    <x v="3"/>
    <x v="832"/>
    <n v="85.98"/>
    <s v="Medium"/>
    <n v="1"/>
    <n v="0"/>
    <x v="0"/>
    <x v="0"/>
    <n v="22.354800000000001"/>
    <n v="0.26"/>
    <n v="0"/>
  </r>
  <r>
    <n v="9982"/>
    <s v="CA-2017-163566"/>
    <d v="2017-08-03T00:00:00"/>
    <x v="3"/>
    <s v="Q3"/>
    <x v="43"/>
    <d v="2017-08-06T00:00:00"/>
    <s v="First Class"/>
    <x v="26"/>
    <x v="26"/>
    <s v="Consumer"/>
    <s v="United States"/>
    <s v="Fairfield"/>
    <x v="24"/>
    <n v="45014"/>
    <x v="3"/>
    <x v="617"/>
    <x v="1"/>
    <x v="2"/>
    <x v="617"/>
    <n v="16.52"/>
    <s v="Low"/>
    <n v="5"/>
    <n v="0.2"/>
    <x v="2"/>
    <x v="2"/>
    <n v="5.3689999999999998"/>
    <n v="0.32500000000000001"/>
    <n v="0"/>
  </r>
  <r>
    <n v="9983"/>
    <s v="US-2016-157728"/>
    <d v="2016-09-22T00:00:00"/>
    <x v="0"/>
    <s v="Q3"/>
    <x v="21"/>
    <d v="2016-09-28T00:00:00"/>
    <s v="Standard Class"/>
    <x v="53"/>
    <x v="53"/>
    <s v="Consumer"/>
    <s v="United States"/>
    <s v="Grand Rapids"/>
    <x v="12"/>
    <n v="49505"/>
    <x v="2"/>
    <x v="727"/>
    <x v="1"/>
    <x v="10"/>
    <x v="726"/>
    <n v="35.56"/>
    <s v="Medium"/>
    <n v="7"/>
    <n v="0"/>
    <x v="0"/>
    <x v="0"/>
    <n v="16.713200000000001"/>
    <n v="0.47"/>
    <n v="0"/>
  </r>
  <r>
    <n v="9984"/>
    <s v="US-2016-157728"/>
    <d v="2016-09-22T00:00:00"/>
    <x v="0"/>
    <s v="Q3"/>
    <x v="21"/>
    <d v="2016-09-28T00:00:00"/>
    <s v="Standard Class"/>
    <x v="53"/>
    <x v="53"/>
    <s v="Consumer"/>
    <s v="United States"/>
    <s v="Grand Rapids"/>
    <x v="12"/>
    <n v="49505"/>
    <x v="2"/>
    <x v="1692"/>
    <x v="2"/>
    <x v="7"/>
    <x v="1680"/>
    <n v="97.98"/>
    <s v="Medium"/>
    <n v="2"/>
    <n v="0"/>
    <x v="0"/>
    <x v="0"/>
    <n v="27.4344"/>
    <n v="0.27999999999999997"/>
    <n v="0"/>
  </r>
  <r>
    <n v="9985"/>
    <s v="CA-2015-100251"/>
    <d v="2015-05-17T00:00:00"/>
    <x v="1"/>
    <s v="Q2"/>
    <x v="33"/>
    <d v="2015-05-23T00:00:00"/>
    <s v="Standard Class"/>
    <x v="231"/>
    <x v="231"/>
    <s v="Consumer"/>
    <s v="United States"/>
    <s v="Long Beach"/>
    <x v="15"/>
    <n v="11561"/>
    <x v="3"/>
    <x v="365"/>
    <x v="1"/>
    <x v="2"/>
    <x v="365"/>
    <n v="31.5"/>
    <s v="Medium"/>
    <n v="10"/>
    <n v="0"/>
    <x v="0"/>
    <x v="0"/>
    <n v="15.12"/>
    <n v="0.48"/>
    <n v="0"/>
  </r>
  <r>
    <n v="9986"/>
    <s v="CA-2015-100251"/>
    <d v="2015-05-17T00:00:00"/>
    <x v="1"/>
    <s v="Q2"/>
    <x v="33"/>
    <d v="2015-05-23T00:00:00"/>
    <s v="Standard Class"/>
    <x v="231"/>
    <x v="231"/>
    <s v="Consumer"/>
    <s v="United States"/>
    <s v="Long Beach"/>
    <x v="15"/>
    <n v="11561"/>
    <x v="3"/>
    <x v="1205"/>
    <x v="1"/>
    <x v="14"/>
    <x v="1190"/>
    <n v="55.6"/>
    <s v="Medium"/>
    <n v="4"/>
    <n v="0"/>
    <x v="0"/>
    <x v="0"/>
    <n v="16.123999999999999"/>
    <n v="0.28999999999999998"/>
    <n v="0"/>
  </r>
  <r>
    <n v="9987"/>
    <s v="CA-2016-125794"/>
    <d v="2016-09-29T00:00:00"/>
    <x v="0"/>
    <s v="Q3"/>
    <x v="21"/>
    <d v="2016-10-03T00:00:00"/>
    <s v="Standard Class"/>
    <x v="586"/>
    <x v="586"/>
    <s v="Consumer"/>
    <s v="United States"/>
    <s v="Los Angeles"/>
    <x v="1"/>
    <n v="90008"/>
    <x v="1"/>
    <x v="1519"/>
    <x v="2"/>
    <x v="11"/>
    <x v="1506"/>
    <n v="36.24"/>
    <s v="Medium"/>
    <n v="1"/>
    <n v="0"/>
    <x v="0"/>
    <x v="0"/>
    <n v="15.220800000000001"/>
    <n v="0.42"/>
    <n v="0"/>
  </r>
  <r>
    <n v="9988"/>
    <s v="CA-2017-163629"/>
    <d v="2017-11-17T00:00:00"/>
    <x v="3"/>
    <s v="Q4"/>
    <x v="23"/>
    <d v="2017-11-21T00:00:00"/>
    <s v="Standard Class"/>
    <x v="19"/>
    <x v="19"/>
    <s v="Corporate"/>
    <s v="United States"/>
    <s v="Athens"/>
    <x v="32"/>
    <n v="30605"/>
    <x v="0"/>
    <x v="1593"/>
    <x v="2"/>
    <x v="11"/>
    <x v="1585"/>
    <n v="79.989999999999995"/>
    <s v="Medium"/>
    <n v="1"/>
    <n v="0"/>
    <x v="0"/>
    <x v="0"/>
    <n v="28.796399999999998"/>
    <n v="0.36"/>
    <n v="0"/>
  </r>
  <r>
    <n v="9989"/>
    <s v="CA-2017-163629"/>
    <d v="2017-11-17T00:00:00"/>
    <x v="3"/>
    <s v="Q4"/>
    <x v="23"/>
    <d v="2017-11-21T00:00:00"/>
    <s v="Standard Class"/>
    <x v="19"/>
    <x v="19"/>
    <s v="Corporate"/>
    <s v="United States"/>
    <s v="Athens"/>
    <x v="32"/>
    <n v="30605"/>
    <x v="0"/>
    <x v="1783"/>
    <x v="2"/>
    <x v="7"/>
    <x v="1773"/>
    <n v="206.1"/>
    <s v="High"/>
    <n v="5"/>
    <n v="0"/>
    <x v="0"/>
    <x v="0"/>
    <n v="55.646999999999998"/>
    <n v="0.27"/>
    <n v="0"/>
  </r>
  <r>
    <n v="9990"/>
    <s v="CA-2014-110422"/>
    <d v="2014-01-21T00:00:00"/>
    <x v="2"/>
    <s v="Q1"/>
    <x v="46"/>
    <d v="2014-01-23T00:00:00"/>
    <s v="Second Class"/>
    <x v="483"/>
    <x v="483"/>
    <s v="Consumer"/>
    <s v="United States"/>
    <s v="Miami"/>
    <x v="2"/>
    <n v="33180"/>
    <x v="0"/>
    <x v="1172"/>
    <x v="0"/>
    <x v="5"/>
    <x v="1158"/>
    <n v="25.248000000000001"/>
    <s v="Medium"/>
    <n v="3"/>
    <n v="0.2"/>
    <x v="2"/>
    <x v="2"/>
    <n v="4.1028000000000002"/>
    <n v="0.16250000000000001"/>
    <n v="0"/>
  </r>
  <r>
    <n v="9991"/>
    <s v="CA-2017-121258"/>
    <d v="2017-02-26T00:00:00"/>
    <x v="3"/>
    <s v="Q1"/>
    <x v="31"/>
    <d v="2017-03-03T00:00:00"/>
    <s v="Standard Class"/>
    <x v="72"/>
    <x v="72"/>
    <s v="Consumer"/>
    <s v="United States"/>
    <s v="Costa Mesa"/>
    <x v="1"/>
    <n v="92627"/>
    <x v="1"/>
    <x v="1762"/>
    <x v="0"/>
    <x v="5"/>
    <x v="1751"/>
    <n v="91.96"/>
    <s v="Medium"/>
    <n v="2"/>
    <n v="0"/>
    <x v="0"/>
    <x v="0"/>
    <n v="15.6332"/>
    <n v="0.17"/>
    <n v="0"/>
  </r>
  <r>
    <n v="9992"/>
    <s v="CA-2017-121258"/>
    <d v="2017-02-26T00:00:00"/>
    <x v="3"/>
    <s v="Q1"/>
    <x v="31"/>
    <d v="2017-03-03T00:00:00"/>
    <s v="Standard Class"/>
    <x v="72"/>
    <x v="72"/>
    <s v="Consumer"/>
    <s v="United States"/>
    <s v="Costa Mesa"/>
    <x v="1"/>
    <n v="92627"/>
    <x v="1"/>
    <x v="297"/>
    <x v="2"/>
    <x v="7"/>
    <x v="297"/>
    <n v="258.57600000000002"/>
    <s v="High"/>
    <n v="2"/>
    <n v="0.2"/>
    <x v="2"/>
    <x v="2"/>
    <n v="19.3932"/>
    <n v="7.4999999999999997E-2"/>
    <n v="0"/>
  </r>
  <r>
    <n v="9993"/>
    <s v="CA-2017-121258"/>
    <d v="2017-02-26T00:00:00"/>
    <x v="3"/>
    <s v="Q1"/>
    <x v="31"/>
    <d v="2017-03-03T00:00:00"/>
    <s v="Standard Class"/>
    <x v="72"/>
    <x v="72"/>
    <s v="Consumer"/>
    <s v="United States"/>
    <s v="Costa Mesa"/>
    <x v="1"/>
    <n v="92627"/>
    <x v="1"/>
    <x v="956"/>
    <x v="1"/>
    <x v="10"/>
    <x v="949"/>
    <n v="29.6"/>
    <s v="Medium"/>
    <n v="4"/>
    <n v="0"/>
    <x v="0"/>
    <x v="0"/>
    <n v="13.32"/>
    <n v="0.45"/>
    <n v="0"/>
  </r>
  <r>
    <n v="9994"/>
    <s v="CA-2017-119914"/>
    <d v="2017-05-04T00:00:00"/>
    <x v="3"/>
    <s v="Q2"/>
    <x v="24"/>
    <d v="2017-05-09T00:00:00"/>
    <s v="Second Class"/>
    <x v="417"/>
    <x v="417"/>
    <s v="Consumer"/>
    <s v="United States"/>
    <s v="Westminster"/>
    <x v="1"/>
    <n v="92683"/>
    <x v="1"/>
    <x v="166"/>
    <x v="1"/>
    <x v="9"/>
    <x v="167"/>
    <n v="243.16"/>
    <s v="High"/>
    <n v="2"/>
    <n v="0"/>
    <x v="0"/>
    <x v="0"/>
    <n v="72.947999999999993"/>
    <n v="0.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A8D0A-B255-4BED-9046-6A106E088A1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U1:V5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0" baseField="0" baseItem="0" numFmtId="1"/>
  </dataFields>
  <formats count="2">
    <format dxfId="19">
      <pivotArea outline="0" collapsedLevelsAreSubtotals="1" fieldPosition="0"/>
    </format>
    <format dxfId="18">
      <pivotArea collapsedLevelsAreSubtotals="1" fieldPosition="0">
        <references count="1">
          <reference field="17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8829B-5938-4BCA-BCD5-49AAC4D3D7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Y7:Z17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8"/>
        <item x="2"/>
        <item x="4"/>
        <item x="7"/>
        <item x="1"/>
        <item x="6"/>
        <item x="5"/>
        <item x="3"/>
        <item t="default"/>
      </items>
    </pivotField>
    <pivotField showAll="0"/>
    <pivotField dataField="1"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ofit Margin" fld="27" subtotal="average" baseField="25" baseItem="7" numFmtId="2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B10C7-F9F0-445F-A510-75BFDC4D0C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X1:Y5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6" baseField="0" baseItem="0" numFmtId="1"/>
  </dataFields>
  <formats count="1">
    <format dxfId="2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5B905-656C-4757-9269-F42364BD0A8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X24:Z45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9"/>
    <field x="18"/>
  </rowFields>
  <rowItems count="21">
    <i>
      <x v="475"/>
    </i>
    <i r="1">
      <x v="11"/>
    </i>
    <i>
      <x v="987"/>
    </i>
    <i r="1">
      <x v="11"/>
    </i>
    <i>
      <x v="476"/>
    </i>
    <i r="1">
      <x v="11"/>
    </i>
    <i>
      <x v="421"/>
    </i>
    <i r="1">
      <x v="16"/>
    </i>
    <i>
      <x v="376"/>
    </i>
    <i r="1">
      <x v="16"/>
    </i>
    <i>
      <x v="683"/>
    </i>
    <i r="1">
      <x v="3"/>
    </i>
    <i>
      <x v="440"/>
    </i>
    <i r="1">
      <x v="11"/>
    </i>
    <i>
      <x v="1049"/>
    </i>
    <i r="1">
      <x v="15"/>
    </i>
    <i>
      <x v="277"/>
    </i>
    <i r="1">
      <x v="16"/>
    </i>
    <i>
      <x v="363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6" baseField="0" baseItem="0" numFmtId="1"/>
  </dataFields>
  <formats count="1">
    <format dxfId="14">
      <pivotArea outline="0" collapsedLevelsAreSubtotals="1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8" type="sum" evalOrder="-1" id="2" iMeasureFld="1">
      <autoFilter ref="A1">
        <filterColumn colId="0">
          <top10 val="10" filterVal="10"/>
        </filterColumn>
      </autoFilter>
    </filter>
    <filter fld="19" type="count" evalOrder="-1" id="4" iMeasureFld="1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70785-E8C2-46AF-ADFE-2A0D7D8D43C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X1:Z22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9"/>
    <field x="18"/>
  </rowFields>
  <rowItems count="21">
    <i>
      <x v="394"/>
    </i>
    <i r="1">
      <x v="6"/>
    </i>
    <i>
      <x v="650"/>
    </i>
    <i r="1">
      <x v="3"/>
    </i>
    <i>
      <x v="797"/>
    </i>
    <i r="1">
      <x v="6"/>
    </i>
    <i>
      <x v="397"/>
    </i>
    <i r="1">
      <x v="6"/>
    </i>
    <i>
      <x v="878"/>
    </i>
    <i r="1">
      <x v="11"/>
    </i>
    <i>
      <x v="165"/>
    </i>
    <i r="1">
      <x v="11"/>
    </i>
    <i>
      <x v="18"/>
    </i>
    <i r="1">
      <x v="11"/>
    </i>
    <i>
      <x v="1282"/>
    </i>
    <i r="1">
      <x/>
    </i>
    <i>
      <x v="895"/>
    </i>
    <i r="1">
      <x v="3"/>
    </i>
    <i>
      <x v="1848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6" baseField="0" baseItem="0" numFmtId="1"/>
  </dataFields>
  <formats count="1">
    <format dxfId="15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1"/>
          </reference>
          <reference field="18" count="1" selected="0">
            <x v="11"/>
          </reference>
          <reference field="19" count="1" selected="0">
            <x v="1848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8" type="sum" evalOrder="-1" id="2" iMeasureFld="1">
      <autoFilter ref="A1">
        <filterColumn colId="0">
          <top10 val="10" filterVal="10"/>
        </filterColumn>
      </autoFilter>
    </filter>
    <filter fld="19" type="count" evalOrder="-1" id="3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70A7F-D062-411E-A4D6-9C5B5E51DB4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T7:V28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7"/>
    <field x="1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6" baseField="0" baseItem="0"/>
  </dataFields>
  <formats count="1">
    <format dxfId="1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1BB75-F2C4-4392-A6F1-1F1D22510AD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T1:V5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6" baseField="0" baseItem="0"/>
  </dataFields>
  <formats count="1">
    <format dxfId="1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97CFB-6AE8-4D17-AFC6-25E07BCA2B5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U15:W65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23" subtotal="average" baseField="15" baseItem="1" numFmtId="2"/>
    <dataField name="Sum of Profit" fld="26" baseField="0" baseItem="0"/>
  </dataFields>
  <formats count="2"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654A0-A2ED-4F88-A899-0E1AC986DC3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Y24:Z45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3"/>
    <field x="15"/>
  </rowFields>
  <rowItems count="21">
    <i>
      <x v="41"/>
    </i>
    <i r="1">
      <x/>
    </i>
    <i>
      <x v="33"/>
    </i>
    <i r="1">
      <x v="1"/>
    </i>
    <i>
      <x v="36"/>
    </i>
    <i r="1">
      <x v="1"/>
    </i>
    <i>
      <x v="11"/>
    </i>
    <i r="1">
      <x/>
    </i>
    <i>
      <x v="31"/>
    </i>
    <i r="1">
      <x v="2"/>
    </i>
    <i>
      <x v="4"/>
    </i>
    <i r="1">
      <x v="3"/>
    </i>
    <i>
      <x v="40"/>
    </i>
    <i r="1">
      <x v="2"/>
    </i>
    <i>
      <x v="1"/>
    </i>
    <i r="1">
      <x v="3"/>
    </i>
    <i>
      <x v="8"/>
    </i>
    <i r="1">
      <x v="2"/>
    </i>
    <i>
      <x v="35"/>
    </i>
    <i r="1">
      <x v="3"/>
    </i>
    <i t="grand">
      <x/>
    </i>
  </rowItems>
  <colItems count="1">
    <i/>
  </colItems>
  <dataFields count="1">
    <dataField name="Sum of Profit" fld="26" baseField="0" baseItem="0"/>
  </dataFields>
  <formats count="1">
    <format dxfId="7">
      <pivotArea outline="0" collapsedLevelsAreSubtotals="1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3" count="1" selected="0">
            <x v="45"/>
          </reference>
          <reference field="15" count="1" selected="0">
            <x v="3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33FF4-CD21-485E-BE99-97762672D47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U8:V13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Profit Margin 0" fld="31" baseField="0" baseItem="0" numFmtId="2"/>
  </dataFields>
  <formats count="2"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8BC65-4A58-4883-BB0C-B4548F27A3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Y1:Z22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3"/>
    <field x="15"/>
  </rowFields>
  <rowItems count="21">
    <i>
      <x v="3"/>
    </i>
    <i r="1">
      <x v="3"/>
    </i>
    <i>
      <x v="30"/>
    </i>
    <i r="1">
      <x v="1"/>
    </i>
    <i>
      <x v="45"/>
    </i>
    <i r="1">
      <x v="3"/>
    </i>
    <i>
      <x v="20"/>
    </i>
    <i r="1">
      <x/>
    </i>
    <i>
      <x v="44"/>
    </i>
    <i r="1">
      <x v="2"/>
    </i>
    <i>
      <x v="12"/>
    </i>
    <i r="1">
      <x/>
    </i>
    <i>
      <x v="9"/>
    </i>
    <i r="1">
      <x v="2"/>
    </i>
    <i>
      <x v="15"/>
    </i>
    <i r="1">
      <x v="2"/>
    </i>
    <i>
      <x v="21"/>
    </i>
    <i r="1">
      <x/>
    </i>
    <i>
      <x v="6"/>
    </i>
    <i r="1">
      <x v="1"/>
    </i>
    <i t="grand">
      <x/>
    </i>
  </rowItems>
  <colItems count="1">
    <i/>
  </colItems>
  <dataFields count="1">
    <dataField name="Sum of Profit" fld="26" baseField="0" baseItem="0"/>
  </dataFields>
  <formats count="1">
    <format dxfId="1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C1FC8-501D-4261-94D2-C8A2FC4A80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U1:W6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 numFmtId="1"/>
    <dataField name="Sum of Profit" fld="26" baseField="0" baseItem="0"/>
  </dataFields>
  <formats count="3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76545-FB73-46A0-9EE6-FD8CF106052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1:AE13" firstHeaderRow="1" firstDataRow="1" firstDataCol="1"/>
  <pivotFields count="35">
    <pivotField showAll="0"/>
    <pivotField dataField="1" showAll="0"/>
    <pivotField numFmtId="14" showAll="0"/>
    <pivotField showAll="0"/>
    <pivotField showAll="0"/>
    <pivotField showAll="0"/>
    <pivotField numFmtId="14" showAll="0"/>
    <pivotField showAll="0"/>
    <pivotField showAll="0" measureFilter="1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2">
    <i>
      <x v="259"/>
    </i>
    <i>
      <x v="791"/>
    </i>
    <i>
      <x v="60"/>
    </i>
    <i>
      <x v="391"/>
    </i>
    <i>
      <x v="249"/>
    </i>
    <i>
      <x v="145"/>
    </i>
    <i>
      <x v="689"/>
    </i>
    <i>
      <x v="595"/>
    </i>
    <i>
      <x v="387"/>
    </i>
    <i>
      <x v="502"/>
    </i>
    <i>
      <x v="787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filters count="2">
    <filter fld="8" type="count" evalOrder="-1" id="1" iMeasureFld="0">
      <autoFilter ref="A1">
        <filterColumn colId="0">
          <top10 val="10" filterVal="10"/>
        </filterColumn>
      </autoFilter>
    </filter>
    <filter fld="9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34ED6-96C4-440E-98BC-C762931365F7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:AI795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axis="axisRow" showAll="0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794">
    <i>
      <x v="700"/>
    </i>
    <i>
      <x v="741"/>
    </i>
    <i>
      <x v="621"/>
    </i>
    <i>
      <x v="730"/>
    </i>
    <i>
      <x v="6"/>
    </i>
    <i>
      <x v="434"/>
    </i>
    <i>
      <x v="669"/>
    </i>
    <i>
      <x v="327"/>
    </i>
    <i>
      <x v="683"/>
    </i>
    <i>
      <x v="131"/>
    </i>
    <i>
      <x v="764"/>
    </i>
    <i>
      <x v="311"/>
    </i>
    <i>
      <x v="90"/>
    </i>
    <i>
      <x v="720"/>
    </i>
    <i>
      <x v="146"/>
    </i>
    <i>
      <x v="152"/>
    </i>
    <i>
      <x v="497"/>
    </i>
    <i>
      <x v="427"/>
    </i>
    <i>
      <x v="104"/>
    </i>
    <i>
      <x v="257"/>
    </i>
    <i>
      <x v="387"/>
    </i>
    <i>
      <x v="310"/>
    </i>
    <i>
      <x v="333"/>
    </i>
    <i>
      <x v="737"/>
    </i>
    <i>
      <x v="588"/>
    </i>
    <i>
      <x v="160"/>
    </i>
    <i>
      <x v="352"/>
    </i>
    <i>
      <x v="355"/>
    </i>
    <i>
      <x v="447"/>
    </i>
    <i>
      <x v="597"/>
    </i>
    <i>
      <x v="236"/>
    </i>
    <i>
      <x v="560"/>
    </i>
    <i>
      <x v="422"/>
    </i>
    <i>
      <x v="556"/>
    </i>
    <i>
      <x v="328"/>
    </i>
    <i>
      <x v="424"/>
    </i>
    <i>
      <x v="666"/>
    </i>
    <i>
      <x v="791"/>
    </i>
    <i>
      <x v="371"/>
    </i>
    <i>
      <x v="573"/>
    </i>
    <i>
      <x v="34"/>
    </i>
    <i>
      <x v="5"/>
    </i>
    <i>
      <x v="354"/>
    </i>
    <i>
      <x v="410"/>
    </i>
    <i>
      <x v="451"/>
    </i>
    <i>
      <x v="394"/>
    </i>
    <i>
      <x v="349"/>
    </i>
    <i>
      <x v="602"/>
    </i>
    <i>
      <x v="536"/>
    </i>
    <i>
      <x v="660"/>
    </i>
    <i>
      <x v="92"/>
    </i>
    <i>
      <x v="606"/>
    </i>
    <i>
      <x v="577"/>
    </i>
    <i>
      <x v="233"/>
    </i>
    <i>
      <x v="285"/>
    </i>
    <i>
      <x v="643"/>
    </i>
    <i>
      <x v="610"/>
    </i>
    <i>
      <x v="65"/>
    </i>
    <i>
      <x v="356"/>
    </i>
    <i>
      <x v="790"/>
    </i>
    <i>
      <x v="48"/>
    </i>
    <i>
      <x v="235"/>
    </i>
    <i>
      <x v="302"/>
    </i>
    <i>
      <x v="339"/>
    </i>
    <i>
      <x v="568"/>
    </i>
    <i>
      <x v="776"/>
    </i>
    <i>
      <x v="665"/>
    </i>
    <i>
      <x v="365"/>
    </i>
    <i>
      <x v="224"/>
    </i>
    <i>
      <x v="162"/>
    </i>
    <i>
      <x v="516"/>
    </i>
    <i>
      <x v="88"/>
    </i>
    <i>
      <x v="647"/>
    </i>
    <i>
      <x v="787"/>
    </i>
    <i>
      <x v="786"/>
    </i>
    <i>
      <x v="682"/>
    </i>
    <i>
      <x v="615"/>
    </i>
    <i>
      <x v="15"/>
    </i>
    <i>
      <x v="125"/>
    </i>
    <i>
      <x v="307"/>
    </i>
    <i>
      <x v="673"/>
    </i>
    <i>
      <x v="432"/>
    </i>
    <i>
      <x v="649"/>
    </i>
    <i>
      <x v="430"/>
    </i>
    <i>
      <x v="82"/>
    </i>
    <i>
      <x v="166"/>
    </i>
    <i>
      <x v="67"/>
    </i>
    <i>
      <x v="181"/>
    </i>
    <i>
      <x v="41"/>
    </i>
    <i>
      <x v="627"/>
    </i>
    <i>
      <x v="436"/>
    </i>
    <i>
      <x/>
    </i>
    <i>
      <x v="702"/>
    </i>
    <i>
      <x v="570"/>
    </i>
    <i>
      <x v="12"/>
    </i>
    <i>
      <x v="515"/>
    </i>
    <i>
      <x v="234"/>
    </i>
    <i>
      <x v="275"/>
    </i>
    <i>
      <x v="789"/>
    </i>
    <i>
      <x v="707"/>
    </i>
    <i>
      <x v="481"/>
    </i>
    <i>
      <x v="165"/>
    </i>
    <i>
      <x v="762"/>
    </i>
    <i>
      <x v="772"/>
    </i>
    <i>
      <x v="546"/>
    </i>
    <i>
      <x v="757"/>
    </i>
    <i>
      <x v="773"/>
    </i>
    <i>
      <x v="242"/>
    </i>
    <i>
      <x v="547"/>
    </i>
    <i>
      <x v="332"/>
    </i>
    <i>
      <x v="678"/>
    </i>
    <i>
      <x v="653"/>
    </i>
    <i>
      <x v="469"/>
    </i>
    <i>
      <x v="534"/>
    </i>
    <i>
      <x v="3"/>
    </i>
    <i>
      <x v="336"/>
    </i>
    <i>
      <x v="433"/>
    </i>
    <i>
      <x v="449"/>
    </i>
    <i>
      <x v="205"/>
    </i>
    <i>
      <x v="338"/>
    </i>
    <i>
      <x v="769"/>
    </i>
    <i>
      <x v="438"/>
    </i>
    <i>
      <x v="604"/>
    </i>
    <i>
      <x v="326"/>
    </i>
    <i>
      <x v="36"/>
    </i>
    <i>
      <x v="380"/>
    </i>
    <i>
      <x v="31"/>
    </i>
    <i>
      <x v="215"/>
    </i>
    <i>
      <x v="618"/>
    </i>
    <i>
      <x v="663"/>
    </i>
    <i>
      <x v="379"/>
    </i>
    <i>
      <x v="118"/>
    </i>
    <i>
      <x v="738"/>
    </i>
    <i>
      <x v="295"/>
    </i>
    <i>
      <x v="623"/>
    </i>
    <i>
      <x v="278"/>
    </i>
    <i>
      <x v="193"/>
    </i>
    <i>
      <x v="444"/>
    </i>
    <i>
      <x v="668"/>
    </i>
    <i>
      <x v="272"/>
    </i>
    <i>
      <x v="190"/>
    </i>
    <i>
      <x v="50"/>
    </i>
    <i>
      <x v="26"/>
    </i>
    <i>
      <x v="37"/>
    </i>
    <i>
      <x v="452"/>
    </i>
    <i>
      <x v="679"/>
    </i>
    <i>
      <x v="756"/>
    </i>
    <i>
      <x v="487"/>
    </i>
    <i>
      <x v="375"/>
    </i>
    <i>
      <x v="445"/>
    </i>
    <i>
      <x v="68"/>
    </i>
    <i>
      <x v="35"/>
    </i>
    <i>
      <x v="670"/>
    </i>
    <i>
      <x v="248"/>
    </i>
    <i>
      <x v="314"/>
    </i>
    <i>
      <x v="712"/>
    </i>
    <i>
      <x v="558"/>
    </i>
    <i>
      <x v="482"/>
    </i>
    <i>
      <x v="709"/>
    </i>
    <i>
      <x v="211"/>
    </i>
    <i>
      <x v="630"/>
    </i>
    <i>
      <x v="743"/>
    </i>
    <i>
      <x v="54"/>
    </i>
    <i>
      <x v="283"/>
    </i>
    <i>
      <x v="127"/>
    </i>
    <i>
      <x v="752"/>
    </i>
    <i>
      <x v="75"/>
    </i>
    <i>
      <x v="363"/>
    </i>
    <i>
      <x v="299"/>
    </i>
    <i>
      <x v="658"/>
    </i>
    <i>
      <x v="549"/>
    </i>
    <i>
      <x v="600"/>
    </i>
    <i>
      <x v="721"/>
    </i>
    <i>
      <x v="225"/>
    </i>
    <i>
      <x v="290"/>
    </i>
    <i>
      <x v="710"/>
    </i>
    <i>
      <x v="163"/>
    </i>
    <i>
      <x v="533"/>
    </i>
    <i>
      <x v="672"/>
    </i>
    <i>
      <x v="694"/>
    </i>
    <i>
      <x v="459"/>
    </i>
    <i>
      <x v="614"/>
    </i>
    <i>
      <x v="292"/>
    </i>
    <i>
      <x v="431"/>
    </i>
    <i>
      <x v="130"/>
    </i>
    <i>
      <x v="196"/>
    </i>
    <i>
      <x v="571"/>
    </i>
    <i>
      <x v="420"/>
    </i>
    <i>
      <x v="281"/>
    </i>
    <i>
      <x v="105"/>
    </i>
    <i>
      <x v="407"/>
    </i>
    <i>
      <x v="617"/>
    </i>
    <i>
      <x v="59"/>
    </i>
    <i>
      <x v="580"/>
    </i>
    <i>
      <x v="651"/>
    </i>
    <i>
      <x v="492"/>
    </i>
    <i>
      <x v="525"/>
    </i>
    <i>
      <x v="120"/>
    </i>
    <i>
      <x v="502"/>
    </i>
    <i>
      <x v="495"/>
    </i>
    <i>
      <x v="378"/>
    </i>
    <i>
      <x v="381"/>
    </i>
    <i>
      <x v="287"/>
    </i>
    <i>
      <x v="671"/>
    </i>
    <i>
      <x v="323"/>
    </i>
    <i>
      <x v="101"/>
    </i>
    <i>
      <x v="468"/>
    </i>
    <i>
      <x v="178"/>
    </i>
    <i>
      <x v="246"/>
    </i>
    <i>
      <x v="400"/>
    </i>
    <i>
      <x v="729"/>
    </i>
    <i>
      <x v="642"/>
    </i>
    <i>
      <x v="732"/>
    </i>
    <i>
      <x v="303"/>
    </i>
    <i>
      <x v="221"/>
    </i>
    <i>
      <x v="277"/>
    </i>
    <i>
      <x v="662"/>
    </i>
    <i>
      <x v="24"/>
    </i>
    <i>
      <x v="255"/>
    </i>
    <i>
      <x v="613"/>
    </i>
    <i>
      <x v="685"/>
    </i>
    <i>
      <x v="280"/>
    </i>
    <i>
      <x v="691"/>
    </i>
    <i>
      <x v="687"/>
    </i>
    <i>
      <x v="768"/>
    </i>
    <i>
      <x v="667"/>
    </i>
    <i>
      <x v="783"/>
    </i>
    <i>
      <x v="209"/>
    </i>
    <i>
      <x v="240"/>
    </i>
    <i>
      <x v="686"/>
    </i>
    <i>
      <x v="199"/>
    </i>
    <i>
      <x v="44"/>
    </i>
    <i>
      <x v="216"/>
    </i>
    <i>
      <x v="428"/>
    </i>
    <i>
      <x v="639"/>
    </i>
    <i>
      <x v="656"/>
    </i>
    <i>
      <x v="70"/>
    </i>
    <i>
      <x v="107"/>
    </i>
    <i>
      <x v="661"/>
    </i>
    <i>
      <x v="218"/>
    </i>
    <i>
      <x v="210"/>
    </i>
    <i>
      <x v="52"/>
    </i>
    <i>
      <x v="396"/>
    </i>
    <i>
      <x v="28"/>
    </i>
    <i>
      <x v="322"/>
    </i>
    <i>
      <x v="453"/>
    </i>
    <i>
      <x v="182"/>
    </i>
    <i>
      <x v="247"/>
    </i>
    <i>
      <x v="711"/>
    </i>
    <i>
      <x v="479"/>
    </i>
    <i>
      <x v="657"/>
    </i>
    <i>
      <x v="56"/>
    </i>
    <i>
      <x v="532"/>
    </i>
    <i>
      <x v="177"/>
    </i>
    <i>
      <x v="115"/>
    </i>
    <i>
      <x v="204"/>
    </i>
    <i>
      <x v="386"/>
    </i>
    <i>
      <x v="306"/>
    </i>
    <i>
      <x v="389"/>
    </i>
    <i>
      <x v="147"/>
    </i>
    <i>
      <x v="414"/>
    </i>
    <i>
      <x v="539"/>
    </i>
    <i>
      <x v="635"/>
    </i>
    <i>
      <x v="755"/>
    </i>
    <i>
      <x v="704"/>
    </i>
    <i>
      <x v="689"/>
    </i>
    <i>
      <x v="429"/>
    </i>
    <i>
      <x v="591"/>
    </i>
    <i>
      <x v="261"/>
    </i>
    <i>
      <x v="304"/>
    </i>
    <i>
      <x v="252"/>
    </i>
    <i>
      <x v="507"/>
    </i>
    <i>
      <x v="747"/>
    </i>
    <i>
      <x v="443"/>
    </i>
    <i>
      <x v="714"/>
    </i>
    <i>
      <x v="698"/>
    </i>
    <i>
      <x v="51"/>
    </i>
    <i>
      <x v="124"/>
    </i>
    <i>
      <x v="173"/>
    </i>
    <i>
      <x v="472"/>
    </i>
    <i>
      <x v="514"/>
    </i>
    <i>
      <x v="279"/>
    </i>
    <i>
      <x v="191"/>
    </i>
    <i>
      <x v="576"/>
    </i>
    <i>
      <x v="753"/>
    </i>
    <i>
      <x v="148"/>
    </i>
    <i>
      <x v="750"/>
    </i>
    <i>
      <x v="477"/>
    </i>
    <i>
      <x v="66"/>
    </i>
    <i>
      <x v="382"/>
    </i>
    <i>
      <x v="727"/>
    </i>
    <i>
      <x v="520"/>
    </i>
    <i>
      <x v="631"/>
    </i>
    <i>
      <x v="186"/>
    </i>
    <i>
      <x v="559"/>
    </i>
    <i>
      <x v="542"/>
    </i>
    <i>
      <x v="80"/>
    </i>
    <i>
      <x v="238"/>
    </i>
    <i>
      <x v="612"/>
    </i>
    <i>
      <x v="337"/>
    </i>
    <i>
      <x v="132"/>
    </i>
    <i>
      <x v="137"/>
    </i>
    <i>
      <x v="61"/>
    </i>
    <i>
      <x v="245"/>
    </i>
    <i>
      <x v="471"/>
    </i>
    <i>
      <x v="189"/>
    </i>
    <i>
      <x v="395"/>
    </i>
    <i>
      <x v="183"/>
    </i>
    <i>
      <x v="767"/>
    </i>
    <i>
      <x v="298"/>
    </i>
    <i>
      <x v="85"/>
    </i>
    <i>
      <x v="740"/>
    </i>
    <i>
      <x v="632"/>
    </i>
    <i>
      <x v="346"/>
    </i>
    <i>
      <x v="589"/>
    </i>
    <i>
      <x v="249"/>
    </i>
    <i>
      <x v="176"/>
    </i>
    <i>
      <x v="526"/>
    </i>
    <i>
      <x v="417"/>
    </i>
    <i>
      <x v="464"/>
    </i>
    <i>
      <x v="486"/>
    </i>
    <i>
      <x v="388"/>
    </i>
    <i>
      <x v="519"/>
    </i>
    <i>
      <x v="377"/>
    </i>
    <i>
      <x v="357"/>
    </i>
    <i>
      <x v="114"/>
    </i>
    <i>
      <x v="96"/>
    </i>
    <i>
      <x v="289"/>
    </i>
    <i>
      <x v="565"/>
    </i>
    <i>
      <x v="622"/>
    </i>
    <i>
      <x v="264"/>
    </i>
    <i>
      <x v="213"/>
    </i>
    <i>
      <x v="122"/>
    </i>
    <i>
      <x v="455"/>
    </i>
    <i>
      <x v="616"/>
    </i>
    <i>
      <x v="439"/>
    </i>
    <i>
      <x v="705"/>
    </i>
    <i>
      <x v="719"/>
    </i>
    <i>
      <x v="317"/>
    </i>
    <i>
      <x v="18"/>
    </i>
    <i>
      <x v="450"/>
    </i>
    <i>
      <x v="677"/>
    </i>
    <i>
      <x v="575"/>
    </i>
    <i>
      <x v="110"/>
    </i>
    <i>
      <x v="267"/>
    </i>
    <i>
      <x v="551"/>
    </i>
    <i>
      <x v="108"/>
    </i>
    <i>
      <x v="202"/>
    </i>
    <i>
      <x v="135"/>
    </i>
    <i>
      <x v="13"/>
    </i>
    <i>
      <x v="157"/>
    </i>
    <i>
      <x v="320"/>
    </i>
    <i>
      <x v="288"/>
    </i>
    <i>
      <x v="343"/>
    </i>
    <i>
      <x v="409"/>
    </i>
    <i>
      <x v="208"/>
    </i>
    <i>
      <x v="32"/>
    </i>
    <i>
      <x v="603"/>
    </i>
    <i>
      <x v="578"/>
    </i>
    <i>
      <x v="528"/>
    </i>
    <i>
      <x v="103"/>
    </i>
    <i>
      <x v="129"/>
    </i>
    <i>
      <x v="554"/>
    </i>
    <i>
      <x v="286"/>
    </i>
    <i>
      <x v="511"/>
    </i>
    <i>
      <x v="106"/>
    </i>
    <i>
      <x v="780"/>
    </i>
    <i>
      <x v="315"/>
    </i>
    <i>
      <x v="483"/>
    </i>
    <i>
      <x v="99"/>
    </i>
    <i>
      <x v="489"/>
    </i>
    <i>
      <x v="749"/>
    </i>
    <i>
      <x v="509"/>
    </i>
    <i>
      <x v="203"/>
    </i>
    <i>
      <x v="788"/>
    </i>
    <i>
      <x v="149"/>
    </i>
    <i>
      <x v="361"/>
    </i>
    <i>
      <x v="184"/>
    </i>
    <i>
      <x v="574"/>
    </i>
    <i>
      <x v="364"/>
    </i>
    <i>
      <x v="22"/>
    </i>
    <i>
      <x v="153"/>
    </i>
    <i>
      <x v="503"/>
    </i>
    <i>
      <x v="640"/>
    </i>
    <i>
      <x v="268"/>
    </i>
    <i>
      <x v="192"/>
    </i>
    <i>
      <x v="159"/>
    </i>
    <i>
      <x v="517"/>
    </i>
    <i>
      <x v="461"/>
    </i>
    <i>
      <x v="441"/>
    </i>
    <i>
      <x v="358"/>
    </i>
    <i>
      <x v="284"/>
    </i>
    <i>
      <x v="136"/>
    </i>
    <i>
      <x v="76"/>
    </i>
    <i>
      <x v="435"/>
    </i>
    <i>
      <x v="490"/>
    </i>
    <i>
      <x v="372"/>
    </i>
    <i>
      <x v="548"/>
    </i>
    <i>
      <x v="425"/>
    </i>
    <i>
      <x v="766"/>
    </i>
    <i>
      <x v="366"/>
    </i>
    <i>
      <x v="478"/>
    </i>
    <i>
      <x v="46"/>
    </i>
    <i>
      <x v="297"/>
    </i>
    <i>
      <x v="555"/>
    </i>
    <i>
      <x v="493"/>
    </i>
    <i>
      <x v="231"/>
    </i>
    <i>
      <x v="590"/>
    </i>
    <i>
      <x v="513"/>
    </i>
    <i>
      <x v="385"/>
    </i>
    <i>
      <x v="404"/>
    </i>
    <i>
      <x v="274"/>
    </i>
    <i>
      <x v="735"/>
    </i>
    <i>
      <x v="313"/>
    </i>
    <i>
      <x v="111"/>
    </i>
    <i>
      <x v="608"/>
    </i>
    <i>
      <x v="692"/>
    </i>
    <i>
      <x v="440"/>
    </i>
    <i>
      <x v="188"/>
    </i>
    <i>
      <x v="654"/>
    </i>
    <i>
      <x v="761"/>
    </i>
    <i>
      <x v="316"/>
    </i>
    <i>
      <x v="263"/>
    </i>
    <i>
      <x v="569"/>
    </i>
    <i>
      <x v="348"/>
    </i>
    <i>
      <x v="167"/>
    </i>
    <i>
      <x v="227"/>
    </i>
    <i>
      <x v="419"/>
    </i>
    <i>
      <x v="693"/>
    </i>
    <i>
      <x v="454"/>
    </i>
    <i>
      <x v="645"/>
    </i>
    <i>
      <x v="748"/>
    </i>
    <i>
      <x v="521"/>
    </i>
    <i>
      <x v="626"/>
    </i>
    <i>
      <x v="765"/>
    </i>
    <i>
      <x v="16"/>
    </i>
    <i>
      <x v="138"/>
    </i>
    <i>
      <x v="562"/>
    </i>
    <i>
      <x v="207"/>
    </i>
    <i>
      <x v="775"/>
    </i>
    <i>
      <x v="330"/>
    </i>
    <i>
      <x v="197"/>
    </i>
    <i>
      <x v="592"/>
    </i>
    <i>
      <x v="553"/>
    </i>
    <i>
      <x v="725"/>
    </i>
    <i>
      <x v="457"/>
    </i>
    <i>
      <x v="126"/>
    </i>
    <i>
      <x v="758"/>
    </i>
    <i>
      <x v="397"/>
    </i>
    <i>
      <x v="360"/>
    </i>
    <i>
      <x v="498"/>
    </i>
    <i>
      <x v="723"/>
    </i>
    <i>
      <x v="423"/>
    </i>
    <i>
      <x v="296"/>
    </i>
    <i>
      <x v="688"/>
    </i>
    <i>
      <x v="470"/>
    </i>
    <i>
      <x v="674"/>
    </i>
    <i>
      <x v="86"/>
    </i>
    <i>
      <x v="708"/>
    </i>
    <i>
      <x v="563"/>
    </i>
    <i>
      <x v="141"/>
    </i>
    <i>
      <x v="703"/>
    </i>
    <i>
      <x v="607"/>
    </i>
    <i>
      <x v="38"/>
    </i>
    <i>
      <x v="586"/>
    </i>
    <i>
      <x v="256"/>
    </i>
    <i>
      <x v="595"/>
    </i>
    <i>
      <x v="557"/>
    </i>
    <i>
      <x v="390"/>
    </i>
    <i>
      <x v="340"/>
    </i>
    <i>
      <x v="2"/>
    </i>
    <i>
      <x v="128"/>
    </i>
    <i>
      <x v="237"/>
    </i>
    <i>
      <x v="501"/>
    </i>
    <i>
      <x v="27"/>
    </i>
    <i>
      <x v="463"/>
    </i>
    <i>
      <x v="119"/>
    </i>
    <i>
      <x v="785"/>
    </i>
    <i>
      <x v="29"/>
    </i>
    <i>
      <x v="545"/>
    </i>
    <i>
      <x v="391"/>
    </i>
    <i>
      <x v="77"/>
    </i>
    <i>
      <x v="195"/>
    </i>
    <i>
      <x v="401"/>
    </i>
    <i>
      <x v="774"/>
    </i>
    <i>
      <x v="100"/>
    </i>
    <i>
      <x v="212"/>
    </i>
    <i>
      <x v="530"/>
    </i>
    <i>
      <x v="619"/>
    </i>
    <i>
      <x v="426"/>
    </i>
    <i>
      <x v="121"/>
    </i>
    <i>
      <x v="154"/>
    </i>
    <i>
      <x v="399"/>
    </i>
    <i>
      <x v="156"/>
    </i>
    <i>
      <x v="133"/>
    </i>
    <i>
      <x v="251"/>
    </i>
    <i>
      <x v="43"/>
    </i>
    <i>
      <x v="63"/>
    </i>
    <i>
      <x v="538"/>
    </i>
    <i>
      <x v="734"/>
    </i>
    <i>
      <x v="169"/>
    </i>
    <i>
      <x v="30"/>
    </i>
    <i>
      <x v="83"/>
    </i>
    <i>
      <x v="150"/>
    </i>
    <i>
      <x v="494"/>
    </i>
    <i>
      <x v="384"/>
    </i>
    <i>
      <x v="415"/>
    </i>
    <i>
      <x v="294"/>
    </i>
    <i>
      <x v="579"/>
    </i>
    <i>
      <x v="544"/>
    </i>
    <i>
      <x v="484"/>
    </i>
    <i>
      <x v="71"/>
    </i>
    <i>
      <x v="144"/>
    </i>
    <i>
      <x v="73"/>
    </i>
    <i>
      <x v="116"/>
    </i>
    <i>
      <x v="413"/>
    </i>
    <i>
      <x v="10"/>
    </i>
    <i>
      <x v="367"/>
    </i>
    <i>
      <x v="217"/>
    </i>
    <i>
      <x v="792"/>
    </i>
    <i>
      <x v="158"/>
    </i>
    <i>
      <x v="458"/>
    </i>
    <i>
      <x v="731"/>
    </i>
    <i>
      <x v="601"/>
    </i>
    <i>
      <x v="646"/>
    </i>
    <i>
      <x v="95"/>
    </i>
    <i>
      <x v="219"/>
    </i>
    <i>
      <x v="584"/>
    </i>
    <i>
      <x v="23"/>
    </i>
    <i>
      <x v="648"/>
    </i>
    <i>
      <x v="596"/>
    </i>
    <i>
      <x v="746"/>
    </i>
    <i>
      <x v="412"/>
    </i>
    <i>
      <x v="485"/>
    </i>
    <i>
      <x v="770"/>
    </i>
    <i>
      <x v="123"/>
    </i>
    <i>
      <x v="633"/>
    </i>
    <i>
      <x v="567"/>
    </i>
    <i>
      <x v="405"/>
    </i>
    <i>
      <x v="599"/>
    </i>
    <i>
      <x v="293"/>
    </i>
    <i>
      <x v="170"/>
    </i>
    <i>
      <x v="564"/>
    </i>
    <i>
      <x v="353"/>
    </i>
    <i>
      <x v="739"/>
    </i>
    <i>
      <x v="282"/>
    </i>
    <i>
      <x v="226"/>
    </i>
    <i>
      <x v="300"/>
    </i>
    <i>
      <x v="664"/>
    </i>
    <i>
      <x v="465"/>
    </i>
    <i>
      <x v="504"/>
    </i>
    <i>
      <x v="695"/>
    </i>
    <i>
      <x v="93"/>
    </i>
    <i>
      <x v="79"/>
    </i>
    <i>
      <x v="713"/>
    </i>
    <i>
      <x v="223"/>
    </i>
    <i>
      <x v="543"/>
    </i>
    <i>
      <x v="696"/>
    </i>
    <i>
      <x v="524"/>
    </i>
    <i>
      <x v="706"/>
    </i>
    <i>
      <x v="488"/>
    </i>
    <i>
      <x v="265"/>
    </i>
    <i>
      <x v="164"/>
    </i>
    <i>
      <x v="228"/>
    </i>
    <i>
      <x v="331"/>
    </i>
    <i>
      <x v="309"/>
    </i>
    <i>
      <x v="171"/>
    </i>
    <i>
      <x v="609"/>
    </i>
    <i>
      <x v="722"/>
    </i>
    <i>
      <x v="229"/>
    </i>
    <i>
      <x v="151"/>
    </i>
    <i>
      <x v="480"/>
    </i>
    <i>
      <x v="499"/>
    </i>
    <i>
      <x v="305"/>
    </i>
    <i>
      <x v="676"/>
    </i>
    <i>
      <x v="512"/>
    </i>
    <i>
      <x v="276"/>
    </i>
    <i>
      <x v="744"/>
    </i>
    <i>
      <x v="411"/>
    </i>
    <i>
      <x v="505"/>
    </i>
    <i>
      <x v="572"/>
    </i>
    <i>
      <x v="594"/>
    </i>
    <i>
      <x v="260"/>
    </i>
    <i>
      <x v="383"/>
    </i>
    <i>
      <x v="140"/>
    </i>
    <i>
      <x v="496"/>
    </i>
    <i>
      <x v="244"/>
    </i>
    <i>
      <x v="253"/>
    </i>
    <i>
      <x v="102"/>
    </i>
    <i>
      <x v="200"/>
    </i>
    <i>
      <x v="58"/>
    </i>
    <i>
      <x v="402"/>
    </i>
    <i>
      <x v="198"/>
    </i>
    <i>
      <x v="143"/>
    </i>
    <i>
      <x v="421"/>
    </i>
    <i>
      <x v="634"/>
    </i>
    <i>
      <x v="185"/>
    </i>
    <i>
      <x v="406"/>
    </i>
    <i>
      <x v="239"/>
    </i>
    <i>
      <x v="8"/>
    </i>
    <i>
      <x v="754"/>
    </i>
    <i>
      <x v="398"/>
    </i>
    <i>
      <x v="724"/>
    </i>
    <i>
      <x v="362"/>
    </i>
    <i>
      <x v="194"/>
    </i>
    <i>
      <x v="241"/>
    </i>
    <i>
      <x v="180"/>
    </i>
    <i>
      <x v="587"/>
    </i>
    <i>
      <x v="232"/>
    </i>
    <i>
      <x v="345"/>
    </i>
    <i>
      <x v="605"/>
    </i>
    <i>
      <x v="1"/>
    </i>
    <i>
      <x v="784"/>
    </i>
    <i>
      <x v="45"/>
    </i>
    <i>
      <x v="230"/>
    </i>
    <i>
      <x v="206"/>
    </i>
    <i>
      <x v="701"/>
    </i>
    <i>
      <x v="271"/>
    </i>
    <i>
      <x v="742"/>
    </i>
    <i>
      <x v="518"/>
    </i>
    <i>
      <x v="751"/>
    </i>
    <i>
      <x v="726"/>
    </i>
    <i>
      <x v="473"/>
    </i>
    <i>
      <x v="620"/>
    </i>
    <i>
      <x v="475"/>
    </i>
    <i>
      <x v="87"/>
    </i>
    <i>
      <x v="782"/>
    </i>
    <i>
      <x v="418"/>
    </i>
    <i>
      <x v="98"/>
    </i>
    <i>
      <x v="763"/>
    </i>
    <i>
      <x v="636"/>
    </i>
    <i>
      <x v="7"/>
    </i>
    <i>
      <x v="628"/>
    </i>
    <i>
      <x v="717"/>
    </i>
    <i>
      <x v="370"/>
    </i>
    <i>
      <x v="359"/>
    </i>
    <i>
      <x v="652"/>
    </i>
    <i>
      <x v="109"/>
    </i>
    <i>
      <x v="641"/>
    </i>
    <i>
      <x v="250"/>
    </i>
    <i>
      <x v="500"/>
    </i>
    <i>
      <x v="269"/>
    </i>
    <i>
      <x v="11"/>
    </i>
    <i>
      <x v="262"/>
    </i>
    <i>
      <x v="529"/>
    </i>
    <i>
      <x v="9"/>
    </i>
    <i>
      <x v="416"/>
    </i>
    <i>
      <x v="142"/>
    </i>
    <i>
      <x v="675"/>
    </i>
    <i>
      <x v="341"/>
    </i>
    <i>
      <x v="334"/>
    </i>
    <i>
      <x v="4"/>
    </i>
    <i>
      <x v="629"/>
    </i>
    <i>
      <x v="174"/>
    </i>
    <i>
      <x v="319"/>
    </i>
    <i>
      <x v="697"/>
    </i>
    <i>
      <x v="638"/>
    </i>
    <i>
      <x v="393"/>
    </i>
    <i>
      <x v="403"/>
    </i>
    <i>
      <x v="17"/>
    </i>
    <i>
      <x v="347"/>
    </i>
    <i>
      <x v="541"/>
    </i>
    <i>
      <x v="777"/>
    </i>
    <i>
      <x v="778"/>
    </i>
    <i>
      <x v="175"/>
    </i>
    <i>
      <x v="736"/>
    </i>
    <i>
      <x v="57"/>
    </i>
    <i>
      <x v="259"/>
    </i>
    <i>
      <x v="733"/>
    </i>
    <i>
      <x v="40"/>
    </i>
    <i>
      <x v="91"/>
    </i>
    <i>
      <x v="214"/>
    </i>
    <i>
      <x v="491"/>
    </i>
    <i>
      <x v="84"/>
    </i>
    <i>
      <x v="321"/>
    </i>
    <i>
      <x v="506"/>
    </i>
    <i>
      <x v="527"/>
    </i>
    <i>
      <x v="684"/>
    </i>
    <i>
      <x v="728"/>
    </i>
    <i>
      <x v="467"/>
    </i>
    <i>
      <x v="222"/>
    </i>
    <i>
      <x v="335"/>
    </i>
    <i>
      <x v="64"/>
    </i>
    <i>
      <x v="745"/>
    </i>
    <i>
      <x v="522"/>
    </i>
    <i>
      <x v="644"/>
    </i>
    <i>
      <x v="582"/>
    </i>
    <i>
      <x v="33"/>
    </i>
    <i>
      <x v="329"/>
    </i>
    <i>
      <x v="593"/>
    </i>
    <i>
      <x v="581"/>
    </i>
    <i>
      <x v="373"/>
    </i>
    <i>
      <x v="351"/>
    </i>
    <i>
      <x v="583"/>
    </i>
    <i>
      <x v="258"/>
    </i>
    <i>
      <x v="759"/>
    </i>
    <i>
      <x v="20"/>
    </i>
    <i>
      <x v="89"/>
    </i>
    <i>
      <x v="74"/>
    </i>
    <i>
      <x v="14"/>
    </i>
    <i>
      <x v="60"/>
    </i>
    <i>
      <x v="466"/>
    </i>
    <i>
      <x v="342"/>
    </i>
    <i>
      <x v="139"/>
    </i>
    <i>
      <x v="535"/>
    </i>
    <i>
      <x v="39"/>
    </i>
    <i>
      <x v="655"/>
    </i>
    <i>
      <x v="715"/>
    </i>
    <i>
      <x v="112"/>
    </i>
    <i>
      <x v="78"/>
    </i>
    <i>
      <x v="550"/>
    </i>
    <i>
      <x v="220"/>
    </i>
    <i>
      <x v="55"/>
    </i>
    <i>
      <x v="72"/>
    </i>
    <i>
      <x v="566"/>
    </i>
    <i>
      <x v="155"/>
    </i>
    <i>
      <x v="179"/>
    </i>
    <i>
      <x v="172"/>
    </i>
    <i>
      <x v="369"/>
    </i>
    <i>
      <x v="624"/>
    </i>
    <i>
      <x v="62"/>
    </i>
    <i>
      <x v="168"/>
    </i>
    <i>
      <x v="537"/>
    </i>
    <i>
      <x v="408"/>
    </i>
    <i>
      <x v="254"/>
    </i>
    <i>
      <x v="437"/>
    </i>
    <i>
      <x v="446"/>
    </i>
    <i>
      <x v="771"/>
    </i>
    <i>
      <x v="718"/>
    </i>
    <i>
      <x v="779"/>
    </i>
    <i>
      <x v="716"/>
    </i>
    <i>
      <x v="113"/>
    </i>
    <i>
      <x v="510"/>
    </i>
    <i>
      <x v="117"/>
    </i>
    <i>
      <x v="350"/>
    </i>
    <i>
      <x v="376"/>
    </i>
    <i>
      <x v="781"/>
    </i>
    <i>
      <x v="561"/>
    </i>
    <i>
      <x v="540"/>
    </i>
    <i>
      <x v="474"/>
    </i>
    <i>
      <x v="19"/>
    </i>
    <i>
      <x v="273"/>
    </i>
    <i>
      <x v="325"/>
    </i>
    <i>
      <x v="243"/>
    </i>
    <i>
      <x v="476"/>
    </i>
    <i>
      <x v="69"/>
    </i>
    <i>
      <x v="462"/>
    </i>
    <i>
      <x v="368"/>
    </i>
    <i>
      <x v="392"/>
    </i>
    <i>
      <x v="161"/>
    </i>
    <i>
      <x v="460"/>
    </i>
    <i>
      <x v="681"/>
    </i>
    <i>
      <x v="680"/>
    </i>
    <i>
      <x v="552"/>
    </i>
    <i>
      <x v="81"/>
    </i>
    <i>
      <x v="201"/>
    </i>
    <i>
      <x v="94"/>
    </i>
    <i>
      <x v="47"/>
    </i>
    <i>
      <x v="318"/>
    </i>
    <i>
      <x v="699"/>
    </i>
    <i>
      <x v="598"/>
    </i>
    <i>
      <x v="308"/>
    </i>
    <i>
      <x v="270"/>
    </i>
    <i>
      <x v="312"/>
    </i>
    <i>
      <x v="625"/>
    </i>
    <i>
      <x v="324"/>
    </i>
    <i>
      <x v="21"/>
    </i>
    <i>
      <x v="374"/>
    </i>
    <i>
      <x v="25"/>
    </i>
    <i>
      <x v="523"/>
    </i>
    <i>
      <x v="42"/>
    </i>
    <i>
      <x v="611"/>
    </i>
    <i>
      <x v="187"/>
    </i>
    <i>
      <x v="531"/>
    </i>
    <i>
      <x v="301"/>
    </i>
    <i>
      <x v="585"/>
    </i>
    <i>
      <x v="97"/>
    </i>
    <i>
      <x v="266"/>
    </i>
    <i>
      <x v="134"/>
    </i>
    <i>
      <x v="650"/>
    </i>
    <i>
      <x v="442"/>
    </i>
    <i>
      <x v="49"/>
    </i>
    <i>
      <x v="291"/>
    </i>
    <i>
      <x v="344"/>
    </i>
    <i>
      <x v="53"/>
    </i>
    <i>
      <x v="448"/>
    </i>
    <i>
      <x v="637"/>
    </i>
    <i>
      <x v="690"/>
    </i>
    <i>
      <x v="659"/>
    </i>
    <i>
      <x v="508"/>
    </i>
    <i>
      <x v="145"/>
    </i>
    <i>
      <x v="456"/>
    </i>
    <i>
      <x v="76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6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15B56-0418-4897-987D-F2B8929ED90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Y1:AA12" firstHeaderRow="0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measureFilter="1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6" baseField="0" baseItem="0" numFmtId="1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9" type="count" evalOrder="-1" id="6" iMeasureFld="0">
      <autoFilter ref="A1">
        <filterColumn colId="0">
          <top10 val="10" filterVal="10"/>
        </filterColumn>
      </autoFilter>
    </filter>
    <filter fld="8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9BF0D-934F-4603-B9FE-7BFB6263218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S1:T12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measureFilter="1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20" baseField="0" baseItem="0" numFmtId="1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9" type="count" evalOrder="-1" id="1" iMeasureFld="0">
      <autoFilter ref="A1">
        <filterColumn colId="0">
          <top10 val="10" filterVal="10"/>
        </filterColumn>
      </autoFilter>
    </filter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6928C-EC53-4EF9-A05D-0C915E255E0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V1:W12" firstHeaderRow="1" firstDataRow="1" firstDataCol="1"/>
  <pivotFields count="35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 measureFilter="1" sortType="descending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numFmtI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Items count="1">
    <i/>
  </colItems>
  <dataFields count="1">
    <dataField name="Sum of Profit" fld="26" baseField="0" baseItem="0" numFmtId="1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3" iMeasureFld="0">
      <autoFilter ref="A1">
        <filterColumn colId="0">
          <top10 val="10" filterVal="10"/>
        </filterColumn>
      </autoFilter>
    </filter>
    <filter fld="9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C766-08AE-471B-BAD2-A3F238770EE3}">
  <dimension ref="A1:Z38"/>
  <sheetViews>
    <sheetView zoomScale="90" zoomScaleNormal="90" workbookViewId="0">
      <selection activeCell="T40" sqref="T40"/>
    </sheetView>
  </sheetViews>
  <sheetFormatPr defaultRowHeight="14.5" x14ac:dyDescent="0.35"/>
  <cols>
    <col min="21" max="21" width="13.1796875" bestFit="1" customWidth="1"/>
    <col min="22" max="24" width="12" bestFit="1" customWidth="1"/>
    <col min="25" max="25" width="12.453125" bestFit="1" customWidth="1"/>
    <col min="26" max="26" width="20.453125" bestFit="1" customWidth="1"/>
    <col min="27" max="27" width="17.7265625" bestFit="1" customWidth="1"/>
  </cols>
  <sheetData>
    <row r="1" spans="1:26" x14ac:dyDescent="0.35">
      <c r="A1" s="37" t="s">
        <v>933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9"/>
      <c r="U1" s="2" t="s">
        <v>914</v>
      </c>
      <c r="V1" t="s">
        <v>919</v>
      </c>
      <c r="X1" s="2" t="s">
        <v>914</v>
      </c>
      <c r="Y1" t="s">
        <v>920</v>
      </c>
    </row>
    <row r="2" spans="1:26" x14ac:dyDescent="0.3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  <c r="U2" s="3" t="s">
        <v>6</v>
      </c>
      <c r="V2" s="6">
        <v>741999.79529999977</v>
      </c>
      <c r="X2" s="3" t="s">
        <v>6</v>
      </c>
      <c r="Y2" s="6">
        <v>18451.272799999999</v>
      </c>
    </row>
    <row r="3" spans="1:26" x14ac:dyDescent="0.35">
      <c r="A3" s="18" t="s">
        <v>917</v>
      </c>
      <c r="B3" s="18"/>
      <c r="C3" s="18"/>
      <c r="D3" s="18" t="s">
        <v>918</v>
      </c>
      <c r="E3" s="18"/>
      <c r="F3" s="18"/>
      <c r="G3" s="18" t="s">
        <v>916</v>
      </c>
      <c r="H3" s="18"/>
      <c r="I3" s="18"/>
      <c r="J3" s="18" t="s">
        <v>931</v>
      </c>
      <c r="K3" s="18"/>
      <c r="L3" s="18"/>
      <c r="M3" s="18" t="s">
        <v>932</v>
      </c>
      <c r="N3" s="18"/>
      <c r="O3" s="18"/>
      <c r="U3" s="3" t="s">
        <v>12</v>
      </c>
      <c r="V3" s="6">
        <v>719047.03200000292</v>
      </c>
      <c r="X3" s="3" t="s">
        <v>12</v>
      </c>
      <c r="Y3" s="6">
        <v>122490.80080000011</v>
      </c>
    </row>
    <row r="4" spans="1:26" x14ac:dyDescent="0.35">
      <c r="A4" s="19" t="e">
        <f>#REF!</f>
        <v>#REF!</v>
      </c>
      <c r="B4" s="20"/>
      <c r="C4" s="20"/>
      <c r="D4" s="19" t="e">
        <f>#REF!</f>
        <v>#REF!</v>
      </c>
      <c r="E4" s="20"/>
      <c r="F4" s="20"/>
      <c r="G4" s="21" t="e">
        <f>#REF!</f>
        <v>#REF!</v>
      </c>
      <c r="H4" s="21"/>
      <c r="I4" s="21"/>
      <c r="J4" s="20" t="e">
        <f>#REF!</f>
        <v>#REF!</v>
      </c>
      <c r="K4" s="20"/>
      <c r="L4" s="20"/>
      <c r="M4" s="20" t="e">
        <f>#REF!</f>
        <v>#REF!</v>
      </c>
      <c r="N4" s="20"/>
      <c r="O4" s="20"/>
      <c r="U4" s="3" t="s">
        <v>21</v>
      </c>
      <c r="V4" s="6">
        <v>836154.03299999656</v>
      </c>
      <c r="X4" s="3" t="s">
        <v>21</v>
      </c>
      <c r="Y4" s="6">
        <v>145454.94809999989</v>
      </c>
    </row>
    <row r="5" spans="1:26" x14ac:dyDescent="0.35">
      <c r="A5" s="20"/>
      <c r="B5" s="20"/>
      <c r="C5" s="20"/>
      <c r="D5" s="20"/>
      <c r="E5" s="20"/>
      <c r="F5" s="20"/>
      <c r="G5" s="21"/>
      <c r="H5" s="21"/>
      <c r="I5" s="21"/>
      <c r="J5" s="20"/>
      <c r="K5" s="20"/>
      <c r="L5" s="20"/>
      <c r="M5" s="20"/>
      <c r="N5" s="20"/>
      <c r="O5" s="20"/>
      <c r="U5" s="3" t="s">
        <v>915</v>
      </c>
      <c r="V5" s="6">
        <v>2297200.8602999994</v>
      </c>
      <c r="X5" s="3" t="s">
        <v>915</v>
      </c>
      <c r="Y5" s="6">
        <v>286397.02170000004</v>
      </c>
    </row>
    <row r="6" spans="1:26" x14ac:dyDescent="0.35">
      <c r="A6" s="20"/>
      <c r="B6" s="20"/>
      <c r="C6" s="20"/>
      <c r="D6" s="20"/>
      <c r="E6" s="20"/>
      <c r="F6" s="20"/>
      <c r="G6" s="21"/>
      <c r="H6" s="21"/>
      <c r="I6" s="21"/>
      <c r="J6" s="20"/>
      <c r="K6" s="20"/>
      <c r="L6" s="20"/>
      <c r="M6" s="20"/>
      <c r="N6" s="20"/>
      <c r="O6" s="20"/>
    </row>
    <row r="7" spans="1:26" x14ac:dyDescent="0.35">
      <c r="U7" s="11" t="s">
        <v>0</v>
      </c>
      <c r="V7" s="11" t="s">
        <v>916</v>
      </c>
      <c r="Y7" s="2" t="s">
        <v>914</v>
      </c>
      <c r="Z7" t="s">
        <v>934</v>
      </c>
    </row>
    <row r="8" spans="1:26" x14ac:dyDescent="0.35">
      <c r="U8" t="s">
        <v>32</v>
      </c>
      <c r="V8" s="4">
        <v>7.9216285911775514E-2</v>
      </c>
      <c r="X8" s="4"/>
      <c r="Y8" s="3">
        <v>0</v>
      </c>
      <c r="Z8" s="4">
        <v>0.3401604835348076</v>
      </c>
    </row>
    <row r="9" spans="1:26" x14ac:dyDescent="0.35">
      <c r="U9" t="s">
        <v>42</v>
      </c>
      <c r="V9" s="4">
        <v>0.13483398568882154</v>
      </c>
      <c r="X9" s="4"/>
      <c r="Y9" s="3">
        <v>10</v>
      </c>
      <c r="Z9" s="4">
        <v>0.15579196217494073</v>
      </c>
    </row>
    <row r="10" spans="1:26" x14ac:dyDescent="0.35">
      <c r="U10" t="s">
        <v>5</v>
      </c>
      <c r="V10" s="4">
        <v>0.11934341609004487</v>
      </c>
      <c r="X10" s="4"/>
      <c r="Y10" s="3">
        <v>20</v>
      </c>
      <c r="Z10" s="4">
        <v>0.17483862782104032</v>
      </c>
    </row>
    <row r="11" spans="1:26" x14ac:dyDescent="0.35">
      <c r="U11" t="s">
        <v>11</v>
      </c>
      <c r="V11" s="4">
        <v>0.14944831420727214</v>
      </c>
      <c r="X11" s="4"/>
      <c r="Y11" s="3">
        <v>30</v>
      </c>
      <c r="Z11" s="4">
        <v>-0.11548143486469495</v>
      </c>
    </row>
    <row r="12" spans="1:26" x14ac:dyDescent="0.35">
      <c r="Y12" s="3">
        <v>40</v>
      </c>
      <c r="Z12" s="4">
        <v>-0.21690650509130713</v>
      </c>
    </row>
    <row r="13" spans="1:26" x14ac:dyDescent="0.35">
      <c r="Y13" s="3">
        <v>50</v>
      </c>
      <c r="Z13" s="4">
        <v>-0.53558441558441539</v>
      </c>
    </row>
    <row r="14" spans="1:26" x14ac:dyDescent="0.35">
      <c r="Y14" s="3">
        <v>60</v>
      </c>
      <c r="Z14" s="4">
        <v>-0.68913043478260894</v>
      </c>
    </row>
    <row r="15" spans="1:26" x14ac:dyDescent="0.35">
      <c r="Y15" s="3">
        <v>70</v>
      </c>
      <c r="Z15" s="4">
        <v>-0.79473684210526363</v>
      </c>
    </row>
    <row r="16" spans="1:26" x14ac:dyDescent="0.35">
      <c r="Y16" s="3">
        <v>80</v>
      </c>
      <c r="Z16" s="4">
        <v>-1.8250000000000008</v>
      </c>
    </row>
    <row r="17" spans="1:26" x14ac:dyDescent="0.35">
      <c r="Y17" s="3" t="s">
        <v>915</v>
      </c>
      <c r="Z17" s="4">
        <v>0.12031392972104521</v>
      </c>
    </row>
    <row r="22" spans="1:26" x14ac:dyDescent="0.35">
      <c r="A22" s="35" t="s">
        <v>971</v>
      </c>
      <c r="B22" s="35"/>
      <c r="C22" s="35"/>
      <c r="D22" s="35"/>
      <c r="E22" s="35"/>
      <c r="F22" s="35"/>
      <c r="G22" s="35"/>
      <c r="I22" s="35" t="s">
        <v>950</v>
      </c>
      <c r="J22" s="35"/>
      <c r="K22" s="35"/>
      <c r="L22" s="35"/>
      <c r="M22" s="35"/>
      <c r="N22" s="35"/>
      <c r="O22" s="35"/>
    </row>
    <row r="37" spans="1:15" x14ac:dyDescent="0.35">
      <c r="A37" s="1"/>
      <c r="B37" s="1"/>
      <c r="C37" s="1"/>
      <c r="D37" s="1"/>
      <c r="E37" s="1"/>
      <c r="F37" s="1"/>
      <c r="G37" s="1"/>
      <c r="H37" s="1"/>
      <c r="I37" s="35" t="s">
        <v>952</v>
      </c>
      <c r="J37" s="35"/>
      <c r="K37" s="35"/>
      <c r="L37" s="35"/>
      <c r="M37" s="35"/>
      <c r="N37" s="35"/>
      <c r="O37" s="35"/>
    </row>
    <row r="38" spans="1:15" x14ac:dyDescent="0.35">
      <c r="A38" s="35" t="s">
        <v>951</v>
      </c>
      <c r="B38" s="35"/>
      <c r="C38" s="35"/>
      <c r="D38" s="35"/>
      <c r="E38" s="35"/>
      <c r="F38" s="35"/>
      <c r="G38" s="35"/>
      <c r="H38" s="1"/>
      <c r="I38" s="35"/>
      <c r="J38" s="35"/>
      <c r="K38" s="35"/>
      <c r="L38" s="35"/>
      <c r="M38" s="35"/>
      <c r="N38" s="35"/>
      <c r="O38" s="35"/>
    </row>
  </sheetData>
  <mergeCells count="15">
    <mergeCell ref="A38:G38"/>
    <mergeCell ref="I37:O38"/>
    <mergeCell ref="A22:G22"/>
    <mergeCell ref="I22:O22"/>
    <mergeCell ref="A1:O2"/>
    <mergeCell ref="A4:C6"/>
    <mergeCell ref="D4:F6"/>
    <mergeCell ref="G4:I6"/>
    <mergeCell ref="J4:L6"/>
    <mergeCell ref="M4:O6"/>
    <mergeCell ref="A3:C3"/>
    <mergeCell ref="D3:F3"/>
    <mergeCell ref="G3:I3"/>
    <mergeCell ref="J3:L3"/>
    <mergeCell ref="M3:O3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745C-B3D9-4B96-A3CA-AC0DDAEEC67B}">
  <dimension ref="A1:Z54"/>
  <sheetViews>
    <sheetView zoomScale="70" zoomScaleNormal="70" workbookViewId="0">
      <selection activeCell="U55" sqref="U55"/>
    </sheetView>
  </sheetViews>
  <sheetFormatPr defaultRowHeight="14.5" x14ac:dyDescent="0.35"/>
  <cols>
    <col min="20" max="20" width="15.453125" bestFit="1" customWidth="1"/>
    <col min="21" max="21" width="11.54296875" bestFit="1" customWidth="1"/>
    <col min="22" max="23" width="11.81640625" bestFit="1" customWidth="1"/>
    <col min="24" max="24" width="61.1796875" bestFit="1" customWidth="1"/>
    <col min="25" max="26" width="11.54296875" bestFit="1" customWidth="1"/>
  </cols>
  <sheetData>
    <row r="1" spans="1:26" x14ac:dyDescent="0.35">
      <c r="A1" s="17" t="s">
        <v>935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T1" s="2" t="s">
        <v>914</v>
      </c>
      <c r="U1" t="s">
        <v>919</v>
      </c>
      <c r="V1" t="s">
        <v>920</v>
      </c>
      <c r="X1" s="2" t="s">
        <v>914</v>
      </c>
      <c r="Y1" t="s">
        <v>919</v>
      </c>
      <c r="Z1" t="s">
        <v>920</v>
      </c>
    </row>
    <row r="2" spans="1:26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T2" s="3" t="s">
        <v>6</v>
      </c>
      <c r="U2" s="6">
        <v>741999.79529999977</v>
      </c>
      <c r="V2" s="6">
        <v>18451.272799999999</v>
      </c>
      <c r="X2" s="3" t="s">
        <v>747</v>
      </c>
      <c r="Y2" s="6">
        <v>61599.824000000001</v>
      </c>
      <c r="Z2" s="6">
        <v>25199.928000000004</v>
      </c>
    </row>
    <row r="3" spans="1:26" x14ac:dyDescent="0.35">
      <c r="T3" s="3" t="s">
        <v>12</v>
      </c>
      <c r="U3" s="6">
        <v>719047.03200000292</v>
      </c>
      <c r="V3" s="6">
        <v>122490.80080000011</v>
      </c>
      <c r="X3" s="5" t="s">
        <v>203</v>
      </c>
      <c r="Y3" s="6">
        <v>61599.824000000001</v>
      </c>
      <c r="Z3" s="6">
        <v>25199.928000000004</v>
      </c>
    </row>
    <row r="4" spans="1:26" x14ac:dyDescent="0.35">
      <c r="T4" s="3" t="s">
        <v>21</v>
      </c>
      <c r="U4" s="6">
        <v>836154.03299999656</v>
      </c>
      <c r="V4" s="6">
        <v>145454.94809999989</v>
      </c>
      <c r="X4" s="3" t="s">
        <v>276</v>
      </c>
      <c r="Y4" s="6">
        <v>27453.383999999998</v>
      </c>
      <c r="Z4" s="6">
        <v>7753.0389999999998</v>
      </c>
    </row>
    <row r="5" spans="1:26" x14ac:dyDescent="0.35">
      <c r="T5" s="3" t="s">
        <v>915</v>
      </c>
      <c r="U5" s="6">
        <v>2297200.8602999994</v>
      </c>
      <c r="V5" s="6">
        <v>286397.02170000004</v>
      </c>
      <c r="X5" s="5" t="s">
        <v>23</v>
      </c>
      <c r="Y5" s="6">
        <v>27453.383999999998</v>
      </c>
      <c r="Z5" s="6">
        <v>7753.0389999999998</v>
      </c>
    </row>
    <row r="6" spans="1:26" x14ac:dyDescent="0.35">
      <c r="X6" s="3" t="s">
        <v>204</v>
      </c>
      <c r="Y6" s="6">
        <v>18839.686000000002</v>
      </c>
      <c r="Z6" s="6">
        <v>6983.8836000000001</v>
      </c>
    </row>
    <row r="7" spans="1:26" x14ac:dyDescent="0.35">
      <c r="T7" s="2" t="s">
        <v>914</v>
      </c>
      <c r="U7" t="s">
        <v>919</v>
      </c>
      <c r="V7" t="s">
        <v>920</v>
      </c>
      <c r="X7" s="5" t="s">
        <v>203</v>
      </c>
      <c r="Y7" s="6">
        <v>18839.686000000002</v>
      </c>
      <c r="Z7" s="6">
        <v>6983.8836000000001</v>
      </c>
    </row>
    <row r="8" spans="1:26" x14ac:dyDescent="0.35">
      <c r="T8" s="3" t="s">
        <v>6</v>
      </c>
      <c r="U8" s="6">
        <v>741999.79530000081</v>
      </c>
      <c r="V8" s="6">
        <v>18451.272800000002</v>
      </c>
      <c r="X8" s="3" t="s">
        <v>704</v>
      </c>
      <c r="Y8" s="6">
        <v>11619.833999999999</v>
      </c>
      <c r="Z8" s="6">
        <v>4570.9346999999998</v>
      </c>
    </row>
    <row r="9" spans="1:26" x14ac:dyDescent="0.35">
      <c r="T9" s="5" t="s">
        <v>7</v>
      </c>
      <c r="U9" s="6">
        <v>114879.99629999997</v>
      </c>
      <c r="V9" s="6">
        <v>-3472.5559999999978</v>
      </c>
      <c r="X9" s="5" t="s">
        <v>203</v>
      </c>
      <c r="Y9" s="6">
        <v>11619.833999999999</v>
      </c>
      <c r="Z9" s="6">
        <v>4570.9346999999998</v>
      </c>
    </row>
    <row r="10" spans="1:26" x14ac:dyDescent="0.35">
      <c r="T10" s="5" t="s">
        <v>8</v>
      </c>
      <c r="U10" s="6">
        <v>328449.10300000076</v>
      </c>
      <c r="V10" s="6">
        <v>26590.166300000026</v>
      </c>
      <c r="X10" s="3" t="s">
        <v>848</v>
      </c>
      <c r="Y10" s="6">
        <v>18374.895</v>
      </c>
      <c r="Z10" s="6">
        <v>4094.9766</v>
      </c>
    </row>
    <row r="11" spans="1:26" x14ac:dyDescent="0.35">
      <c r="T11" s="5" t="s">
        <v>19</v>
      </c>
      <c r="U11" s="6">
        <v>91705.164000000048</v>
      </c>
      <c r="V11" s="6">
        <v>13059.143599999983</v>
      </c>
      <c r="X11" s="5" t="s">
        <v>134</v>
      </c>
      <c r="Y11" s="6">
        <v>18374.895</v>
      </c>
      <c r="Z11" s="6">
        <v>4094.9766</v>
      </c>
    </row>
    <row r="12" spans="1:26" x14ac:dyDescent="0.35">
      <c r="T12" s="5" t="s">
        <v>16</v>
      </c>
      <c r="U12" s="6">
        <v>206965.53200000009</v>
      </c>
      <c r="V12" s="6">
        <v>-17725.481100000008</v>
      </c>
      <c r="X12" s="3" t="s">
        <v>479</v>
      </c>
      <c r="Y12" s="6">
        <v>7699.89</v>
      </c>
      <c r="Z12" s="6">
        <v>3772.9461000000001</v>
      </c>
    </row>
    <row r="13" spans="1:26" x14ac:dyDescent="0.35">
      <c r="T13" s="3" t="s">
        <v>12</v>
      </c>
      <c r="U13" s="6">
        <v>719047.03200000024</v>
      </c>
      <c r="V13" s="6">
        <v>122490.80079999995</v>
      </c>
      <c r="X13" s="5" t="s">
        <v>134</v>
      </c>
      <c r="Y13" s="6">
        <v>7699.89</v>
      </c>
      <c r="Z13" s="6">
        <v>3772.9461000000001</v>
      </c>
    </row>
    <row r="14" spans="1:26" x14ac:dyDescent="0.35">
      <c r="T14" s="5" t="s">
        <v>24</v>
      </c>
      <c r="U14" s="6">
        <v>107532.16099999999</v>
      </c>
      <c r="V14" s="6">
        <v>18138.005399999995</v>
      </c>
      <c r="X14" s="3" t="s">
        <v>858</v>
      </c>
      <c r="Y14" s="6">
        <v>14299.89</v>
      </c>
      <c r="Z14" s="6">
        <v>3717.9714000000004</v>
      </c>
    </row>
    <row r="15" spans="1:26" x14ac:dyDescent="0.35">
      <c r="T15" s="5" t="s">
        <v>20</v>
      </c>
      <c r="U15" s="6">
        <v>27118.791999999954</v>
      </c>
      <c r="V15" s="6">
        <v>6527.7869999999984</v>
      </c>
      <c r="X15" s="5" t="s">
        <v>134</v>
      </c>
      <c r="Y15" s="6">
        <v>14299.89</v>
      </c>
      <c r="Z15" s="6">
        <v>3717.9714000000004</v>
      </c>
    </row>
    <row r="16" spans="1:26" x14ac:dyDescent="0.35">
      <c r="T16" s="5" t="s">
        <v>23</v>
      </c>
      <c r="U16" s="6">
        <v>203412.73300000009</v>
      </c>
      <c r="V16" s="6">
        <v>30221.763299999995</v>
      </c>
      <c r="X16" s="3" t="s">
        <v>603</v>
      </c>
      <c r="Y16" s="6">
        <v>9367.2899999999991</v>
      </c>
      <c r="Z16" s="6">
        <v>3696.2819999999997</v>
      </c>
    </row>
    <row r="17" spans="1:26" x14ac:dyDescent="0.35">
      <c r="T17" s="5" t="s">
        <v>47</v>
      </c>
      <c r="U17" s="6">
        <v>16476.401999999998</v>
      </c>
      <c r="V17" s="6">
        <v>6964.1767000000027</v>
      </c>
      <c r="X17" s="5" t="s">
        <v>45</v>
      </c>
      <c r="Y17" s="6">
        <v>9367.2899999999991</v>
      </c>
      <c r="Z17" s="6">
        <v>3696.2819999999997</v>
      </c>
    </row>
    <row r="18" spans="1:26" x14ac:dyDescent="0.35">
      <c r="T18" s="5" t="s">
        <v>66</v>
      </c>
      <c r="U18" s="6">
        <v>3024.2799999999997</v>
      </c>
      <c r="V18" s="6">
        <v>949.51819999999975</v>
      </c>
      <c r="X18" s="3" t="s">
        <v>846</v>
      </c>
      <c r="Y18" s="6">
        <v>15875.916000000001</v>
      </c>
      <c r="Z18" s="6">
        <v>3345.2822999999999</v>
      </c>
    </row>
    <row r="19" spans="1:26" x14ac:dyDescent="0.35">
      <c r="T19" s="5" t="s">
        <v>13</v>
      </c>
      <c r="U19" s="6">
        <v>12486.312</v>
      </c>
      <c r="V19" s="6">
        <v>5546.2539999999981</v>
      </c>
      <c r="X19" s="5" t="s">
        <v>23</v>
      </c>
      <c r="Y19" s="6">
        <v>15875.916000000001</v>
      </c>
      <c r="Z19" s="6">
        <v>3345.2822999999999</v>
      </c>
    </row>
    <row r="20" spans="1:26" x14ac:dyDescent="0.35">
      <c r="T20" s="5" t="s">
        <v>27</v>
      </c>
      <c r="U20" s="6">
        <v>78479.20600000002</v>
      </c>
      <c r="V20" s="6">
        <v>34053.569299999966</v>
      </c>
      <c r="X20" s="3" t="s">
        <v>874</v>
      </c>
      <c r="Y20" s="6">
        <v>6965.7000000000007</v>
      </c>
      <c r="Z20" s="6">
        <v>3343.5360000000001</v>
      </c>
    </row>
    <row r="21" spans="1:26" x14ac:dyDescent="0.35">
      <c r="T21" s="5" t="s">
        <v>17</v>
      </c>
      <c r="U21" s="6">
        <v>223843.60800000012</v>
      </c>
      <c r="V21" s="6">
        <v>21278.826399999998</v>
      </c>
      <c r="X21" s="5" t="s">
        <v>134</v>
      </c>
      <c r="Y21" s="6">
        <v>6965.7000000000007</v>
      </c>
      <c r="Z21" s="6">
        <v>3343.5360000000001</v>
      </c>
    </row>
    <row r="22" spans="1:26" x14ac:dyDescent="0.35">
      <c r="A22" s="35" t="s">
        <v>953</v>
      </c>
      <c r="B22" s="35"/>
      <c r="C22" s="35"/>
      <c r="D22" s="35"/>
      <c r="E22" s="35"/>
      <c r="F22" s="35"/>
      <c r="G22" s="35" t="s">
        <v>954</v>
      </c>
      <c r="H22" s="35"/>
      <c r="I22" s="35"/>
      <c r="J22" s="35"/>
      <c r="K22" s="35"/>
      <c r="L22" s="35"/>
      <c r="M22" s="35"/>
      <c r="N22" s="35"/>
      <c r="O22" s="35"/>
      <c r="T22" s="5" t="s">
        <v>113</v>
      </c>
      <c r="U22" s="6">
        <v>46673.538000000015</v>
      </c>
      <c r="V22" s="6">
        <v>-1189.0994999999984</v>
      </c>
      <c r="X22" s="3" t="s">
        <v>915</v>
      </c>
      <c r="Y22" s="6">
        <v>192096.30899999998</v>
      </c>
      <c r="Z22" s="6">
        <v>66478.779699999999</v>
      </c>
    </row>
    <row r="23" spans="1:26" x14ac:dyDescent="0.35">
      <c r="T23" s="3" t="s">
        <v>21</v>
      </c>
      <c r="U23" s="6">
        <v>836154.03300000005</v>
      </c>
      <c r="V23" s="6">
        <v>145454.94809999992</v>
      </c>
      <c r="Y23" s="6"/>
      <c r="Z23" s="6"/>
    </row>
    <row r="24" spans="1:26" x14ac:dyDescent="0.35">
      <c r="T24" s="5" t="s">
        <v>45</v>
      </c>
      <c r="U24" s="6">
        <v>167380.31800000009</v>
      </c>
      <c r="V24" s="6">
        <v>41936.635699999933</v>
      </c>
      <c r="X24" s="2" t="s">
        <v>914</v>
      </c>
      <c r="Y24" t="s">
        <v>919</v>
      </c>
      <c r="Z24" t="s">
        <v>920</v>
      </c>
    </row>
    <row r="25" spans="1:26" x14ac:dyDescent="0.35">
      <c r="T25" s="5" t="s">
        <v>203</v>
      </c>
      <c r="U25" s="6">
        <v>149528.02999999994</v>
      </c>
      <c r="V25" s="6">
        <v>55617.824900000007</v>
      </c>
      <c r="X25" s="3" t="s">
        <v>802</v>
      </c>
      <c r="Y25" s="6">
        <v>11099.963</v>
      </c>
      <c r="Z25" s="6">
        <v>-8879.9704000000002</v>
      </c>
    </row>
    <row r="26" spans="1:26" x14ac:dyDescent="0.35">
      <c r="T26" s="5" t="s">
        <v>134</v>
      </c>
      <c r="U26" s="6">
        <v>189238.63099999996</v>
      </c>
      <c r="V26" s="6">
        <v>3384.7568999999999</v>
      </c>
      <c r="X26" s="5" t="s">
        <v>134</v>
      </c>
      <c r="Y26" s="6">
        <v>11099.963</v>
      </c>
      <c r="Z26" s="6">
        <v>-8879.9704000000002</v>
      </c>
    </row>
    <row r="27" spans="1:26" x14ac:dyDescent="0.35">
      <c r="T27" s="5" t="s">
        <v>22</v>
      </c>
      <c r="U27" s="6">
        <v>330007.05400000012</v>
      </c>
      <c r="V27" s="6">
        <v>44515.730600000003</v>
      </c>
      <c r="X27" s="3" t="s">
        <v>135</v>
      </c>
      <c r="Y27" s="6">
        <v>16829.901000000002</v>
      </c>
      <c r="Z27" s="6">
        <v>-4589.973</v>
      </c>
    </row>
    <row r="28" spans="1:26" x14ac:dyDescent="0.35">
      <c r="T28" s="3" t="s">
        <v>915</v>
      </c>
      <c r="U28" s="6">
        <v>2297200.8603000012</v>
      </c>
      <c r="V28" s="6">
        <v>286397.02169999987</v>
      </c>
      <c r="X28" s="5" t="s">
        <v>134</v>
      </c>
      <c r="Y28" s="6">
        <v>16829.901000000002</v>
      </c>
      <c r="Z28" s="6">
        <v>-4589.973</v>
      </c>
    </row>
    <row r="29" spans="1:26" x14ac:dyDescent="0.35">
      <c r="X29" s="3" t="s">
        <v>348</v>
      </c>
      <c r="Y29" s="6">
        <v>7999.98</v>
      </c>
      <c r="Z29" s="6">
        <v>-3839.9904000000001</v>
      </c>
    </row>
    <row r="30" spans="1:26" x14ac:dyDescent="0.35">
      <c r="X30" s="5" t="s">
        <v>134</v>
      </c>
      <c r="Y30" s="6">
        <v>7999.98</v>
      </c>
      <c r="Z30" s="6">
        <v>-3839.9904000000001</v>
      </c>
    </row>
    <row r="31" spans="1:26" x14ac:dyDescent="0.35">
      <c r="X31" s="3" t="s">
        <v>365</v>
      </c>
      <c r="Y31" s="6">
        <v>9917.64</v>
      </c>
      <c r="Z31" s="6">
        <v>-2876.1156000000001</v>
      </c>
    </row>
    <row r="32" spans="1:26" x14ac:dyDescent="0.35">
      <c r="X32" s="5" t="s">
        <v>16</v>
      </c>
      <c r="Y32" s="6">
        <v>9917.64</v>
      </c>
      <c r="Z32" s="6">
        <v>-2876.1156000000001</v>
      </c>
    </row>
    <row r="33" spans="1:26" x14ac:dyDescent="0.35">
      <c r="X33" s="3" t="s">
        <v>257</v>
      </c>
      <c r="Y33" s="6">
        <v>9544.7250000000004</v>
      </c>
      <c r="Z33" s="6">
        <v>-1934.3975999999998</v>
      </c>
    </row>
    <row r="34" spans="1:26" x14ac:dyDescent="0.35">
      <c r="X34" s="5" t="s">
        <v>16</v>
      </c>
      <c r="Y34" s="6">
        <v>9544.7250000000004</v>
      </c>
      <c r="Z34" s="6">
        <v>-1934.3975999999998</v>
      </c>
    </row>
    <row r="35" spans="1:26" x14ac:dyDescent="0.35">
      <c r="X35" s="3" t="s">
        <v>210</v>
      </c>
      <c r="Y35" s="6">
        <v>17965.067999999999</v>
      </c>
      <c r="Z35" s="6">
        <v>-1878.1662000000003</v>
      </c>
    </row>
    <row r="36" spans="1:26" x14ac:dyDescent="0.35">
      <c r="X36" s="5" t="s">
        <v>23</v>
      </c>
      <c r="Y36" s="6">
        <v>17965.067999999999</v>
      </c>
      <c r="Z36" s="6">
        <v>-1878.1662000000003</v>
      </c>
    </row>
    <row r="37" spans="1:26" x14ac:dyDescent="0.35">
      <c r="A37" s="35" t="s">
        <v>955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X37" s="3" t="s">
        <v>758</v>
      </c>
      <c r="Y37" s="6">
        <v>22638.48</v>
      </c>
      <c r="Z37" s="6">
        <v>-1811.0784000000001</v>
      </c>
    </row>
    <row r="38" spans="1:26" x14ac:dyDescent="0.35">
      <c r="X38" s="5" t="s">
        <v>134</v>
      </c>
      <c r="Y38" s="6">
        <v>22638.48</v>
      </c>
      <c r="Z38" s="6">
        <v>-1811.0784000000001</v>
      </c>
    </row>
    <row r="39" spans="1:26" x14ac:dyDescent="0.35">
      <c r="X39" s="3" t="s">
        <v>285</v>
      </c>
      <c r="Y39" s="6">
        <v>16656.199999999997</v>
      </c>
      <c r="Z39" s="6">
        <v>-1299.1836000000001</v>
      </c>
    </row>
    <row r="40" spans="1:26" x14ac:dyDescent="0.35">
      <c r="X40" s="5" t="s">
        <v>113</v>
      </c>
      <c r="Y40" s="6">
        <v>16656.199999999997</v>
      </c>
      <c r="Z40" s="6">
        <v>-1299.1836000000001</v>
      </c>
    </row>
    <row r="41" spans="1:26" x14ac:dyDescent="0.35">
      <c r="X41" s="3" t="s">
        <v>708</v>
      </c>
      <c r="Y41" s="6">
        <v>6518.7539999999999</v>
      </c>
      <c r="Z41" s="6">
        <v>-1201.0581</v>
      </c>
    </row>
    <row r="42" spans="1:26" x14ac:dyDescent="0.35">
      <c r="X42" s="5" t="s">
        <v>16</v>
      </c>
      <c r="Y42" s="6">
        <v>6518.7539999999999</v>
      </c>
      <c r="Z42" s="6">
        <v>-1201.0581</v>
      </c>
    </row>
    <row r="43" spans="1:26" x14ac:dyDescent="0.35">
      <c r="X43" s="3" t="s">
        <v>155</v>
      </c>
      <c r="Y43" s="6">
        <v>1706.25</v>
      </c>
      <c r="Z43" s="6">
        <v>-1148.4375</v>
      </c>
    </row>
    <row r="44" spans="1:26" x14ac:dyDescent="0.35">
      <c r="X44" s="5" t="s">
        <v>16</v>
      </c>
      <c r="Y44" s="6">
        <v>1706.25</v>
      </c>
      <c r="Z44" s="6">
        <v>-1148.4375</v>
      </c>
    </row>
    <row r="45" spans="1:26" x14ac:dyDescent="0.35">
      <c r="X45" s="3" t="s">
        <v>915</v>
      </c>
      <c r="Y45" s="6">
        <v>120876.961</v>
      </c>
      <c r="Z45" s="6">
        <v>-29458.370800000001</v>
      </c>
    </row>
    <row r="54" spans="1:15" x14ac:dyDescent="0.35">
      <c r="A54" s="35" t="s">
        <v>956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</sheetData>
  <mergeCells count="5">
    <mergeCell ref="A54:O54"/>
    <mergeCell ref="A1:O2"/>
    <mergeCell ref="A22:F22"/>
    <mergeCell ref="G22:O22"/>
    <mergeCell ref="A37:O37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5FF2-1019-4348-9F84-054AA6FB994E}">
  <dimension ref="A1:AA96"/>
  <sheetViews>
    <sheetView zoomScale="80" zoomScaleNormal="80" workbookViewId="0">
      <selection activeCell="Q48" sqref="Q48"/>
    </sheetView>
  </sheetViews>
  <sheetFormatPr defaultRowHeight="14.5" x14ac:dyDescent="0.35"/>
  <cols>
    <col min="21" max="21" width="17" bestFit="1" customWidth="1"/>
    <col min="22" max="22" width="17.453125" bestFit="1" customWidth="1"/>
    <col min="23" max="23" width="11.54296875" bestFit="1" customWidth="1"/>
    <col min="24" max="24" width="19.08984375" bestFit="1" customWidth="1"/>
    <col min="25" max="25" width="12.453125" bestFit="1" customWidth="1"/>
    <col min="26" max="26" width="11.54296875" bestFit="1" customWidth="1"/>
  </cols>
  <sheetData>
    <row r="1" spans="1:26" x14ac:dyDescent="0.35">
      <c r="A1" s="17" t="s">
        <v>936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U1" s="2" t="s">
        <v>914</v>
      </c>
      <c r="V1" s="6" t="s">
        <v>919</v>
      </c>
      <c r="W1" t="s">
        <v>920</v>
      </c>
      <c r="Y1" s="2" t="s">
        <v>914</v>
      </c>
      <c r="Z1" t="s">
        <v>920</v>
      </c>
    </row>
    <row r="2" spans="1:26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U2" s="3" t="s">
        <v>32</v>
      </c>
      <c r="V2" s="6">
        <v>501239.89080000052</v>
      </c>
      <c r="W2" s="6">
        <v>39706.362499999981</v>
      </c>
      <c r="Y2" s="3" t="s">
        <v>10</v>
      </c>
      <c r="Z2" s="6">
        <v>76381.387100000167</v>
      </c>
    </row>
    <row r="3" spans="1:26" x14ac:dyDescent="0.35">
      <c r="U3" s="3" t="s">
        <v>42</v>
      </c>
      <c r="V3" s="6">
        <v>678781.2399999979</v>
      </c>
      <c r="W3" s="6">
        <v>91522.780000000261</v>
      </c>
      <c r="Y3" s="5" t="s">
        <v>11</v>
      </c>
      <c r="Z3" s="6">
        <v>76381.387100000167</v>
      </c>
    </row>
    <row r="4" spans="1:26" x14ac:dyDescent="0.35">
      <c r="U4" s="3" t="s">
        <v>5</v>
      </c>
      <c r="V4" s="6">
        <v>391721.90500000032</v>
      </c>
      <c r="W4" s="6">
        <v>46749.430300000065</v>
      </c>
      <c r="Y4" s="3" t="s">
        <v>65</v>
      </c>
      <c r="Z4" s="6">
        <v>74038.548600000053</v>
      </c>
    </row>
    <row r="5" spans="1:26" x14ac:dyDescent="0.35">
      <c r="U5" s="3" t="s">
        <v>11</v>
      </c>
      <c r="V5" s="6">
        <v>725457.82450000057</v>
      </c>
      <c r="W5" s="6">
        <v>108418.44890000018</v>
      </c>
      <c r="Y5" s="5" t="s">
        <v>42</v>
      </c>
      <c r="Z5" s="6">
        <v>74038.548600000053</v>
      </c>
    </row>
    <row r="6" spans="1:26" x14ac:dyDescent="0.35">
      <c r="U6" s="3" t="s">
        <v>915</v>
      </c>
      <c r="V6" s="6">
        <v>2297200.8602999994</v>
      </c>
      <c r="W6" s="6">
        <v>286397.02170000051</v>
      </c>
      <c r="Y6" s="3" t="s">
        <v>29</v>
      </c>
      <c r="Z6" s="6">
        <v>33402.651699999995</v>
      </c>
    </row>
    <row r="7" spans="1:26" x14ac:dyDescent="0.35">
      <c r="Y7" s="5" t="s">
        <v>11</v>
      </c>
      <c r="Z7" s="6">
        <v>33402.651699999995</v>
      </c>
    </row>
    <row r="8" spans="1:26" x14ac:dyDescent="0.35">
      <c r="U8" s="2" t="s">
        <v>914</v>
      </c>
      <c r="V8" t="s">
        <v>922</v>
      </c>
      <c r="Y8" s="3" t="s">
        <v>59</v>
      </c>
      <c r="Z8" s="6">
        <v>24463.187599999994</v>
      </c>
    </row>
    <row r="9" spans="1:26" x14ac:dyDescent="0.35">
      <c r="U9" s="3" t="s">
        <v>32</v>
      </c>
      <c r="V9" s="4">
        <v>7.9216285911775514E-2</v>
      </c>
      <c r="Y9" s="5" t="s">
        <v>32</v>
      </c>
      <c r="Z9" s="6">
        <v>24463.187599999994</v>
      </c>
    </row>
    <row r="10" spans="1:26" x14ac:dyDescent="0.35">
      <c r="U10" s="3" t="s">
        <v>5</v>
      </c>
      <c r="V10" s="4">
        <v>0.11934341609004487</v>
      </c>
      <c r="Y10" s="3" t="s">
        <v>73</v>
      </c>
      <c r="Z10" s="6">
        <v>18597.950400000002</v>
      </c>
    </row>
    <row r="11" spans="1:26" x14ac:dyDescent="0.35">
      <c r="U11" s="3" t="s">
        <v>42</v>
      </c>
      <c r="V11" s="4">
        <v>0.13483398568882154</v>
      </c>
      <c r="Y11" s="5" t="s">
        <v>5</v>
      </c>
      <c r="Z11" s="6">
        <v>18597.950400000002</v>
      </c>
    </row>
    <row r="12" spans="1:26" x14ac:dyDescent="0.35">
      <c r="U12" s="3" t="s">
        <v>11</v>
      </c>
      <c r="V12" s="4">
        <v>0.14944831420727214</v>
      </c>
      <c r="Y12" s="3" t="s">
        <v>63</v>
      </c>
      <c r="Z12" s="6">
        <v>18382.936300000005</v>
      </c>
    </row>
    <row r="13" spans="1:26" x14ac:dyDescent="0.35">
      <c r="U13" s="3" t="s">
        <v>915</v>
      </c>
      <c r="V13" s="4">
        <v>0.12467217240315888</v>
      </c>
      <c r="Y13" s="5" t="s">
        <v>32</v>
      </c>
      <c r="Z13" s="6">
        <v>18382.936300000005</v>
      </c>
    </row>
    <row r="14" spans="1:26" x14ac:dyDescent="0.35">
      <c r="A14" s="35" t="s">
        <v>957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Y14" s="3" t="s">
        <v>213</v>
      </c>
      <c r="Z14" s="6">
        <v>16250.043300000003</v>
      </c>
    </row>
    <row r="15" spans="1:26" x14ac:dyDescent="0.35">
      <c r="U15" s="2" t="s">
        <v>914</v>
      </c>
      <c r="V15" t="s">
        <v>921</v>
      </c>
      <c r="W15" t="s">
        <v>920</v>
      </c>
      <c r="Y15" s="5" t="s">
        <v>5</v>
      </c>
      <c r="Z15" s="6">
        <v>16250.043300000003</v>
      </c>
    </row>
    <row r="16" spans="1:26" x14ac:dyDescent="0.35">
      <c r="U16" s="3" t="s">
        <v>79</v>
      </c>
      <c r="V16" s="4">
        <v>0</v>
      </c>
      <c r="W16" s="6">
        <v>5786.8252999999986</v>
      </c>
      <c r="Y16" s="3" t="s">
        <v>4</v>
      </c>
      <c r="Z16" s="6">
        <v>11199.696600000005</v>
      </c>
    </row>
    <row r="17" spans="1:26" x14ac:dyDescent="0.35">
      <c r="U17" s="3" t="s">
        <v>71</v>
      </c>
      <c r="V17" s="4">
        <v>0.30357142857142971</v>
      </c>
      <c r="W17" s="6">
        <v>-3427.9245999999998</v>
      </c>
      <c r="Y17" s="5" t="s">
        <v>5</v>
      </c>
      <c r="Z17" s="6">
        <v>11199.696600000005</v>
      </c>
    </row>
    <row r="18" spans="1:26" x14ac:dyDescent="0.35">
      <c r="U18" s="3" t="s">
        <v>272</v>
      </c>
      <c r="V18" s="4">
        <v>0</v>
      </c>
      <c r="W18" s="6">
        <v>4008.6871000000001</v>
      </c>
      <c r="Y18" s="3" t="s">
        <v>57</v>
      </c>
      <c r="Z18" s="6">
        <v>10823.187400000001</v>
      </c>
    </row>
    <row r="19" spans="1:26" x14ac:dyDescent="0.35">
      <c r="U19" s="3" t="s">
        <v>10</v>
      </c>
      <c r="V19" s="4">
        <v>7.2763618190904739E-2</v>
      </c>
      <c r="W19" s="6">
        <v>76381.387100000167</v>
      </c>
      <c r="Y19" s="5" t="s">
        <v>32</v>
      </c>
      <c r="Z19" s="6">
        <v>10823.187400000001</v>
      </c>
    </row>
    <row r="20" spans="1:26" x14ac:dyDescent="0.35">
      <c r="U20" s="3" t="s">
        <v>96</v>
      </c>
      <c r="V20" s="4">
        <v>0.31648351648351752</v>
      </c>
      <c r="W20" s="6">
        <v>-6527.8579000000009</v>
      </c>
      <c r="Y20" s="3" t="s">
        <v>61</v>
      </c>
      <c r="Z20" s="6">
        <v>9977.3748000000014</v>
      </c>
    </row>
    <row r="21" spans="1:26" x14ac:dyDescent="0.35">
      <c r="U21" s="3" t="s">
        <v>144</v>
      </c>
      <c r="V21" s="4">
        <v>7.3170731707317069E-3</v>
      </c>
      <c r="W21" s="6">
        <v>3511.4918000000002</v>
      </c>
      <c r="Y21" s="5" t="s">
        <v>42</v>
      </c>
      <c r="Z21" s="6">
        <v>9977.3748000000014</v>
      </c>
    </row>
    <row r="22" spans="1:26" x14ac:dyDescent="0.35">
      <c r="U22" s="3" t="s">
        <v>61</v>
      </c>
      <c r="V22" s="4">
        <v>6.2499999999999995E-3</v>
      </c>
      <c r="W22" s="6">
        <v>9977.3748000000014</v>
      </c>
      <c r="Y22" s="3" t="s">
        <v>915</v>
      </c>
      <c r="Z22" s="6">
        <v>293516.96380000026</v>
      </c>
    </row>
    <row r="23" spans="1:26" x14ac:dyDescent="0.35">
      <c r="U23" s="3" t="s">
        <v>457</v>
      </c>
      <c r="V23" s="4">
        <v>0</v>
      </c>
      <c r="W23" s="6">
        <v>1059.5892999999999</v>
      </c>
    </row>
    <row r="24" spans="1:26" x14ac:dyDescent="0.35">
      <c r="U24" s="3" t="s">
        <v>15</v>
      </c>
      <c r="V24" s="4">
        <v>0.29934725848564164</v>
      </c>
      <c r="W24" s="6">
        <v>-3399.3017</v>
      </c>
      <c r="Y24" s="2" t="s">
        <v>914</v>
      </c>
      <c r="Z24" t="s">
        <v>920</v>
      </c>
    </row>
    <row r="25" spans="1:26" x14ac:dyDescent="0.35">
      <c r="A25" s="35" t="s">
        <v>970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U25" s="3" t="s">
        <v>213</v>
      </c>
      <c r="V25" s="4">
        <v>0</v>
      </c>
      <c r="W25" s="6">
        <v>16250.043300000003</v>
      </c>
      <c r="Y25" s="3" t="s">
        <v>31</v>
      </c>
      <c r="Z25" s="6">
        <v>-25729.356299999999</v>
      </c>
    </row>
    <row r="26" spans="1:26" x14ac:dyDescent="0.35">
      <c r="U26" s="3" t="s">
        <v>792</v>
      </c>
      <c r="V26" s="4">
        <v>8.5714285714285701E-2</v>
      </c>
      <c r="W26" s="6">
        <v>826.72309999999993</v>
      </c>
      <c r="Y26" s="5" t="s">
        <v>32</v>
      </c>
      <c r="Z26" s="6">
        <v>-25729.356299999999</v>
      </c>
    </row>
    <row r="27" spans="1:26" x14ac:dyDescent="0.35">
      <c r="U27" s="3" t="s">
        <v>53</v>
      </c>
      <c r="V27" s="4">
        <v>0.39004065040650299</v>
      </c>
      <c r="W27" s="6">
        <v>-12607.886999999981</v>
      </c>
      <c r="Y27" s="3" t="s">
        <v>103</v>
      </c>
      <c r="Z27" s="6">
        <v>-16971.376600000018</v>
      </c>
    </row>
    <row r="28" spans="1:26" x14ac:dyDescent="0.35">
      <c r="U28" s="3" t="s">
        <v>63</v>
      </c>
      <c r="V28" s="4">
        <v>0</v>
      </c>
      <c r="W28" s="6">
        <v>18382.936300000005</v>
      </c>
      <c r="Y28" s="5" t="s">
        <v>42</v>
      </c>
      <c r="Z28" s="6">
        <v>-16971.376600000018</v>
      </c>
    </row>
    <row r="29" spans="1:26" x14ac:dyDescent="0.35">
      <c r="U29" s="3" t="s">
        <v>101</v>
      </c>
      <c r="V29" s="4">
        <v>0</v>
      </c>
      <c r="W29" s="6">
        <v>1183.8119000000002</v>
      </c>
      <c r="Y29" s="3" t="s">
        <v>41</v>
      </c>
      <c r="Z29" s="6">
        <v>-15559.960300000013</v>
      </c>
    </row>
    <row r="30" spans="1:26" x14ac:dyDescent="0.35">
      <c r="U30" s="3" t="s">
        <v>632</v>
      </c>
      <c r="V30" s="4">
        <v>0</v>
      </c>
      <c r="W30" s="6">
        <v>836.44350000000009</v>
      </c>
      <c r="Y30" s="5" t="s">
        <v>42</v>
      </c>
      <c r="Z30" s="6">
        <v>-15559.960300000013</v>
      </c>
    </row>
    <row r="31" spans="1:26" x14ac:dyDescent="0.35">
      <c r="U31" s="3" t="s">
        <v>4</v>
      </c>
      <c r="V31" s="4">
        <v>0</v>
      </c>
      <c r="W31" s="6">
        <v>11199.696600000005</v>
      </c>
      <c r="Y31" s="3" t="s">
        <v>53</v>
      </c>
      <c r="Z31" s="6">
        <v>-12607.886999999981</v>
      </c>
    </row>
    <row r="32" spans="1:26" x14ac:dyDescent="0.35">
      <c r="U32" s="3" t="s">
        <v>142</v>
      </c>
      <c r="V32" s="4">
        <v>0</v>
      </c>
      <c r="W32" s="6">
        <v>2196.1023000000009</v>
      </c>
      <c r="Y32" s="5" t="s">
        <v>32</v>
      </c>
      <c r="Z32" s="6">
        <v>-12607.886999999981</v>
      </c>
    </row>
    <row r="33" spans="1:27" x14ac:dyDescent="0.35">
      <c r="U33" s="3" t="s">
        <v>697</v>
      </c>
      <c r="V33" s="4">
        <v>0</v>
      </c>
      <c r="W33" s="6">
        <v>454.4862</v>
      </c>
      <c r="Y33" s="3" t="s">
        <v>26</v>
      </c>
      <c r="Z33" s="6">
        <v>-7490.9122000000034</v>
      </c>
    </row>
    <row r="34" spans="1:27" x14ac:dyDescent="0.35">
      <c r="U34" s="3" t="s">
        <v>418</v>
      </c>
      <c r="V34" s="4">
        <v>5.7142857142857143E-3</v>
      </c>
      <c r="W34" s="6">
        <v>7031.178799999997</v>
      </c>
      <c r="Y34" s="5" t="s">
        <v>5</v>
      </c>
      <c r="Z34" s="6">
        <v>-7490.9122000000034</v>
      </c>
    </row>
    <row r="35" spans="1:27" x14ac:dyDescent="0.35">
      <c r="U35" s="3" t="s">
        <v>208</v>
      </c>
      <c r="V35" s="4">
        <v>1.5555555555555557E-2</v>
      </c>
      <c r="W35" s="6">
        <v>6785.5016000000051</v>
      </c>
      <c r="Y35" s="3" t="s">
        <v>96</v>
      </c>
      <c r="Z35" s="6">
        <v>-6527.8579000000009</v>
      </c>
    </row>
    <row r="36" spans="1:27" x14ac:dyDescent="0.35">
      <c r="A36" s="35" t="s">
        <v>959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U36" s="3" t="s">
        <v>59</v>
      </c>
      <c r="V36" s="4">
        <v>7.0588235294117667E-3</v>
      </c>
      <c r="W36" s="6">
        <v>24463.187599999994</v>
      </c>
      <c r="Y36" s="5" t="s">
        <v>11</v>
      </c>
      <c r="Z36" s="6">
        <v>-6527.8579000000009</v>
      </c>
    </row>
    <row r="37" spans="1:27" x14ac:dyDescent="0.35">
      <c r="U37" s="3" t="s">
        <v>57</v>
      </c>
      <c r="V37" s="4">
        <v>0</v>
      </c>
      <c r="W37" s="6">
        <v>10823.187400000001</v>
      </c>
      <c r="Y37" s="3" t="s">
        <v>76</v>
      </c>
      <c r="Z37" s="6">
        <v>-5341.6935999999996</v>
      </c>
    </row>
    <row r="38" spans="1:27" x14ac:dyDescent="0.35">
      <c r="U38" s="3" t="s">
        <v>243</v>
      </c>
      <c r="V38" s="4">
        <v>0</v>
      </c>
      <c r="W38" s="6">
        <v>3172.9761999999982</v>
      </c>
      <c r="Y38" s="5" t="s">
        <v>5</v>
      </c>
      <c r="Z38" s="6">
        <v>-5341.6935999999996</v>
      </c>
    </row>
    <row r="39" spans="1:27" x14ac:dyDescent="0.35">
      <c r="U39" s="3" t="s">
        <v>118</v>
      </c>
      <c r="V39" s="4">
        <v>0</v>
      </c>
      <c r="W39" s="6">
        <v>6436.2104999999992</v>
      </c>
      <c r="Y39" s="3" t="s">
        <v>71</v>
      </c>
      <c r="Z39" s="6">
        <v>-3427.9245999999998</v>
      </c>
    </row>
    <row r="40" spans="1:27" x14ac:dyDescent="0.35">
      <c r="U40" s="3" t="s">
        <v>279</v>
      </c>
      <c r="V40" s="4">
        <v>6.6666666666666666E-2</v>
      </c>
      <c r="W40" s="6">
        <v>1833.3285000000001</v>
      </c>
      <c r="Y40" s="5" t="s">
        <v>11</v>
      </c>
      <c r="Z40" s="6">
        <v>-3427.9245999999998</v>
      </c>
    </row>
    <row r="41" spans="1:27" x14ac:dyDescent="0.35">
      <c r="U41" s="3" t="s">
        <v>39</v>
      </c>
      <c r="V41" s="4">
        <v>0</v>
      </c>
      <c r="W41" s="6">
        <v>2037.0942000000007</v>
      </c>
      <c r="Y41" s="3" t="s">
        <v>15</v>
      </c>
      <c r="Z41" s="6">
        <v>-3399.3017</v>
      </c>
    </row>
    <row r="42" spans="1:27" x14ac:dyDescent="0.35">
      <c r="U42" s="3" t="s">
        <v>231</v>
      </c>
      <c r="V42" s="4">
        <v>6.1538461538461535E-2</v>
      </c>
      <c r="W42" s="6">
        <v>3316.7658999999999</v>
      </c>
      <c r="Y42" s="5" t="s">
        <v>5</v>
      </c>
      <c r="Z42" s="6">
        <v>-3399.3017</v>
      </c>
    </row>
    <row r="43" spans="1:27" x14ac:dyDescent="0.35">
      <c r="U43" s="3" t="s">
        <v>411</v>
      </c>
      <c r="V43" s="4">
        <v>1.1111111111111112E-2</v>
      </c>
      <c r="W43" s="6">
        <v>1706.5028</v>
      </c>
      <c r="Y43" s="3" t="s">
        <v>89</v>
      </c>
      <c r="Z43" s="6">
        <v>-1190.4704999999992</v>
      </c>
    </row>
    <row r="44" spans="1:27" x14ac:dyDescent="0.35">
      <c r="U44" s="3" t="s">
        <v>151</v>
      </c>
      <c r="V44" s="4">
        <v>4.6153846153846149E-3</v>
      </c>
      <c r="W44" s="6">
        <v>9772.9138000000003</v>
      </c>
      <c r="Y44" s="5" t="s">
        <v>11</v>
      </c>
      <c r="Z44" s="6">
        <v>-1190.4704999999992</v>
      </c>
    </row>
    <row r="45" spans="1:27" x14ac:dyDescent="0.35">
      <c r="U45" s="3" t="s">
        <v>131</v>
      </c>
      <c r="V45" s="4">
        <v>5.9459459459459449E-2</v>
      </c>
      <c r="W45" s="6">
        <v>1157.1161</v>
      </c>
      <c r="Y45" s="3" t="s">
        <v>915</v>
      </c>
      <c r="Z45" s="6">
        <v>-98246.740700000009</v>
      </c>
    </row>
    <row r="46" spans="1:27" x14ac:dyDescent="0.35">
      <c r="U46" s="3" t="s">
        <v>65</v>
      </c>
      <c r="V46" s="4">
        <v>5.5319148936170487E-2</v>
      </c>
      <c r="W46" s="6">
        <v>74038.548600000053</v>
      </c>
    </row>
    <row r="47" spans="1:27" x14ac:dyDescent="0.35">
      <c r="A47" s="35" t="s">
        <v>958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U47" s="3" t="s">
        <v>26</v>
      </c>
      <c r="V47" s="4">
        <v>0.28353413654618592</v>
      </c>
      <c r="W47" s="6">
        <v>-7490.9122000000034</v>
      </c>
      <c r="Y47" t="s">
        <v>914</v>
      </c>
      <c r="Z47" t="s">
        <v>921</v>
      </c>
      <c r="AA47" t="s">
        <v>920</v>
      </c>
    </row>
    <row r="48" spans="1:27" x14ac:dyDescent="0.35">
      <c r="U48" s="3" t="s">
        <v>861</v>
      </c>
      <c r="V48" s="4">
        <v>0</v>
      </c>
      <c r="W48" s="6">
        <v>230.14969999999997</v>
      </c>
      <c r="Y48" t="s">
        <v>79</v>
      </c>
      <c r="Z48">
        <v>0</v>
      </c>
      <c r="AA48">
        <v>5786.8252999999986</v>
      </c>
    </row>
    <row r="49" spans="21:27" x14ac:dyDescent="0.35">
      <c r="U49" s="3" t="s">
        <v>103</v>
      </c>
      <c r="V49" s="4">
        <v>0.32494669509594903</v>
      </c>
      <c r="W49" s="6">
        <v>-16971.376600000018</v>
      </c>
      <c r="Y49" t="s">
        <v>71</v>
      </c>
      <c r="Z49">
        <v>0.30357142857142971</v>
      </c>
      <c r="AA49">
        <v>-3427.9245999999998</v>
      </c>
    </row>
    <row r="50" spans="21:27" x14ac:dyDescent="0.35">
      <c r="U50" s="3" t="s">
        <v>127</v>
      </c>
      <c r="V50" s="4">
        <v>0</v>
      </c>
      <c r="W50" s="6">
        <v>4853.9560000000001</v>
      </c>
      <c r="Y50" t="s">
        <v>272</v>
      </c>
      <c r="Z50">
        <v>0</v>
      </c>
      <c r="AA50">
        <v>4008.6871000000001</v>
      </c>
    </row>
    <row r="51" spans="21:27" x14ac:dyDescent="0.35">
      <c r="U51" s="3" t="s">
        <v>89</v>
      </c>
      <c r="V51" s="4">
        <v>0.28870967741935472</v>
      </c>
      <c r="W51" s="6">
        <v>-1190.4704999999992</v>
      </c>
      <c r="Y51" t="s">
        <v>10</v>
      </c>
      <c r="Z51">
        <v>7.2763618190904739E-2</v>
      </c>
      <c r="AA51">
        <v>76381.387100000167</v>
      </c>
    </row>
    <row r="52" spans="21:27" x14ac:dyDescent="0.35">
      <c r="U52" s="3" t="s">
        <v>41</v>
      </c>
      <c r="V52" s="4">
        <v>0.32862010221464999</v>
      </c>
      <c r="W52" s="6">
        <v>-15559.960300000013</v>
      </c>
      <c r="Y52" t="s">
        <v>96</v>
      </c>
      <c r="Z52">
        <v>0.31648351648351752</v>
      </c>
      <c r="AA52">
        <v>-6527.8579000000009</v>
      </c>
    </row>
    <row r="53" spans="21:27" x14ac:dyDescent="0.35">
      <c r="U53" s="3" t="s">
        <v>233</v>
      </c>
      <c r="V53" s="4">
        <v>2.1428571428571429E-2</v>
      </c>
      <c r="W53" s="6">
        <v>7285.6293000000014</v>
      </c>
      <c r="Y53" t="s">
        <v>144</v>
      </c>
      <c r="Z53">
        <v>7.3170731707317069E-3</v>
      </c>
      <c r="AA53">
        <v>3511.4918000000002</v>
      </c>
    </row>
    <row r="54" spans="21:27" x14ac:dyDescent="0.35">
      <c r="U54" s="3" t="s">
        <v>83</v>
      </c>
      <c r="V54" s="4">
        <v>0</v>
      </c>
      <c r="W54" s="6">
        <v>1769.0566000000003</v>
      </c>
      <c r="Y54" t="s">
        <v>61</v>
      </c>
      <c r="Z54">
        <v>6.2499999999999995E-3</v>
      </c>
      <c r="AA54">
        <v>9977.3748000000014</v>
      </c>
    </row>
    <row r="55" spans="21:27" x14ac:dyDescent="0.35">
      <c r="U55" s="3" t="s">
        <v>712</v>
      </c>
      <c r="V55" s="4">
        <v>0</v>
      </c>
      <c r="W55" s="6">
        <v>394.82830000000001</v>
      </c>
      <c r="Y55" t="s">
        <v>457</v>
      </c>
      <c r="Z55">
        <v>0</v>
      </c>
      <c r="AA55">
        <v>1059.5892999999999</v>
      </c>
    </row>
    <row r="56" spans="21:27" x14ac:dyDescent="0.35">
      <c r="U56" s="3" t="s">
        <v>76</v>
      </c>
      <c r="V56" s="4">
        <v>0.29125683060109359</v>
      </c>
      <c r="W56" s="6">
        <v>-5341.6935999999996</v>
      </c>
      <c r="Y56" t="s">
        <v>15</v>
      </c>
      <c r="Z56">
        <v>0.29934725848564164</v>
      </c>
      <c r="AA56">
        <v>-3399.3017</v>
      </c>
    </row>
    <row r="57" spans="21:27" x14ac:dyDescent="0.35">
      <c r="U57" s="3" t="s">
        <v>31</v>
      </c>
      <c r="V57" s="4">
        <v>0.37019289340101386</v>
      </c>
      <c r="W57" s="6">
        <v>-25729.356299999999</v>
      </c>
      <c r="Y57" t="s">
        <v>213</v>
      </c>
      <c r="Z57">
        <v>0</v>
      </c>
      <c r="AA57">
        <v>16250.043300000003</v>
      </c>
    </row>
    <row r="58" spans="21:27" x14ac:dyDescent="0.35">
      <c r="U58" s="3" t="s">
        <v>36</v>
      </c>
      <c r="V58" s="4">
        <v>6.0377358490566052E-2</v>
      </c>
      <c r="W58" s="6">
        <v>2546.5335000000005</v>
      </c>
      <c r="Y58" t="s">
        <v>792</v>
      </c>
      <c r="Z58">
        <v>8.5714285714285701E-2</v>
      </c>
      <c r="AA58">
        <v>826.72309999999993</v>
      </c>
    </row>
    <row r="59" spans="21:27" x14ac:dyDescent="0.35">
      <c r="U59" s="3" t="s">
        <v>693</v>
      </c>
      <c r="V59" s="4">
        <v>0</v>
      </c>
      <c r="W59" s="6">
        <v>2244.9783000000002</v>
      </c>
      <c r="Y59" t="s">
        <v>53</v>
      </c>
      <c r="Z59">
        <v>0.39004065040650299</v>
      </c>
      <c r="AA59">
        <v>-12607.886999999981</v>
      </c>
    </row>
    <row r="60" spans="21:27" x14ac:dyDescent="0.35">
      <c r="U60" s="3" t="s">
        <v>73</v>
      </c>
      <c r="V60" s="4">
        <v>0</v>
      </c>
      <c r="W60" s="6">
        <v>18597.950400000002</v>
      </c>
      <c r="Y60" t="s">
        <v>63</v>
      </c>
      <c r="Z60">
        <v>0</v>
      </c>
      <c r="AA60">
        <v>18382.936300000005</v>
      </c>
    </row>
    <row r="61" spans="21:27" x14ac:dyDescent="0.35">
      <c r="U61" s="3" t="s">
        <v>29</v>
      </c>
      <c r="V61" s="4">
        <v>6.4031620553359522E-2</v>
      </c>
      <c r="W61" s="6">
        <v>33402.651699999995</v>
      </c>
      <c r="Y61" t="s">
        <v>101</v>
      </c>
      <c r="Z61">
        <v>0</v>
      </c>
      <c r="AA61">
        <v>1183.8119000000002</v>
      </c>
    </row>
    <row r="62" spans="21:27" x14ac:dyDescent="0.35">
      <c r="U62" s="3" t="s">
        <v>904</v>
      </c>
      <c r="V62" s="4">
        <v>7.4999999999999997E-2</v>
      </c>
      <c r="W62" s="6">
        <v>185.92160000000001</v>
      </c>
      <c r="Y62" t="s">
        <v>632</v>
      </c>
      <c r="Z62">
        <v>0</v>
      </c>
      <c r="AA62">
        <v>836.44350000000009</v>
      </c>
    </row>
    <row r="63" spans="21:27" x14ac:dyDescent="0.35">
      <c r="U63" s="3" t="s">
        <v>34</v>
      </c>
      <c r="V63" s="4">
        <v>0</v>
      </c>
      <c r="W63" s="6">
        <v>8401.8003999999983</v>
      </c>
      <c r="Y63" t="s">
        <v>4</v>
      </c>
      <c r="Z63">
        <v>0</v>
      </c>
      <c r="AA63">
        <v>11199.696600000005</v>
      </c>
    </row>
    <row r="64" spans="21:27" x14ac:dyDescent="0.35">
      <c r="U64" s="3" t="s">
        <v>890</v>
      </c>
      <c r="V64" s="4">
        <v>0.2</v>
      </c>
      <c r="W64" s="6">
        <v>100.196</v>
      </c>
      <c r="Y64" t="s">
        <v>142</v>
      </c>
      <c r="Z64">
        <v>0</v>
      </c>
      <c r="AA64">
        <v>2196.1023000000009</v>
      </c>
    </row>
    <row r="65" spans="21:27" x14ac:dyDescent="0.35">
      <c r="U65" s="3" t="s">
        <v>915</v>
      </c>
      <c r="V65" s="4">
        <v>0.1562027216329876</v>
      </c>
      <c r="W65" s="6">
        <v>286397.02169999928</v>
      </c>
      <c r="Y65" t="s">
        <v>697</v>
      </c>
      <c r="Z65">
        <v>0</v>
      </c>
      <c r="AA65">
        <v>454.4862</v>
      </c>
    </row>
    <row r="66" spans="21:27" x14ac:dyDescent="0.35">
      <c r="Y66" t="s">
        <v>418</v>
      </c>
      <c r="Z66">
        <v>5.7142857142857143E-3</v>
      </c>
      <c r="AA66">
        <v>7031.178799999997</v>
      </c>
    </row>
    <row r="67" spans="21:27" x14ac:dyDescent="0.35">
      <c r="Y67" t="s">
        <v>208</v>
      </c>
      <c r="Z67">
        <v>1.5555555555555557E-2</v>
      </c>
      <c r="AA67">
        <v>6785.5016000000051</v>
      </c>
    </row>
    <row r="68" spans="21:27" x14ac:dyDescent="0.35">
      <c r="Y68" t="s">
        <v>59</v>
      </c>
      <c r="Z68">
        <v>7.0588235294117667E-3</v>
      </c>
      <c r="AA68">
        <v>24463.187599999994</v>
      </c>
    </row>
    <row r="69" spans="21:27" x14ac:dyDescent="0.35">
      <c r="Y69" t="s">
        <v>57</v>
      </c>
      <c r="Z69">
        <v>0</v>
      </c>
      <c r="AA69">
        <v>10823.187400000001</v>
      </c>
    </row>
    <row r="70" spans="21:27" x14ac:dyDescent="0.35">
      <c r="Y70" t="s">
        <v>243</v>
      </c>
      <c r="Z70">
        <v>0</v>
      </c>
      <c r="AA70">
        <v>3172.9761999999982</v>
      </c>
    </row>
    <row r="71" spans="21:27" x14ac:dyDescent="0.35">
      <c r="Y71" t="s">
        <v>118</v>
      </c>
      <c r="Z71">
        <v>0</v>
      </c>
      <c r="AA71">
        <v>6436.2104999999992</v>
      </c>
    </row>
    <row r="72" spans="21:27" x14ac:dyDescent="0.35">
      <c r="Y72" t="s">
        <v>279</v>
      </c>
      <c r="Z72">
        <v>6.6666666666666666E-2</v>
      </c>
      <c r="AA72">
        <v>1833.3285000000001</v>
      </c>
    </row>
    <row r="73" spans="21:27" x14ac:dyDescent="0.35">
      <c r="Y73" t="s">
        <v>39</v>
      </c>
      <c r="Z73">
        <v>0</v>
      </c>
      <c r="AA73">
        <v>2037.0942000000007</v>
      </c>
    </row>
    <row r="74" spans="21:27" x14ac:dyDescent="0.35">
      <c r="Y74" t="s">
        <v>231</v>
      </c>
      <c r="Z74">
        <v>6.1538461538461535E-2</v>
      </c>
      <c r="AA74">
        <v>3316.7658999999999</v>
      </c>
    </row>
    <row r="75" spans="21:27" x14ac:dyDescent="0.35">
      <c r="Y75" t="s">
        <v>411</v>
      </c>
      <c r="Z75">
        <v>1.1111111111111112E-2</v>
      </c>
      <c r="AA75">
        <v>1706.5028</v>
      </c>
    </row>
    <row r="76" spans="21:27" x14ac:dyDescent="0.35">
      <c r="Y76" t="s">
        <v>151</v>
      </c>
      <c r="Z76">
        <v>4.6153846153846149E-3</v>
      </c>
      <c r="AA76">
        <v>9772.9138000000003</v>
      </c>
    </row>
    <row r="77" spans="21:27" x14ac:dyDescent="0.35">
      <c r="Y77" t="s">
        <v>131</v>
      </c>
      <c r="Z77">
        <v>5.9459459459459449E-2</v>
      </c>
      <c r="AA77">
        <v>1157.1161</v>
      </c>
    </row>
    <row r="78" spans="21:27" x14ac:dyDescent="0.35">
      <c r="Y78" t="s">
        <v>65</v>
      </c>
      <c r="Z78">
        <v>5.5319148936170487E-2</v>
      </c>
      <c r="AA78">
        <v>74038.548600000053</v>
      </c>
    </row>
    <row r="79" spans="21:27" x14ac:dyDescent="0.35">
      <c r="Y79" t="s">
        <v>26</v>
      </c>
      <c r="Z79">
        <v>0.28353413654618592</v>
      </c>
      <c r="AA79">
        <v>-7490.9122000000034</v>
      </c>
    </row>
    <row r="80" spans="21:27" x14ac:dyDescent="0.35">
      <c r="Y80" t="s">
        <v>861</v>
      </c>
      <c r="Z80">
        <v>0</v>
      </c>
      <c r="AA80">
        <v>230.14969999999997</v>
      </c>
    </row>
    <row r="81" spans="25:27" x14ac:dyDescent="0.35">
      <c r="Y81" t="s">
        <v>103</v>
      </c>
      <c r="Z81">
        <v>0.32494669509594903</v>
      </c>
      <c r="AA81">
        <v>-16971.376600000018</v>
      </c>
    </row>
    <row r="82" spans="25:27" x14ac:dyDescent="0.35">
      <c r="Y82" t="s">
        <v>127</v>
      </c>
      <c r="Z82">
        <v>0</v>
      </c>
      <c r="AA82">
        <v>4853.9560000000001</v>
      </c>
    </row>
    <row r="83" spans="25:27" x14ac:dyDescent="0.35">
      <c r="Y83" t="s">
        <v>89</v>
      </c>
      <c r="Z83">
        <v>0.28870967741935472</v>
      </c>
      <c r="AA83">
        <v>-1190.4704999999992</v>
      </c>
    </row>
    <row r="84" spans="25:27" x14ac:dyDescent="0.35">
      <c r="Y84" t="s">
        <v>41</v>
      </c>
      <c r="Z84">
        <v>0.32862010221464999</v>
      </c>
      <c r="AA84">
        <v>-15559.960300000013</v>
      </c>
    </row>
    <row r="85" spans="25:27" x14ac:dyDescent="0.35">
      <c r="Y85" t="s">
        <v>233</v>
      </c>
      <c r="Z85">
        <v>2.1428571428571429E-2</v>
      </c>
      <c r="AA85">
        <v>7285.6293000000014</v>
      </c>
    </row>
    <row r="86" spans="25:27" x14ac:dyDescent="0.35">
      <c r="Y86" t="s">
        <v>83</v>
      </c>
      <c r="Z86">
        <v>0</v>
      </c>
      <c r="AA86">
        <v>1769.0566000000003</v>
      </c>
    </row>
    <row r="87" spans="25:27" x14ac:dyDescent="0.35">
      <c r="Y87" t="s">
        <v>712</v>
      </c>
      <c r="Z87">
        <v>0</v>
      </c>
      <c r="AA87">
        <v>394.82830000000001</v>
      </c>
    </row>
    <row r="88" spans="25:27" x14ac:dyDescent="0.35">
      <c r="Y88" t="s">
        <v>76</v>
      </c>
      <c r="Z88">
        <v>0.29125683060109359</v>
      </c>
      <c r="AA88">
        <v>-5341.6935999999996</v>
      </c>
    </row>
    <row r="89" spans="25:27" x14ac:dyDescent="0.35">
      <c r="Y89" t="s">
        <v>31</v>
      </c>
      <c r="Z89">
        <v>0.37019289340101386</v>
      </c>
      <c r="AA89">
        <v>-25729.356299999999</v>
      </c>
    </row>
    <row r="90" spans="25:27" x14ac:dyDescent="0.35">
      <c r="Y90" t="s">
        <v>36</v>
      </c>
      <c r="Z90">
        <v>6.0377358490566052E-2</v>
      </c>
      <c r="AA90">
        <v>2546.5335000000005</v>
      </c>
    </row>
    <row r="91" spans="25:27" x14ac:dyDescent="0.35">
      <c r="Y91" t="s">
        <v>693</v>
      </c>
      <c r="Z91">
        <v>0</v>
      </c>
      <c r="AA91">
        <v>2244.9783000000002</v>
      </c>
    </row>
    <row r="92" spans="25:27" x14ac:dyDescent="0.35">
      <c r="Y92" t="s">
        <v>73</v>
      </c>
      <c r="Z92">
        <v>0</v>
      </c>
      <c r="AA92">
        <v>18597.950400000002</v>
      </c>
    </row>
    <row r="93" spans="25:27" x14ac:dyDescent="0.35">
      <c r="Y93" t="s">
        <v>29</v>
      </c>
      <c r="Z93">
        <v>6.4031620553359522E-2</v>
      </c>
      <c r="AA93">
        <v>33402.651699999995</v>
      </c>
    </row>
    <row r="94" spans="25:27" x14ac:dyDescent="0.35">
      <c r="Y94" t="s">
        <v>904</v>
      </c>
      <c r="Z94">
        <v>7.4999999999999997E-2</v>
      </c>
      <c r="AA94">
        <v>185.92160000000001</v>
      </c>
    </row>
    <row r="95" spans="25:27" x14ac:dyDescent="0.35">
      <c r="Y95" t="s">
        <v>34</v>
      </c>
      <c r="Z95">
        <v>0</v>
      </c>
      <c r="AA95">
        <v>8401.8003999999983</v>
      </c>
    </row>
    <row r="96" spans="25:27" x14ac:dyDescent="0.35">
      <c r="Y96" t="s">
        <v>890</v>
      </c>
      <c r="Z96">
        <v>0.2</v>
      </c>
      <c r="AA96">
        <v>100.196</v>
      </c>
    </row>
  </sheetData>
  <mergeCells count="5">
    <mergeCell ref="A47:O47"/>
    <mergeCell ref="A14:O14"/>
    <mergeCell ref="A1:O2"/>
    <mergeCell ref="A25:O25"/>
    <mergeCell ref="A36:O36"/>
  </mergeCell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7C8B-1611-4AD0-8C6C-B3B9173E29A2}">
  <dimension ref="A1:AL795"/>
  <sheetViews>
    <sheetView zoomScale="90" zoomScaleNormal="90" workbookViewId="0">
      <selection activeCell="R40" sqref="R40"/>
    </sheetView>
  </sheetViews>
  <sheetFormatPr defaultRowHeight="14.5" x14ac:dyDescent="0.35"/>
  <cols>
    <col min="19" max="19" width="16.81640625" bestFit="1" customWidth="1"/>
    <col min="20" max="20" width="11.7265625" bestFit="1" customWidth="1"/>
    <col min="22" max="22" width="17.90625" bestFit="1" customWidth="1"/>
    <col min="23" max="23" width="11.7265625" bestFit="1" customWidth="1"/>
    <col min="25" max="25" width="16.81640625" bestFit="1" customWidth="1"/>
    <col min="26" max="27" width="11.7265625" bestFit="1" customWidth="1"/>
    <col min="28" max="28" width="11.36328125" bestFit="1" customWidth="1"/>
    <col min="30" max="30" width="17.1796875" bestFit="1" customWidth="1"/>
    <col min="31" max="31" width="15.1796875" bestFit="1" customWidth="1"/>
    <col min="33" max="33" width="12.453125" bestFit="1" customWidth="1"/>
    <col min="34" max="35" width="11.54296875" bestFit="1" customWidth="1"/>
    <col min="36" max="36" width="12.7265625" bestFit="1" customWidth="1"/>
    <col min="37" max="37" width="12.453125" bestFit="1" customWidth="1"/>
    <col min="38" max="38" width="11.54296875" bestFit="1" customWidth="1"/>
  </cols>
  <sheetData>
    <row r="1" spans="1:38" x14ac:dyDescent="0.35">
      <c r="A1" s="17" t="s">
        <v>937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S1" s="2" t="s">
        <v>914</v>
      </c>
      <c r="T1" t="s">
        <v>919</v>
      </c>
      <c r="V1" s="2" t="s">
        <v>914</v>
      </c>
      <c r="W1" t="s">
        <v>920</v>
      </c>
      <c r="Y1" s="2" t="s">
        <v>914</v>
      </c>
      <c r="Z1" t="s">
        <v>919</v>
      </c>
      <c r="AA1" t="s">
        <v>920</v>
      </c>
      <c r="AB1" s="9" t="s">
        <v>916</v>
      </c>
      <c r="AD1" s="2" t="s">
        <v>914</v>
      </c>
      <c r="AE1" t="s">
        <v>923</v>
      </c>
      <c r="AG1" s="2" t="s">
        <v>914</v>
      </c>
      <c r="AH1" s="13" t="s">
        <v>919</v>
      </c>
      <c r="AI1" s="6" t="s">
        <v>920</v>
      </c>
      <c r="AJ1" s="1" t="s">
        <v>924</v>
      </c>
      <c r="AK1" s="7" t="s">
        <v>925</v>
      </c>
      <c r="AL1" s="1" t="s">
        <v>919</v>
      </c>
    </row>
    <row r="2" spans="1:38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S2" s="3" t="s">
        <v>702</v>
      </c>
      <c r="T2" s="6">
        <v>25043.05</v>
      </c>
      <c r="V2" s="3" t="s">
        <v>668</v>
      </c>
      <c r="W2" s="6">
        <v>8981.3239000000012</v>
      </c>
      <c r="Y2" s="3" t="s">
        <v>702</v>
      </c>
      <c r="Z2" s="6">
        <v>25043.05</v>
      </c>
      <c r="AA2" s="6">
        <v>-1980.7392999999997</v>
      </c>
      <c r="AB2" s="4">
        <f>AA2/Z2</f>
        <v>-7.9093373211330087E-2</v>
      </c>
      <c r="AD2" s="3" t="s">
        <v>291</v>
      </c>
      <c r="AE2">
        <v>31</v>
      </c>
      <c r="AG2" s="3" t="s">
        <v>701</v>
      </c>
      <c r="AH2" s="6">
        <v>25043.05</v>
      </c>
      <c r="AI2" s="6">
        <v>-1980.7392999999997</v>
      </c>
      <c r="AJ2" s="6">
        <f>SUM($AH$2:AH2)</f>
        <v>25043.05</v>
      </c>
      <c r="AK2" s="8">
        <f>AJ2/$AH$795</f>
        <v>1.0901549983195424E-2</v>
      </c>
      <c r="AL2">
        <v>25043.05</v>
      </c>
    </row>
    <row r="3" spans="1:38" x14ac:dyDescent="0.35">
      <c r="S3" s="3" t="s">
        <v>668</v>
      </c>
      <c r="T3" s="6">
        <v>19052.217999999997</v>
      </c>
      <c r="V3" s="3" t="s">
        <v>252</v>
      </c>
      <c r="W3" s="6">
        <v>6976.0959000000003</v>
      </c>
      <c r="Y3" s="3" t="s">
        <v>668</v>
      </c>
      <c r="Z3" s="6">
        <v>19052.217999999997</v>
      </c>
      <c r="AA3" s="6">
        <v>8981.3239000000012</v>
      </c>
      <c r="AB3" s="4">
        <f t="shared" ref="AB3:AB12" si="0">AA3/Z3</f>
        <v>0.47140568620409457</v>
      </c>
      <c r="AD3" s="3" t="s">
        <v>313</v>
      </c>
      <c r="AE3">
        <v>31</v>
      </c>
      <c r="AG3" s="3" t="s">
        <v>667</v>
      </c>
      <c r="AH3" s="6">
        <v>19052.217999999997</v>
      </c>
      <c r="AI3" s="6">
        <v>8981.3239000000012</v>
      </c>
      <c r="AJ3" s="6">
        <f>SUM($AH$2:AH3)</f>
        <v>44095.267999999996</v>
      </c>
      <c r="AK3" s="8">
        <f t="shared" ref="AK3:AK66" si="1">AJ3/$AH$795</f>
        <v>1.9195216562056049E-2</v>
      </c>
      <c r="AL3">
        <v>19052.217999999997</v>
      </c>
    </row>
    <row r="4" spans="1:38" x14ac:dyDescent="0.35">
      <c r="S4" s="3" t="s">
        <v>252</v>
      </c>
      <c r="T4" s="6">
        <v>15117.339</v>
      </c>
      <c r="V4" s="3" t="s">
        <v>255</v>
      </c>
      <c r="W4" s="6">
        <v>5757.4118999999992</v>
      </c>
      <c r="Y4" s="3" t="s">
        <v>252</v>
      </c>
      <c r="Z4" s="6">
        <v>15117.339</v>
      </c>
      <c r="AA4" s="6">
        <v>6976.0959000000003</v>
      </c>
      <c r="AB4" s="4">
        <f t="shared" si="0"/>
        <v>0.46146321783218597</v>
      </c>
      <c r="AD4" s="3" t="s">
        <v>359</v>
      </c>
      <c r="AE4">
        <v>31</v>
      </c>
      <c r="AG4" s="3" t="s">
        <v>251</v>
      </c>
      <c r="AH4" s="6">
        <v>15117.339</v>
      </c>
      <c r="AI4" s="6">
        <v>6976.0959000000003</v>
      </c>
      <c r="AJ4" s="6">
        <f>SUM($AH$2:AH4)</f>
        <v>59212.606999999996</v>
      </c>
      <c r="AK4" s="8">
        <f t="shared" si="1"/>
        <v>2.5775981553596998E-2</v>
      </c>
      <c r="AL4">
        <v>15117.339</v>
      </c>
    </row>
    <row r="5" spans="1:38" x14ac:dyDescent="0.35">
      <c r="S5" s="3" t="s">
        <v>746</v>
      </c>
      <c r="T5" s="6">
        <v>14595.62</v>
      </c>
      <c r="V5" s="3" t="s">
        <v>421</v>
      </c>
      <c r="W5" s="6">
        <v>5622.4292000000005</v>
      </c>
      <c r="Y5" s="3" t="s">
        <v>746</v>
      </c>
      <c r="Z5" s="6">
        <v>14595.62</v>
      </c>
      <c r="AA5" s="6">
        <v>4703.7882999999993</v>
      </c>
      <c r="AB5" s="4">
        <f t="shared" si="0"/>
        <v>0.32227396301082101</v>
      </c>
      <c r="AD5" s="3" t="s">
        <v>115</v>
      </c>
      <c r="AE5">
        <v>32</v>
      </c>
      <c r="AG5" s="3" t="s">
        <v>745</v>
      </c>
      <c r="AH5" s="6">
        <v>14595.62</v>
      </c>
      <c r="AI5" s="6">
        <v>4703.7882999999993</v>
      </c>
      <c r="AJ5" s="6">
        <f>SUM($AH$2:AH5)</f>
        <v>73808.226999999999</v>
      </c>
      <c r="AK5" s="8">
        <f t="shared" si="1"/>
        <v>3.2129635799614427E-2</v>
      </c>
      <c r="AL5">
        <v>14595.62</v>
      </c>
    </row>
    <row r="6" spans="1:38" x14ac:dyDescent="0.35">
      <c r="S6" s="3" t="s">
        <v>549</v>
      </c>
      <c r="T6" s="6">
        <v>14473.570999999998</v>
      </c>
      <c r="V6" s="3" t="s">
        <v>549</v>
      </c>
      <c r="W6" s="6">
        <v>5444.8055000000004</v>
      </c>
      <c r="Y6" s="3" t="s">
        <v>549</v>
      </c>
      <c r="Z6" s="6">
        <v>14473.570999999998</v>
      </c>
      <c r="AA6" s="6">
        <v>5444.8055000000004</v>
      </c>
      <c r="AB6" s="4">
        <f t="shared" si="0"/>
        <v>0.37618950430408649</v>
      </c>
      <c r="AD6" s="3" t="s">
        <v>652</v>
      </c>
      <c r="AE6">
        <v>32</v>
      </c>
      <c r="AG6" s="3" t="s">
        <v>548</v>
      </c>
      <c r="AH6" s="6">
        <v>14473.570999999998</v>
      </c>
      <c r="AI6" s="6">
        <v>5444.8055000000004</v>
      </c>
      <c r="AJ6" s="6">
        <f>SUM($AH$2:AH6)</f>
        <v>88281.797999999995</v>
      </c>
      <c r="AK6" s="8">
        <f t="shared" si="1"/>
        <v>3.8430160603575118E-2</v>
      </c>
      <c r="AL6">
        <v>14473.570999999998</v>
      </c>
    </row>
    <row r="7" spans="1:38" x14ac:dyDescent="0.35">
      <c r="S7" s="3" t="s">
        <v>169</v>
      </c>
      <c r="T7" s="6">
        <v>14175.228999999999</v>
      </c>
      <c r="V7" s="3" t="s">
        <v>746</v>
      </c>
      <c r="W7" s="6">
        <v>4703.7882999999993</v>
      </c>
      <c r="Y7" s="3" t="s">
        <v>169</v>
      </c>
      <c r="Z7" s="6">
        <v>14175.228999999999</v>
      </c>
      <c r="AA7" s="6">
        <v>806.85500000000002</v>
      </c>
      <c r="AB7" s="4">
        <f t="shared" si="0"/>
        <v>5.6920068099076217E-2</v>
      </c>
      <c r="AD7" s="3" t="s">
        <v>318</v>
      </c>
      <c r="AE7">
        <v>32</v>
      </c>
      <c r="AG7" s="3" t="s">
        <v>168</v>
      </c>
      <c r="AH7" s="6">
        <v>14175.228999999999</v>
      </c>
      <c r="AI7" s="6">
        <v>806.85500000000002</v>
      </c>
      <c r="AJ7" s="6">
        <f>SUM($AH$2:AH7)</f>
        <v>102457.027</v>
      </c>
      <c r="AK7" s="8">
        <f t="shared" si="1"/>
        <v>4.4600813438063783E-2</v>
      </c>
      <c r="AL7">
        <v>14175.228999999999</v>
      </c>
    </row>
    <row r="8" spans="1:38" x14ac:dyDescent="0.35">
      <c r="S8" s="3" t="s">
        <v>255</v>
      </c>
      <c r="T8" s="6">
        <v>14142.333999999999</v>
      </c>
      <c r="V8" s="3" t="s">
        <v>275</v>
      </c>
      <c r="W8" s="6">
        <v>3899.8903999999998</v>
      </c>
      <c r="Y8" s="3" t="s">
        <v>255</v>
      </c>
      <c r="Z8" s="6">
        <v>14142.333999999999</v>
      </c>
      <c r="AA8" s="6">
        <v>5757.4118999999992</v>
      </c>
      <c r="AB8" s="4">
        <f t="shared" si="0"/>
        <v>0.40710478906805619</v>
      </c>
      <c r="AD8" s="3" t="s">
        <v>362</v>
      </c>
      <c r="AE8">
        <v>32</v>
      </c>
      <c r="AG8" s="3" t="s">
        <v>254</v>
      </c>
      <c r="AH8" s="6">
        <v>14142.333999999999</v>
      </c>
      <c r="AI8" s="6">
        <v>5757.4118999999992</v>
      </c>
      <c r="AJ8" s="6">
        <f>SUM($AH$2:AH8)</f>
        <v>116599.361</v>
      </c>
      <c r="AK8" s="8">
        <f t="shared" si="1"/>
        <v>5.0757146671437679E-2</v>
      </c>
      <c r="AL8">
        <v>14142.333999999999</v>
      </c>
    </row>
    <row r="9" spans="1:38" x14ac:dyDescent="0.35">
      <c r="S9" s="3" t="s">
        <v>421</v>
      </c>
      <c r="T9" s="6">
        <v>12873.297999999999</v>
      </c>
      <c r="V9" s="3" t="s">
        <v>565</v>
      </c>
      <c r="W9" s="6">
        <v>3038.6253999999999</v>
      </c>
      <c r="Y9" s="3" t="s">
        <v>421</v>
      </c>
      <c r="Z9" s="6">
        <v>12873.297999999999</v>
      </c>
      <c r="AA9" s="6">
        <v>5622.4292000000005</v>
      </c>
      <c r="AB9" s="4">
        <f t="shared" si="0"/>
        <v>0.43675126607027981</v>
      </c>
      <c r="AD9" s="3" t="s">
        <v>545</v>
      </c>
      <c r="AE9">
        <v>34</v>
      </c>
      <c r="AG9" s="3" t="s">
        <v>420</v>
      </c>
      <c r="AH9" s="6">
        <v>12873.297999999999</v>
      </c>
      <c r="AI9" s="6">
        <v>5622.4292000000005</v>
      </c>
      <c r="AJ9" s="6">
        <f>SUM($AH$2:AH9)</f>
        <v>129472.659</v>
      </c>
      <c r="AK9" s="8">
        <f t="shared" si="1"/>
        <v>5.6361052808891768E-2</v>
      </c>
      <c r="AL9">
        <v>12873.297999999999</v>
      </c>
    </row>
    <row r="10" spans="1:38" x14ac:dyDescent="0.35">
      <c r="S10" s="3" t="s">
        <v>429</v>
      </c>
      <c r="T10" s="6">
        <v>12209.438000000002</v>
      </c>
      <c r="V10" s="3" t="s">
        <v>577</v>
      </c>
      <c r="W10" s="6">
        <v>2884.6207999999997</v>
      </c>
      <c r="Y10" s="3" t="s">
        <v>429</v>
      </c>
      <c r="Z10" s="6">
        <v>12209.438000000002</v>
      </c>
      <c r="AA10" s="6">
        <v>2650.6768999999995</v>
      </c>
      <c r="AB10" s="4">
        <f t="shared" si="0"/>
        <v>0.2171006478758481</v>
      </c>
      <c r="AD10" s="3" t="s">
        <v>334</v>
      </c>
      <c r="AE10">
        <v>34</v>
      </c>
      <c r="AG10" s="3" t="s">
        <v>428</v>
      </c>
      <c r="AH10" s="6">
        <v>12209.438000000002</v>
      </c>
      <c r="AI10" s="6">
        <v>2650.6768999999995</v>
      </c>
      <c r="AJ10" s="6">
        <f>SUM($AH$2:AH10)</f>
        <v>141682.09700000001</v>
      </c>
      <c r="AK10" s="8">
        <f t="shared" si="1"/>
        <v>6.1675972462197803E-2</v>
      </c>
      <c r="AL10">
        <v>12209.438000000002</v>
      </c>
    </row>
    <row r="11" spans="1:38" x14ac:dyDescent="0.35">
      <c r="S11" s="3" t="s">
        <v>778</v>
      </c>
      <c r="T11" s="6">
        <v>12129.072</v>
      </c>
      <c r="V11" s="3" t="s">
        <v>771</v>
      </c>
      <c r="W11" s="6">
        <v>2869.0760000000005</v>
      </c>
      <c r="Y11" s="3" t="s">
        <v>778</v>
      </c>
      <c r="Z11" s="6">
        <v>12129.072</v>
      </c>
      <c r="AA11" s="6">
        <v>2177.0493000000001</v>
      </c>
      <c r="AB11" s="4">
        <f t="shared" si="0"/>
        <v>0.17949017863856362</v>
      </c>
      <c r="AD11" s="3" t="s">
        <v>49</v>
      </c>
      <c r="AE11">
        <v>34</v>
      </c>
      <c r="AG11" s="3" t="s">
        <v>777</v>
      </c>
      <c r="AH11" s="6">
        <v>12129.072</v>
      </c>
      <c r="AI11" s="6">
        <v>2177.0493000000001</v>
      </c>
      <c r="AJ11" s="6">
        <f>SUM($AH$2:AH11)</f>
        <v>153811.16899999999</v>
      </c>
      <c r="AK11" s="8">
        <f t="shared" si="1"/>
        <v>6.6955907799857398E-2</v>
      </c>
      <c r="AL11">
        <v>12129.072</v>
      </c>
    </row>
    <row r="12" spans="1:38" x14ac:dyDescent="0.35">
      <c r="S12" s="3" t="s">
        <v>915</v>
      </c>
      <c r="T12" s="6">
        <v>153811.16899999999</v>
      </c>
      <c r="V12" s="3" t="s">
        <v>915</v>
      </c>
      <c r="W12" s="6">
        <v>50178.06730000001</v>
      </c>
      <c r="Y12" s="3" t="s">
        <v>915</v>
      </c>
      <c r="Z12" s="6">
        <v>153811.16899999999</v>
      </c>
      <c r="AA12" s="6">
        <v>41139.696600000003</v>
      </c>
      <c r="AB12" s="4">
        <f t="shared" si="0"/>
        <v>0.26746885071785653</v>
      </c>
      <c r="AD12" s="3" t="s">
        <v>677</v>
      </c>
      <c r="AE12">
        <v>37</v>
      </c>
      <c r="AG12" s="3" t="s">
        <v>572</v>
      </c>
      <c r="AH12" s="6">
        <v>11891.751</v>
      </c>
      <c r="AI12" s="6">
        <v>2371.7143999999998</v>
      </c>
      <c r="AJ12" s="6">
        <f>SUM($AH$2:AH12)</f>
        <v>165702.91999999998</v>
      </c>
      <c r="AK12" s="8">
        <f t="shared" si="1"/>
        <v>7.213253436547995E-2</v>
      </c>
      <c r="AL12">
        <v>11891.751</v>
      </c>
    </row>
    <row r="13" spans="1:38" x14ac:dyDescent="0.35">
      <c r="AB13" s="4"/>
      <c r="AD13" s="3" t="s">
        <v>915</v>
      </c>
      <c r="AE13">
        <v>360</v>
      </c>
      <c r="AG13" s="3" t="s">
        <v>297</v>
      </c>
      <c r="AH13" s="6">
        <v>11820.119999999997</v>
      </c>
      <c r="AI13" s="6">
        <v>2163.4268999999995</v>
      </c>
      <c r="AJ13" s="6">
        <f>SUM($AH$2:AH13)</f>
        <v>177523.03999999998</v>
      </c>
      <c r="AK13" s="8">
        <f t="shared" si="1"/>
        <v>7.7277979069194869E-2</v>
      </c>
      <c r="AL13">
        <v>11820.119999999997</v>
      </c>
    </row>
    <row r="14" spans="1:38" x14ac:dyDescent="0.35">
      <c r="AB14" s="4"/>
      <c r="AG14" s="3" t="s">
        <v>133</v>
      </c>
      <c r="AH14" s="6">
        <v>11789.630000000003</v>
      </c>
      <c r="AI14" s="6">
        <v>-1659.9581000000001</v>
      </c>
      <c r="AJ14" s="6">
        <f>SUM($AH$2:AH14)</f>
        <v>189312.66999999998</v>
      </c>
      <c r="AK14" s="8">
        <f t="shared" si="1"/>
        <v>8.241015109809631E-2</v>
      </c>
      <c r="AL14">
        <v>11789.630000000003</v>
      </c>
    </row>
    <row r="15" spans="1:38" x14ac:dyDescent="0.35">
      <c r="AB15" s="4"/>
      <c r="AG15" s="3" t="s">
        <v>361</v>
      </c>
      <c r="AH15" s="6">
        <v>11470.949999999997</v>
      </c>
      <c r="AI15" s="6">
        <v>1199.4241999999999</v>
      </c>
      <c r="AJ15" s="6">
        <f>SUM($AH$2:AH15)</f>
        <v>200783.62</v>
      </c>
      <c r="AK15" s="8">
        <f t="shared" si="1"/>
        <v>8.7403597774109651E-2</v>
      </c>
      <c r="AL15">
        <v>11470.949999999997</v>
      </c>
    </row>
    <row r="16" spans="1:38" x14ac:dyDescent="0.35">
      <c r="AB16" s="4"/>
      <c r="AG16" s="3" t="s">
        <v>239</v>
      </c>
      <c r="AH16" s="6">
        <v>11164.974</v>
      </c>
      <c r="AI16" s="6">
        <v>858.7414</v>
      </c>
      <c r="AJ16" s="6">
        <f>SUM($AH$2:AH16)</f>
        <v>211948.59399999998</v>
      </c>
      <c r="AK16" s="8">
        <f t="shared" si="1"/>
        <v>9.2263849305855072E-2</v>
      </c>
      <c r="AL16">
        <v>11164.974</v>
      </c>
    </row>
    <row r="17" spans="1:38" x14ac:dyDescent="0.35">
      <c r="AB17" s="4"/>
      <c r="AG17" s="3" t="s">
        <v>100</v>
      </c>
      <c r="AH17" s="6">
        <v>10880.545999999998</v>
      </c>
      <c r="AI17" s="6">
        <v>1933.7830999999999</v>
      </c>
      <c r="AJ17" s="6">
        <f>SUM($AH$2:AH17)</f>
        <v>222829.13999999998</v>
      </c>
      <c r="AK17" s="8">
        <f t="shared" si="1"/>
        <v>9.7000285804742264E-2</v>
      </c>
      <c r="AL17">
        <v>10880.545999999998</v>
      </c>
    </row>
    <row r="18" spans="1:38" x14ac:dyDescent="0.35">
      <c r="A18" s="35" t="s">
        <v>960</v>
      </c>
      <c r="B18" s="35"/>
      <c r="C18" s="35"/>
      <c r="D18" s="35"/>
      <c r="E18" s="35"/>
      <c r="F18" s="35"/>
      <c r="G18" s="35"/>
      <c r="H18" s="35" t="s">
        <v>961</v>
      </c>
      <c r="I18" s="35"/>
      <c r="J18" s="35"/>
      <c r="K18" s="35"/>
      <c r="L18" s="35"/>
      <c r="M18" s="35"/>
      <c r="N18" s="35"/>
      <c r="O18" s="35"/>
      <c r="AB18" s="4"/>
      <c r="AG18" s="3" t="s">
        <v>561</v>
      </c>
      <c r="AH18" s="6">
        <v>10663.727999999997</v>
      </c>
      <c r="AI18" s="6">
        <v>1859.4694999999999</v>
      </c>
      <c r="AJ18" s="6">
        <f>SUM($AH$2:AH18)</f>
        <v>233492.86799999999</v>
      </c>
      <c r="AK18" s="8">
        <f t="shared" si="1"/>
        <v>0.10164233874155311</v>
      </c>
      <c r="AL18">
        <v>10663.727999999997</v>
      </c>
    </row>
    <row r="19" spans="1:38" x14ac:dyDescent="0.35">
      <c r="AB19" s="4"/>
      <c r="AG19" s="3" t="s">
        <v>681</v>
      </c>
      <c r="AH19" s="6">
        <v>10604.266</v>
      </c>
      <c r="AI19" s="6">
        <v>1660.1386000000002</v>
      </c>
      <c r="AJ19" s="6">
        <f>SUM($AH$2:AH19)</f>
        <v>244097.13399999999</v>
      </c>
      <c r="AK19" s="8">
        <f t="shared" si="1"/>
        <v>0.10625850713294711</v>
      </c>
      <c r="AL19">
        <v>10604.266</v>
      </c>
    </row>
    <row r="20" spans="1:38" x14ac:dyDescent="0.35">
      <c r="AB20" s="4"/>
      <c r="AG20" s="3" t="s">
        <v>856</v>
      </c>
      <c r="AH20" s="6">
        <v>10501.652999999998</v>
      </c>
      <c r="AI20" s="6">
        <v>2616.0643999999998</v>
      </c>
      <c r="AJ20" s="6">
        <f>SUM($AH$2:AH20)</f>
        <v>254598.78699999998</v>
      </c>
      <c r="AK20" s="8">
        <f t="shared" si="1"/>
        <v>0.11083000681392344</v>
      </c>
      <c r="AL20">
        <v>10501.652999999998</v>
      </c>
    </row>
    <row r="21" spans="1:38" x14ac:dyDescent="0.35">
      <c r="AB21" s="4"/>
      <c r="AG21" s="3" t="s">
        <v>651</v>
      </c>
      <c r="AH21" s="6">
        <v>10310.880000000001</v>
      </c>
      <c r="AI21" s="6">
        <v>1393.5154000000002</v>
      </c>
      <c r="AJ21" s="6">
        <f>SUM($AH$2:AH21)</f>
        <v>264909.66699999996</v>
      </c>
      <c r="AK21" s="8">
        <f t="shared" si="1"/>
        <v>0.11531846064405714</v>
      </c>
      <c r="AL21">
        <v>10310.880000000001</v>
      </c>
    </row>
    <row r="22" spans="1:38" x14ac:dyDescent="0.35">
      <c r="AB22" s="4"/>
      <c r="AG22" s="3" t="s">
        <v>333</v>
      </c>
      <c r="AH22" s="6">
        <v>9799.9230000000007</v>
      </c>
      <c r="AI22" s="6">
        <v>228.90700000000007</v>
      </c>
      <c r="AJ22" s="6">
        <f>SUM($AH$2:AH22)</f>
        <v>274709.58999999997</v>
      </c>
      <c r="AK22" s="8">
        <f t="shared" si="1"/>
        <v>0.11958448856062348</v>
      </c>
      <c r="AL22">
        <v>9799.9230000000007</v>
      </c>
    </row>
    <row r="23" spans="1:38" x14ac:dyDescent="0.35">
      <c r="AB23" s="4"/>
      <c r="AG23" s="3" t="s">
        <v>347</v>
      </c>
      <c r="AH23" s="6">
        <v>9351.2119999999977</v>
      </c>
      <c r="AI23" s="6">
        <v>-4108.6589000000004</v>
      </c>
      <c r="AJ23" s="6">
        <f>SUM($AH$2:AH23)</f>
        <v>284060.80199999997</v>
      </c>
      <c r="AK23" s="8">
        <f t="shared" si="1"/>
        <v>0.12365518701873689</v>
      </c>
      <c r="AL23">
        <v>9351.2119999999977</v>
      </c>
    </row>
    <row r="24" spans="1:38" x14ac:dyDescent="0.35">
      <c r="AB24" s="4"/>
      <c r="AG24" s="3" t="s">
        <v>390</v>
      </c>
      <c r="AH24" s="6">
        <v>9300.2539999999972</v>
      </c>
      <c r="AI24" s="6">
        <v>2164.1611000000003</v>
      </c>
      <c r="AJ24" s="6">
        <f>SUM($AH$2:AH24)</f>
        <v>293361.05599999998</v>
      </c>
      <c r="AK24" s="8">
        <f t="shared" si="1"/>
        <v>0.12770370282800986</v>
      </c>
      <c r="AL24">
        <v>9300.2539999999972</v>
      </c>
    </row>
    <row r="25" spans="1:38" x14ac:dyDescent="0.35">
      <c r="AB25" s="4"/>
      <c r="AG25" s="3" t="s">
        <v>579</v>
      </c>
      <c r="AH25" s="6">
        <v>9133.99</v>
      </c>
      <c r="AI25" s="6">
        <v>2798.3688999999999</v>
      </c>
      <c r="AJ25" s="6">
        <f>SUM($AH$2:AH25)</f>
        <v>302495.04599999997</v>
      </c>
      <c r="AK25" s="8">
        <f t="shared" si="1"/>
        <v>0.13167984185784076</v>
      </c>
      <c r="AL25">
        <v>9133.99</v>
      </c>
    </row>
    <row r="26" spans="1:38" x14ac:dyDescent="0.35">
      <c r="AG26" s="3" t="s">
        <v>838</v>
      </c>
      <c r="AH26" s="6">
        <v>9062.8639999999978</v>
      </c>
      <c r="AI26" s="6">
        <v>-614.29430000000025</v>
      </c>
      <c r="AJ26" s="6">
        <f>SUM($AH$2:AH26)</f>
        <v>311557.90999999997</v>
      </c>
      <c r="AK26" s="8">
        <f t="shared" si="1"/>
        <v>0.13562501885852168</v>
      </c>
      <c r="AL26">
        <v>9062.8639999999978</v>
      </c>
    </row>
    <row r="27" spans="1:38" x14ac:dyDescent="0.35">
      <c r="AG27" s="3" t="s">
        <v>274</v>
      </c>
      <c r="AH27" s="6">
        <v>8954.02</v>
      </c>
      <c r="AI27" s="6">
        <v>3899.8903999999998</v>
      </c>
      <c r="AJ27" s="6">
        <f>SUM($AH$2:AH27)</f>
        <v>320511.93</v>
      </c>
      <c r="AK27" s="8">
        <f t="shared" si="1"/>
        <v>0.13952281471727418</v>
      </c>
      <c r="AL27">
        <v>8954.02</v>
      </c>
    </row>
    <row r="28" spans="1:38" x14ac:dyDescent="0.35">
      <c r="AG28" s="3" t="s">
        <v>332</v>
      </c>
      <c r="AH28" s="6">
        <v>8828.0304999999989</v>
      </c>
      <c r="AI28" s="6">
        <v>1619.5198999999998</v>
      </c>
      <c r="AJ28" s="6">
        <f>SUM($AH$2:AH28)</f>
        <v>329339.96049999999</v>
      </c>
      <c r="AK28" s="8">
        <f t="shared" si="1"/>
        <v>0.14336576578549165</v>
      </c>
      <c r="AL28">
        <v>8828.0304999999989</v>
      </c>
    </row>
    <row r="29" spans="1:38" x14ac:dyDescent="0.35">
      <c r="AG29" s="3" t="s">
        <v>654</v>
      </c>
      <c r="AH29" s="6">
        <v>8697.8430000000008</v>
      </c>
      <c r="AI29" s="6">
        <v>1262.2925999999998</v>
      </c>
      <c r="AJ29" s="6">
        <f>SUM($AH$2:AH29)</f>
        <v>338037.80349999998</v>
      </c>
      <c r="AK29" s="8">
        <f t="shared" si="1"/>
        <v>0.14715204462175507</v>
      </c>
      <c r="AL29">
        <v>8697.8430000000008</v>
      </c>
    </row>
    <row r="30" spans="1:38" x14ac:dyDescent="0.35">
      <c r="AG30" s="3" t="s">
        <v>223</v>
      </c>
      <c r="AH30" s="6">
        <v>8673.2219999999979</v>
      </c>
      <c r="AI30" s="6">
        <v>2059.1198999999997</v>
      </c>
      <c r="AJ30" s="6">
        <f>SUM($AH$2:AH30)</f>
        <v>346711.02549999999</v>
      </c>
      <c r="AK30" s="8">
        <f t="shared" si="1"/>
        <v>0.15092760563163007</v>
      </c>
      <c r="AL30">
        <v>8673.2219999999979</v>
      </c>
    </row>
    <row r="31" spans="1:38" x14ac:dyDescent="0.35">
      <c r="AG31" s="3" t="s">
        <v>33</v>
      </c>
      <c r="AH31" s="6">
        <v>8646.9339999999975</v>
      </c>
      <c r="AI31" s="6">
        <v>2038.2676000000001</v>
      </c>
      <c r="AJ31" s="6">
        <f>SUM($AH$2:AH31)</f>
        <v>355357.9595</v>
      </c>
      <c r="AK31" s="8">
        <f t="shared" si="1"/>
        <v>0.15469172314936022</v>
      </c>
      <c r="AL31">
        <v>8646.9339999999975</v>
      </c>
    </row>
    <row r="32" spans="1:38" x14ac:dyDescent="0.35">
      <c r="AG32" s="3" t="s">
        <v>770</v>
      </c>
      <c r="AH32" s="6">
        <v>8350.8680000000004</v>
      </c>
      <c r="AI32" s="6">
        <v>2869.0760000000005</v>
      </c>
      <c r="AJ32" s="6">
        <f>SUM($AH$2:AH32)</f>
        <v>363708.82750000001</v>
      </c>
      <c r="AK32" s="8">
        <f t="shared" si="1"/>
        <v>0.15832695946862116</v>
      </c>
      <c r="AL32">
        <v>8350.8680000000004</v>
      </c>
    </row>
    <row r="33" spans="1:38" x14ac:dyDescent="0.35">
      <c r="AG33" s="3" t="s">
        <v>242</v>
      </c>
      <c r="AH33" s="6">
        <v>8322.8260000000009</v>
      </c>
      <c r="AI33" s="6">
        <v>-1695.9714000000001</v>
      </c>
      <c r="AJ33" s="6">
        <f>SUM($AH$2:AH33)</f>
        <v>372031.65350000001</v>
      </c>
      <c r="AK33" s="8">
        <f t="shared" si="1"/>
        <v>0.16194998875780273</v>
      </c>
      <c r="AL33">
        <v>8322.8260000000009</v>
      </c>
    </row>
    <row r="34" spans="1:38" x14ac:dyDescent="0.35">
      <c r="A34" s="35" t="s">
        <v>962</v>
      </c>
      <c r="B34" s="43"/>
      <c r="C34" s="43"/>
      <c r="D34" s="43"/>
      <c r="E34" s="43"/>
      <c r="F34" s="43"/>
      <c r="G34" s="43"/>
      <c r="I34" s="35" t="s">
        <v>963</v>
      </c>
      <c r="J34" s="43"/>
      <c r="K34" s="43"/>
      <c r="L34" s="43"/>
      <c r="M34" s="43"/>
      <c r="N34" s="43"/>
      <c r="O34" s="43"/>
      <c r="AG34" s="3" t="s">
        <v>72</v>
      </c>
      <c r="AH34" s="6">
        <v>8282.3580000000002</v>
      </c>
      <c r="AI34" s="6">
        <v>1107.6952000000003</v>
      </c>
      <c r="AJ34" s="6">
        <f>SUM($AH$2:AH34)</f>
        <v>380314.01150000002</v>
      </c>
      <c r="AK34" s="8">
        <f t="shared" si="1"/>
        <v>0.16555540182512954</v>
      </c>
      <c r="AL34">
        <v>8282.3580000000002</v>
      </c>
    </row>
    <row r="35" spans="1:38" x14ac:dyDescent="0.35">
      <c r="AG35" s="3" t="s">
        <v>828</v>
      </c>
      <c r="AH35" s="6">
        <v>8241.7389999999996</v>
      </c>
      <c r="AI35" s="6">
        <v>1314.758</v>
      </c>
      <c r="AJ35" s="6">
        <f>SUM($AH$2:AH35)</f>
        <v>388555.75050000002</v>
      </c>
      <c r="AK35" s="8">
        <f t="shared" si="1"/>
        <v>0.16914313293843047</v>
      </c>
      <c r="AL35">
        <v>8241.7389999999996</v>
      </c>
    </row>
    <row r="36" spans="1:38" x14ac:dyDescent="0.35">
      <c r="AG36" s="3" t="s">
        <v>539</v>
      </c>
      <c r="AH36" s="6">
        <v>8236.7648000000008</v>
      </c>
      <c r="AI36" s="6">
        <v>2437.9836</v>
      </c>
      <c r="AJ36" s="6">
        <f>SUM($AH$2:AH36)</f>
        <v>396792.51530000003</v>
      </c>
      <c r="AK36" s="8">
        <f t="shared" si="1"/>
        <v>0.17272869872083416</v>
      </c>
      <c r="AL36">
        <v>8236.7648000000008</v>
      </c>
    </row>
    <row r="37" spans="1:38" x14ac:dyDescent="0.35">
      <c r="AG37" s="3" t="s">
        <v>564</v>
      </c>
      <c r="AH37" s="6">
        <v>8181.2560000000003</v>
      </c>
      <c r="AI37" s="6">
        <v>3038.6253999999999</v>
      </c>
      <c r="AJ37" s="6">
        <f>SUM($AH$2:AH37)</f>
        <v>404973.77130000002</v>
      </c>
      <c r="AK37" s="8">
        <f t="shared" si="1"/>
        <v>0.17629010083476665</v>
      </c>
      <c r="AL37">
        <v>8181.2560000000003</v>
      </c>
    </row>
    <row r="38" spans="1:38" x14ac:dyDescent="0.35">
      <c r="AG38" s="3" t="s">
        <v>177</v>
      </c>
      <c r="AH38" s="6">
        <v>8057.8909999999987</v>
      </c>
      <c r="AI38" s="6">
        <v>-2082.7451000000001</v>
      </c>
      <c r="AJ38" s="6">
        <f>SUM($AH$2:AH38)</f>
        <v>413031.66230000003</v>
      </c>
      <c r="AK38" s="8">
        <f t="shared" si="1"/>
        <v>0.17979780063553535</v>
      </c>
      <c r="AL38">
        <v>8057.8909999999987</v>
      </c>
    </row>
    <row r="39" spans="1:38" x14ac:dyDescent="0.35">
      <c r="AG39" s="3" t="s">
        <v>312</v>
      </c>
      <c r="AH39" s="6">
        <v>8025.7070000000012</v>
      </c>
      <c r="AI39" s="6">
        <v>-1032.1489999999999</v>
      </c>
      <c r="AJ39" s="6">
        <f>SUM($AH$2:AH39)</f>
        <v>421057.36930000002</v>
      </c>
      <c r="AK39" s="8">
        <f t="shared" si="1"/>
        <v>0.18329149034229958</v>
      </c>
      <c r="AL39">
        <v>8025.7070000000012</v>
      </c>
    </row>
    <row r="40" spans="1:38" x14ac:dyDescent="0.35">
      <c r="AG40" s="3" t="s">
        <v>159</v>
      </c>
      <c r="AH40" s="6">
        <v>7954.9979999999996</v>
      </c>
      <c r="AI40" s="6">
        <v>-644.69819999999982</v>
      </c>
      <c r="AJ40" s="6">
        <f>SUM($AH$2:AH40)</f>
        <v>429012.36730000004</v>
      </c>
      <c r="AK40" s="8">
        <f t="shared" si="1"/>
        <v>0.186754399545181</v>
      </c>
      <c r="AL40">
        <v>7954.9979999999996</v>
      </c>
    </row>
    <row r="41" spans="1:38" x14ac:dyDescent="0.35">
      <c r="AG41" s="3" t="s">
        <v>505</v>
      </c>
      <c r="AH41" s="6">
        <v>7903.1825000000008</v>
      </c>
      <c r="AI41" s="6">
        <v>631.2281999999999</v>
      </c>
      <c r="AJ41" s="6">
        <f>SUM($AH$2:AH41)</f>
        <v>436915.54980000004</v>
      </c>
      <c r="AK41" s="8">
        <f t="shared" si="1"/>
        <v>0.19019475281884637</v>
      </c>
      <c r="AL41">
        <v>7903.1825000000008</v>
      </c>
    </row>
    <row r="42" spans="1:38" x14ac:dyDescent="0.35">
      <c r="AG42" s="3" t="s">
        <v>820</v>
      </c>
      <c r="AH42" s="6">
        <v>7888.2940000000008</v>
      </c>
      <c r="AI42" s="6">
        <v>1298.0165999999999</v>
      </c>
      <c r="AJ42" s="6">
        <f>SUM($AH$2:AH42)</f>
        <v>444803.84380000003</v>
      </c>
      <c r="AK42" s="8">
        <f t="shared" si="1"/>
        <v>0.19362862494397251</v>
      </c>
      <c r="AL42">
        <v>7888.2940000000008</v>
      </c>
    </row>
    <row r="43" spans="1:38" x14ac:dyDescent="0.35">
      <c r="AG43" s="3" t="s">
        <v>209</v>
      </c>
      <c r="AH43" s="6">
        <v>7755.619999999999</v>
      </c>
      <c r="AI43" s="6">
        <v>2054.5884999999998</v>
      </c>
      <c r="AJ43" s="6">
        <f>SUM($AH$2:AH43)</f>
        <v>452559.46380000003</v>
      </c>
      <c r="AK43" s="8">
        <f t="shared" si="1"/>
        <v>0.19700474243288341</v>
      </c>
      <c r="AL43">
        <v>7755.619999999999</v>
      </c>
    </row>
    <row r="44" spans="1:38" x14ac:dyDescent="0.35">
      <c r="AG44" s="3" t="s">
        <v>628</v>
      </c>
      <c r="AH44" s="6">
        <v>7754.9759999999997</v>
      </c>
      <c r="AI44" s="6">
        <v>1623.4018999999998</v>
      </c>
      <c r="AJ44" s="6">
        <f>SUM($AH$2:AH44)</f>
        <v>460314.43980000005</v>
      </c>
      <c r="AK44" s="8">
        <f t="shared" si="1"/>
        <v>0.20038057958061428</v>
      </c>
      <c r="AL44">
        <v>7754.9759999999997</v>
      </c>
    </row>
    <row r="45" spans="1:38" x14ac:dyDescent="0.35">
      <c r="AG45" s="3" t="s">
        <v>573</v>
      </c>
      <c r="AH45" s="6">
        <v>7721.7139999999999</v>
      </c>
      <c r="AI45" s="6">
        <v>2173.7093999999997</v>
      </c>
      <c r="AJ45" s="6">
        <f>SUM($AH$2:AH45)</f>
        <v>468036.15380000003</v>
      </c>
      <c r="AK45" s="8">
        <f t="shared" si="1"/>
        <v>0.2037419373675827</v>
      </c>
      <c r="AL45">
        <v>7721.7139999999999</v>
      </c>
    </row>
    <row r="46" spans="1:38" x14ac:dyDescent="0.35">
      <c r="AG46" s="3" t="s">
        <v>112</v>
      </c>
      <c r="AH46" s="6">
        <v>7663.1259999999993</v>
      </c>
      <c r="AI46" s="6">
        <v>1288.3469</v>
      </c>
      <c r="AJ46" s="6">
        <f>SUM($AH$2:AH46)</f>
        <v>475699.27980000002</v>
      </c>
      <c r="AK46" s="8">
        <f t="shared" si="1"/>
        <v>0.20707779107216437</v>
      </c>
      <c r="AL46">
        <v>7663.1259999999993</v>
      </c>
    </row>
    <row r="47" spans="1:38" x14ac:dyDescent="0.35">
      <c r="AG47" s="3" t="s">
        <v>729</v>
      </c>
      <c r="AH47" s="6">
        <v>7625.0760000000018</v>
      </c>
      <c r="AI47" s="6">
        <v>1574.6164000000003</v>
      </c>
      <c r="AJ47" s="6">
        <f>SUM($AH$2:AH47)</f>
        <v>483324.35580000002</v>
      </c>
      <c r="AK47" s="8">
        <f t="shared" si="1"/>
        <v>0.21039708114025368</v>
      </c>
      <c r="AL47">
        <v>7625.0760000000018</v>
      </c>
    </row>
    <row r="48" spans="1:38" x14ac:dyDescent="0.35">
      <c r="AG48" s="3" t="s">
        <v>114</v>
      </c>
      <c r="AH48" s="6">
        <v>7610.8639999999996</v>
      </c>
      <c r="AI48" s="6">
        <v>1050.2668000000003</v>
      </c>
      <c r="AJ48" s="6">
        <f>SUM($AH$2:AH48)</f>
        <v>490935.21980000002</v>
      </c>
      <c r="AK48" s="8">
        <f t="shared" si="1"/>
        <v>0.21371018454863655</v>
      </c>
      <c r="AL48">
        <v>7610.8639999999996</v>
      </c>
    </row>
    <row r="49" spans="33:38" x14ac:dyDescent="0.35">
      <c r="AG49" s="3" t="s">
        <v>200</v>
      </c>
      <c r="AH49" s="6">
        <v>7473.8282000000008</v>
      </c>
      <c r="AI49" s="6">
        <v>38.475700000000032</v>
      </c>
      <c r="AJ49" s="6">
        <f>SUM($AH$2:AH49)</f>
        <v>498409.04800000001</v>
      </c>
      <c r="AK49" s="8">
        <f t="shared" si="1"/>
        <v>0.21696363457521539</v>
      </c>
      <c r="AL49">
        <v>7473.8282000000008</v>
      </c>
    </row>
    <row r="50" spans="33:38" x14ac:dyDescent="0.35">
      <c r="AG50" s="3" t="s">
        <v>422</v>
      </c>
      <c r="AH50" s="6">
        <v>7443.6900000000005</v>
      </c>
      <c r="AI50" s="6">
        <v>844.93550000000005</v>
      </c>
      <c r="AJ50" s="6">
        <f>SUM($AH$2:AH50)</f>
        <v>505852.73800000001</v>
      </c>
      <c r="AK50" s="8">
        <f t="shared" si="1"/>
        <v>0.22020396506988008</v>
      </c>
      <c r="AL50">
        <v>7443.6900000000005</v>
      </c>
    </row>
    <row r="51" spans="33:38" x14ac:dyDescent="0.35">
      <c r="AG51" s="3" t="s">
        <v>553</v>
      </c>
      <c r="AH51" s="6">
        <v>7397.4010000000007</v>
      </c>
      <c r="AI51" s="6">
        <v>1586.6272999999999</v>
      </c>
      <c r="AJ51" s="6">
        <f>SUM($AH$2:AH51)</f>
        <v>513250.13900000002</v>
      </c>
      <c r="AK51" s="8">
        <f t="shared" si="1"/>
        <v>0.2234241453892597</v>
      </c>
      <c r="AL51">
        <v>7397.4010000000007</v>
      </c>
    </row>
    <row r="52" spans="33:38" x14ac:dyDescent="0.35">
      <c r="AG52" s="3" t="s">
        <v>398</v>
      </c>
      <c r="AH52" s="6">
        <v>7294.1850000000004</v>
      </c>
      <c r="AI52" s="6">
        <v>2199.2780999999991</v>
      </c>
      <c r="AJ52" s="6">
        <f>SUM($AH$2:AH52)</f>
        <v>520544.32400000002</v>
      </c>
      <c r="AK52" s="8">
        <f t="shared" si="1"/>
        <v>0.22659939450484962</v>
      </c>
      <c r="AL52">
        <v>7294.1850000000004</v>
      </c>
    </row>
    <row r="53" spans="33:38" x14ac:dyDescent="0.35">
      <c r="AG53" s="3" t="s">
        <v>544</v>
      </c>
      <c r="AH53" s="6">
        <v>7252.608000000002</v>
      </c>
      <c r="AI53" s="6">
        <v>1495.0853999999997</v>
      </c>
      <c r="AJ53" s="6">
        <f>SUM($AH$2:AH53)</f>
        <v>527796.93200000003</v>
      </c>
      <c r="AK53" s="8">
        <f t="shared" si="1"/>
        <v>0.22975654463714273</v>
      </c>
      <c r="AL53">
        <v>7252.608000000002</v>
      </c>
    </row>
    <row r="54" spans="33:38" x14ac:dyDescent="0.35">
      <c r="AG54" s="3" t="s">
        <v>605</v>
      </c>
      <c r="AH54" s="6">
        <v>7234.0139999999992</v>
      </c>
      <c r="AI54" s="6">
        <v>1023.1230000000003</v>
      </c>
      <c r="AJ54" s="6">
        <f>SUM($AH$2:AH54)</f>
        <v>535030.946</v>
      </c>
      <c r="AK54" s="8">
        <f t="shared" si="1"/>
        <v>0.23290560057083032</v>
      </c>
      <c r="AL54">
        <v>7234.0139999999992</v>
      </c>
    </row>
    <row r="55" spans="33:38" x14ac:dyDescent="0.35">
      <c r="AG55" s="3" t="s">
        <v>766</v>
      </c>
      <c r="AH55" s="6">
        <v>7198.7609999999986</v>
      </c>
      <c r="AI55" s="6">
        <v>333.3648</v>
      </c>
      <c r="AJ55" s="6">
        <f>SUM($AH$2:AH55)</f>
        <v>542229.70699999994</v>
      </c>
      <c r="AK55" s="8">
        <f t="shared" si="1"/>
        <v>0.23603931043678425</v>
      </c>
      <c r="AL55">
        <v>7198.7609999999986</v>
      </c>
    </row>
    <row r="56" spans="33:38" x14ac:dyDescent="0.35">
      <c r="AG56" s="3" t="s">
        <v>152</v>
      </c>
      <c r="AH56" s="6">
        <v>6987.195999999999</v>
      </c>
      <c r="AI56" s="6">
        <v>2050.2826</v>
      </c>
      <c r="AJ56" s="6">
        <f>SUM($AH$2:AH56)</f>
        <v>549216.90299999993</v>
      </c>
      <c r="AK56" s="8">
        <f t="shared" si="1"/>
        <v>0.2390809234366538</v>
      </c>
      <c r="AL56">
        <v>6987.195999999999</v>
      </c>
    </row>
    <row r="57" spans="33:38" x14ac:dyDescent="0.35">
      <c r="AG57" s="3" t="s">
        <v>662</v>
      </c>
      <c r="AH57" s="6">
        <v>6979.18</v>
      </c>
      <c r="AI57" s="6">
        <v>1289.4535000000001</v>
      </c>
      <c r="AJ57" s="6">
        <f>SUM($AH$2:AH57)</f>
        <v>556196.08299999998</v>
      </c>
      <c r="AK57" s="8">
        <f t="shared" si="1"/>
        <v>0.24211904697239398</v>
      </c>
      <c r="AL57">
        <v>6979.18</v>
      </c>
    </row>
    <row r="58" spans="33:38" x14ac:dyDescent="0.35">
      <c r="AG58" s="3" t="s">
        <v>482</v>
      </c>
      <c r="AH58" s="6">
        <v>6843.6339999999991</v>
      </c>
      <c r="AI58" s="6">
        <v>1742.7297000000001</v>
      </c>
      <c r="AJ58" s="6">
        <f>SUM($AH$2:AH58)</f>
        <v>563039.71699999995</v>
      </c>
      <c r="AK58" s="8">
        <f t="shared" si="1"/>
        <v>0.2450981656547308</v>
      </c>
      <c r="AL58">
        <v>6843.6339999999991</v>
      </c>
    </row>
    <row r="59" spans="33:38" x14ac:dyDescent="0.35">
      <c r="AG59" s="3" t="s">
        <v>249</v>
      </c>
      <c r="AH59" s="6">
        <v>6765.7279999999992</v>
      </c>
      <c r="AI59" s="6">
        <v>1015.0749999999999</v>
      </c>
      <c r="AJ59" s="6">
        <f>SUM($AH$2:AH59)</f>
        <v>569805.44499999995</v>
      </c>
      <c r="AK59" s="8">
        <f t="shared" si="1"/>
        <v>0.24804337088990402</v>
      </c>
      <c r="AL59">
        <v>6765.7279999999992</v>
      </c>
    </row>
    <row r="60" spans="33:38" x14ac:dyDescent="0.35">
      <c r="AG60" s="3" t="s">
        <v>75</v>
      </c>
      <c r="AH60" s="6">
        <v>6760.8149999999987</v>
      </c>
      <c r="AI60" s="6">
        <v>221.79669999999999</v>
      </c>
      <c r="AJ60" s="6">
        <f>SUM($AH$2:AH60)</f>
        <v>576566.25999999989</v>
      </c>
      <c r="AK60" s="8">
        <f t="shared" si="1"/>
        <v>0.25098643743529836</v>
      </c>
      <c r="AL60">
        <v>6760.8149999999987</v>
      </c>
    </row>
    <row r="61" spans="33:38" x14ac:dyDescent="0.35">
      <c r="AG61" s="3" t="s">
        <v>546</v>
      </c>
      <c r="AH61" s="6">
        <v>6720.4439999999986</v>
      </c>
      <c r="AI61" s="6">
        <v>1778.2923000000001</v>
      </c>
      <c r="AJ61" s="6">
        <f>SUM($AH$2:AH61)</f>
        <v>583286.70399999991</v>
      </c>
      <c r="AK61" s="8">
        <f t="shared" si="1"/>
        <v>0.25391192998413986</v>
      </c>
      <c r="AL61">
        <v>6720.4439999999986</v>
      </c>
    </row>
    <row r="62" spans="33:38" x14ac:dyDescent="0.35">
      <c r="AG62" s="3" t="s">
        <v>576</v>
      </c>
      <c r="AH62" s="6">
        <v>6608.4480000000003</v>
      </c>
      <c r="AI62" s="6">
        <v>2884.6207999999997</v>
      </c>
      <c r="AJ62" s="6">
        <f>SUM($AH$2:AH62)</f>
        <v>589895.15199999989</v>
      </c>
      <c r="AK62" s="8">
        <f t="shared" si="1"/>
        <v>0.25678866928639527</v>
      </c>
      <c r="AL62">
        <v>6608.4480000000003</v>
      </c>
    </row>
    <row r="63" spans="33:38" x14ac:dyDescent="0.35">
      <c r="AG63" s="3" t="s">
        <v>174</v>
      </c>
      <c r="AH63" s="6">
        <v>6528.0339999999987</v>
      </c>
      <c r="AI63" s="6">
        <v>1641.8613000000003</v>
      </c>
      <c r="AJ63" s="6">
        <f>SUM($AH$2:AH63)</f>
        <v>596423.18599999987</v>
      </c>
      <c r="AK63" s="8">
        <f t="shared" si="1"/>
        <v>0.25963040337800947</v>
      </c>
      <c r="AL63">
        <v>6528.0339999999987</v>
      </c>
    </row>
    <row r="64" spans="33:38" x14ac:dyDescent="0.35">
      <c r="AG64" s="3" t="s">
        <v>198</v>
      </c>
      <c r="AH64" s="6">
        <v>6497.27</v>
      </c>
      <c r="AI64" s="6">
        <v>1448.5525</v>
      </c>
      <c r="AJ64" s="6">
        <f>SUM($AH$2:AH64)</f>
        <v>602920.45599999989</v>
      </c>
      <c r="AK64" s="8">
        <f t="shared" si="1"/>
        <v>0.262458745519215</v>
      </c>
      <c r="AL64">
        <v>6497.27</v>
      </c>
    </row>
    <row r="65" spans="33:38" x14ac:dyDescent="0.35">
      <c r="AG65" s="3" t="s">
        <v>440</v>
      </c>
      <c r="AH65" s="6">
        <v>6491.0260000000007</v>
      </c>
      <c r="AI65" s="6">
        <v>-819.42169999999999</v>
      </c>
      <c r="AJ65" s="6">
        <f>SUM($AH$2:AH65)</f>
        <v>609411.48199999984</v>
      </c>
      <c r="AK65" s="8">
        <f t="shared" si="1"/>
        <v>0.26528436956984863</v>
      </c>
      <c r="AL65">
        <v>6491.0260000000007</v>
      </c>
    </row>
    <row r="66" spans="33:38" x14ac:dyDescent="0.35">
      <c r="AG66" s="3" t="s">
        <v>196</v>
      </c>
      <c r="AH66" s="6">
        <v>6459.3439999999991</v>
      </c>
      <c r="AI66" s="6">
        <v>2751.6848999999988</v>
      </c>
      <c r="AJ66" s="6">
        <f>SUM($AH$2:AH66)</f>
        <v>615870.82599999988</v>
      </c>
      <c r="AK66" s="8">
        <f t="shared" si="1"/>
        <v>0.26809620205329826</v>
      </c>
      <c r="AL66">
        <v>6459.3439999999991</v>
      </c>
    </row>
    <row r="67" spans="33:38" x14ac:dyDescent="0.35">
      <c r="AG67" s="3" t="s">
        <v>165</v>
      </c>
      <c r="AH67" s="6">
        <v>6442.2540000000008</v>
      </c>
      <c r="AI67" s="6">
        <v>1617.7874000000002</v>
      </c>
      <c r="AJ67" s="6">
        <f>SUM($AH$2:AH67)</f>
        <v>622313.07999999984</v>
      </c>
      <c r="AK67" s="8">
        <f t="shared" ref="AK67:AK130" si="2">AJ67/$AH$795</f>
        <v>0.27090059504797903</v>
      </c>
      <c r="AL67">
        <v>6442.2540000000008</v>
      </c>
    </row>
    <row r="68" spans="33:38" x14ac:dyDescent="0.35">
      <c r="AG68" s="3" t="s">
        <v>885</v>
      </c>
      <c r="AH68" s="6">
        <v>6410.9959999999992</v>
      </c>
      <c r="AI68" s="6">
        <v>885.4624</v>
      </c>
      <c r="AJ68" s="6">
        <f>SUM($AH$2:AH68)</f>
        <v>628724.07599999988</v>
      </c>
      <c r="AK68" s="8">
        <f t="shared" si="2"/>
        <v>0.27369138104792978</v>
      </c>
      <c r="AL68">
        <v>6410.9959999999992</v>
      </c>
    </row>
    <row r="69" spans="33:38" x14ac:dyDescent="0.35">
      <c r="AG69" s="3" t="s">
        <v>602</v>
      </c>
      <c r="AH69" s="6">
        <v>6366.3919999999989</v>
      </c>
      <c r="AI69" s="6">
        <v>1415.6664000000001</v>
      </c>
      <c r="AJ69" s="6">
        <f>SUM($AH$2:AH69)</f>
        <v>635090.46799999988</v>
      </c>
      <c r="AK69" s="8">
        <f t="shared" si="2"/>
        <v>0.27646275037397494</v>
      </c>
      <c r="AL69">
        <v>6366.3919999999989</v>
      </c>
    </row>
    <row r="70" spans="33:38" x14ac:dyDescent="0.35">
      <c r="AG70" s="3" t="s">
        <v>772</v>
      </c>
      <c r="AH70" s="6">
        <v>6345.1030000000001</v>
      </c>
      <c r="AI70" s="6">
        <v>1677.3930999999998</v>
      </c>
      <c r="AJ70" s="6">
        <f>SUM($AH$2:AH70)</f>
        <v>641435.57099999988</v>
      </c>
      <c r="AK70" s="8">
        <f t="shared" si="2"/>
        <v>0.27922485233451982</v>
      </c>
      <c r="AL70">
        <v>6345.1030000000001</v>
      </c>
    </row>
    <row r="71" spans="33:38" x14ac:dyDescent="0.35">
      <c r="AG71" s="3" t="s">
        <v>570</v>
      </c>
      <c r="AH71" s="6">
        <v>6339.5576000000001</v>
      </c>
      <c r="AI71" s="6">
        <v>1572.4585000000002</v>
      </c>
      <c r="AJ71" s="6">
        <f>SUM($AH$2:AH71)</f>
        <v>647775.12859999994</v>
      </c>
      <c r="AK71" s="8">
        <f t="shared" si="2"/>
        <v>0.28198454031372949</v>
      </c>
      <c r="AL71">
        <v>6339.5576000000001</v>
      </c>
    </row>
    <row r="72" spans="33:38" x14ac:dyDescent="0.35">
      <c r="AG72" s="3" t="s">
        <v>132</v>
      </c>
      <c r="AH72" s="6">
        <v>6320.7460000000001</v>
      </c>
      <c r="AI72" s="6">
        <v>1054.5528999999999</v>
      </c>
      <c r="AJ72" s="6">
        <f>SUM($AH$2:AH72)</f>
        <v>654095.87459999998</v>
      </c>
      <c r="AK72" s="8">
        <f t="shared" si="2"/>
        <v>0.2847360393703573</v>
      </c>
      <c r="AL72">
        <v>6320.7460000000001</v>
      </c>
    </row>
    <row r="73" spans="33:38" x14ac:dyDescent="0.35">
      <c r="AG73" s="3" t="s">
        <v>18</v>
      </c>
      <c r="AH73" s="6">
        <v>6255.3510000000006</v>
      </c>
      <c r="AI73" s="6">
        <v>802.7897999999999</v>
      </c>
      <c r="AJ73" s="6">
        <f>SUM($AH$2:AH73)</f>
        <v>660351.22560000001</v>
      </c>
      <c r="AK73" s="8">
        <f t="shared" si="2"/>
        <v>0.28745907117315017</v>
      </c>
      <c r="AL73">
        <v>6255.3510000000006</v>
      </c>
    </row>
    <row r="74" spans="33:38" x14ac:dyDescent="0.35">
      <c r="AG74" s="3" t="s">
        <v>288</v>
      </c>
      <c r="AH74" s="6">
        <v>6234.9099999999989</v>
      </c>
      <c r="AI74" s="6">
        <v>488.14839999999998</v>
      </c>
      <c r="AJ74" s="6">
        <f>SUM($AH$2:AH74)</f>
        <v>666586.13560000004</v>
      </c>
      <c r="AK74" s="8">
        <f t="shared" si="2"/>
        <v>0.29017320475535063</v>
      </c>
      <c r="AL74">
        <v>6234.9099999999989</v>
      </c>
    </row>
    <row r="75" spans="33:38" x14ac:dyDescent="0.35">
      <c r="AG75" s="3" t="s">
        <v>676</v>
      </c>
      <c r="AH75" s="6">
        <v>6160.1019999999999</v>
      </c>
      <c r="AI75" s="6">
        <v>714.33109999999999</v>
      </c>
      <c r="AJ75" s="6">
        <f>SUM($AH$2:AH75)</f>
        <v>672746.23759999999</v>
      </c>
      <c r="AK75" s="8">
        <f t="shared" si="2"/>
        <v>0.29285477348817596</v>
      </c>
      <c r="AL75">
        <v>6160.1019999999999</v>
      </c>
    </row>
    <row r="76" spans="33:38" x14ac:dyDescent="0.35">
      <c r="AG76" s="3" t="s">
        <v>161</v>
      </c>
      <c r="AH76" s="6">
        <v>6134.0380000000005</v>
      </c>
      <c r="AI76" s="6">
        <v>-874.66449999999986</v>
      </c>
      <c r="AJ76" s="6">
        <f>SUM($AH$2:AH76)</f>
        <v>678880.27560000005</v>
      </c>
      <c r="AK76" s="8">
        <f t="shared" si="2"/>
        <v>0.29552499623883216</v>
      </c>
      <c r="AL76">
        <v>6134.0380000000005</v>
      </c>
    </row>
    <row r="77" spans="33:38" x14ac:dyDescent="0.35">
      <c r="AG77" s="3" t="s">
        <v>244</v>
      </c>
      <c r="AH77" s="6">
        <v>6121.1139999999996</v>
      </c>
      <c r="AI77" s="6">
        <v>1985.1671999999999</v>
      </c>
      <c r="AJ77" s="6">
        <f>SUM($AH$2:AH77)</f>
        <v>685001.38959999999</v>
      </c>
      <c r="AK77" s="8">
        <f t="shared" si="2"/>
        <v>0.29818959301214198</v>
      </c>
      <c r="AL77">
        <v>6121.1139999999996</v>
      </c>
    </row>
    <row r="78" spans="33:38" x14ac:dyDescent="0.35">
      <c r="AG78" s="3" t="s">
        <v>517</v>
      </c>
      <c r="AH78" s="6">
        <v>6108.3379999999997</v>
      </c>
      <c r="AI78" s="6">
        <v>1203.6768</v>
      </c>
      <c r="AJ78" s="6">
        <f>SUM($AH$2:AH78)</f>
        <v>691109.72759999998</v>
      </c>
      <c r="AK78" s="8">
        <f t="shared" si="2"/>
        <v>0.30084862823433944</v>
      </c>
      <c r="AL78">
        <v>6108.3379999999997</v>
      </c>
    </row>
    <row r="79" spans="33:38" x14ac:dyDescent="0.35">
      <c r="AG79" s="3" t="s">
        <v>107</v>
      </c>
      <c r="AH79" s="6">
        <v>6106.8799999999992</v>
      </c>
      <c r="AI79" s="6">
        <v>1869.9294</v>
      </c>
      <c r="AJ79" s="6">
        <f>SUM($AH$2:AH79)</f>
        <v>697216.60759999999</v>
      </c>
      <c r="AK79" s="8">
        <f t="shared" si="2"/>
        <v>0.30350702877107028</v>
      </c>
      <c r="AL79">
        <v>6106.8799999999992</v>
      </c>
    </row>
    <row r="80" spans="33:38" x14ac:dyDescent="0.35">
      <c r="AG80" s="3" t="s">
        <v>149</v>
      </c>
      <c r="AH80" s="6">
        <v>6076.1389999999992</v>
      </c>
      <c r="AI80" s="6">
        <v>150.2089</v>
      </c>
      <c r="AJ80" s="6">
        <f>SUM($AH$2:AH80)</f>
        <v>703292.74659999995</v>
      </c>
      <c r="AK80" s="8">
        <f t="shared" si="2"/>
        <v>0.30615204736957735</v>
      </c>
      <c r="AL80">
        <v>6076.1389999999992</v>
      </c>
    </row>
    <row r="81" spans="33:38" x14ac:dyDescent="0.35">
      <c r="AG81" s="3" t="s">
        <v>727</v>
      </c>
      <c r="AH81" s="6">
        <v>6049.9660000000022</v>
      </c>
      <c r="AI81" s="6">
        <v>188.7235</v>
      </c>
      <c r="AJ81" s="6">
        <f>SUM($AH$2:AH81)</f>
        <v>709342.71259999997</v>
      </c>
      <c r="AK81" s="8">
        <f t="shared" si="2"/>
        <v>0.30878567253686462</v>
      </c>
      <c r="AL81">
        <v>6049.9660000000022</v>
      </c>
    </row>
    <row r="82" spans="33:38" x14ac:dyDescent="0.35">
      <c r="AG82" s="3" t="s">
        <v>725</v>
      </c>
      <c r="AH82" s="6">
        <v>5992.5359999999991</v>
      </c>
      <c r="AI82" s="6">
        <v>236.66149999999999</v>
      </c>
      <c r="AJ82" s="6">
        <f>SUM($AH$2:AH82)</f>
        <v>715335.24859999993</v>
      </c>
      <c r="AK82" s="8">
        <f t="shared" si="2"/>
        <v>0.31139429771351429</v>
      </c>
      <c r="AL82">
        <v>5992.5359999999991</v>
      </c>
    </row>
    <row r="83" spans="33:38" x14ac:dyDescent="0.35">
      <c r="AG83" s="3" t="s">
        <v>182</v>
      </c>
      <c r="AH83" s="6">
        <v>5990.7989999999991</v>
      </c>
      <c r="AI83" s="6">
        <v>1227.5091</v>
      </c>
      <c r="AJ83" s="6">
        <f>SUM($AH$2:AH83)</f>
        <v>721326.04759999993</v>
      </c>
      <c r="AK83" s="8">
        <f t="shared" si="2"/>
        <v>0.31400216675254022</v>
      </c>
      <c r="AL83">
        <v>5990.7989999999991</v>
      </c>
    </row>
    <row r="84" spans="33:38" x14ac:dyDescent="0.35">
      <c r="AG84" s="3" t="s">
        <v>141</v>
      </c>
      <c r="AH84" s="6">
        <v>5979.0960000000005</v>
      </c>
      <c r="AI84" s="6">
        <v>1902.5438000000001</v>
      </c>
      <c r="AJ84" s="6">
        <f>SUM($AH$2:AH84)</f>
        <v>727305.14359999995</v>
      </c>
      <c r="AK84" s="8">
        <f t="shared" si="2"/>
        <v>0.31660494133064965</v>
      </c>
      <c r="AL84">
        <v>5979.0960000000005</v>
      </c>
    </row>
    <row r="85" spans="33:38" x14ac:dyDescent="0.35">
      <c r="AG85" s="3" t="s">
        <v>237</v>
      </c>
      <c r="AH85" s="6">
        <v>5952.8590000000022</v>
      </c>
      <c r="AI85" s="6">
        <v>656.11619999999994</v>
      </c>
      <c r="AJ85" s="6">
        <f>SUM($AH$2:AH85)</f>
        <v>733258.00260000001</v>
      </c>
      <c r="AK85" s="8">
        <f t="shared" si="2"/>
        <v>0.31919629461754623</v>
      </c>
      <c r="AL85">
        <v>5952.8590000000022</v>
      </c>
    </row>
    <row r="86" spans="33:38" x14ac:dyDescent="0.35">
      <c r="AG86" s="3" t="s">
        <v>500</v>
      </c>
      <c r="AH86" s="6">
        <v>5907.9719999999998</v>
      </c>
      <c r="AI86" s="6">
        <v>1538.2127000000003</v>
      </c>
      <c r="AJ86" s="6">
        <f>SUM($AH$2:AH86)</f>
        <v>739165.97459999996</v>
      </c>
      <c r="AK86" s="8">
        <f t="shared" si="2"/>
        <v>0.32176810803713046</v>
      </c>
      <c r="AL86">
        <v>5907.9719999999998</v>
      </c>
    </row>
    <row r="87" spans="33:38" x14ac:dyDescent="0.35">
      <c r="AG87" s="3" t="s">
        <v>377</v>
      </c>
      <c r="AH87" s="6">
        <v>5888.2750000000005</v>
      </c>
      <c r="AI87" s="6">
        <v>-1850.3029000000004</v>
      </c>
      <c r="AJ87" s="6">
        <f>SUM($AH$2:AH87)</f>
        <v>745054.24959999998</v>
      </c>
      <c r="AK87" s="8">
        <f t="shared" si="2"/>
        <v>0.3243313471085415</v>
      </c>
      <c r="AL87">
        <v>5888.2750000000005</v>
      </c>
    </row>
    <row r="88" spans="33:38" x14ac:dyDescent="0.35">
      <c r="AG88" s="3" t="s">
        <v>296</v>
      </c>
      <c r="AH88" s="6">
        <v>5718.5210000000006</v>
      </c>
      <c r="AI88" s="6">
        <v>1094.5037</v>
      </c>
      <c r="AJ88" s="6">
        <f>SUM($AH$2:AH88)</f>
        <v>750772.77059999993</v>
      </c>
      <c r="AK88" s="8">
        <f t="shared" si="2"/>
        <v>0.32682069016026449</v>
      </c>
      <c r="AL88">
        <v>5718.5210000000006</v>
      </c>
    </row>
    <row r="89" spans="33:38" x14ac:dyDescent="0.35">
      <c r="AG89" s="3" t="s">
        <v>568</v>
      </c>
      <c r="AH89" s="6">
        <v>5690.0549999999994</v>
      </c>
      <c r="AI89" s="6">
        <v>-6626.3895000000002</v>
      </c>
      <c r="AJ89" s="6">
        <f>SUM($AH$2:AH89)</f>
        <v>756462.82559999998</v>
      </c>
      <c r="AK89" s="8">
        <f t="shared" si="2"/>
        <v>0.32929764160945429</v>
      </c>
      <c r="AL89">
        <v>5690.0549999999994</v>
      </c>
    </row>
    <row r="90" spans="33:38" x14ac:dyDescent="0.35">
      <c r="AG90" s="3" t="s">
        <v>661</v>
      </c>
      <c r="AH90" s="6">
        <v>5664.0219999999999</v>
      </c>
      <c r="AI90" s="6">
        <v>1085.7326000000003</v>
      </c>
      <c r="AJ90" s="6">
        <f>SUM($AH$2:AH90)</f>
        <v>762126.84759999998</v>
      </c>
      <c r="AK90" s="8">
        <f t="shared" si="2"/>
        <v>0.33176326057115896</v>
      </c>
      <c r="AL90">
        <v>5664.0219999999999</v>
      </c>
    </row>
    <row r="91" spans="33:38" x14ac:dyDescent="0.35">
      <c r="AG91" s="3" t="s">
        <v>246</v>
      </c>
      <c r="AH91" s="6">
        <v>5633.3159999999989</v>
      </c>
      <c r="AI91" s="6">
        <v>-461.73320000000001</v>
      </c>
      <c r="AJ91" s="6">
        <f>SUM($AH$2:AH91)</f>
        <v>767760.16359999997</v>
      </c>
      <c r="AK91" s="8">
        <f t="shared" si="2"/>
        <v>0.3342155128305736</v>
      </c>
      <c r="AL91">
        <v>5633.3159999999989</v>
      </c>
    </row>
    <row r="92" spans="33:38" x14ac:dyDescent="0.35">
      <c r="AG92" s="3" t="s">
        <v>547</v>
      </c>
      <c r="AH92" s="6">
        <v>5620.1859999999997</v>
      </c>
      <c r="AI92" s="6">
        <v>973.79019999999991</v>
      </c>
      <c r="AJ92" s="6">
        <f>SUM($AH$2:AH92)</f>
        <v>773380.34959999996</v>
      </c>
      <c r="AK92" s="8">
        <f t="shared" si="2"/>
        <v>0.33666204943828931</v>
      </c>
      <c r="AL92">
        <v>5620.1859999999997</v>
      </c>
    </row>
    <row r="93" spans="33:38" x14ac:dyDescent="0.35">
      <c r="AG93" s="3" t="s">
        <v>489</v>
      </c>
      <c r="AH93" s="6">
        <v>5563.56</v>
      </c>
      <c r="AI93" s="6">
        <v>-362.88250000000005</v>
      </c>
      <c r="AJ93" s="6">
        <f>SUM($AH$2:AH93)</f>
        <v>778943.90960000001</v>
      </c>
      <c r="AK93" s="8">
        <f t="shared" si="2"/>
        <v>0.33908393604653025</v>
      </c>
      <c r="AL93">
        <v>5563.56</v>
      </c>
    </row>
    <row r="94" spans="33:38" x14ac:dyDescent="0.35">
      <c r="AG94" s="3" t="s">
        <v>508</v>
      </c>
      <c r="AH94" s="6">
        <v>5563.3919999999998</v>
      </c>
      <c r="AI94" s="6">
        <v>581.57420000000002</v>
      </c>
      <c r="AJ94" s="6">
        <f>SUM($AH$2:AH94)</f>
        <v>784507.30160000001</v>
      </c>
      <c r="AK94" s="8">
        <f t="shared" si="2"/>
        <v>0.34150574952228935</v>
      </c>
      <c r="AL94">
        <v>5563.3919999999998</v>
      </c>
    </row>
    <row r="95" spans="33:38" x14ac:dyDescent="0.35">
      <c r="AG95" s="3" t="s">
        <v>351</v>
      </c>
      <c r="AH95" s="6">
        <v>5529.62</v>
      </c>
      <c r="AI95" s="6">
        <v>1208.8889999999999</v>
      </c>
      <c r="AJ95" s="6">
        <f>SUM($AH$2:AH95)</f>
        <v>790036.9216</v>
      </c>
      <c r="AK95" s="8">
        <f t="shared" si="2"/>
        <v>0.34391286162796647</v>
      </c>
      <c r="AL95">
        <v>5529.62</v>
      </c>
    </row>
    <row r="96" spans="33:38" x14ac:dyDescent="0.35">
      <c r="AG96" s="3" t="s">
        <v>647</v>
      </c>
      <c r="AH96" s="6">
        <v>5527.8460000000005</v>
      </c>
      <c r="AI96" s="6">
        <v>1366.0098000000003</v>
      </c>
      <c r="AJ96" s="6">
        <f>SUM($AH$2:AH96)</f>
        <v>795564.76760000002</v>
      </c>
      <c r="AK96" s="8">
        <f t="shared" si="2"/>
        <v>0.34631920148946127</v>
      </c>
      <c r="AL96">
        <v>5527.8460000000005</v>
      </c>
    </row>
    <row r="97" spans="33:38" x14ac:dyDescent="0.35">
      <c r="AG97" s="3" t="s">
        <v>506</v>
      </c>
      <c r="AH97" s="6">
        <v>5503.0929999999989</v>
      </c>
      <c r="AI97" s="6">
        <v>170.97460000000001</v>
      </c>
      <c r="AJ97" s="6">
        <f>SUM($AH$2:AH97)</f>
        <v>801067.86060000001</v>
      </c>
      <c r="AK97" s="8">
        <f t="shared" si="2"/>
        <v>0.34871476606333196</v>
      </c>
      <c r="AL97">
        <v>5503.0929999999989</v>
      </c>
    </row>
    <row r="98" spans="33:38" x14ac:dyDescent="0.35">
      <c r="AG98" s="3" t="s">
        <v>599</v>
      </c>
      <c r="AH98" s="6">
        <v>5480.7239999999993</v>
      </c>
      <c r="AI98" s="6">
        <v>1571.8318000000002</v>
      </c>
      <c r="AJ98" s="6">
        <f>SUM($AH$2:AH98)</f>
        <v>806548.58460000006</v>
      </c>
      <c r="AK98" s="8">
        <f t="shared" si="2"/>
        <v>0.35110059313431968</v>
      </c>
      <c r="AL98">
        <v>5480.7239999999993</v>
      </c>
    </row>
    <row r="99" spans="33:38" x14ac:dyDescent="0.35">
      <c r="AG99" s="3" t="s">
        <v>290</v>
      </c>
      <c r="AH99" s="6">
        <v>5478.0608000000002</v>
      </c>
      <c r="AI99" s="6">
        <v>144.95779999999999</v>
      </c>
      <c r="AJ99" s="6">
        <f>SUM($AH$2:AH99)</f>
        <v>812026.64540000004</v>
      </c>
      <c r="AK99" s="8">
        <f t="shared" si="2"/>
        <v>0.35348526088134663</v>
      </c>
      <c r="AL99">
        <v>5478.0608000000002</v>
      </c>
    </row>
    <row r="100" spans="33:38" x14ac:dyDescent="0.35">
      <c r="AG100" s="3" t="s">
        <v>375</v>
      </c>
      <c r="AH100" s="6">
        <v>5454.35</v>
      </c>
      <c r="AI100" s="6">
        <v>1305.6289999999999</v>
      </c>
      <c r="AJ100" s="6">
        <f>SUM($AH$2:AH100)</f>
        <v>817480.99540000001</v>
      </c>
      <c r="AK100" s="8">
        <f t="shared" si="2"/>
        <v>0.35585960702332381</v>
      </c>
      <c r="AL100">
        <v>5454.35</v>
      </c>
    </row>
    <row r="101" spans="33:38" x14ac:dyDescent="0.35">
      <c r="AG101" s="3" t="s">
        <v>499</v>
      </c>
      <c r="AH101" s="6">
        <v>5440.3190000000004</v>
      </c>
      <c r="AI101" s="6">
        <v>-270.4282</v>
      </c>
      <c r="AJ101" s="6">
        <f>SUM($AH$2:AH101)</f>
        <v>822921.31440000003</v>
      </c>
      <c r="AK101" s="8">
        <f t="shared" si="2"/>
        <v>0.35822784529713741</v>
      </c>
      <c r="AL101">
        <v>5440.3190000000004</v>
      </c>
    </row>
    <row r="102" spans="33:38" x14ac:dyDescent="0.35">
      <c r="AG102" s="3" t="s">
        <v>659</v>
      </c>
      <c r="AH102" s="6">
        <v>5420.5139999999992</v>
      </c>
      <c r="AI102" s="6">
        <v>837.24110000000007</v>
      </c>
      <c r="AJ102" s="6">
        <f>SUM($AH$2:AH102)</f>
        <v>828341.8284</v>
      </c>
      <c r="AK102" s="8">
        <f t="shared" si="2"/>
        <v>0.36058746220903953</v>
      </c>
      <c r="AL102">
        <v>5420.5139999999992</v>
      </c>
    </row>
    <row r="103" spans="33:38" x14ac:dyDescent="0.35">
      <c r="AG103" s="3" t="s">
        <v>526</v>
      </c>
      <c r="AH103" s="6">
        <v>5402.253999999999</v>
      </c>
      <c r="AI103" s="6">
        <v>427.0258</v>
      </c>
      <c r="AJ103" s="6">
        <f>SUM($AH$2:AH103)</f>
        <v>833744.08239999996</v>
      </c>
      <c r="AK103" s="8">
        <f t="shared" si="2"/>
        <v>0.36293913031667485</v>
      </c>
      <c r="AL103">
        <v>5402.253999999999</v>
      </c>
    </row>
    <row r="104" spans="33:38" x14ac:dyDescent="0.35">
      <c r="AG104" s="3" t="s">
        <v>193</v>
      </c>
      <c r="AH104" s="6">
        <v>5371.09</v>
      </c>
      <c r="AI104" s="6">
        <v>862.88770000000022</v>
      </c>
      <c r="AJ104" s="6">
        <f>SUM($AH$2:AH104)</f>
        <v>839115.17239999992</v>
      </c>
      <c r="AK104" s="8">
        <f t="shared" si="2"/>
        <v>0.36527723234894494</v>
      </c>
      <c r="AL104">
        <v>5371.09</v>
      </c>
    </row>
    <row r="105" spans="33:38" x14ac:dyDescent="0.35">
      <c r="AG105" s="3" t="s">
        <v>595</v>
      </c>
      <c r="AH105" s="6">
        <v>5364.8080000000009</v>
      </c>
      <c r="AI105" s="6">
        <v>1124.4999</v>
      </c>
      <c r="AJ105" s="6">
        <f>SUM($AH$2:AH105)</f>
        <v>844479.98039999988</v>
      </c>
      <c r="AK105" s="8">
        <f t="shared" si="2"/>
        <v>0.36761259974877231</v>
      </c>
      <c r="AL105">
        <v>5364.8080000000009</v>
      </c>
    </row>
    <row r="106" spans="33:38" x14ac:dyDescent="0.35">
      <c r="AG106" s="3" t="s">
        <v>699</v>
      </c>
      <c r="AH106" s="6">
        <v>5341.9</v>
      </c>
      <c r="AI106" s="6">
        <v>1238.4220000000003</v>
      </c>
      <c r="AJ106" s="6">
        <f>SUM($AH$2:AH106)</f>
        <v>849821.88039999991</v>
      </c>
      <c r="AK106" s="8">
        <f t="shared" si="2"/>
        <v>0.36993799501233771</v>
      </c>
      <c r="AL106">
        <v>5341.9</v>
      </c>
    </row>
    <row r="107" spans="33:38" x14ac:dyDescent="0.35">
      <c r="AG107" s="3" t="s">
        <v>703</v>
      </c>
      <c r="AH107" s="6">
        <v>5329.0047999999997</v>
      </c>
      <c r="AI107" s="6">
        <v>-1087.3897999999999</v>
      </c>
      <c r="AJ107" s="6">
        <f>SUM($AH$2:AH107)</f>
        <v>855150.8851999999</v>
      </c>
      <c r="AK107" s="8">
        <f t="shared" si="2"/>
        <v>0.37225777683555367</v>
      </c>
      <c r="AL107">
        <v>5329.0047999999997</v>
      </c>
    </row>
    <row r="108" spans="33:38" x14ac:dyDescent="0.35">
      <c r="AG108" s="3" t="s">
        <v>122</v>
      </c>
      <c r="AH108" s="6">
        <v>5278.8259999999991</v>
      </c>
      <c r="AI108" s="6">
        <v>737.3905000000002</v>
      </c>
      <c r="AJ108" s="6">
        <f>SUM($AH$2:AH108)</f>
        <v>860429.7111999999</v>
      </c>
      <c r="AK108" s="8">
        <f t="shared" si="2"/>
        <v>0.37455571520534453</v>
      </c>
      <c r="AL108">
        <v>5278.8259999999991</v>
      </c>
    </row>
    <row r="109" spans="33:38" x14ac:dyDescent="0.35">
      <c r="AG109" s="3" t="s">
        <v>170</v>
      </c>
      <c r="AH109" s="6">
        <v>5271.6279999999997</v>
      </c>
      <c r="AI109" s="6">
        <v>1348.7556000000004</v>
      </c>
      <c r="AJ109" s="6">
        <f>SUM($AH$2:AH109)</f>
        <v>865701.33919999993</v>
      </c>
      <c r="AK109" s="8">
        <f t="shared" si="2"/>
        <v>0.37685052019654219</v>
      </c>
      <c r="AL109">
        <v>5271.6279999999997</v>
      </c>
    </row>
    <row r="110" spans="33:38" x14ac:dyDescent="0.35">
      <c r="AG110" s="3" t="s">
        <v>450</v>
      </c>
      <c r="AH110" s="6">
        <v>5253.8760000000002</v>
      </c>
      <c r="AI110" s="6">
        <v>1665.5160000000001</v>
      </c>
      <c r="AJ110" s="6">
        <f>SUM($AH$2:AH110)</f>
        <v>870955.21519999998</v>
      </c>
      <c r="AK110" s="8">
        <f t="shared" si="2"/>
        <v>0.37913759752216791</v>
      </c>
      <c r="AL110">
        <v>5253.8760000000002</v>
      </c>
    </row>
    <row r="111" spans="33:38" x14ac:dyDescent="0.35">
      <c r="AG111" s="3" t="s">
        <v>495</v>
      </c>
      <c r="AH111" s="6">
        <v>5248.7869999999994</v>
      </c>
      <c r="AI111" s="6">
        <v>1196.9504000000002</v>
      </c>
      <c r="AJ111" s="6">
        <f>SUM($AH$2:AH111)</f>
        <v>876204.00219999999</v>
      </c>
      <c r="AK111" s="8">
        <f t="shared" si="2"/>
        <v>0.38142245954303389</v>
      </c>
      <c r="AL111">
        <v>5248.7869999999994</v>
      </c>
    </row>
    <row r="112" spans="33:38" x14ac:dyDescent="0.35">
      <c r="AG112" s="3" t="s">
        <v>106</v>
      </c>
      <c r="AH112" s="6">
        <v>5226.2099999999982</v>
      </c>
      <c r="AI112" s="6">
        <v>1276.6513000000004</v>
      </c>
      <c r="AJ112" s="6">
        <f>SUM($AH$2:AH112)</f>
        <v>881430.21219999995</v>
      </c>
      <c r="AK112" s="8">
        <f t="shared" si="2"/>
        <v>0.38369749351603938</v>
      </c>
      <c r="AL112">
        <v>5226.2099999999982</v>
      </c>
    </row>
    <row r="113" spans="33:38" x14ac:dyDescent="0.35">
      <c r="AG113" s="3" t="s">
        <v>343</v>
      </c>
      <c r="AH113" s="6">
        <v>5153.0839999999998</v>
      </c>
      <c r="AI113" s="6">
        <v>465.25029999999992</v>
      </c>
      <c r="AJ113" s="6">
        <f>SUM($AH$2:AH113)</f>
        <v>886583.29619999998</v>
      </c>
      <c r="AK113" s="8">
        <f t="shared" si="2"/>
        <v>0.38594069483511212</v>
      </c>
      <c r="AL113">
        <v>5153.0839999999998</v>
      </c>
    </row>
    <row r="114" spans="33:38" x14ac:dyDescent="0.35">
      <c r="AG114" s="3" t="s">
        <v>315</v>
      </c>
      <c r="AH114" s="6">
        <v>5142.8919999999989</v>
      </c>
      <c r="AI114" s="6">
        <v>535.4763999999999</v>
      </c>
      <c r="AJ114" s="6">
        <f>SUM($AH$2:AH114)</f>
        <v>891726.18819999998</v>
      </c>
      <c r="AK114" s="8">
        <f t="shared" si="2"/>
        <v>0.38817945945029181</v>
      </c>
      <c r="AL114">
        <v>5142.8919999999989</v>
      </c>
    </row>
    <row r="115" spans="33:38" x14ac:dyDescent="0.35">
      <c r="AG115" s="3" t="s">
        <v>582</v>
      </c>
      <c r="AH115" s="6">
        <v>5087.92</v>
      </c>
      <c r="AI115" s="6">
        <v>226.45289999999983</v>
      </c>
      <c r="AJ115" s="6">
        <f>SUM($AH$2:AH115)</f>
        <v>896814.10820000002</v>
      </c>
      <c r="AK115" s="8">
        <f t="shared" si="2"/>
        <v>0.39039429407269205</v>
      </c>
      <c r="AL115">
        <v>5087.92</v>
      </c>
    </row>
    <row r="116" spans="33:38" x14ac:dyDescent="0.35">
      <c r="AG116" s="3" t="s">
        <v>845</v>
      </c>
      <c r="AH116" s="6">
        <v>5086.9350000000013</v>
      </c>
      <c r="AI116" s="6">
        <v>857.80329999999992</v>
      </c>
      <c r="AJ116" s="6">
        <f>SUM($AH$2:AH116)</f>
        <v>901901.04320000007</v>
      </c>
      <c r="AK116" s="8">
        <f t="shared" si="2"/>
        <v>0.39260869991238678</v>
      </c>
      <c r="AL116">
        <v>5086.9350000000013</v>
      </c>
    </row>
    <row r="117" spans="33:38" x14ac:dyDescent="0.35">
      <c r="AG117" s="3" t="s">
        <v>683</v>
      </c>
      <c r="AH117" s="6">
        <v>5040.7359999999999</v>
      </c>
      <c r="AI117" s="6">
        <v>1121.9369999999999</v>
      </c>
      <c r="AJ117" s="6">
        <f>SUM($AH$2:AH117)</f>
        <v>906941.77920000011</v>
      </c>
      <c r="AK117" s="8">
        <f t="shared" si="2"/>
        <v>0.39480299475491165</v>
      </c>
      <c r="AL117">
        <v>5040.7359999999999</v>
      </c>
    </row>
    <row r="118" spans="33:38" x14ac:dyDescent="0.35">
      <c r="AG118" s="3" t="s">
        <v>188</v>
      </c>
      <c r="AH118" s="6">
        <v>5016.4880000000012</v>
      </c>
      <c r="AI118" s="6">
        <v>-182.78130000000004</v>
      </c>
      <c r="AJ118" s="6">
        <f>SUM($AH$2:AH118)</f>
        <v>911958.26720000012</v>
      </c>
      <c r="AK118" s="8">
        <f t="shared" si="2"/>
        <v>0.39698673414257013</v>
      </c>
      <c r="AL118">
        <v>5016.4880000000012</v>
      </c>
    </row>
    <row r="119" spans="33:38" x14ac:dyDescent="0.35">
      <c r="AG119" s="3" t="s">
        <v>811</v>
      </c>
      <c r="AH119" s="6">
        <v>4985.6760000000004</v>
      </c>
      <c r="AI119" s="6">
        <v>-52.190999999999924</v>
      </c>
      <c r="AJ119" s="6">
        <f>SUM($AH$2:AH119)</f>
        <v>916943.9432000001</v>
      </c>
      <c r="AK119" s="8">
        <f t="shared" si="2"/>
        <v>0.39915706068482504</v>
      </c>
      <c r="AL119">
        <v>4985.6760000000004</v>
      </c>
    </row>
    <row r="120" spans="33:38" x14ac:dyDescent="0.35">
      <c r="AG120" s="3" t="s">
        <v>818</v>
      </c>
      <c r="AH120" s="6">
        <v>4932.8719999999994</v>
      </c>
      <c r="AI120" s="6">
        <v>1193.7404000000001</v>
      </c>
      <c r="AJ120" s="6">
        <f>SUM($AH$2:AH120)</f>
        <v>921876.81520000007</v>
      </c>
      <c r="AK120" s="8">
        <f t="shared" si="2"/>
        <v>0.40130440099156506</v>
      </c>
      <c r="AL120">
        <v>4932.8719999999994</v>
      </c>
    </row>
    <row r="121" spans="33:38" x14ac:dyDescent="0.35">
      <c r="AG121" s="3" t="s">
        <v>28</v>
      </c>
      <c r="AH121" s="6">
        <v>4930.4739999999993</v>
      </c>
      <c r="AI121" s="6">
        <v>514.65269999999998</v>
      </c>
      <c r="AJ121" s="6">
        <f>SUM($AH$2:AH121)</f>
        <v>926807.28920000012</v>
      </c>
      <c r="AK121" s="8">
        <f t="shared" si="2"/>
        <v>0.40345069741919048</v>
      </c>
      <c r="AL121">
        <v>4930.4739999999993</v>
      </c>
    </row>
    <row r="122" spans="33:38" x14ac:dyDescent="0.35">
      <c r="AG122" s="3" t="s">
        <v>128</v>
      </c>
      <c r="AH122" s="6">
        <v>4915.6019999999999</v>
      </c>
      <c r="AI122" s="6">
        <v>751.95670000000007</v>
      </c>
      <c r="AJ122" s="6">
        <f>SUM($AH$2:AH122)</f>
        <v>931722.89120000007</v>
      </c>
      <c r="AK122" s="8">
        <f t="shared" si="2"/>
        <v>0.4055905198809312</v>
      </c>
      <c r="AL122">
        <v>4915.6019999999999</v>
      </c>
    </row>
    <row r="123" spans="33:38" x14ac:dyDescent="0.35">
      <c r="AG123" s="3" t="s">
        <v>68</v>
      </c>
      <c r="AH123" s="6">
        <v>4909.4720000000007</v>
      </c>
      <c r="AI123" s="6">
        <v>745.76850000000002</v>
      </c>
      <c r="AJ123" s="6">
        <f>SUM($AH$2:AH123)</f>
        <v>936632.36320000002</v>
      </c>
      <c r="AK123" s="8">
        <f t="shared" si="2"/>
        <v>0.40772767387771264</v>
      </c>
      <c r="AL123">
        <v>4909.4720000000007</v>
      </c>
    </row>
    <row r="124" spans="33:38" x14ac:dyDescent="0.35">
      <c r="AG124" s="3" t="s">
        <v>248</v>
      </c>
      <c r="AH124" s="6">
        <v>4893.0430000000006</v>
      </c>
      <c r="AI124" s="6">
        <v>1155.4331</v>
      </c>
      <c r="AJ124" s="6">
        <f>SUM($AH$2:AH124)</f>
        <v>941525.40619999997</v>
      </c>
      <c r="AK124" s="8">
        <f t="shared" si="2"/>
        <v>0.40985767612721596</v>
      </c>
      <c r="AL124">
        <v>4893.0430000000006</v>
      </c>
    </row>
    <row r="125" spans="33:38" x14ac:dyDescent="0.35">
      <c r="AG125" s="3" t="s">
        <v>157</v>
      </c>
      <c r="AH125" s="6">
        <v>4877.7839999999997</v>
      </c>
      <c r="AI125" s="6">
        <v>956.94510000000025</v>
      </c>
      <c r="AJ125" s="6">
        <f>SUM($AH$2:AH125)</f>
        <v>946403.19019999995</v>
      </c>
      <c r="AK125" s="8">
        <f t="shared" si="2"/>
        <v>0.41198103594493907</v>
      </c>
      <c r="AL125">
        <v>4877.7839999999997</v>
      </c>
    </row>
    <row r="126" spans="33:38" x14ac:dyDescent="0.35">
      <c r="AG126" s="3" t="s">
        <v>407</v>
      </c>
      <c r="AH126" s="6">
        <v>4867.3440000000001</v>
      </c>
      <c r="AI126" s="6">
        <v>150.71300000000005</v>
      </c>
      <c r="AJ126" s="6">
        <f>SUM($AH$2:AH126)</f>
        <v>951270.53419999999</v>
      </c>
      <c r="AK126" s="8">
        <f t="shared" si="2"/>
        <v>0.4140998511012961</v>
      </c>
      <c r="AL126">
        <v>4867.3440000000001</v>
      </c>
    </row>
    <row r="127" spans="33:38" x14ac:dyDescent="0.35">
      <c r="AG127" s="3" t="s">
        <v>386</v>
      </c>
      <c r="AH127" s="6">
        <v>4867.2000000000007</v>
      </c>
      <c r="AI127" s="6">
        <v>55.04830000000004</v>
      </c>
      <c r="AJ127" s="6">
        <f>SUM($AH$2:AH127)</f>
        <v>956137.73419999995</v>
      </c>
      <c r="AK127" s="8">
        <f t="shared" si="2"/>
        <v>0.41621860357266871</v>
      </c>
      <c r="AL127">
        <v>4867.2000000000007</v>
      </c>
    </row>
    <row r="128" spans="33:38" x14ac:dyDescent="0.35">
      <c r="AG128" s="3" t="s">
        <v>179</v>
      </c>
      <c r="AH128" s="6">
        <v>4805.3440000000001</v>
      </c>
      <c r="AI128" s="6">
        <v>1308.5545999999999</v>
      </c>
      <c r="AJ128" s="6">
        <f>SUM($AH$2:AH128)</f>
        <v>960943.07819999999</v>
      </c>
      <c r="AK128" s="8">
        <f t="shared" si="2"/>
        <v>0.41831042936075957</v>
      </c>
      <c r="AL128">
        <v>4805.3440000000001</v>
      </c>
    </row>
    <row r="129" spans="33:38" x14ac:dyDescent="0.35">
      <c r="AG129" s="3" t="s">
        <v>225</v>
      </c>
      <c r="AH129" s="6">
        <v>4802.3939999999993</v>
      </c>
      <c r="AI129" s="6">
        <v>209.89939999999999</v>
      </c>
      <c r="AJ129" s="6">
        <f>SUM($AH$2:AH129)</f>
        <v>965745.47219999996</v>
      </c>
      <c r="AK129" s="8">
        <f t="shared" si="2"/>
        <v>0.42040097097729578</v>
      </c>
      <c r="AL129">
        <v>4802.3939999999993</v>
      </c>
    </row>
    <row r="130" spans="33:38" x14ac:dyDescent="0.35">
      <c r="AG130" s="3" t="s">
        <v>221</v>
      </c>
      <c r="AH130" s="6">
        <v>4793.5430000000006</v>
      </c>
      <c r="AI130" s="6">
        <v>304.86730000000006</v>
      </c>
      <c r="AJ130" s="6">
        <f>SUM($AH$2:AH130)</f>
        <v>970539.01519999991</v>
      </c>
      <c r="AK130" s="8">
        <f t="shared" si="2"/>
        <v>0.42248765964385582</v>
      </c>
      <c r="AL130">
        <v>4793.5430000000006</v>
      </c>
    </row>
    <row r="131" spans="33:38" x14ac:dyDescent="0.35">
      <c r="AG131" s="3" t="s">
        <v>266</v>
      </c>
      <c r="AH131" s="6">
        <v>4767.3415000000005</v>
      </c>
      <c r="AI131" s="6">
        <v>610.14959999999985</v>
      </c>
      <c r="AJ131" s="6">
        <f>SUM($AH$2:AH131)</f>
        <v>975306.35669999989</v>
      </c>
      <c r="AK131" s="8">
        <f t="shared" ref="AK131:AK194" si="3">AJ131/$AH$795</f>
        <v>0.42456294247279286</v>
      </c>
      <c r="AL131">
        <v>4767.3415000000005</v>
      </c>
    </row>
    <row r="132" spans="33:38" x14ac:dyDescent="0.35">
      <c r="AG132" s="3" t="s">
        <v>139</v>
      </c>
      <c r="AH132" s="6">
        <v>4760.4340000000011</v>
      </c>
      <c r="AI132" s="6">
        <v>1172.5303000000001</v>
      </c>
      <c r="AJ132" s="6">
        <f>SUM($AH$2:AH132)</f>
        <v>980066.7906999999</v>
      </c>
      <c r="AK132" s="8">
        <f t="shared" si="3"/>
        <v>0.42663521838138641</v>
      </c>
      <c r="AL132">
        <v>4760.4340000000011</v>
      </c>
    </row>
    <row r="133" spans="33:38" x14ac:dyDescent="0.35">
      <c r="AG133" s="3" t="s">
        <v>394</v>
      </c>
      <c r="AH133" s="6">
        <v>4750.3579999999993</v>
      </c>
      <c r="AI133" s="6">
        <v>921.25739999999962</v>
      </c>
      <c r="AJ133" s="6">
        <f>SUM($AH$2:AH133)</f>
        <v>984817.1486999999</v>
      </c>
      <c r="AK133" s="8">
        <f t="shared" si="3"/>
        <v>0.42870310808232426</v>
      </c>
      <c r="AL133">
        <v>4750.3579999999993</v>
      </c>
    </row>
    <row r="134" spans="33:38" x14ac:dyDescent="0.35">
      <c r="AG134" s="3" t="s">
        <v>46</v>
      </c>
      <c r="AH134" s="6">
        <v>4737.4859999999999</v>
      </c>
      <c r="AI134" s="6">
        <v>-1603.0450999999996</v>
      </c>
      <c r="AJ134" s="6">
        <f>SUM($AH$2:AH134)</f>
        <v>989554.63469999994</v>
      </c>
      <c r="AK134" s="8">
        <f t="shared" si="3"/>
        <v>0.43076539444216017</v>
      </c>
      <c r="AL134">
        <v>4737.4859999999999</v>
      </c>
    </row>
    <row r="135" spans="33:38" x14ac:dyDescent="0.35">
      <c r="AG135" s="3" t="s">
        <v>785</v>
      </c>
      <c r="AH135" s="6">
        <v>4716.2880000000005</v>
      </c>
      <c r="AI135" s="6">
        <v>1135.8393000000001</v>
      </c>
      <c r="AJ135" s="6">
        <f>SUM($AH$2:AH135)</f>
        <v>994270.9227</v>
      </c>
      <c r="AK135" s="8">
        <f t="shared" si="3"/>
        <v>0.43281845304992345</v>
      </c>
      <c r="AL135">
        <v>4716.2880000000005</v>
      </c>
    </row>
    <row r="136" spans="33:38" x14ac:dyDescent="0.35">
      <c r="AG136" s="3" t="s">
        <v>93</v>
      </c>
      <c r="AH136" s="6">
        <v>4715.4660000000013</v>
      </c>
      <c r="AI136" s="6">
        <v>640.54660000000001</v>
      </c>
      <c r="AJ136" s="6">
        <f>SUM($AH$2:AH136)</f>
        <v>998986.38870000001</v>
      </c>
      <c r="AK136" s="8">
        <f t="shared" si="3"/>
        <v>0.43487115383090091</v>
      </c>
      <c r="AL136">
        <v>4715.4660000000013</v>
      </c>
    </row>
    <row r="137" spans="33:38" x14ac:dyDescent="0.35">
      <c r="AG137" s="3" t="s">
        <v>55</v>
      </c>
      <c r="AH137" s="6">
        <v>4657.924</v>
      </c>
      <c r="AI137" s="6">
        <v>246.6661</v>
      </c>
      <c r="AJ137" s="6">
        <f>SUM($AH$2:AH137)</f>
        <v>1003644.3127</v>
      </c>
      <c r="AK137" s="8">
        <f t="shared" si="3"/>
        <v>0.43689880586625307</v>
      </c>
      <c r="AL137">
        <v>4657.924</v>
      </c>
    </row>
    <row r="138" spans="33:38" x14ac:dyDescent="0.35">
      <c r="AG138" s="3" t="s">
        <v>585</v>
      </c>
      <c r="AH138" s="6">
        <v>4655.8969999999999</v>
      </c>
      <c r="AI138" s="6">
        <v>841.82639999999992</v>
      </c>
      <c r="AJ138" s="6">
        <f>SUM($AH$2:AH138)</f>
        <v>1008300.2097</v>
      </c>
      <c r="AK138" s="8">
        <f t="shared" si="3"/>
        <v>0.4389255755233879</v>
      </c>
      <c r="AL138">
        <v>4655.8969999999999</v>
      </c>
    </row>
    <row r="139" spans="33:38" x14ac:dyDescent="0.35">
      <c r="AG139" s="3" t="s">
        <v>501</v>
      </c>
      <c r="AH139" s="6">
        <v>4642.0884000000005</v>
      </c>
      <c r="AI139" s="6">
        <v>194.06710000000001</v>
      </c>
      <c r="AJ139" s="6">
        <f>SUM($AH$2:AH139)</f>
        <v>1012942.2981</v>
      </c>
      <c r="AK139" s="8">
        <f t="shared" si="3"/>
        <v>0.44094633412583495</v>
      </c>
      <c r="AL139">
        <v>4642.0884000000005</v>
      </c>
    </row>
    <row r="140" spans="33:38" x14ac:dyDescent="0.35">
      <c r="AG140" s="3" t="s">
        <v>426</v>
      </c>
      <c r="AH140" s="6">
        <v>4624.572000000001</v>
      </c>
      <c r="AI140" s="6">
        <v>1011.7443</v>
      </c>
      <c r="AJ140" s="6">
        <f>SUM($AH$2:AH140)</f>
        <v>1017566.8701000001</v>
      </c>
      <c r="AK140" s="8">
        <f t="shared" si="3"/>
        <v>0.44295946762230948</v>
      </c>
      <c r="AL140">
        <v>4624.572000000001</v>
      </c>
    </row>
    <row r="141" spans="33:38" x14ac:dyDescent="0.35">
      <c r="AG141" s="3" t="s">
        <v>782</v>
      </c>
      <c r="AH141" s="6">
        <v>4588.4359999999997</v>
      </c>
      <c r="AI141" s="6">
        <v>1319.3655000000003</v>
      </c>
      <c r="AJ141" s="6">
        <f>SUM($AH$2:AH141)</f>
        <v>1022155.3061</v>
      </c>
      <c r="AK141" s="8">
        <f t="shared" si="3"/>
        <v>0.44495687067020873</v>
      </c>
      <c r="AL141">
        <v>4588.4359999999997</v>
      </c>
    </row>
    <row r="142" spans="33:38" x14ac:dyDescent="0.35">
      <c r="AG142" s="3" t="s">
        <v>125</v>
      </c>
      <c r="AH142" s="6">
        <v>4531.6460000000015</v>
      </c>
      <c r="AI142" s="6">
        <v>473.02719999999994</v>
      </c>
      <c r="AJ142" s="6">
        <f>SUM($AH$2:AH142)</f>
        <v>1026686.9521</v>
      </c>
      <c r="AK142" s="8">
        <f t="shared" si="3"/>
        <v>0.44692955232740089</v>
      </c>
      <c r="AL142">
        <v>4531.6460000000015</v>
      </c>
    </row>
    <row r="143" spans="33:38" x14ac:dyDescent="0.35">
      <c r="AG143" s="3" t="s">
        <v>337</v>
      </c>
      <c r="AH143" s="6">
        <v>4523.3359999999993</v>
      </c>
      <c r="AI143" s="6">
        <v>494.83519999999999</v>
      </c>
      <c r="AJ143" s="6">
        <f>SUM($AH$2:AH143)</f>
        <v>1031210.2881</v>
      </c>
      <c r="AK143" s="8">
        <f t="shared" si="3"/>
        <v>0.44889861653862068</v>
      </c>
      <c r="AL143">
        <v>4523.3359999999993</v>
      </c>
    </row>
    <row r="144" spans="33:38" x14ac:dyDescent="0.35">
      <c r="AG144" s="3" t="s">
        <v>218</v>
      </c>
      <c r="AH144" s="6">
        <v>4510.7970000000005</v>
      </c>
      <c r="AI144" s="6">
        <v>343.68240000000003</v>
      </c>
      <c r="AJ144" s="6">
        <f>SUM($AH$2:AH144)</f>
        <v>1035721.0851</v>
      </c>
      <c r="AK144" s="8">
        <f t="shared" si="3"/>
        <v>0.45086222236776485</v>
      </c>
      <c r="AL144">
        <v>4510.7970000000005</v>
      </c>
    </row>
    <row r="145" spans="33:38" x14ac:dyDescent="0.35">
      <c r="AG145" s="3" t="s">
        <v>381</v>
      </c>
      <c r="AH145" s="6">
        <v>4501.3909999999996</v>
      </c>
      <c r="AI145" s="6">
        <v>1158.7064</v>
      </c>
      <c r="AJ145" s="6">
        <f>SUM($AH$2:AH145)</f>
        <v>1040222.4761</v>
      </c>
      <c r="AK145" s="8">
        <f t="shared" si="3"/>
        <v>0.45282173364855555</v>
      </c>
      <c r="AL145">
        <v>4501.3909999999996</v>
      </c>
    </row>
    <row r="146" spans="33:38" x14ac:dyDescent="0.35">
      <c r="AG146" s="3" t="s">
        <v>52</v>
      </c>
      <c r="AH146" s="6">
        <v>4492.9459999999999</v>
      </c>
      <c r="AI146" s="6">
        <v>288.26600000000008</v>
      </c>
      <c r="AJ146" s="6">
        <f>SUM($AH$2:AH146)</f>
        <v>1044715.4221</v>
      </c>
      <c r="AK146" s="8">
        <f t="shared" si="3"/>
        <v>0.45477756871620095</v>
      </c>
      <c r="AL146">
        <v>4492.9459999999999</v>
      </c>
    </row>
    <row r="147" spans="33:38" x14ac:dyDescent="0.35">
      <c r="AG147" s="3" t="s">
        <v>78</v>
      </c>
      <c r="AH147" s="6">
        <v>4492.6569999999992</v>
      </c>
      <c r="AI147" s="6">
        <v>-671.18740000000003</v>
      </c>
      <c r="AJ147" s="6">
        <f>SUM($AH$2:AH147)</f>
        <v>1049208.0791</v>
      </c>
      <c r="AK147" s="8">
        <f t="shared" si="3"/>
        <v>0.45673327797856528</v>
      </c>
      <c r="AL147">
        <v>4492.6569999999992</v>
      </c>
    </row>
    <row r="148" spans="33:38" x14ac:dyDescent="0.35">
      <c r="AG148" s="3" t="s">
        <v>316</v>
      </c>
      <c r="AH148" s="6">
        <v>4454.0559999999996</v>
      </c>
      <c r="AI148" s="6">
        <v>1129.1261</v>
      </c>
      <c r="AJ148" s="6">
        <f>SUM($AH$2:AH148)</f>
        <v>1053662.1351000001</v>
      </c>
      <c r="AK148" s="8">
        <f t="shared" si="3"/>
        <v>0.45867218374730961</v>
      </c>
      <c r="AL148">
        <v>4454.0559999999996</v>
      </c>
    </row>
    <row r="149" spans="33:38" x14ac:dyDescent="0.35">
      <c r="AG149" s="3" t="s">
        <v>560</v>
      </c>
      <c r="AH149" s="6">
        <v>4432.1379999999999</v>
      </c>
      <c r="AI149" s="6">
        <v>1802.3903000000003</v>
      </c>
      <c r="AJ149" s="6">
        <f>SUM($AH$2:AH149)</f>
        <v>1058094.2731000001</v>
      </c>
      <c r="AK149" s="8">
        <f t="shared" si="3"/>
        <v>0.46060154833905942</v>
      </c>
      <c r="AL149">
        <v>4432.1379999999999</v>
      </c>
    </row>
    <row r="150" spans="33:38" x14ac:dyDescent="0.35">
      <c r="AG150" s="3" t="s">
        <v>620</v>
      </c>
      <c r="AH150" s="6">
        <v>4427.1420000000007</v>
      </c>
      <c r="AI150" s="6">
        <v>1219.9829999999999</v>
      </c>
      <c r="AJ150" s="6">
        <f>SUM($AH$2:AH150)</f>
        <v>1062521.4151000001</v>
      </c>
      <c r="AK150" s="8">
        <f t="shared" si="3"/>
        <v>0.46252873811010181</v>
      </c>
      <c r="AL150">
        <v>4427.1420000000007</v>
      </c>
    </row>
    <row r="151" spans="33:38" x14ac:dyDescent="0.35">
      <c r="AG151" s="3" t="s">
        <v>214</v>
      </c>
      <c r="AH151" s="6">
        <v>4416.5200000000004</v>
      </c>
      <c r="AI151" s="6">
        <v>1756.135</v>
      </c>
      <c r="AJ151" s="6">
        <f>SUM($AH$2:AH151)</f>
        <v>1066937.9351000001</v>
      </c>
      <c r="AK151" s="8">
        <f t="shared" si="3"/>
        <v>0.46445130399292289</v>
      </c>
      <c r="AL151">
        <v>4416.5200000000004</v>
      </c>
    </row>
    <row r="152" spans="33:38" x14ac:dyDescent="0.35">
      <c r="AG152" s="3" t="s">
        <v>293</v>
      </c>
      <c r="AH152" s="6">
        <v>4411.2430000000004</v>
      </c>
      <c r="AI152" s="6">
        <v>1142.1225000000002</v>
      </c>
      <c r="AJ152" s="6">
        <f>SUM($AH$2:AH152)</f>
        <v>1071349.1781000001</v>
      </c>
      <c r="AK152" s="8">
        <f t="shared" si="3"/>
        <v>0.4663715727322546</v>
      </c>
      <c r="AL152">
        <v>4411.2430000000004</v>
      </c>
    </row>
    <row r="153" spans="33:38" x14ac:dyDescent="0.35">
      <c r="AG153" s="3" t="s">
        <v>578</v>
      </c>
      <c r="AH153" s="6">
        <v>4375.7859999999991</v>
      </c>
      <c r="AI153" s="6">
        <v>867.72709999999995</v>
      </c>
      <c r="AJ153" s="6">
        <f>SUM($AH$2:AH153)</f>
        <v>1075724.9641000002</v>
      </c>
      <c r="AK153" s="8">
        <f t="shared" si="3"/>
        <v>0.46827640660012487</v>
      </c>
      <c r="AL153">
        <v>4375.7859999999991</v>
      </c>
    </row>
    <row r="154" spans="33:38" x14ac:dyDescent="0.35">
      <c r="AG154" s="3" t="s">
        <v>653</v>
      </c>
      <c r="AH154" s="6">
        <v>4371.9580000000005</v>
      </c>
      <c r="AI154" s="6">
        <v>440.14099999999996</v>
      </c>
      <c r="AJ154" s="6">
        <f>SUM($AH$2:AH154)</f>
        <v>1080096.9221000003</v>
      </c>
      <c r="AK154" s="8">
        <f t="shared" si="3"/>
        <v>0.47017957409216088</v>
      </c>
      <c r="AL154">
        <v>4371.9580000000005</v>
      </c>
    </row>
    <row r="155" spans="33:38" x14ac:dyDescent="0.35">
      <c r="AG155" s="3" t="s">
        <v>304</v>
      </c>
      <c r="AH155" s="6">
        <v>4358.1279999999997</v>
      </c>
      <c r="AI155" s="6">
        <v>656.19880000000001</v>
      </c>
      <c r="AJ155" s="6">
        <f>SUM($AH$2:AH155)</f>
        <v>1084455.0501000003</v>
      </c>
      <c r="AK155" s="8">
        <f t="shared" si="3"/>
        <v>0.47207672121382394</v>
      </c>
      <c r="AL155">
        <v>4358.1279999999997</v>
      </c>
    </row>
    <row r="156" spans="33:38" x14ac:dyDescent="0.35">
      <c r="AG156" s="3" t="s">
        <v>94</v>
      </c>
      <c r="AH156" s="6">
        <v>4355.1499999999996</v>
      </c>
      <c r="AI156" s="6">
        <v>1087.7539000000002</v>
      </c>
      <c r="AJ156" s="6">
        <f>SUM($AH$2:AH156)</f>
        <v>1088810.2001000002</v>
      </c>
      <c r="AK156" s="8">
        <f t="shared" si="3"/>
        <v>0.47397257197518533</v>
      </c>
      <c r="AL156">
        <v>4355.1499999999996</v>
      </c>
    </row>
    <row r="157" spans="33:38" x14ac:dyDescent="0.35">
      <c r="AG157" s="3" t="s">
        <v>338</v>
      </c>
      <c r="AH157" s="6">
        <v>4345.8859999999995</v>
      </c>
      <c r="AI157" s="6">
        <v>1990.4243999999999</v>
      </c>
      <c r="AJ157" s="6">
        <f>SUM($AH$2:AH157)</f>
        <v>1093156.0861000002</v>
      </c>
      <c r="AK157" s="8">
        <f t="shared" si="3"/>
        <v>0.47586439000255298</v>
      </c>
      <c r="AL157">
        <v>4345.8859999999995</v>
      </c>
    </row>
    <row r="158" spans="33:38" x14ac:dyDescent="0.35">
      <c r="AG158" s="3" t="s">
        <v>536</v>
      </c>
      <c r="AH158" s="6">
        <v>4326.1390000000001</v>
      </c>
      <c r="AI158" s="6">
        <v>353.64549999999991</v>
      </c>
      <c r="AJ158" s="6">
        <f>SUM($AH$2:AH158)</f>
        <v>1097482.2251000002</v>
      </c>
      <c r="AK158" s="8">
        <f t="shared" si="3"/>
        <v>0.4777476119161278</v>
      </c>
      <c r="AL158">
        <v>4326.1390000000001</v>
      </c>
    </row>
    <row r="159" spans="33:38" x14ac:dyDescent="0.35">
      <c r="AG159" s="3" t="s">
        <v>48</v>
      </c>
      <c r="AH159" s="6">
        <v>4299.1609999999991</v>
      </c>
      <c r="AI159" s="6">
        <v>1240.2266000000004</v>
      </c>
      <c r="AJ159" s="6">
        <f>SUM($AH$2:AH159)</f>
        <v>1101781.3861000002</v>
      </c>
      <c r="AK159" s="8">
        <f t="shared" si="3"/>
        <v>0.47961908997200781</v>
      </c>
      <c r="AL159">
        <v>4299.1609999999991</v>
      </c>
    </row>
    <row r="160" spans="33:38" x14ac:dyDescent="0.35">
      <c r="AG160" s="3" t="s">
        <v>195</v>
      </c>
      <c r="AH160" s="6">
        <v>4282.9399999999996</v>
      </c>
      <c r="AI160" s="6">
        <v>566.72260000000006</v>
      </c>
      <c r="AJ160" s="6">
        <f>SUM($AH$2:AH160)</f>
        <v>1106064.3261000002</v>
      </c>
      <c r="AK160" s="8">
        <f t="shared" si="3"/>
        <v>0.48148350682558699</v>
      </c>
      <c r="AL160">
        <v>4282.9399999999996</v>
      </c>
    </row>
    <row r="161" spans="33:38" x14ac:dyDescent="0.35">
      <c r="AG161" s="3" t="s">
        <v>843</v>
      </c>
      <c r="AH161" s="6">
        <v>4282.1759999999986</v>
      </c>
      <c r="AI161" s="6">
        <v>937.64959999999985</v>
      </c>
      <c r="AJ161" s="6">
        <f>SUM($AH$2:AH161)</f>
        <v>1110346.5021000002</v>
      </c>
      <c r="AK161" s="8">
        <f t="shared" si="3"/>
        <v>0.48334759110049919</v>
      </c>
      <c r="AL161">
        <v>4282.1759999999986</v>
      </c>
    </row>
    <row r="162" spans="33:38" x14ac:dyDescent="0.35">
      <c r="AG162" s="3" t="s">
        <v>598</v>
      </c>
      <c r="AH162" s="6">
        <v>4272.93</v>
      </c>
      <c r="AI162" s="6">
        <v>480.59399999999999</v>
      </c>
      <c r="AJ162" s="6">
        <f>SUM($AH$2:AH162)</f>
        <v>1114619.4321000001</v>
      </c>
      <c r="AK162" s="8">
        <f t="shared" si="3"/>
        <v>0.48520765047704056</v>
      </c>
      <c r="AL162">
        <v>4272.93</v>
      </c>
    </row>
    <row r="163" spans="33:38" x14ac:dyDescent="0.35">
      <c r="AG163" s="3" t="s">
        <v>755</v>
      </c>
      <c r="AH163" s="6">
        <v>4266.8119999999999</v>
      </c>
      <c r="AI163" s="6">
        <v>606.3726999999999</v>
      </c>
      <c r="AJ163" s="6">
        <f>SUM($AH$2:AH163)</f>
        <v>1118886.2441</v>
      </c>
      <c r="AK163" s="8">
        <f t="shared" si="3"/>
        <v>0.48706504661237138</v>
      </c>
      <c r="AL163">
        <v>4266.8119999999999</v>
      </c>
    </row>
    <row r="164" spans="33:38" x14ac:dyDescent="0.35">
      <c r="AG164" s="3" t="s">
        <v>189</v>
      </c>
      <c r="AH164" s="6">
        <v>4260.7840000000006</v>
      </c>
      <c r="AI164" s="6">
        <v>719.77510000000007</v>
      </c>
      <c r="AJ164" s="6">
        <f>SUM($AH$2:AH164)</f>
        <v>1123147.0281</v>
      </c>
      <c r="AK164" s="8">
        <f t="shared" si="3"/>
        <v>0.48891981868460699</v>
      </c>
      <c r="AL164">
        <v>4260.7840000000006</v>
      </c>
    </row>
    <row r="165" spans="33:38" x14ac:dyDescent="0.35">
      <c r="AG165" s="3" t="s">
        <v>487</v>
      </c>
      <c r="AH165" s="6">
        <v>4256.2719999999999</v>
      </c>
      <c r="AI165" s="6">
        <v>1073.2676000000001</v>
      </c>
      <c r="AJ165" s="6">
        <f>SUM($AH$2:AH165)</f>
        <v>1127403.3001000001</v>
      </c>
      <c r="AK165" s="8">
        <f t="shared" si="3"/>
        <v>0.49077262662733268</v>
      </c>
      <c r="AL165">
        <v>4256.2719999999999</v>
      </c>
    </row>
    <row r="166" spans="33:38" x14ac:dyDescent="0.35">
      <c r="AG166" s="3" t="s">
        <v>180</v>
      </c>
      <c r="AH166" s="6">
        <v>4246.4555</v>
      </c>
      <c r="AI166" s="6">
        <v>1049.5600999999999</v>
      </c>
      <c r="AJ166" s="6">
        <f>SUM($AH$2:AH166)</f>
        <v>1131649.7556</v>
      </c>
      <c r="AK166" s="8">
        <f t="shared" si="3"/>
        <v>0.49262116132596817</v>
      </c>
      <c r="AL166">
        <v>4246.4555</v>
      </c>
    </row>
    <row r="167" spans="33:38" x14ac:dyDescent="0.35">
      <c r="AG167" s="3" t="s">
        <v>357</v>
      </c>
      <c r="AH167" s="6">
        <v>4234.0960000000005</v>
      </c>
      <c r="AI167" s="6">
        <v>-571.9677999999999</v>
      </c>
      <c r="AJ167" s="6">
        <f>SUM($AH$2:AH167)</f>
        <v>1135883.8515999999</v>
      </c>
      <c r="AK167" s="8">
        <f t="shared" si="3"/>
        <v>0.49446431578110234</v>
      </c>
      <c r="AL167">
        <v>4234.0960000000005</v>
      </c>
    </row>
    <row r="168" spans="33:38" x14ac:dyDescent="0.35">
      <c r="AG168" s="3" t="s">
        <v>425</v>
      </c>
      <c r="AH168" s="6">
        <v>4204.6759999999995</v>
      </c>
      <c r="AI168" s="6">
        <v>1487.7739000000001</v>
      </c>
      <c r="AJ168" s="6">
        <f>SUM($AH$2:AH168)</f>
        <v>1140088.5275999999</v>
      </c>
      <c r="AK168" s="8">
        <f t="shared" si="3"/>
        <v>0.49629466334568179</v>
      </c>
      <c r="AL168">
        <v>4204.6759999999995</v>
      </c>
    </row>
    <row r="169" spans="33:38" x14ac:dyDescent="0.35">
      <c r="AG169" s="3" t="s">
        <v>633</v>
      </c>
      <c r="AH169" s="6">
        <v>4198.3320000000003</v>
      </c>
      <c r="AI169" s="6">
        <v>1073.2087999999999</v>
      </c>
      <c r="AJ169" s="6">
        <f>SUM($AH$2:AH169)</f>
        <v>1144286.8595999999</v>
      </c>
      <c r="AK169" s="8">
        <f t="shared" si="3"/>
        <v>0.49812224928845028</v>
      </c>
      <c r="AL169">
        <v>4198.3320000000003</v>
      </c>
    </row>
    <row r="170" spans="33:38" x14ac:dyDescent="0.35">
      <c r="AG170" s="3" t="s">
        <v>581</v>
      </c>
      <c r="AH170" s="6">
        <v>4172.8460000000005</v>
      </c>
      <c r="AI170" s="6">
        <v>1176.4181000000001</v>
      </c>
      <c r="AJ170" s="6">
        <f>SUM($AH$2:AH170)</f>
        <v>1148459.7055999998</v>
      </c>
      <c r="AK170" s="8">
        <f t="shared" si="3"/>
        <v>0.49993874085961176</v>
      </c>
      <c r="AL170">
        <v>4172.8460000000005</v>
      </c>
    </row>
    <row r="171" spans="33:38" x14ac:dyDescent="0.35">
      <c r="AG171" s="3" t="s">
        <v>360</v>
      </c>
      <c r="AH171" s="6">
        <v>4159.7699999999986</v>
      </c>
      <c r="AI171" s="6">
        <v>1206.3851</v>
      </c>
      <c r="AJ171" s="6">
        <f>SUM($AH$2:AH171)</f>
        <v>1152619.4755999998</v>
      </c>
      <c r="AK171" s="8">
        <f t="shared" si="3"/>
        <v>0.50174954028594354</v>
      </c>
      <c r="AL171">
        <v>4159.7699999999986</v>
      </c>
    </row>
    <row r="172" spans="33:38" x14ac:dyDescent="0.35">
      <c r="AG172" s="3" t="s">
        <v>597</v>
      </c>
      <c r="AH172" s="6">
        <v>4152.6960000000008</v>
      </c>
      <c r="AI172" s="6">
        <v>-371.71109999999999</v>
      </c>
      <c r="AJ172" s="6">
        <f>SUM($AH$2:AH172)</f>
        <v>1156772.1715999998</v>
      </c>
      <c r="AK172" s="8">
        <f t="shared" si="3"/>
        <v>0.50355726031241854</v>
      </c>
      <c r="AL172">
        <v>4152.6960000000008</v>
      </c>
    </row>
    <row r="173" spans="33:38" x14ac:dyDescent="0.35">
      <c r="AG173" s="3" t="s">
        <v>414</v>
      </c>
      <c r="AH173" s="6">
        <v>4115.6620000000003</v>
      </c>
      <c r="AI173" s="6">
        <v>526.75369999999998</v>
      </c>
      <c r="AJ173" s="6">
        <f>SUM($AH$2:AH173)</f>
        <v>1160887.8335999998</v>
      </c>
      <c r="AK173" s="8">
        <f t="shared" si="3"/>
        <v>0.50534885897979087</v>
      </c>
      <c r="AL173">
        <v>4115.6620000000003</v>
      </c>
    </row>
    <row r="174" spans="33:38" x14ac:dyDescent="0.35">
      <c r="AG174" s="3" t="s">
        <v>756</v>
      </c>
      <c r="AH174" s="6">
        <v>4105.3050000000003</v>
      </c>
      <c r="AI174" s="6">
        <v>485.02720000000005</v>
      </c>
      <c r="AJ174" s="6">
        <f>SUM($AH$2:AH174)</f>
        <v>1164993.1385999997</v>
      </c>
      <c r="AK174" s="8">
        <f t="shared" si="3"/>
        <v>0.50713594911672555</v>
      </c>
      <c r="AL174">
        <v>4105.3050000000003</v>
      </c>
    </row>
    <row r="175" spans="33:38" x14ac:dyDescent="0.35">
      <c r="AG175" s="3" t="s">
        <v>775</v>
      </c>
      <c r="AH175" s="6">
        <v>4074.4720000000007</v>
      </c>
      <c r="AI175" s="6">
        <v>1319.0586000000001</v>
      </c>
      <c r="AJ175" s="6">
        <f>SUM($AH$2:AH175)</f>
        <v>1169067.6105999998</v>
      </c>
      <c r="AK175" s="8">
        <f t="shared" si="3"/>
        <v>0.50890961726669648</v>
      </c>
      <c r="AL175">
        <v>4074.4720000000007</v>
      </c>
    </row>
    <row r="176" spans="33:38" x14ac:dyDescent="0.35">
      <c r="AG176" s="3" t="s">
        <v>303</v>
      </c>
      <c r="AH176" s="6">
        <v>4046.7460000000005</v>
      </c>
      <c r="AI176" s="6">
        <v>406.4473000000001</v>
      </c>
      <c r="AJ176" s="6">
        <f>SUM($AH$2:AH176)</f>
        <v>1173114.3565999998</v>
      </c>
      <c r="AK176" s="8">
        <f t="shared" si="3"/>
        <v>0.51067121594530385</v>
      </c>
      <c r="AL176">
        <v>4046.7460000000005</v>
      </c>
    </row>
    <row r="177" spans="33:38" x14ac:dyDescent="0.35">
      <c r="AG177" s="3" t="s">
        <v>841</v>
      </c>
      <c r="AH177" s="6">
        <v>3990.6890000000003</v>
      </c>
      <c r="AI177" s="6">
        <v>14.692400000000008</v>
      </c>
      <c r="AJ177" s="6">
        <f>SUM($AH$2:AH177)</f>
        <v>1177105.0455999998</v>
      </c>
      <c r="AK177" s="8">
        <f t="shared" si="3"/>
        <v>0.51240841231718692</v>
      </c>
      <c r="AL177">
        <v>3990.6890000000003</v>
      </c>
    </row>
    <row r="178" spans="33:38" x14ac:dyDescent="0.35">
      <c r="AG178" s="3" t="s">
        <v>902</v>
      </c>
      <c r="AH178" s="6">
        <v>3984.4524000000001</v>
      </c>
      <c r="AI178" s="6">
        <v>176.31079999999997</v>
      </c>
      <c r="AJ178" s="6">
        <f>SUM($AH$2:AH178)</f>
        <v>1181089.4979999999</v>
      </c>
      <c r="AK178" s="8">
        <f t="shared" si="3"/>
        <v>0.51414289381980993</v>
      </c>
      <c r="AL178">
        <v>3984.4524000000001</v>
      </c>
    </row>
    <row r="179" spans="33:38" x14ac:dyDescent="0.35">
      <c r="AG179" s="3" t="s">
        <v>241</v>
      </c>
      <c r="AH179" s="6">
        <v>3983.6420000000003</v>
      </c>
      <c r="AI179" s="6">
        <v>638.15630000000021</v>
      </c>
      <c r="AJ179" s="6">
        <f>SUM($AH$2:AH179)</f>
        <v>1185073.1399999999</v>
      </c>
      <c r="AK179" s="8">
        <f t="shared" si="3"/>
        <v>0.51587702254527101</v>
      </c>
      <c r="AL179">
        <v>3983.6420000000003</v>
      </c>
    </row>
    <row r="180" spans="33:38" x14ac:dyDescent="0.35">
      <c r="AG180" s="3" t="s">
        <v>335</v>
      </c>
      <c r="AH180" s="6">
        <v>3979.0649999999996</v>
      </c>
      <c r="AI180" s="6">
        <v>229.16170000000002</v>
      </c>
      <c r="AJ180" s="6">
        <f>SUM($AH$2:AH180)</f>
        <v>1189052.2049999998</v>
      </c>
      <c r="AK180" s="8">
        <f t="shared" si="3"/>
        <v>0.51760915884591663</v>
      </c>
      <c r="AL180">
        <v>3979.0649999999996</v>
      </c>
    </row>
    <row r="181" spans="33:38" x14ac:dyDescent="0.35">
      <c r="AG181" s="3" t="s">
        <v>405</v>
      </c>
      <c r="AH181" s="6">
        <v>3949.6559999999995</v>
      </c>
      <c r="AI181" s="6">
        <v>144.1189</v>
      </c>
      <c r="AJ181" s="6">
        <f>SUM($AH$2:AH181)</f>
        <v>1193001.8609999998</v>
      </c>
      <c r="AK181" s="8">
        <f t="shared" si="3"/>
        <v>0.51932849304444384</v>
      </c>
      <c r="AL181">
        <v>3949.6559999999995</v>
      </c>
    </row>
    <row r="182" spans="33:38" x14ac:dyDescent="0.35">
      <c r="AG182" s="3" t="s">
        <v>235</v>
      </c>
      <c r="AH182" s="6">
        <v>3930.509</v>
      </c>
      <c r="AI182" s="6">
        <v>-3583.9770000000003</v>
      </c>
      <c r="AJ182" s="6">
        <f>SUM($AH$2:AH182)</f>
        <v>1196932.3699999999</v>
      </c>
      <c r="AK182" s="8">
        <f t="shared" si="3"/>
        <v>0.52103949231661317</v>
      </c>
      <c r="AL182">
        <v>3930.509</v>
      </c>
    </row>
    <row r="183" spans="33:38" x14ac:dyDescent="0.35">
      <c r="AG183" s="3" t="s">
        <v>724</v>
      </c>
      <c r="AH183" s="6">
        <v>3922.4149999999995</v>
      </c>
      <c r="AI183" s="6">
        <v>1290.354</v>
      </c>
      <c r="AJ183" s="6">
        <f>SUM($AH$2:AH183)</f>
        <v>1200854.7849999999</v>
      </c>
      <c r="AK183" s="8">
        <f t="shared" si="3"/>
        <v>0.52274696817028654</v>
      </c>
      <c r="AL183">
        <v>3922.4149999999995</v>
      </c>
    </row>
    <row r="184" spans="33:38" x14ac:dyDescent="0.35">
      <c r="AG184" s="3" t="s">
        <v>764</v>
      </c>
      <c r="AH184" s="6">
        <v>3919.7760000000003</v>
      </c>
      <c r="AI184" s="6">
        <v>840.89900000000011</v>
      </c>
      <c r="AJ184" s="6">
        <f>SUM($AH$2:AH184)</f>
        <v>1204774.561</v>
      </c>
      <c r="AK184" s="8">
        <f t="shared" si="3"/>
        <v>0.52445329523455908</v>
      </c>
      <c r="AL184">
        <v>3919.7760000000003</v>
      </c>
    </row>
    <row r="185" spans="33:38" x14ac:dyDescent="0.35">
      <c r="AG185" s="3" t="s">
        <v>245</v>
      </c>
      <c r="AH185" s="6">
        <v>3918.9659999999999</v>
      </c>
      <c r="AI185" s="6">
        <v>727.37860000000001</v>
      </c>
      <c r="AJ185" s="6">
        <f>SUM($AH$2:AH185)</f>
        <v>1208693.527</v>
      </c>
      <c r="AK185" s="8">
        <f t="shared" si="3"/>
        <v>0.52615926969579463</v>
      </c>
      <c r="AL185">
        <v>3918.9659999999999</v>
      </c>
    </row>
    <row r="186" spans="33:38" x14ac:dyDescent="0.35">
      <c r="AG186" s="3" t="s">
        <v>509</v>
      </c>
      <c r="AH186" s="6">
        <v>3913.4180000000001</v>
      </c>
      <c r="AI186" s="6">
        <v>393.96179999999998</v>
      </c>
      <c r="AJ186" s="6">
        <f>SUM($AH$2:AH186)</f>
        <v>1212606.9450000001</v>
      </c>
      <c r="AK186" s="8">
        <f t="shared" si="3"/>
        <v>0.52786282904388271</v>
      </c>
      <c r="AL186">
        <v>3913.4180000000001</v>
      </c>
    </row>
    <row r="187" spans="33:38" x14ac:dyDescent="0.35">
      <c r="AG187" s="3" t="s">
        <v>688</v>
      </c>
      <c r="AH187" s="6">
        <v>3908.8027999999999</v>
      </c>
      <c r="AI187" s="6">
        <v>109.32699999999998</v>
      </c>
      <c r="AJ187" s="6">
        <f>SUM($AH$2:AH187)</f>
        <v>1216515.7478</v>
      </c>
      <c r="AK187" s="8">
        <f t="shared" si="3"/>
        <v>0.52956437933822198</v>
      </c>
      <c r="AL187">
        <v>3908.8027999999999</v>
      </c>
    </row>
    <row r="188" spans="33:38" x14ac:dyDescent="0.35">
      <c r="AG188" s="3" t="s">
        <v>126</v>
      </c>
      <c r="AH188" s="6">
        <v>3908.402</v>
      </c>
      <c r="AI188" s="6">
        <v>514.60020000000009</v>
      </c>
      <c r="AJ188" s="6">
        <f>SUM($AH$2:AH188)</f>
        <v>1220424.1498</v>
      </c>
      <c r="AK188" s="8">
        <f t="shared" si="3"/>
        <v>0.53126575515935481</v>
      </c>
      <c r="AL188">
        <v>3908.402</v>
      </c>
    </row>
    <row r="189" spans="33:38" x14ac:dyDescent="0.35">
      <c r="AG189" s="3" t="s">
        <v>172</v>
      </c>
      <c r="AH189" s="6">
        <v>3908.2619999999997</v>
      </c>
      <c r="AI189" s="6">
        <v>709.42190000000005</v>
      </c>
      <c r="AJ189" s="6">
        <f>SUM($AH$2:AH189)</f>
        <v>1224332.4118000001</v>
      </c>
      <c r="AK189" s="8">
        <f t="shared" si="3"/>
        <v>0.53296707003675292</v>
      </c>
      <c r="AL189">
        <v>3908.2619999999997</v>
      </c>
    </row>
    <row r="190" spans="33:38" x14ac:dyDescent="0.35">
      <c r="AG190" s="3" t="s">
        <v>826</v>
      </c>
      <c r="AH190" s="6">
        <v>3889.3659999999995</v>
      </c>
      <c r="AI190" s="6">
        <v>714.29259999999999</v>
      </c>
      <c r="AJ190" s="6">
        <f>SUM($AH$2:AH190)</f>
        <v>1228221.7778</v>
      </c>
      <c r="AK190" s="8">
        <f t="shared" si="3"/>
        <v>0.53466015925120325</v>
      </c>
      <c r="AL190">
        <v>3889.3659999999995</v>
      </c>
    </row>
    <row r="191" spans="33:38" x14ac:dyDescent="0.35">
      <c r="AG191" s="3" t="s">
        <v>607</v>
      </c>
      <c r="AH191" s="6">
        <v>3887.8339999999998</v>
      </c>
      <c r="AI191" s="6">
        <v>-17.532199999999996</v>
      </c>
      <c r="AJ191" s="6">
        <f>SUM($AH$2:AH191)</f>
        <v>1232109.6118000001</v>
      </c>
      <c r="AK191" s="8">
        <f t="shared" si="3"/>
        <v>0.53635258156707</v>
      </c>
      <c r="AL191">
        <v>3887.8339999999998</v>
      </c>
    </row>
    <row r="192" spans="33:38" x14ac:dyDescent="0.35">
      <c r="AG192" s="3" t="s">
        <v>455</v>
      </c>
      <c r="AH192" s="6">
        <v>3868.02</v>
      </c>
      <c r="AI192" s="6">
        <v>564.97979999999995</v>
      </c>
      <c r="AJ192" s="6">
        <f>SUM($AH$2:AH192)</f>
        <v>1235977.6318000001</v>
      </c>
      <c r="AK192" s="8">
        <f t="shared" si="3"/>
        <v>0.53803637860321374</v>
      </c>
      <c r="AL192">
        <v>3868.02</v>
      </c>
    </row>
    <row r="193" spans="33:38" x14ac:dyDescent="0.35">
      <c r="AG193" s="3" t="s">
        <v>54</v>
      </c>
      <c r="AH193" s="6">
        <v>3832.3139999999994</v>
      </c>
      <c r="AI193" s="6">
        <v>1292.8655999999999</v>
      </c>
      <c r="AJ193" s="6">
        <f>SUM($AH$2:AH193)</f>
        <v>1239809.9458000001</v>
      </c>
      <c r="AK193" s="8">
        <f t="shared" si="3"/>
        <v>0.53970463237511057</v>
      </c>
      <c r="AL193">
        <v>3832.3139999999994</v>
      </c>
    </row>
    <row r="194" spans="33:38" x14ac:dyDescent="0.35">
      <c r="AG194" s="3" t="s">
        <v>328</v>
      </c>
      <c r="AH194" s="6">
        <v>3831.8640000000005</v>
      </c>
      <c r="AI194" s="6">
        <v>974.10699999999997</v>
      </c>
      <c r="AJ194" s="6">
        <f>SUM($AH$2:AH194)</f>
        <v>1243641.8098000002</v>
      </c>
      <c r="AK194" s="8">
        <f t="shared" si="3"/>
        <v>0.5413726902564312</v>
      </c>
      <c r="AL194">
        <v>3831.8640000000005</v>
      </c>
    </row>
    <row r="195" spans="33:38" x14ac:dyDescent="0.35">
      <c r="AG195" s="3" t="s">
        <v>299</v>
      </c>
      <c r="AH195" s="6">
        <v>3818.6240000000003</v>
      </c>
      <c r="AI195" s="6">
        <v>-925.12030000000004</v>
      </c>
      <c r="AJ195" s="6">
        <f>SUM($AH$2:AH195)</f>
        <v>1247460.4338000002</v>
      </c>
      <c r="AK195" s="8">
        <f t="shared" ref="AK195:AK258" si="4">AJ195/$AH$795</f>
        <v>0.54303498460168986</v>
      </c>
      <c r="AL195">
        <v>3818.6240000000003</v>
      </c>
    </row>
    <row r="196" spans="33:38" x14ac:dyDescent="0.35">
      <c r="AG196" s="3" t="s">
        <v>270</v>
      </c>
      <c r="AH196" s="6">
        <v>3815.4780000000001</v>
      </c>
      <c r="AI196" s="6">
        <v>-1262.5716000000002</v>
      </c>
      <c r="AJ196" s="6">
        <f>SUM($AH$2:AH196)</f>
        <v>1251275.9118000001</v>
      </c>
      <c r="AK196" s="8">
        <f t="shared" si="4"/>
        <v>0.54469590945416524</v>
      </c>
      <c r="AL196">
        <v>3815.4780000000001</v>
      </c>
    </row>
    <row r="197" spans="33:38" x14ac:dyDescent="0.35">
      <c r="AG197" s="3" t="s">
        <v>349</v>
      </c>
      <c r="AH197" s="6">
        <v>3805.7140000000009</v>
      </c>
      <c r="AI197" s="6">
        <v>698.41739999999993</v>
      </c>
      <c r="AJ197" s="6">
        <f>SUM($AH$2:AH197)</f>
        <v>1255081.6258</v>
      </c>
      <c r="AK197" s="8">
        <f t="shared" si="4"/>
        <v>0.54635258391645092</v>
      </c>
      <c r="AL197">
        <v>3805.7140000000009</v>
      </c>
    </row>
    <row r="198" spans="33:38" x14ac:dyDescent="0.35">
      <c r="AG198" s="3" t="s">
        <v>556</v>
      </c>
      <c r="AH198" s="6">
        <v>3794.08</v>
      </c>
      <c r="AI198" s="6">
        <v>82.125000000000028</v>
      </c>
      <c r="AJ198" s="6">
        <f>SUM($AH$2:AH198)</f>
        <v>1258875.7058000001</v>
      </c>
      <c r="AK198" s="8">
        <f t="shared" si="4"/>
        <v>0.54800419395437538</v>
      </c>
      <c r="AL198">
        <v>3794.08</v>
      </c>
    </row>
    <row r="199" spans="33:38" x14ac:dyDescent="0.35">
      <c r="AG199" s="3" t="s">
        <v>773</v>
      </c>
      <c r="AH199" s="6">
        <v>3789.7228</v>
      </c>
      <c r="AI199" s="6">
        <v>1143.3817000000001</v>
      </c>
      <c r="AJ199" s="6">
        <f>SUM($AH$2:AH199)</f>
        <v>1262665.4286000002</v>
      </c>
      <c r="AK199" s="8">
        <f t="shared" si="4"/>
        <v>0.54965390724914809</v>
      </c>
      <c r="AL199">
        <v>3789.7228</v>
      </c>
    </row>
    <row r="200" spans="33:38" x14ac:dyDescent="0.35">
      <c r="AG200" s="3" t="s">
        <v>468</v>
      </c>
      <c r="AH200" s="6">
        <v>3785.2759999999998</v>
      </c>
      <c r="AI200" s="6">
        <v>341.89800000000008</v>
      </c>
      <c r="AJ200" s="6">
        <f>SUM($AH$2:AH200)</f>
        <v>1266450.7046000003</v>
      </c>
      <c r="AK200" s="8">
        <f t="shared" si="4"/>
        <v>0.55130168479677866</v>
      </c>
      <c r="AL200">
        <v>3785.2759999999998</v>
      </c>
    </row>
    <row r="201" spans="33:38" x14ac:dyDescent="0.35">
      <c r="AG201" s="3" t="s">
        <v>271</v>
      </c>
      <c r="AH201" s="6">
        <v>3766.3820000000001</v>
      </c>
      <c r="AI201" s="6">
        <v>-241.94999999999993</v>
      </c>
      <c r="AJ201" s="6">
        <f>SUM($AH$2:AH201)</f>
        <v>1270217.0866000003</v>
      </c>
      <c r="AK201" s="8">
        <f t="shared" si="4"/>
        <v>0.55294123755208635</v>
      </c>
      <c r="AL201">
        <v>3766.3820000000001</v>
      </c>
    </row>
    <row r="202" spans="33:38" x14ac:dyDescent="0.35">
      <c r="AG202" s="3" t="s">
        <v>705</v>
      </c>
      <c r="AH202" s="6">
        <v>3760.0279999999998</v>
      </c>
      <c r="AI202" s="6">
        <v>750.94849999999997</v>
      </c>
      <c r="AJ202" s="6">
        <f>SUM($AH$2:AH202)</f>
        <v>1273977.1146000002</v>
      </c>
      <c r="AK202" s="8">
        <f t="shared" si="4"/>
        <v>0.55457802433245906</v>
      </c>
      <c r="AL202">
        <v>3760.0279999999998</v>
      </c>
    </row>
    <row r="203" spans="33:38" x14ac:dyDescent="0.35">
      <c r="AG203" s="3" t="s">
        <v>884</v>
      </c>
      <c r="AH203" s="6">
        <v>3747.6680000000006</v>
      </c>
      <c r="AI203" s="6">
        <v>586.66250000000014</v>
      </c>
      <c r="AJ203" s="6">
        <f>SUM($AH$2:AH203)</f>
        <v>1277724.7826000003</v>
      </c>
      <c r="AK203" s="8">
        <f t="shared" si="4"/>
        <v>0.55620943065167427</v>
      </c>
      <c r="AL203">
        <v>3747.6680000000006</v>
      </c>
    </row>
    <row r="204" spans="33:38" x14ac:dyDescent="0.35">
      <c r="AG204" s="3" t="s">
        <v>145</v>
      </c>
      <c r="AH204" s="6">
        <v>3736.1979999999994</v>
      </c>
      <c r="AI204" s="6">
        <v>198.10949999999997</v>
      </c>
      <c r="AJ204" s="6">
        <f>SUM($AH$2:AH204)</f>
        <v>1281460.9806000004</v>
      </c>
      <c r="AK204" s="8">
        <f t="shared" si="4"/>
        <v>0.55783584393776031</v>
      </c>
      <c r="AL204">
        <v>3736.1979999999994</v>
      </c>
    </row>
    <row r="205" spans="33:38" x14ac:dyDescent="0.35">
      <c r="AG205" s="3" t="s">
        <v>716</v>
      </c>
      <c r="AH205" s="6">
        <v>3729.7929999999997</v>
      </c>
      <c r="AI205" s="6">
        <v>671.00339999999994</v>
      </c>
      <c r="AJ205" s="6">
        <f>SUM($AH$2:AH205)</f>
        <v>1285190.7736000004</v>
      </c>
      <c r="AK205" s="8">
        <f t="shared" si="4"/>
        <v>0.55945946904797939</v>
      </c>
      <c r="AL205">
        <v>3729.7929999999997</v>
      </c>
    </row>
    <row r="206" spans="33:38" x14ac:dyDescent="0.35">
      <c r="AG206" s="3" t="s">
        <v>752</v>
      </c>
      <c r="AH206" s="6">
        <v>3690.2840000000001</v>
      </c>
      <c r="AI206" s="6">
        <v>804.61129999999991</v>
      </c>
      <c r="AJ206" s="6">
        <f>SUM($AH$2:AH206)</f>
        <v>1288881.0576000004</v>
      </c>
      <c r="AK206" s="8">
        <f t="shared" si="4"/>
        <v>0.56106589540092711</v>
      </c>
      <c r="AL206">
        <v>3690.2840000000001</v>
      </c>
    </row>
    <row r="207" spans="33:38" x14ac:dyDescent="0.35">
      <c r="AG207" s="3" t="s">
        <v>192</v>
      </c>
      <c r="AH207" s="6">
        <v>3675.8609999999999</v>
      </c>
      <c r="AI207" s="6">
        <v>363.59910000000002</v>
      </c>
      <c r="AJ207" s="6">
        <f>SUM($AH$2:AH207)</f>
        <v>1292556.9186000004</v>
      </c>
      <c r="AK207" s="8">
        <f t="shared" si="4"/>
        <v>0.56266604324325376</v>
      </c>
      <c r="AL207">
        <v>3675.8609999999999</v>
      </c>
    </row>
    <row r="208" spans="33:38" x14ac:dyDescent="0.35">
      <c r="AG208" s="3" t="s">
        <v>523</v>
      </c>
      <c r="AH208" s="6">
        <v>3653.3990000000003</v>
      </c>
      <c r="AI208" s="6">
        <v>338.44539999999995</v>
      </c>
      <c r="AJ208" s="6">
        <f>SUM($AH$2:AH208)</f>
        <v>1296210.3176000004</v>
      </c>
      <c r="AK208" s="8">
        <f t="shared" si="4"/>
        <v>0.56425641309864494</v>
      </c>
      <c r="AL208">
        <v>3653.3990000000003</v>
      </c>
    </row>
    <row r="209" spans="33:38" x14ac:dyDescent="0.35">
      <c r="AG209" s="3" t="s">
        <v>82</v>
      </c>
      <c r="AH209" s="6">
        <v>3651.8585000000007</v>
      </c>
      <c r="AI209" s="6">
        <v>-342.80329999999998</v>
      </c>
      <c r="AJ209" s="6">
        <f>SUM($AH$2:AH209)</f>
        <v>1299862.1761000005</v>
      </c>
      <c r="AK209" s="8">
        <f t="shared" si="4"/>
        <v>0.56584611235529736</v>
      </c>
      <c r="AL209">
        <v>3651.8585000000007</v>
      </c>
    </row>
    <row r="210" spans="33:38" x14ac:dyDescent="0.35">
      <c r="AG210" s="3" t="s">
        <v>253</v>
      </c>
      <c r="AH210" s="6">
        <v>3644.9780000000005</v>
      </c>
      <c r="AI210" s="6">
        <v>13.621500000000019</v>
      </c>
      <c r="AJ210" s="6">
        <f>SUM($AH$2:AH210)</f>
        <v>1303507.1541000004</v>
      </c>
      <c r="AK210" s="8">
        <f t="shared" si="4"/>
        <v>0.56743281644504073</v>
      </c>
      <c r="AL210">
        <v>3644.9780000000005</v>
      </c>
    </row>
    <row r="211" spans="33:38" x14ac:dyDescent="0.35">
      <c r="AG211" s="3" t="s">
        <v>260</v>
      </c>
      <c r="AH211" s="6">
        <v>3635.5940000000005</v>
      </c>
      <c r="AI211" s="6">
        <v>757.18020000000001</v>
      </c>
      <c r="AJ211" s="6">
        <f>SUM($AH$2:AH211)</f>
        <v>1307142.7481000004</v>
      </c>
      <c r="AK211" s="8">
        <f t="shared" si="4"/>
        <v>0.56901543556330325</v>
      </c>
      <c r="AL211">
        <v>3635.5940000000005</v>
      </c>
    </row>
    <row r="212" spans="33:38" x14ac:dyDescent="0.35">
      <c r="AG212" s="3" t="s">
        <v>541</v>
      </c>
      <c r="AH212" s="6">
        <v>3625.3289999999997</v>
      </c>
      <c r="AI212" s="6">
        <v>366.4303000000001</v>
      </c>
      <c r="AJ212" s="6">
        <f>SUM($AH$2:AH212)</f>
        <v>1310768.0771000003</v>
      </c>
      <c r="AK212" s="8">
        <f t="shared" si="4"/>
        <v>0.57059358619986822</v>
      </c>
      <c r="AL212">
        <v>3625.3289999999997</v>
      </c>
    </row>
    <row r="213" spans="33:38" x14ac:dyDescent="0.35">
      <c r="AG213" s="3" t="s">
        <v>388</v>
      </c>
      <c r="AH213" s="6">
        <v>3621.3759999999997</v>
      </c>
      <c r="AI213" s="6">
        <v>563.78769999999997</v>
      </c>
      <c r="AJ213" s="6">
        <f>SUM($AH$2:AH213)</f>
        <v>1314389.4531000003</v>
      </c>
      <c r="AK213" s="8">
        <f t="shared" si="4"/>
        <v>0.57217001604654993</v>
      </c>
      <c r="AL213">
        <v>3621.3759999999997</v>
      </c>
    </row>
    <row r="214" spans="33:38" x14ac:dyDescent="0.35">
      <c r="AG214" s="3" t="s">
        <v>630</v>
      </c>
      <c r="AH214" s="6">
        <v>3589.2959999999998</v>
      </c>
      <c r="AI214" s="6">
        <v>829.1635</v>
      </c>
      <c r="AJ214" s="6">
        <f>SUM($AH$2:AH214)</f>
        <v>1317978.7491000004</v>
      </c>
      <c r="AK214" s="8">
        <f t="shared" si="4"/>
        <v>0.57373248107171593</v>
      </c>
      <c r="AL214">
        <v>3589.2959999999998</v>
      </c>
    </row>
    <row r="215" spans="33:38" x14ac:dyDescent="0.35">
      <c r="AG215" s="3" t="s">
        <v>392</v>
      </c>
      <c r="AH215" s="6">
        <v>3582.8199999999997</v>
      </c>
      <c r="AI215" s="6">
        <v>347.26599999999996</v>
      </c>
      <c r="AJ215" s="6">
        <f>SUM($AH$2:AH215)</f>
        <v>1321561.5691000004</v>
      </c>
      <c r="AK215" s="8">
        <f t="shared" si="4"/>
        <v>0.57529212701383536</v>
      </c>
      <c r="AL215">
        <v>3582.8199999999997</v>
      </c>
    </row>
    <row r="216" spans="33:38" x14ac:dyDescent="0.35">
      <c r="AG216" s="3" t="s">
        <v>485</v>
      </c>
      <c r="AH216" s="6">
        <v>3539.3220000000001</v>
      </c>
      <c r="AI216" s="6">
        <v>-52.787999999999954</v>
      </c>
      <c r="AJ216" s="6">
        <f>SUM($AH$2:AH216)</f>
        <v>1325100.8911000004</v>
      </c>
      <c r="AK216" s="8">
        <f t="shared" si="4"/>
        <v>0.57683283773755401</v>
      </c>
      <c r="AL216">
        <v>3539.3220000000001</v>
      </c>
    </row>
    <row r="217" spans="33:38" x14ac:dyDescent="0.35">
      <c r="AG217" s="3" t="s">
        <v>387</v>
      </c>
      <c r="AH217" s="6">
        <v>3510.4579999999996</v>
      </c>
      <c r="AI217" s="6">
        <v>1003.2935000000001</v>
      </c>
      <c r="AJ217" s="6">
        <f>SUM($AH$2:AH217)</f>
        <v>1328611.3491000005</v>
      </c>
      <c r="AK217" s="8">
        <f t="shared" si="4"/>
        <v>0.57836098360440769</v>
      </c>
      <c r="AL217">
        <v>3510.4579999999996</v>
      </c>
    </row>
    <row r="218" spans="33:38" x14ac:dyDescent="0.35">
      <c r="AG218" s="3" t="s">
        <v>445</v>
      </c>
      <c r="AH218" s="6">
        <v>3495.6460000000002</v>
      </c>
      <c r="AI218" s="6">
        <v>707.55029999999999</v>
      </c>
      <c r="AJ218" s="6">
        <f>SUM($AH$2:AH218)</f>
        <v>1332106.9951000004</v>
      </c>
      <c r="AK218" s="8">
        <f t="shared" si="4"/>
        <v>0.57988268162411993</v>
      </c>
      <c r="AL218">
        <v>3495.6460000000002</v>
      </c>
    </row>
    <row r="219" spans="33:38" x14ac:dyDescent="0.35">
      <c r="AG219" s="3" t="s">
        <v>234</v>
      </c>
      <c r="AH219" s="6">
        <v>3489.0395999999996</v>
      </c>
      <c r="AI219" s="6">
        <v>-246.42569999999998</v>
      </c>
      <c r="AJ219" s="6">
        <f>SUM($AH$2:AH219)</f>
        <v>1335596.0347000004</v>
      </c>
      <c r="AK219" s="8">
        <f t="shared" si="4"/>
        <v>0.58140150379604982</v>
      </c>
      <c r="AL219">
        <v>3489.0395999999996</v>
      </c>
    </row>
    <row r="220" spans="33:38" x14ac:dyDescent="0.35">
      <c r="AG220" s="3" t="s">
        <v>622</v>
      </c>
      <c r="AH220" s="6">
        <v>3484.92</v>
      </c>
      <c r="AI220" s="6">
        <v>670.44350000000009</v>
      </c>
      <c r="AJ220" s="6">
        <f>SUM($AH$2:AH220)</f>
        <v>1339080.9547000004</v>
      </c>
      <c r="AK220" s="8">
        <f t="shared" si="4"/>
        <v>0.58291853265505211</v>
      </c>
      <c r="AL220">
        <v>3484.92</v>
      </c>
    </row>
    <row r="221" spans="33:38" x14ac:dyDescent="0.35">
      <c r="AG221" s="3" t="s">
        <v>557</v>
      </c>
      <c r="AH221" s="6">
        <v>3454.9160000000002</v>
      </c>
      <c r="AI221" s="6">
        <v>803.81690000000003</v>
      </c>
      <c r="AJ221" s="6">
        <f>SUM($AH$2:AH221)</f>
        <v>1342535.8707000003</v>
      </c>
      <c r="AK221" s="8">
        <f t="shared" si="4"/>
        <v>0.58442250040106314</v>
      </c>
      <c r="AL221">
        <v>3454.9160000000002</v>
      </c>
    </row>
    <row r="222" spans="33:38" x14ac:dyDescent="0.35">
      <c r="AG222" s="3" t="s">
        <v>306</v>
      </c>
      <c r="AH222" s="6">
        <v>3422.7859999999991</v>
      </c>
      <c r="AI222" s="6">
        <v>286.90460000000002</v>
      </c>
      <c r="AJ222" s="6">
        <f>SUM($AH$2:AH222)</f>
        <v>1345958.6567000004</v>
      </c>
      <c r="AK222" s="8">
        <f t="shared" si="4"/>
        <v>0.5859124815599388</v>
      </c>
      <c r="AL222">
        <v>3422.7859999999991</v>
      </c>
    </row>
    <row r="223" spans="33:38" x14ac:dyDescent="0.35">
      <c r="AG223" s="3" t="s">
        <v>882</v>
      </c>
      <c r="AH223" s="6">
        <v>3418.7420000000002</v>
      </c>
      <c r="AI223" s="6">
        <v>1217.1662000000001</v>
      </c>
      <c r="AJ223" s="6">
        <f>SUM($AH$2:AH223)</f>
        <v>1349377.3987000005</v>
      </c>
      <c r="AK223" s="8">
        <f t="shared" si="4"/>
        <v>0.58740070231550379</v>
      </c>
      <c r="AL223">
        <v>3418.7420000000002</v>
      </c>
    </row>
    <row r="224" spans="33:38" x14ac:dyDescent="0.35">
      <c r="AG224" s="3" t="s">
        <v>116</v>
      </c>
      <c r="AH224" s="6">
        <v>3406.8394999999996</v>
      </c>
      <c r="AI224" s="6">
        <v>558.47399999999993</v>
      </c>
      <c r="AJ224" s="6">
        <f>SUM($AH$2:AH224)</f>
        <v>1352784.2382000005</v>
      </c>
      <c r="AK224" s="8">
        <f t="shared" si="4"/>
        <v>0.5888837417653302</v>
      </c>
      <c r="AL224">
        <v>3406.8394999999996</v>
      </c>
    </row>
    <row r="225" spans="33:38" x14ac:dyDescent="0.35">
      <c r="AG225" s="3" t="s">
        <v>117</v>
      </c>
      <c r="AH225" s="6">
        <v>3406.5810000000001</v>
      </c>
      <c r="AI225" s="6">
        <v>570.4380000000001</v>
      </c>
      <c r="AJ225" s="6">
        <f>SUM($AH$2:AH225)</f>
        <v>1356190.8192000005</v>
      </c>
      <c r="AK225" s="8">
        <f t="shared" si="4"/>
        <v>0.59036666868690335</v>
      </c>
      <c r="AL225">
        <v>3406.5810000000001</v>
      </c>
    </row>
    <row r="226" spans="33:38" x14ac:dyDescent="0.35">
      <c r="AG226" s="3" t="s">
        <v>892</v>
      </c>
      <c r="AH226" s="6">
        <v>3368.0939999999991</v>
      </c>
      <c r="AI226" s="6">
        <v>220.91630000000004</v>
      </c>
      <c r="AJ226" s="6">
        <f>SUM($AH$2:AH226)</f>
        <v>1359558.9132000005</v>
      </c>
      <c r="AK226" s="8">
        <f t="shared" si="4"/>
        <v>0.59183284174046913</v>
      </c>
      <c r="AL226">
        <v>3368.0939999999991</v>
      </c>
    </row>
    <row r="227" spans="33:38" x14ac:dyDescent="0.35">
      <c r="AG227" s="3" t="s">
        <v>824</v>
      </c>
      <c r="AH227" s="6">
        <v>3362.9635999999996</v>
      </c>
      <c r="AI227" s="6">
        <v>-317.05080000000004</v>
      </c>
      <c r="AJ227" s="6">
        <f>SUM($AH$2:AH227)</f>
        <v>1362921.8768000004</v>
      </c>
      <c r="AK227" s="8">
        <f t="shared" si="4"/>
        <v>0.5932967814673421</v>
      </c>
      <c r="AL227">
        <v>3362.9635999999996</v>
      </c>
    </row>
    <row r="228" spans="33:38" x14ac:dyDescent="0.35">
      <c r="AG228" s="3" t="s">
        <v>898</v>
      </c>
      <c r="AH228" s="6">
        <v>3360.5259999999998</v>
      </c>
      <c r="AI228" s="6">
        <v>-1018.7767999999999</v>
      </c>
      <c r="AJ228" s="6">
        <f>SUM($AH$2:AH228)</f>
        <v>1366282.4028000005</v>
      </c>
      <c r="AK228" s="8">
        <f t="shared" si="4"/>
        <v>0.59475966007672987</v>
      </c>
      <c r="AL228">
        <v>3360.5259999999998</v>
      </c>
    </row>
    <row r="229" spans="33:38" x14ac:dyDescent="0.35">
      <c r="AG229" s="3" t="s">
        <v>346</v>
      </c>
      <c r="AH229" s="6">
        <v>3356.3979999999997</v>
      </c>
      <c r="AI229" s="6">
        <v>731.56439999999998</v>
      </c>
      <c r="AJ229" s="6">
        <f>SUM($AH$2:AH229)</f>
        <v>1369638.8008000006</v>
      </c>
      <c r="AK229" s="8">
        <f t="shared" si="4"/>
        <v>0.59622074171656603</v>
      </c>
      <c r="AL229">
        <v>3356.3979999999997</v>
      </c>
    </row>
    <row r="230" spans="33:38" x14ac:dyDescent="0.35">
      <c r="AG230" s="3" t="s">
        <v>310</v>
      </c>
      <c r="AH230" s="6">
        <v>3341.5870000000004</v>
      </c>
      <c r="AI230" s="6">
        <v>353.21270000000004</v>
      </c>
      <c r="AJ230" s="6">
        <f>SUM($AH$2:AH230)</f>
        <v>1372980.3878000006</v>
      </c>
      <c r="AK230" s="8">
        <f t="shared" si="4"/>
        <v>0.59767537594457321</v>
      </c>
      <c r="AL230">
        <v>3341.5870000000004</v>
      </c>
    </row>
    <row r="231" spans="33:38" x14ac:dyDescent="0.35">
      <c r="AG231" s="3" t="s">
        <v>326</v>
      </c>
      <c r="AH231" s="6">
        <v>3336.5349999999999</v>
      </c>
      <c r="AI231" s="6">
        <v>539.93520000000001</v>
      </c>
      <c r="AJ231" s="6">
        <f>SUM($AH$2:AH231)</f>
        <v>1376316.9228000005</v>
      </c>
      <c r="AK231" s="8">
        <f t="shared" si="4"/>
        <v>0.59912781097437917</v>
      </c>
      <c r="AL231">
        <v>3336.5349999999999</v>
      </c>
    </row>
    <row r="232" spans="33:38" x14ac:dyDescent="0.35">
      <c r="AG232" s="3" t="s">
        <v>511</v>
      </c>
      <c r="AH232" s="6">
        <v>3336.1680000000006</v>
      </c>
      <c r="AI232" s="6">
        <v>-1441.6312999999998</v>
      </c>
      <c r="AJ232" s="6">
        <f>SUM($AH$2:AH232)</f>
        <v>1379653.0908000006</v>
      </c>
      <c r="AK232" s="8">
        <f t="shared" si="4"/>
        <v>0.6005800862445374</v>
      </c>
      <c r="AL232">
        <v>3336.1680000000006</v>
      </c>
    </row>
    <row r="233" spans="33:38" x14ac:dyDescent="0.35">
      <c r="AG233" s="3" t="s">
        <v>358</v>
      </c>
      <c r="AH233" s="6">
        <v>3323.556</v>
      </c>
      <c r="AI233" s="6">
        <v>579.31129999999996</v>
      </c>
      <c r="AJ233" s="6">
        <f>SUM($AH$2:AH233)</f>
        <v>1382976.6468000007</v>
      </c>
      <c r="AK233" s="8">
        <f t="shared" si="4"/>
        <v>0.60202687135481558</v>
      </c>
      <c r="AL233">
        <v>3323.556</v>
      </c>
    </row>
    <row r="234" spans="33:38" x14ac:dyDescent="0.35">
      <c r="AG234" s="3" t="s">
        <v>690</v>
      </c>
      <c r="AH234" s="6">
        <v>3318.4859999999994</v>
      </c>
      <c r="AI234" s="6">
        <v>377.07990000000007</v>
      </c>
      <c r="AJ234" s="6">
        <f>SUM($AH$2:AH234)</f>
        <v>1386295.1328000007</v>
      </c>
      <c r="AK234" s="8">
        <f t="shared" si="4"/>
        <v>0.60347144943126929</v>
      </c>
      <c r="AL234">
        <v>3318.4859999999994</v>
      </c>
    </row>
    <row r="235" spans="33:38" x14ac:dyDescent="0.35">
      <c r="AG235" s="3" t="s">
        <v>640</v>
      </c>
      <c r="AH235" s="6">
        <v>3312.864</v>
      </c>
      <c r="AI235" s="6">
        <v>454.78710000000001</v>
      </c>
      <c r="AJ235" s="6">
        <f>SUM($AH$2:AH235)</f>
        <v>1389607.9968000008</v>
      </c>
      <c r="AK235" s="8">
        <f t="shared" si="4"/>
        <v>0.60491358018145858</v>
      </c>
      <c r="AL235">
        <v>3312.864</v>
      </c>
    </row>
    <row r="236" spans="33:38" x14ac:dyDescent="0.35">
      <c r="AG236" s="3" t="s">
        <v>675</v>
      </c>
      <c r="AH236" s="6">
        <v>3309.1500000000005</v>
      </c>
      <c r="AI236" s="6">
        <v>633.70720000000006</v>
      </c>
      <c r="AJ236" s="6">
        <f>SUM($AH$2:AH236)</f>
        <v>1392917.1468000007</v>
      </c>
      <c r="AK236" s="8">
        <f t="shared" si="4"/>
        <v>0.60635409418142627</v>
      </c>
      <c r="AL236">
        <v>3309.1500000000005</v>
      </c>
    </row>
    <row r="237" spans="33:38" x14ac:dyDescent="0.35">
      <c r="AG237" s="3" t="s">
        <v>754</v>
      </c>
      <c r="AH237" s="6">
        <v>3302.2620000000002</v>
      </c>
      <c r="AI237" s="6">
        <v>721.68260000000009</v>
      </c>
      <c r="AJ237" s="6">
        <f>SUM($AH$2:AH237)</f>
        <v>1396219.4088000008</v>
      </c>
      <c r="AK237" s="8">
        <f t="shared" si="4"/>
        <v>0.60779160974964208</v>
      </c>
      <c r="AL237">
        <v>3302.2620000000002</v>
      </c>
    </row>
    <row r="238" spans="33:38" x14ac:dyDescent="0.35">
      <c r="AG238" s="3" t="s">
        <v>282</v>
      </c>
      <c r="AH238" s="6">
        <v>3288.471</v>
      </c>
      <c r="AI238" s="6">
        <v>634.84629999999993</v>
      </c>
      <c r="AJ238" s="6">
        <f>SUM($AH$2:AH238)</f>
        <v>1399507.8798000007</v>
      </c>
      <c r="AK238" s="8">
        <f t="shared" si="4"/>
        <v>0.60922312192466821</v>
      </c>
      <c r="AL238">
        <v>3288.471</v>
      </c>
    </row>
    <row r="239" spans="33:38" x14ac:dyDescent="0.35">
      <c r="AG239" s="3" t="s">
        <v>674</v>
      </c>
      <c r="AH239" s="6">
        <v>3288.11</v>
      </c>
      <c r="AI239" s="6">
        <v>238.73680000000002</v>
      </c>
      <c r="AJ239" s="6">
        <f>SUM($AH$2:AH239)</f>
        <v>1402795.9898000008</v>
      </c>
      <c r="AK239" s="8">
        <f t="shared" si="4"/>
        <v>0.6106544769519211</v>
      </c>
      <c r="AL239">
        <v>3288.11</v>
      </c>
    </row>
    <row r="240" spans="33:38" x14ac:dyDescent="0.35">
      <c r="AG240" s="3" t="s">
        <v>427</v>
      </c>
      <c r="AH240" s="6">
        <v>3279.7459999999996</v>
      </c>
      <c r="AI240" s="6">
        <v>698.83249999999998</v>
      </c>
      <c r="AJ240" s="6">
        <f>SUM($AH$2:AH240)</f>
        <v>1406075.7358000008</v>
      </c>
      <c r="AK240" s="8">
        <f t="shared" si="4"/>
        <v>0.61208219102633243</v>
      </c>
      <c r="AL240">
        <v>3279.7459999999996</v>
      </c>
    </row>
    <row r="241" spans="33:38" x14ac:dyDescent="0.35">
      <c r="AG241" s="3" t="s">
        <v>441</v>
      </c>
      <c r="AH241" s="6">
        <v>3272.2000000000003</v>
      </c>
      <c r="AI241" s="6">
        <v>4.2132000000000289</v>
      </c>
      <c r="AJ241" s="6">
        <f>SUM($AH$2:AH241)</f>
        <v>1409347.9358000008</v>
      </c>
      <c r="AK241" s="8">
        <f t="shared" si="4"/>
        <v>0.61350662023343827</v>
      </c>
      <c r="AL241">
        <v>3272.2000000000003</v>
      </c>
    </row>
    <row r="242" spans="33:38" x14ac:dyDescent="0.35">
      <c r="AG242" s="3" t="s">
        <v>554</v>
      </c>
      <c r="AH242" s="6">
        <v>3256.4800000000005</v>
      </c>
      <c r="AI242" s="6">
        <v>881.1228000000001</v>
      </c>
      <c r="AJ242" s="6">
        <f>SUM($AH$2:AH242)</f>
        <v>1412604.4158000008</v>
      </c>
      <c r="AK242" s="8">
        <f t="shared" si="4"/>
        <v>0.61492420632975142</v>
      </c>
      <c r="AL242">
        <v>3256.4800000000005</v>
      </c>
    </row>
    <row r="243" spans="33:38" x14ac:dyDescent="0.35">
      <c r="AG243" s="3" t="s">
        <v>646</v>
      </c>
      <c r="AH243" s="6">
        <v>3255.3099999999995</v>
      </c>
      <c r="AI243" s="6">
        <v>64.537399999999977</v>
      </c>
      <c r="AJ243" s="6">
        <f>SUM($AH$2:AH243)</f>
        <v>1415859.7258000008</v>
      </c>
      <c r="AK243" s="8">
        <f t="shared" si="4"/>
        <v>0.6163412831105668</v>
      </c>
      <c r="AL243">
        <v>3255.3099999999995</v>
      </c>
    </row>
    <row r="244" spans="33:38" x14ac:dyDescent="0.35">
      <c r="AG244" s="3" t="s">
        <v>819</v>
      </c>
      <c r="AH244" s="6">
        <v>3254.9490000000005</v>
      </c>
      <c r="AI244" s="6">
        <v>581.40449999999998</v>
      </c>
      <c r="AJ244" s="6">
        <f>SUM($AH$2:AH244)</f>
        <v>1419114.6748000009</v>
      </c>
      <c r="AK244" s="8">
        <f t="shared" si="4"/>
        <v>0.61775820274360871</v>
      </c>
      <c r="AL244">
        <v>3254.9490000000005</v>
      </c>
    </row>
    <row r="245" spans="33:38" x14ac:dyDescent="0.35">
      <c r="AG245" s="3" t="s">
        <v>430</v>
      </c>
      <c r="AH245" s="6">
        <v>3250.3369999999991</v>
      </c>
      <c r="AI245" s="6">
        <v>281.18899999999996</v>
      </c>
      <c r="AJ245" s="6">
        <f>SUM($AH$2:AH245)</f>
        <v>1422365.0118000009</v>
      </c>
      <c r="AK245" s="8">
        <f t="shared" si="4"/>
        <v>0.61917311471590164</v>
      </c>
      <c r="AL245">
        <v>3250.3369999999991</v>
      </c>
    </row>
    <row r="246" spans="33:38" x14ac:dyDescent="0.35">
      <c r="AG246" s="3" t="s">
        <v>520</v>
      </c>
      <c r="AH246" s="6">
        <v>3247.6419999999994</v>
      </c>
      <c r="AI246" s="6">
        <v>-2797.9635000000007</v>
      </c>
      <c r="AJ246" s="6">
        <f>SUM($AH$2:AH246)</f>
        <v>1425612.6538000009</v>
      </c>
      <c r="AK246" s="8">
        <f t="shared" si="4"/>
        <v>0.62058685352129972</v>
      </c>
      <c r="AL246">
        <v>3247.6419999999994</v>
      </c>
    </row>
    <row r="247" spans="33:38" x14ac:dyDescent="0.35">
      <c r="AG247" s="3" t="s">
        <v>905</v>
      </c>
      <c r="AH247" s="6">
        <v>3246.6260000000002</v>
      </c>
      <c r="AI247" s="6">
        <v>299.48019999999997</v>
      </c>
      <c r="AJ247" s="6">
        <f>SUM($AH$2:AH247)</f>
        <v>1428859.2798000008</v>
      </c>
      <c r="AK247" s="8">
        <f t="shared" si="4"/>
        <v>0.6220001500493082</v>
      </c>
      <c r="AL247">
        <v>3246.6260000000002</v>
      </c>
    </row>
    <row r="248" spans="33:38" x14ac:dyDescent="0.35">
      <c r="AG248" s="3" t="s">
        <v>663</v>
      </c>
      <c r="AH248" s="6">
        <v>3241.898000000001</v>
      </c>
      <c r="AI248" s="6">
        <v>161.22629999999998</v>
      </c>
      <c r="AJ248" s="6">
        <f>SUM($AH$2:AH248)</f>
        <v>1432101.1778000009</v>
      </c>
      <c r="AK248" s="8">
        <f t="shared" si="4"/>
        <v>0.62341138842033017</v>
      </c>
      <c r="AL248">
        <v>3241.898000000001</v>
      </c>
    </row>
    <row r="249" spans="33:38" x14ac:dyDescent="0.35">
      <c r="AG249" s="3" t="s">
        <v>590</v>
      </c>
      <c r="AH249" s="6">
        <v>3236.3139999999994</v>
      </c>
      <c r="AI249" s="6">
        <v>-80.285999999999902</v>
      </c>
      <c r="AJ249" s="6">
        <f>SUM($AH$2:AH249)</f>
        <v>1435337.4918000009</v>
      </c>
      <c r="AK249" s="8">
        <f t="shared" si="4"/>
        <v>0.62482019600695859</v>
      </c>
      <c r="AL249">
        <v>3236.3139999999994</v>
      </c>
    </row>
    <row r="250" spans="33:38" x14ac:dyDescent="0.35">
      <c r="AG250" s="3" t="s">
        <v>788</v>
      </c>
      <c r="AH250" s="6">
        <v>3233.4810000000002</v>
      </c>
      <c r="AI250" s="6">
        <v>-3333.9144000000006</v>
      </c>
      <c r="AJ250" s="6">
        <f>SUM($AH$2:AH250)</f>
        <v>1438570.9728000008</v>
      </c>
      <c r="AK250" s="8">
        <f t="shared" si="4"/>
        <v>0.62622777035358212</v>
      </c>
      <c r="AL250">
        <v>3233.4810000000002</v>
      </c>
    </row>
    <row r="251" spans="33:38" x14ac:dyDescent="0.35">
      <c r="AG251" s="3" t="s">
        <v>442</v>
      </c>
      <c r="AH251" s="6">
        <v>3230.308</v>
      </c>
      <c r="AI251" s="6">
        <v>662.83389999999997</v>
      </c>
      <c r="AJ251" s="6">
        <f>SUM($AH$2:AH251)</f>
        <v>1441801.2808000008</v>
      </c>
      <c r="AK251" s="8">
        <f t="shared" si="4"/>
        <v>0.62763396345398792</v>
      </c>
      <c r="AL251">
        <v>3230.308</v>
      </c>
    </row>
    <row r="252" spans="33:38" x14ac:dyDescent="0.35">
      <c r="AG252" s="3" t="s">
        <v>707</v>
      </c>
      <c r="AH252" s="6">
        <v>3221.29</v>
      </c>
      <c r="AI252" s="6">
        <v>633.45140000000004</v>
      </c>
      <c r="AJ252" s="6">
        <f>SUM($AH$2:AH252)</f>
        <v>1445022.5708000008</v>
      </c>
      <c r="AK252" s="8">
        <f t="shared" si="4"/>
        <v>0.62903623090724803</v>
      </c>
      <c r="AL252">
        <v>3221.29</v>
      </c>
    </row>
    <row r="253" spans="33:38" x14ac:dyDescent="0.35">
      <c r="AG253" s="3" t="s">
        <v>222</v>
      </c>
      <c r="AH253" s="6">
        <v>3214.2359999999999</v>
      </c>
      <c r="AI253" s="6">
        <v>354.62759999999997</v>
      </c>
      <c r="AJ253" s="6">
        <f>SUM($AH$2:AH253)</f>
        <v>1448236.8068000008</v>
      </c>
      <c r="AK253" s="8">
        <f t="shared" si="4"/>
        <v>0.63043542766689942</v>
      </c>
      <c r="AL253">
        <v>3214.2359999999999</v>
      </c>
    </row>
    <row r="254" spans="33:38" x14ac:dyDescent="0.35">
      <c r="AG254" s="3" t="s">
        <v>147</v>
      </c>
      <c r="AH254" s="6">
        <v>3206.1320000000001</v>
      </c>
      <c r="AI254" s="6">
        <v>600.28730000000007</v>
      </c>
      <c r="AJ254" s="6">
        <f>SUM($AH$2:AH254)</f>
        <v>1451442.9388000008</v>
      </c>
      <c r="AK254" s="8">
        <f t="shared" si="4"/>
        <v>0.63183109665493087</v>
      </c>
      <c r="AL254">
        <v>3206.1320000000001</v>
      </c>
    </row>
    <row r="255" spans="33:38" x14ac:dyDescent="0.35">
      <c r="AG255" s="3" t="s">
        <v>486</v>
      </c>
      <c r="AH255" s="6">
        <v>3202.1620000000003</v>
      </c>
      <c r="AI255" s="6">
        <v>831.94320000000005</v>
      </c>
      <c r="AJ255" s="6">
        <f>SUM($AH$2:AH255)</f>
        <v>1454645.1008000008</v>
      </c>
      <c r="AK255" s="8">
        <f t="shared" si="4"/>
        <v>0.63322503745276859</v>
      </c>
      <c r="AL255">
        <v>3202.1620000000003</v>
      </c>
    </row>
    <row r="256" spans="33:38" x14ac:dyDescent="0.35">
      <c r="AG256" s="3" t="s">
        <v>635</v>
      </c>
      <c r="AH256" s="6">
        <v>3196.7520000000004</v>
      </c>
      <c r="AI256" s="6">
        <v>447.74839999999995</v>
      </c>
      <c r="AJ256" s="6">
        <f>SUM($AH$2:AH256)</f>
        <v>1457841.8528000009</v>
      </c>
      <c r="AK256" s="8">
        <f t="shared" si="4"/>
        <v>0.63461662321056889</v>
      </c>
      <c r="AL256">
        <v>3196.7520000000004</v>
      </c>
    </row>
    <row r="257" spans="33:38" x14ac:dyDescent="0.35">
      <c r="AG257" s="3" t="s">
        <v>466</v>
      </c>
      <c r="AH257" s="6">
        <v>3195.8180000000002</v>
      </c>
      <c r="AI257" s="6">
        <v>562.77609999999993</v>
      </c>
      <c r="AJ257" s="6">
        <f>SUM($AH$2:AH257)</f>
        <v>1461037.6708000009</v>
      </c>
      <c r="AK257" s="8">
        <f t="shared" si="4"/>
        <v>0.6360078023865956</v>
      </c>
      <c r="AL257">
        <v>3195.8180000000002</v>
      </c>
    </row>
    <row r="258" spans="33:38" x14ac:dyDescent="0.35">
      <c r="AG258" s="3" t="s">
        <v>211</v>
      </c>
      <c r="AH258" s="6">
        <v>3173.8739999999998</v>
      </c>
      <c r="AI258" s="6">
        <v>591.71630000000005</v>
      </c>
      <c r="AJ258" s="6">
        <f>SUM($AH$2:AH258)</f>
        <v>1464211.544800001</v>
      </c>
      <c r="AK258" s="8">
        <f t="shared" si="4"/>
        <v>0.63738942906750573</v>
      </c>
      <c r="AL258">
        <v>3173.8739999999998</v>
      </c>
    </row>
    <row r="259" spans="33:38" x14ac:dyDescent="0.35">
      <c r="AG259" s="3" t="s">
        <v>503</v>
      </c>
      <c r="AH259" s="6">
        <v>3163.6280000000002</v>
      </c>
      <c r="AI259" s="6">
        <v>35.486500000000007</v>
      </c>
      <c r="AJ259" s="6">
        <f>SUM($AH$2:AH259)</f>
        <v>1467375.172800001</v>
      </c>
      <c r="AK259" s="8">
        <f t="shared" ref="AK259:AK322" si="5">AJ259/$AH$795</f>
        <v>0.63876659553765358</v>
      </c>
      <c r="AL259">
        <v>3163.6280000000002</v>
      </c>
    </row>
    <row r="260" spans="33:38" x14ac:dyDescent="0.35">
      <c r="AG260" s="3" t="s">
        <v>97</v>
      </c>
      <c r="AH260" s="6">
        <v>3159.1220000000003</v>
      </c>
      <c r="AI260" s="6">
        <v>19.823500000000074</v>
      </c>
      <c r="AJ260" s="6">
        <f>SUM($AH$2:AH260)</f>
        <v>1470534.294800001</v>
      </c>
      <c r="AK260" s="8">
        <f t="shared" si="5"/>
        <v>0.64014180049016578</v>
      </c>
      <c r="AL260">
        <v>3159.1220000000003</v>
      </c>
    </row>
    <row r="261" spans="33:38" x14ac:dyDescent="0.35">
      <c r="AG261" s="3" t="s">
        <v>317</v>
      </c>
      <c r="AH261" s="6">
        <v>3154.855</v>
      </c>
      <c r="AI261" s="6">
        <v>141.28309999999996</v>
      </c>
      <c r="AJ261" s="6">
        <f>SUM($AH$2:AH261)</f>
        <v>1473689.1498000009</v>
      </c>
      <c r="AK261" s="8">
        <f t="shared" si="5"/>
        <v>0.64151514796470399</v>
      </c>
      <c r="AL261">
        <v>3154.855</v>
      </c>
    </row>
    <row r="262" spans="33:38" x14ac:dyDescent="0.35">
      <c r="AG262" s="3" t="s">
        <v>286</v>
      </c>
      <c r="AH262" s="6">
        <v>3152.6149999999998</v>
      </c>
      <c r="AI262" s="6">
        <v>763.90760000000012</v>
      </c>
      <c r="AJ262" s="6">
        <f>SUM($AH$2:AH262)</f>
        <v>1476841.7648000009</v>
      </c>
      <c r="AK262" s="8">
        <f t="shared" si="5"/>
        <v>0.64288752033948549</v>
      </c>
      <c r="AL262">
        <v>3152.6149999999998</v>
      </c>
    </row>
    <row r="263" spans="33:38" x14ac:dyDescent="0.35">
      <c r="AG263" s="3" t="s">
        <v>569</v>
      </c>
      <c r="AH263" s="6">
        <v>3144.6779999999994</v>
      </c>
      <c r="AI263" s="6">
        <v>280.85839999999996</v>
      </c>
      <c r="AJ263" s="6">
        <f>SUM($AH$2:AH263)</f>
        <v>1479986.442800001</v>
      </c>
      <c r="AK263" s="8">
        <f t="shared" si="5"/>
        <v>0.64425643763981655</v>
      </c>
      <c r="AL263">
        <v>3144.6779999999994</v>
      </c>
    </row>
    <row r="264" spans="33:38" x14ac:dyDescent="0.35">
      <c r="AG264" s="3" t="s">
        <v>130</v>
      </c>
      <c r="AH264" s="6">
        <v>3133.9239999999995</v>
      </c>
      <c r="AI264" s="6">
        <v>455.5292</v>
      </c>
      <c r="AJ264" s="6">
        <f>SUM($AH$2:AH264)</f>
        <v>1483120.3668000011</v>
      </c>
      <c r="AK264" s="8">
        <f t="shared" si="5"/>
        <v>0.64562067359069064</v>
      </c>
      <c r="AL264">
        <v>3133.9239999999995</v>
      </c>
    </row>
    <row r="265" spans="33:38" x14ac:dyDescent="0.35">
      <c r="AG265" s="3" t="s">
        <v>256</v>
      </c>
      <c r="AH265" s="6">
        <v>3130.221</v>
      </c>
      <c r="AI265" s="6">
        <v>-692.04520000000014</v>
      </c>
      <c r="AJ265" s="6">
        <f>SUM($AH$2:AH265)</f>
        <v>1486250.587800001</v>
      </c>
      <c r="AK265" s="8">
        <f t="shared" si="5"/>
        <v>0.64698329757977935</v>
      </c>
      <c r="AL265">
        <v>3130.221</v>
      </c>
    </row>
    <row r="266" spans="33:38" x14ac:dyDescent="0.35">
      <c r="AG266" s="3" t="s">
        <v>51</v>
      </c>
      <c r="AH266" s="6">
        <v>3127.9592000000007</v>
      </c>
      <c r="AI266" s="6">
        <v>481.74990000000008</v>
      </c>
      <c r="AJ266" s="6">
        <f>SUM($AH$2:AH266)</f>
        <v>1489378.547000001</v>
      </c>
      <c r="AK266" s="8">
        <f t="shared" si="5"/>
        <v>0.64834493697930118</v>
      </c>
      <c r="AL266">
        <v>3127.9592000000007</v>
      </c>
    </row>
    <row r="267" spans="33:38" x14ac:dyDescent="0.35">
      <c r="AG267" s="3" t="s">
        <v>718</v>
      </c>
      <c r="AH267" s="6">
        <v>3124.8320000000008</v>
      </c>
      <c r="AI267" s="6">
        <v>463.26900000000001</v>
      </c>
      <c r="AJ267" s="6">
        <f>SUM($AH$2:AH267)</f>
        <v>1492503.3790000009</v>
      </c>
      <c r="AK267" s="8">
        <f t="shared" si="5"/>
        <v>0.64970521506991263</v>
      </c>
      <c r="AL267">
        <v>3124.8320000000008</v>
      </c>
    </row>
    <row r="268" spans="33:38" x14ac:dyDescent="0.35">
      <c r="AG268" s="3" t="s">
        <v>437</v>
      </c>
      <c r="AH268" s="6">
        <v>3100.6119999999996</v>
      </c>
      <c r="AI268" s="6">
        <v>528.20510000000013</v>
      </c>
      <c r="AJ268" s="6">
        <f>SUM($AH$2:AH268)</f>
        <v>1495603.9910000009</v>
      </c>
      <c r="AK268" s="8">
        <f t="shared" si="5"/>
        <v>0.6510549498944046</v>
      </c>
      <c r="AL268">
        <v>3100.6119999999996</v>
      </c>
    </row>
    <row r="269" spans="33:38" x14ac:dyDescent="0.35">
      <c r="AG269" s="3" t="s">
        <v>396</v>
      </c>
      <c r="AH269" s="6">
        <v>3086.9070000000002</v>
      </c>
      <c r="AI269" s="6">
        <v>137.46130000000002</v>
      </c>
      <c r="AJ269" s="6">
        <f>SUM($AH$2:AH269)</f>
        <v>1498690.8980000007</v>
      </c>
      <c r="AK269" s="8">
        <f t="shared" si="5"/>
        <v>0.6523987187625726</v>
      </c>
      <c r="AL269">
        <v>3086.9070000000002</v>
      </c>
    </row>
    <row r="270" spans="33:38" x14ac:dyDescent="0.35">
      <c r="AG270" s="3" t="s">
        <v>340</v>
      </c>
      <c r="AH270" s="6">
        <v>3082.6530000000002</v>
      </c>
      <c r="AI270" s="6">
        <v>96.270200000000017</v>
      </c>
      <c r="AJ270" s="6">
        <f>SUM($AH$2:AH270)</f>
        <v>1501773.5510000007</v>
      </c>
      <c r="AK270" s="8">
        <f t="shared" si="5"/>
        <v>0.65374063581182773</v>
      </c>
      <c r="AL270">
        <v>3082.6530000000002</v>
      </c>
    </row>
    <row r="271" spans="33:38" x14ac:dyDescent="0.35">
      <c r="AG271" s="3" t="s">
        <v>85</v>
      </c>
      <c r="AH271" s="6">
        <v>3078.6240000000003</v>
      </c>
      <c r="AI271" s="6">
        <v>793.28139999999996</v>
      </c>
      <c r="AJ271" s="6">
        <f>SUM($AH$2:AH271)</f>
        <v>1504852.1750000007</v>
      </c>
      <c r="AK271" s="8">
        <f t="shared" si="5"/>
        <v>0.65508079898745786</v>
      </c>
      <c r="AL271">
        <v>3078.6240000000003</v>
      </c>
    </row>
    <row r="272" spans="33:38" x14ac:dyDescent="0.35">
      <c r="AG272" s="3" t="s">
        <v>799</v>
      </c>
      <c r="AH272" s="6">
        <v>3071.1259999999997</v>
      </c>
      <c r="AI272" s="6">
        <v>184.76559999999998</v>
      </c>
      <c r="AJ272" s="6">
        <f>SUM($AH$2:AH272)</f>
        <v>1507923.3010000007</v>
      </c>
      <c r="AK272" s="8">
        <f t="shared" si="5"/>
        <v>0.65641769819077733</v>
      </c>
      <c r="AL272">
        <v>3071.1259999999997</v>
      </c>
    </row>
    <row r="273" spans="33:38" x14ac:dyDescent="0.35">
      <c r="AG273" s="3" t="s">
        <v>284</v>
      </c>
      <c r="AH273" s="6">
        <v>3061.5430000000001</v>
      </c>
      <c r="AI273" s="6">
        <v>-93.60299999999998</v>
      </c>
      <c r="AJ273" s="6">
        <f>SUM($AH$2:AH273)</f>
        <v>1510984.8440000007</v>
      </c>
      <c r="AK273" s="8">
        <f t="shared" si="5"/>
        <v>0.65775042579545029</v>
      </c>
      <c r="AL273">
        <v>3061.5430000000001</v>
      </c>
    </row>
    <row r="274" spans="33:38" x14ac:dyDescent="0.35">
      <c r="AG274" s="3" t="s">
        <v>694</v>
      </c>
      <c r="AH274" s="6">
        <v>3058.3720000000003</v>
      </c>
      <c r="AI274" s="6">
        <v>682.17039999999997</v>
      </c>
      <c r="AJ274" s="6">
        <f>SUM($AH$2:AH274)</f>
        <v>1514043.2160000007</v>
      </c>
      <c r="AK274" s="8">
        <f t="shared" si="5"/>
        <v>0.65908177302452997</v>
      </c>
      <c r="AL274">
        <v>3058.3720000000003</v>
      </c>
    </row>
    <row r="275" spans="33:38" x14ac:dyDescent="0.35">
      <c r="AG275" s="3" t="s">
        <v>538</v>
      </c>
      <c r="AH275" s="6">
        <v>3057.1</v>
      </c>
      <c r="AI275" s="6">
        <v>254.00320000000002</v>
      </c>
      <c r="AJ275" s="6">
        <f>SUM($AH$2:AH275)</f>
        <v>1517100.3160000008</v>
      </c>
      <c r="AK275" s="8">
        <f t="shared" si="5"/>
        <v>0.66041256653624791</v>
      </c>
      <c r="AL275">
        <v>3057.1</v>
      </c>
    </row>
    <row r="276" spans="33:38" x14ac:dyDescent="0.35">
      <c r="AG276" s="3" t="s">
        <v>876</v>
      </c>
      <c r="AH276" s="6">
        <v>3056.8069999999998</v>
      </c>
      <c r="AI276" s="6">
        <v>-1010.9738</v>
      </c>
      <c r="AJ276" s="6">
        <f>SUM($AH$2:AH276)</f>
        <v>1520157.1230000008</v>
      </c>
      <c r="AK276" s="8">
        <f t="shared" si="5"/>
        <v>0.66174323250143519</v>
      </c>
      <c r="AL276">
        <v>3056.8069999999998</v>
      </c>
    </row>
    <row r="277" spans="33:38" x14ac:dyDescent="0.35">
      <c r="AG277" s="3" t="s">
        <v>449</v>
      </c>
      <c r="AH277" s="6">
        <v>3053.0120000000011</v>
      </c>
      <c r="AI277" s="6">
        <v>527.97150000000011</v>
      </c>
      <c r="AJ277" s="6">
        <f>SUM($AH$2:AH277)</f>
        <v>1523210.1350000009</v>
      </c>
      <c r="AK277" s="8">
        <f t="shared" si="5"/>
        <v>0.66307224645609708</v>
      </c>
      <c r="AL277">
        <v>3053.0120000000011</v>
      </c>
    </row>
    <row r="278" spans="33:38" x14ac:dyDescent="0.35">
      <c r="AG278" s="3" t="s">
        <v>534</v>
      </c>
      <c r="AH278" s="6">
        <v>3050.6920000000005</v>
      </c>
      <c r="AI278" s="6">
        <v>-253.57459999999998</v>
      </c>
      <c r="AJ278" s="6">
        <f>SUM($AH$2:AH278)</f>
        <v>1526260.827000001</v>
      </c>
      <c r="AK278" s="8">
        <f t="shared" si="5"/>
        <v>0.66440025048601092</v>
      </c>
      <c r="AL278">
        <v>3050.6920000000005</v>
      </c>
    </row>
    <row r="279" spans="33:38" x14ac:dyDescent="0.35">
      <c r="AG279" s="3" t="s">
        <v>301</v>
      </c>
      <c r="AH279" s="6">
        <v>3041.5659999999993</v>
      </c>
      <c r="AI279" s="6">
        <v>204.48950000000002</v>
      </c>
      <c r="AJ279" s="6">
        <f>SUM($AH$2:AH279)</f>
        <v>1529302.3930000011</v>
      </c>
      <c r="AK279" s="8">
        <f t="shared" si="5"/>
        <v>0.66572428185504107</v>
      </c>
      <c r="AL279">
        <v>3041.5659999999993</v>
      </c>
    </row>
    <row r="280" spans="33:38" x14ac:dyDescent="0.35">
      <c r="AG280" s="3" t="s">
        <v>308</v>
      </c>
      <c r="AH280" s="6">
        <v>3036.5469999999996</v>
      </c>
      <c r="AI280" s="6">
        <v>-126.42230000000004</v>
      </c>
      <c r="AJ280" s="6">
        <f>SUM($AH$2:AH280)</f>
        <v>1532338.9400000011</v>
      </c>
      <c r="AK280" s="8">
        <f t="shared" si="5"/>
        <v>0.66704612839117872</v>
      </c>
      <c r="AL280">
        <v>3036.5469999999996</v>
      </c>
    </row>
    <row r="281" spans="33:38" x14ac:dyDescent="0.35">
      <c r="AG281" s="3" t="s">
        <v>110</v>
      </c>
      <c r="AH281" s="6">
        <v>2988.674</v>
      </c>
      <c r="AI281" s="6">
        <v>262.63669999999991</v>
      </c>
      <c r="AJ281" s="6">
        <f>SUM($AH$2:AH281)</f>
        <v>1535327.6140000012</v>
      </c>
      <c r="AK281" s="8">
        <f t="shared" si="5"/>
        <v>0.66834713521720346</v>
      </c>
      <c r="AL281">
        <v>2988.674</v>
      </c>
    </row>
    <row r="282" spans="33:38" x14ac:dyDescent="0.35">
      <c r="AG282" s="3" t="s">
        <v>769</v>
      </c>
      <c r="AH282" s="6">
        <v>2984.9480000000003</v>
      </c>
      <c r="AI282" s="6">
        <v>476.90320000000003</v>
      </c>
      <c r="AJ282" s="6">
        <f>SUM($AH$2:AH282)</f>
        <v>1538312.5620000013</v>
      </c>
      <c r="AK282" s="8">
        <f t="shared" si="5"/>
        <v>0.66964652006925773</v>
      </c>
      <c r="AL282">
        <v>2984.9480000000003</v>
      </c>
    </row>
    <row r="283" spans="33:38" x14ac:dyDescent="0.35">
      <c r="AG283" s="3" t="s">
        <v>197</v>
      </c>
      <c r="AH283" s="6">
        <v>2984.0539999999992</v>
      </c>
      <c r="AI283" s="6">
        <v>520.52290000000005</v>
      </c>
      <c r="AJ283" s="6">
        <f>SUM($AH$2:AH283)</f>
        <v>1541296.6160000013</v>
      </c>
      <c r="AK283" s="8">
        <f t="shared" si="5"/>
        <v>0.67094551575203421</v>
      </c>
      <c r="AL283">
        <v>2984.0539999999992</v>
      </c>
    </row>
    <row r="284" spans="33:38" x14ac:dyDescent="0.35">
      <c r="AG284" s="3" t="s">
        <v>167</v>
      </c>
      <c r="AH284" s="6">
        <v>2973.0940000000001</v>
      </c>
      <c r="AI284" s="6">
        <v>-1421.7692</v>
      </c>
      <c r="AJ284" s="6">
        <f>SUM($AH$2:AH284)</f>
        <v>1544269.7100000014</v>
      </c>
      <c r="AK284" s="8">
        <f t="shared" si="5"/>
        <v>0.67223974041100099</v>
      </c>
      <c r="AL284">
        <v>2973.0940000000001</v>
      </c>
    </row>
    <row r="285" spans="33:38" x14ac:dyDescent="0.35">
      <c r="AG285" s="3" t="s">
        <v>465</v>
      </c>
      <c r="AH285" s="6">
        <v>2964.8229999999994</v>
      </c>
      <c r="AI285" s="6">
        <v>-234.77139999999994</v>
      </c>
      <c r="AJ285" s="6">
        <f>SUM($AH$2:AH285)</f>
        <v>1547234.5330000015</v>
      </c>
      <c r="AK285" s="8">
        <f t="shared" si="5"/>
        <v>0.67353036460117865</v>
      </c>
      <c r="AL285">
        <v>2964.8229999999994</v>
      </c>
    </row>
    <row r="286" spans="33:38" x14ac:dyDescent="0.35">
      <c r="AG286" s="3" t="s">
        <v>719</v>
      </c>
      <c r="AH286" s="6">
        <v>2955.2259999999997</v>
      </c>
      <c r="AI286" s="6">
        <v>573.3013000000002</v>
      </c>
      <c r="AJ286" s="6">
        <f>SUM($AH$2:AH286)</f>
        <v>1550189.7590000015</v>
      </c>
      <c r="AK286" s="8">
        <f t="shared" si="5"/>
        <v>0.67481681109833613</v>
      </c>
      <c r="AL286">
        <v>2955.2259999999997</v>
      </c>
    </row>
    <row r="287" spans="33:38" x14ac:dyDescent="0.35">
      <c r="AG287" s="3" t="s">
        <v>363</v>
      </c>
      <c r="AH287" s="6">
        <v>2945.3209999999999</v>
      </c>
      <c r="AI287" s="6">
        <v>261.22090000000003</v>
      </c>
      <c r="AJ287" s="6">
        <f>SUM($AH$2:AH287)</f>
        <v>1553135.0800000015</v>
      </c>
      <c r="AK287" s="8">
        <f t="shared" si="5"/>
        <v>0.67609894582625685</v>
      </c>
      <c r="AL287">
        <v>2945.3209999999999</v>
      </c>
    </row>
    <row r="288" spans="33:38" x14ac:dyDescent="0.35">
      <c r="AG288" s="3" t="s">
        <v>883</v>
      </c>
      <c r="AH288" s="6">
        <v>2942.7719999999999</v>
      </c>
      <c r="AI288" s="6">
        <v>-252.55389999999994</v>
      </c>
      <c r="AJ288" s="6">
        <f>SUM($AH$2:AH288)</f>
        <v>1556077.8520000016</v>
      </c>
      <c r="AK288" s="8">
        <f t="shared" si="5"/>
        <v>0.67737997094289193</v>
      </c>
      <c r="AL288">
        <v>2942.7719999999999</v>
      </c>
    </row>
    <row r="289" spans="33:38" x14ac:dyDescent="0.35">
      <c r="AG289" s="3" t="s">
        <v>385</v>
      </c>
      <c r="AH289" s="6">
        <v>2936.2519999999995</v>
      </c>
      <c r="AI289" s="6">
        <v>320.97299999999996</v>
      </c>
      <c r="AJ289" s="6">
        <f>SUM($AH$2:AH289)</f>
        <v>1559014.1040000017</v>
      </c>
      <c r="AK289" s="8">
        <f t="shared" si="5"/>
        <v>0.6786581578227352</v>
      </c>
      <c r="AL289">
        <v>2936.2519999999995</v>
      </c>
    </row>
    <row r="290" spans="33:38" x14ac:dyDescent="0.35">
      <c r="AG290" s="3" t="s">
        <v>710</v>
      </c>
      <c r="AH290" s="6">
        <v>2933.6759999999995</v>
      </c>
      <c r="AI290" s="6">
        <v>251.59740000000005</v>
      </c>
      <c r="AJ290" s="6">
        <f>SUM($AH$2:AH290)</f>
        <v>1561947.7800000017</v>
      </c>
      <c r="AK290" s="8">
        <f t="shared" si="5"/>
        <v>0.67993522333785816</v>
      </c>
      <c r="AL290">
        <v>2933.6759999999995</v>
      </c>
    </row>
    <row r="291" spans="33:38" x14ac:dyDescent="0.35">
      <c r="AG291" s="3" t="s">
        <v>543</v>
      </c>
      <c r="AH291" s="6">
        <v>2932.4840000000004</v>
      </c>
      <c r="AI291" s="6">
        <v>122.65659999999997</v>
      </c>
      <c r="AJ291" s="6">
        <f>SUM($AH$2:AH291)</f>
        <v>1564880.2640000016</v>
      </c>
      <c r="AK291" s="8">
        <f t="shared" si="5"/>
        <v>0.68121176996061061</v>
      </c>
      <c r="AL291">
        <v>2932.4840000000004</v>
      </c>
    </row>
    <row r="292" spans="33:38" x14ac:dyDescent="0.35">
      <c r="AG292" s="3" t="s">
        <v>614</v>
      </c>
      <c r="AH292" s="6">
        <v>2921.5439999999999</v>
      </c>
      <c r="AI292" s="6">
        <v>793.65479999999991</v>
      </c>
      <c r="AJ292" s="6">
        <f>SUM($AH$2:AH292)</f>
        <v>1567801.8080000016</v>
      </c>
      <c r="AK292" s="8">
        <f t="shared" si="5"/>
        <v>0.68248355426580132</v>
      </c>
      <c r="AL292">
        <v>2921.5439999999999</v>
      </c>
    </row>
    <row r="293" spans="33:38" x14ac:dyDescent="0.35">
      <c r="AG293" s="3" t="s">
        <v>687</v>
      </c>
      <c r="AH293" s="6">
        <v>2921.4999999999991</v>
      </c>
      <c r="AI293" s="6">
        <v>-76.1755</v>
      </c>
      <c r="AJ293" s="6">
        <f>SUM($AH$2:AH293)</f>
        <v>1570723.3080000016</v>
      </c>
      <c r="AK293" s="8">
        <f t="shared" si="5"/>
        <v>0.68375531941724677</v>
      </c>
      <c r="AL293">
        <v>2921.4999999999991</v>
      </c>
    </row>
    <row r="294" spans="33:38" x14ac:dyDescent="0.35">
      <c r="AG294" s="3" t="s">
        <v>451</v>
      </c>
      <c r="AH294" s="6">
        <v>2912.8940000000002</v>
      </c>
      <c r="AI294" s="6">
        <v>734.5157999999999</v>
      </c>
      <c r="AJ294" s="6">
        <f>SUM($AH$2:AH294)</f>
        <v>1573636.2020000017</v>
      </c>
      <c r="AK294" s="8">
        <f t="shared" si="5"/>
        <v>0.68502333827025186</v>
      </c>
      <c r="AL294">
        <v>2912.8940000000002</v>
      </c>
    </row>
    <row r="295" spans="33:38" x14ac:dyDescent="0.35">
      <c r="AG295" s="3" t="s">
        <v>480</v>
      </c>
      <c r="AH295" s="6">
        <v>2900.0259999999998</v>
      </c>
      <c r="AI295" s="6">
        <v>60.64670000000001</v>
      </c>
      <c r="AJ295" s="6">
        <f>SUM($AH$2:AH295)</f>
        <v>1576536.2280000017</v>
      </c>
      <c r="AK295" s="8">
        <f t="shared" si="5"/>
        <v>0.68628575552340465</v>
      </c>
      <c r="AL295">
        <v>2900.0259999999998</v>
      </c>
    </row>
    <row r="296" spans="33:38" x14ac:dyDescent="0.35">
      <c r="AG296" s="3" t="s">
        <v>638</v>
      </c>
      <c r="AH296" s="6">
        <v>2893.4549999999999</v>
      </c>
      <c r="AI296" s="6">
        <v>443.33680000000004</v>
      </c>
      <c r="AJ296" s="6">
        <f>SUM($AH$2:AH296)</f>
        <v>1579429.6830000018</v>
      </c>
      <c r="AK296" s="8">
        <f t="shared" si="5"/>
        <v>0.68754531233883354</v>
      </c>
      <c r="AL296">
        <v>2893.4549999999999</v>
      </c>
    </row>
    <row r="297" spans="33:38" x14ac:dyDescent="0.35">
      <c r="AG297" s="3" t="s">
        <v>453</v>
      </c>
      <c r="AH297" s="6">
        <v>2890.1390000000001</v>
      </c>
      <c r="AI297" s="6">
        <v>509.0068</v>
      </c>
      <c r="AJ297" s="6">
        <f>SUM($AH$2:AH297)</f>
        <v>1582319.8220000018</v>
      </c>
      <c r="AK297" s="8">
        <f t="shared" si="5"/>
        <v>0.6888034256583726</v>
      </c>
      <c r="AL297">
        <v>2890.1390000000001</v>
      </c>
    </row>
    <row r="298" spans="33:38" x14ac:dyDescent="0.35">
      <c r="AG298" s="3" t="s">
        <v>378</v>
      </c>
      <c r="AH298" s="6">
        <v>2888.5059999999999</v>
      </c>
      <c r="AI298" s="6">
        <v>302.02</v>
      </c>
      <c r="AJ298" s="6">
        <f>SUM($AH$2:AH298)</f>
        <v>1585208.3280000018</v>
      </c>
      <c r="AK298" s="8">
        <f t="shared" si="5"/>
        <v>0.69006082811277658</v>
      </c>
      <c r="AL298">
        <v>2888.5059999999999</v>
      </c>
    </row>
    <row r="299" spans="33:38" x14ac:dyDescent="0.35">
      <c r="AG299" s="3" t="s">
        <v>164</v>
      </c>
      <c r="AH299" s="6">
        <v>2881.8128000000002</v>
      </c>
      <c r="AI299" s="6">
        <v>163.69929999999999</v>
      </c>
      <c r="AJ299" s="6">
        <f>SUM($AH$2:AH299)</f>
        <v>1588090.1408000018</v>
      </c>
      <c r="AK299" s="8">
        <f t="shared" si="5"/>
        <v>0.69131531693428239</v>
      </c>
      <c r="AL299">
        <v>2881.8128000000002</v>
      </c>
    </row>
    <row r="300" spans="33:38" x14ac:dyDescent="0.35">
      <c r="AG300" s="3" t="s">
        <v>483</v>
      </c>
      <c r="AH300" s="6">
        <v>2876.0460000000003</v>
      </c>
      <c r="AI300" s="6">
        <v>434.52840000000003</v>
      </c>
      <c r="AJ300" s="6">
        <f>SUM($AH$2:AH300)</f>
        <v>1590966.1868000019</v>
      </c>
      <c r="AK300" s="8">
        <f t="shared" si="5"/>
        <v>0.69256729539628958</v>
      </c>
      <c r="AL300">
        <v>2876.0460000000003</v>
      </c>
    </row>
    <row r="301" spans="33:38" x14ac:dyDescent="0.35">
      <c r="AG301" s="3" t="s">
        <v>900</v>
      </c>
      <c r="AH301" s="6">
        <v>2872.63</v>
      </c>
      <c r="AI301" s="6">
        <v>975.77009999999996</v>
      </c>
      <c r="AJ301" s="6">
        <f>SUM($AH$2:AH301)</f>
        <v>1593838.8168000018</v>
      </c>
      <c r="AK301" s="8">
        <f t="shared" si="5"/>
        <v>0.69381778683116779</v>
      </c>
      <c r="AL301">
        <v>2872.63</v>
      </c>
    </row>
    <row r="302" spans="33:38" x14ac:dyDescent="0.35">
      <c r="AG302" s="3" t="s">
        <v>336</v>
      </c>
      <c r="AH302" s="6">
        <v>2870.0500000000006</v>
      </c>
      <c r="AI302" s="6">
        <v>424.65829999999994</v>
      </c>
      <c r="AJ302" s="6">
        <f>SUM($AH$2:AH302)</f>
        <v>1596708.8668000018</v>
      </c>
      <c r="AK302" s="8">
        <f t="shared" si="5"/>
        <v>0.69506715516007622</v>
      </c>
      <c r="AL302">
        <v>2870.0500000000006</v>
      </c>
    </row>
    <row r="303" spans="33:38" x14ac:dyDescent="0.35">
      <c r="AG303" s="3" t="s">
        <v>627</v>
      </c>
      <c r="AH303" s="6">
        <v>2854.1150000000007</v>
      </c>
      <c r="AI303" s="6">
        <v>850.15909999999997</v>
      </c>
      <c r="AJ303" s="6">
        <f>SUM($AH$2:AH303)</f>
        <v>1599562.9818000018</v>
      </c>
      <c r="AK303" s="8">
        <f t="shared" si="5"/>
        <v>0.69630958678602783</v>
      </c>
      <c r="AL303">
        <v>2854.1150000000007</v>
      </c>
    </row>
    <row r="304" spans="33:38" x14ac:dyDescent="0.35">
      <c r="AG304" s="3" t="s">
        <v>686</v>
      </c>
      <c r="AH304" s="6">
        <v>2852.9680000000003</v>
      </c>
      <c r="AI304" s="6">
        <v>-104.54859999999999</v>
      </c>
      <c r="AJ304" s="6">
        <f>SUM($AH$2:AH304)</f>
        <v>1602415.9498000019</v>
      </c>
      <c r="AK304" s="8">
        <f t="shared" si="5"/>
        <v>0.69755151910866653</v>
      </c>
      <c r="AL304">
        <v>2852.9680000000003</v>
      </c>
    </row>
    <row r="305" spans="33:38" x14ac:dyDescent="0.35">
      <c r="AG305" s="3" t="s">
        <v>166</v>
      </c>
      <c r="AH305" s="6">
        <v>2846.7050000000004</v>
      </c>
      <c r="AI305" s="6">
        <v>-52.740600000000036</v>
      </c>
      <c r="AJ305" s="6">
        <f>SUM($AH$2:AH305)</f>
        <v>1605262.654800002</v>
      </c>
      <c r="AK305" s="8">
        <f t="shared" si="5"/>
        <v>0.698790725069798</v>
      </c>
      <c r="AL305">
        <v>2846.7050000000004</v>
      </c>
    </row>
    <row r="306" spans="33:38" x14ac:dyDescent="0.35">
      <c r="AG306" s="3" t="s">
        <v>408</v>
      </c>
      <c r="AH306" s="6">
        <v>2845.27</v>
      </c>
      <c r="AI306" s="6">
        <v>-318.77370000000002</v>
      </c>
      <c r="AJ306" s="6">
        <f>SUM($AH$2:AH306)</f>
        <v>1608107.924800002</v>
      </c>
      <c r="AK306" s="8">
        <f t="shared" si="5"/>
        <v>0.70002930635764782</v>
      </c>
      <c r="AL306">
        <v>2845.27</v>
      </c>
    </row>
    <row r="307" spans="33:38" x14ac:dyDescent="0.35">
      <c r="AG307" s="3" t="s">
        <v>829</v>
      </c>
      <c r="AH307" s="6">
        <v>2839.2272000000003</v>
      </c>
      <c r="AI307" s="6">
        <v>213.00289999999998</v>
      </c>
      <c r="AJ307" s="6">
        <f>SUM($AH$2:AH307)</f>
        <v>1610947.1520000021</v>
      </c>
      <c r="AK307" s="8">
        <f t="shared" si="5"/>
        <v>0.70126525713977894</v>
      </c>
      <c r="AL307">
        <v>2839.2272000000003</v>
      </c>
    </row>
    <row r="308" spans="33:38" x14ac:dyDescent="0.35">
      <c r="AG308" s="3" t="s">
        <v>696</v>
      </c>
      <c r="AH308" s="6">
        <v>2833.9260000000004</v>
      </c>
      <c r="AI308" s="6">
        <v>754.11439999999993</v>
      </c>
      <c r="AJ308" s="6">
        <f>SUM($AH$2:AH308)</f>
        <v>1613781.0780000021</v>
      </c>
      <c r="AK308" s="8">
        <f t="shared" si="5"/>
        <v>0.70249890024386075</v>
      </c>
      <c r="AL308">
        <v>2833.9260000000004</v>
      </c>
    </row>
    <row r="309" spans="33:38" x14ac:dyDescent="0.35">
      <c r="AG309" s="3" t="s">
        <v>717</v>
      </c>
      <c r="AH309" s="6">
        <v>2830.6279999999997</v>
      </c>
      <c r="AI309" s="6">
        <v>493.08609999999993</v>
      </c>
      <c r="AJ309" s="6">
        <f>SUM($AH$2:AH309)</f>
        <v>1616611.7060000021</v>
      </c>
      <c r="AK309" s="8">
        <f t="shared" si="5"/>
        <v>0.70373110768767588</v>
      </c>
      <c r="AL309">
        <v>2830.6279999999997</v>
      </c>
    </row>
    <row r="310" spans="33:38" x14ac:dyDescent="0.35">
      <c r="AG310" s="3" t="s">
        <v>109</v>
      </c>
      <c r="AH310" s="6">
        <v>2820.4240000000004</v>
      </c>
      <c r="AI310" s="6">
        <v>-294.69810000000001</v>
      </c>
      <c r="AJ310" s="6">
        <f>SUM($AH$2:AH310)</f>
        <v>1619432.1300000022</v>
      </c>
      <c r="AK310" s="8">
        <f t="shared" si="5"/>
        <v>0.7049588732038492</v>
      </c>
      <c r="AL310">
        <v>2820.4240000000004</v>
      </c>
    </row>
    <row r="311" spans="33:38" x14ac:dyDescent="0.35">
      <c r="AG311" s="3" t="s">
        <v>803</v>
      </c>
      <c r="AH311" s="6">
        <v>2819.4670000000006</v>
      </c>
      <c r="AI311" s="6">
        <v>-576.83349999999996</v>
      </c>
      <c r="AJ311" s="6">
        <f>SUM($AH$2:AH311)</f>
        <v>1622251.5970000022</v>
      </c>
      <c r="AK311" s="8">
        <f t="shared" si="5"/>
        <v>0.70618622212606397</v>
      </c>
      <c r="AL311">
        <v>2819.4670000000006</v>
      </c>
    </row>
    <row r="312" spans="33:38" x14ac:dyDescent="0.35">
      <c r="AG312" s="3" t="s">
        <v>886</v>
      </c>
      <c r="AH312" s="6">
        <v>2798.9479999999999</v>
      </c>
      <c r="AI312" s="6">
        <v>-711.42740000000015</v>
      </c>
      <c r="AJ312" s="6">
        <f>SUM($AH$2:AH312)</f>
        <v>1625050.5450000023</v>
      </c>
      <c r="AK312" s="8">
        <f t="shared" si="5"/>
        <v>0.70740463887331984</v>
      </c>
      <c r="AL312">
        <v>2798.9479999999999</v>
      </c>
    </row>
    <row r="313" spans="33:38" x14ac:dyDescent="0.35">
      <c r="AG313" s="3" t="s">
        <v>678</v>
      </c>
      <c r="AH313" s="6">
        <v>2797.6680000000001</v>
      </c>
      <c r="AI313" s="6">
        <v>379.88200000000001</v>
      </c>
      <c r="AJ313" s="6">
        <f>SUM($AH$2:AH313)</f>
        <v>1627848.2130000023</v>
      </c>
      <c r="AK313" s="8">
        <f t="shared" si="5"/>
        <v>0.70862249842071467</v>
      </c>
      <c r="AL313">
        <v>2797.6680000000001</v>
      </c>
    </row>
    <row r="314" spans="33:38" x14ac:dyDescent="0.35">
      <c r="AG314" s="3" t="s">
        <v>463</v>
      </c>
      <c r="AH314" s="6">
        <v>2786.6319999999996</v>
      </c>
      <c r="AI314" s="6">
        <v>835.77200000000005</v>
      </c>
      <c r="AJ314" s="6">
        <f>SUM($AH$2:AH314)</f>
        <v>1630634.8450000023</v>
      </c>
      <c r="AK314" s="8">
        <f t="shared" si="5"/>
        <v>0.70983555386055808</v>
      </c>
      <c r="AL314">
        <v>2786.6319999999996</v>
      </c>
    </row>
    <row r="315" spans="33:38" x14ac:dyDescent="0.35">
      <c r="AG315" s="3" t="s">
        <v>645</v>
      </c>
      <c r="AH315" s="6">
        <v>2772.0550000000007</v>
      </c>
      <c r="AI315" s="6">
        <v>279.56920000000008</v>
      </c>
      <c r="AJ315" s="6">
        <f>SUM($AH$2:AH315)</f>
        <v>1633406.9000000022</v>
      </c>
      <c r="AK315" s="8">
        <f t="shared" si="5"/>
        <v>0.71104226375167223</v>
      </c>
      <c r="AL315">
        <v>2772.0550000000007</v>
      </c>
    </row>
    <row r="316" spans="33:38" x14ac:dyDescent="0.35">
      <c r="AG316" s="3" t="s">
        <v>108</v>
      </c>
      <c r="AH316" s="6">
        <v>2770</v>
      </c>
      <c r="AI316" s="6">
        <v>196.87389999999996</v>
      </c>
      <c r="AJ316" s="6">
        <f>SUM($AH$2:AH316)</f>
        <v>1636176.9000000022</v>
      </c>
      <c r="AK316" s="8">
        <f t="shared" si="5"/>
        <v>0.7122480790758221</v>
      </c>
      <c r="AL316">
        <v>2770</v>
      </c>
    </row>
    <row r="317" spans="33:38" x14ac:dyDescent="0.35">
      <c r="AG317" s="3" t="s">
        <v>43</v>
      </c>
      <c r="AH317" s="6">
        <v>2767.2190000000001</v>
      </c>
      <c r="AI317" s="6">
        <v>261.53149999999994</v>
      </c>
      <c r="AJ317" s="6">
        <f>SUM($AH$2:AH317)</f>
        <v>1638944.1190000023</v>
      </c>
      <c r="AK317" s="8">
        <f t="shared" si="5"/>
        <v>0.71345268379621152</v>
      </c>
      <c r="AL317">
        <v>2767.2190000000001</v>
      </c>
    </row>
    <row r="318" spans="33:38" x14ac:dyDescent="0.35">
      <c r="AG318" s="3" t="s">
        <v>380</v>
      </c>
      <c r="AH318" s="6">
        <v>2754.2159999999999</v>
      </c>
      <c r="AI318" s="6">
        <v>738.36260000000016</v>
      </c>
      <c r="AJ318" s="6">
        <f>SUM($AH$2:AH318)</f>
        <v>1641698.3350000023</v>
      </c>
      <c r="AK318" s="8">
        <f t="shared" si="5"/>
        <v>0.71465162814957572</v>
      </c>
      <c r="AL318">
        <v>2754.2159999999999</v>
      </c>
    </row>
    <row r="319" spans="33:38" x14ac:dyDescent="0.35">
      <c r="AG319" s="3" t="s">
        <v>611</v>
      </c>
      <c r="AH319" s="6">
        <v>2749.8809999999999</v>
      </c>
      <c r="AI319" s="6">
        <v>-520.34429999999998</v>
      </c>
      <c r="AJ319" s="6">
        <f>SUM($AH$2:AH319)</f>
        <v>1644448.2160000023</v>
      </c>
      <c r="AK319" s="8">
        <f t="shared" si="5"/>
        <v>0.71584868542372326</v>
      </c>
      <c r="AL319">
        <v>2749.8809999999999</v>
      </c>
    </row>
    <row r="320" spans="33:38" x14ac:dyDescent="0.35">
      <c r="AG320" s="3" t="s">
        <v>38</v>
      </c>
      <c r="AH320" s="6">
        <v>2744.7420000000002</v>
      </c>
      <c r="AI320" s="6">
        <v>579.35509999999999</v>
      </c>
      <c r="AJ320" s="6">
        <f>SUM($AH$2:AH320)</f>
        <v>1647192.9580000024</v>
      </c>
      <c r="AK320" s="8">
        <f t="shared" si="5"/>
        <v>0.71704350562749142</v>
      </c>
      <c r="AL320">
        <v>2744.7420000000002</v>
      </c>
    </row>
    <row r="321" spans="33:38" x14ac:dyDescent="0.35">
      <c r="AG321" s="3" t="s">
        <v>415</v>
      </c>
      <c r="AH321" s="6">
        <v>2741.2040000000002</v>
      </c>
      <c r="AI321" s="6">
        <v>560.00779999999997</v>
      </c>
      <c r="AJ321" s="6">
        <f>SUM($AH$2:AH321)</f>
        <v>1649934.1620000023</v>
      </c>
      <c r="AK321" s="8">
        <f t="shared" si="5"/>
        <v>0.71823678569601879</v>
      </c>
      <c r="AL321">
        <v>2741.2040000000002</v>
      </c>
    </row>
    <row r="322" spans="33:38" x14ac:dyDescent="0.35">
      <c r="AG322" s="3" t="s">
        <v>604</v>
      </c>
      <c r="AH322" s="6">
        <v>2725.982</v>
      </c>
      <c r="AI322" s="6">
        <v>461.00139999999999</v>
      </c>
      <c r="AJ322" s="6">
        <f>SUM($AH$2:AH322)</f>
        <v>1652660.1440000024</v>
      </c>
      <c r="AK322" s="8">
        <f t="shared" si="5"/>
        <v>0.71942343943932452</v>
      </c>
      <c r="AL322">
        <v>2725.982</v>
      </c>
    </row>
    <row r="323" spans="33:38" x14ac:dyDescent="0.35">
      <c r="AG323" s="3" t="s">
        <v>201</v>
      </c>
      <c r="AH323" s="6">
        <v>2725.2560000000003</v>
      </c>
      <c r="AI323" s="6">
        <v>779.90459999999996</v>
      </c>
      <c r="AJ323" s="6">
        <f>SUM($AH$2:AH323)</f>
        <v>1655385.4000000025</v>
      </c>
      <c r="AK323" s="8">
        <f t="shared" ref="AK323:AK386" si="6">AJ323/$AH$795</f>
        <v>0.72060977714583407</v>
      </c>
      <c r="AL323">
        <v>2725.2560000000003</v>
      </c>
    </row>
    <row r="324" spans="33:38" x14ac:dyDescent="0.35">
      <c r="AG324" s="3" t="s">
        <v>600</v>
      </c>
      <c r="AH324" s="6">
        <v>2722.8429999999998</v>
      </c>
      <c r="AI324" s="6">
        <v>684.9162</v>
      </c>
      <c r="AJ324" s="6">
        <f>SUM($AH$2:AH324)</f>
        <v>1658108.2430000026</v>
      </c>
      <c r="AK324" s="8">
        <f t="shared" si="6"/>
        <v>0.72179506444354324</v>
      </c>
      <c r="AL324">
        <v>2722.8429999999998</v>
      </c>
    </row>
    <row r="325" spans="33:38" x14ac:dyDescent="0.35">
      <c r="AG325" s="3" t="s">
        <v>354</v>
      </c>
      <c r="AH325" s="6">
        <v>2709.6320000000001</v>
      </c>
      <c r="AI325" s="6">
        <v>330.28379999999999</v>
      </c>
      <c r="AJ325" s="6">
        <f>SUM($AH$2:AH325)</f>
        <v>1660817.8750000026</v>
      </c>
      <c r="AK325" s="8">
        <f t="shared" si="6"/>
        <v>0.72297460082924958</v>
      </c>
      <c r="AL325">
        <v>2709.6320000000001</v>
      </c>
    </row>
    <row r="326" spans="33:38" x14ac:dyDescent="0.35">
      <c r="AG326" s="3" t="s">
        <v>121</v>
      </c>
      <c r="AH326" s="6">
        <v>2697.248</v>
      </c>
      <c r="AI326" s="6">
        <v>789.64760000000001</v>
      </c>
      <c r="AJ326" s="6">
        <f>SUM($AH$2:AH326)</f>
        <v>1663515.1230000025</v>
      </c>
      <c r="AK326" s="8">
        <f t="shared" si="6"/>
        <v>0.72414874630630111</v>
      </c>
      <c r="AL326">
        <v>2697.248</v>
      </c>
    </row>
    <row r="327" spans="33:38" x14ac:dyDescent="0.35">
      <c r="AG327" s="3" t="s">
        <v>496</v>
      </c>
      <c r="AH327" s="6">
        <v>2684.4920000000002</v>
      </c>
      <c r="AI327" s="6">
        <v>409.49829999999997</v>
      </c>
      <c r="AJ327" s="6">
        <f>SUM($AH$2:AH327)</f>
        <v>1666199.6150000026</v>
      </c>
      <c r="AK327" s="8">
        <f t="shared" si="6"/>
        <v>0.72531733893848804</v>
      </c>
      <c r="AL327">
        <v>2684.4920000000002</v>
      </c>
    </row>
    <row r="328" spans="33:38" x14ac:dyDescent="0.35">
      <c r="AG328" s="3" t="s">
        <v>742</v>
      </c>
      <c r="AH328" s="6">
        <v>2682.7280000000001</v>
      </c>
      <c r="AI328" s="6">
        <v>278.77700000000004</v>
      </c>
      <c r="AJ328" s="6">
        <f>SUM($AH$2:AH328)</f>
        <v>1668882.3430000024</v>
      </c>
      <c r="AK328" s="8">
        <f t="shared" si="6"/>
        <v>0.72648516367961646</v>
      </c>
      <c r="AL328">
        <v>2682.7280000000001</v>
      </c>
    </row>
    <row r="329" spans="33:38" x14ac:dyDescent="0.35">
      <c r="AG329" s="3" t="s">
        <v>474</v>
      </c>
      <c r="AH329" s="6">
        <v>2678.4380000000001</v>
      </c>
      <c r="AI329" s="6">
        <v>215.59690000000001</v>
      </c>
      <c r="AJ329" s="6">
        <f>SUM($AH$2:AH329)</f>
        <v>1671560.7810000025</v>
      </c>
      <c r="AK329" s="8">
        <f t="shared" si="6"/>
        <v>0.72765112093058593</v>
      </c>
      <c r="AL329">
        <v>2678.4380000000001</v>
      </c>
    </row>
    <row r="330" spans="33:38" x14ac:dyDescent="0.35">
      <c r="AG330" s="3" t="s">
        <v>562</v>
      </c>
      <c r="AH330" s="6">
        <v>2673.2899999999995</v>
      </c>
      <c r="AI330" s="6">
        <v>760.16660000000002</v>
      </c>
      <c r="AJ330" s="6">
        <f>SUM($AH$2:AH330)</f>
        <v>1674234.0710000026</v>
      </c>
      <c r="AK330" s="8">
        <f t="shared" si="6"/>
        <v>0.72881483719336448</v>
      </c>
      <c r="AL330">
        <v>2673.2899999999995</v>
      </c>
    </row>
    <row r="331" spans="33:38" x14ac:dyDescent="0.35">
      <c r="AG331" s="3" t="s">
        <v>680</v>
      </c>
      <c r="AH331" s="6">
        <v>2663.0860000000002</v>
      </c>
      <c r="AI331" s="6">
        <v>477.23990000000009</v>
      </c>
      <c r="AJ331" s="6">
        <f>SUM($AH$2:AH331)</f>
        <v>1676897.1570000025</v>
      </c>
      <c r="AK331" s="8">
        <f t="shared" si="6"/>
        <v>0.72997411152850122</v>
      </c>
      <c r="AL331">
        <v>2663.0860000000002</v>
      </c>
    </row>
    <row r="332" spans="33:38" x14ac:dyDescent="0.35">
      <c r="AG332" s="3" t="s">
        <v>504</v>
      </c>
      <c r="AH332" s="6">
        <v>2656.6909999999998</v>
      </c>
      <c r="AI332" s="6">
        <v>451.87549999999999</v>
      </c>
      <c r="AJ332" s="6">
        <f>SUM($AH$2:AH332)</f>
        <v>1679553.8480000026</v>
      </c>
      <c r="AK332" s="8">
        <f t="shared" si="6"/>
        <v>0.73113060204089519</v>
      </c>
      <c r="AL332">
        <v>2656.6909999999998</v>
      </c>
    </row>
    <row r="333" spans="33:38" x14ac:dyDescent="0.35">
      <c r="AG333" s="3" t="s">
        <v>104</v>
      </c>
      <c r="AH333" s="6">
        <v>2650.5569999999998</v>
      </c>
      <c r="AI333" s="6">
        <v>536.39350000000002</v>
      </c>
      <c r="AJ333" s="6">
        <f>SUM($AH$2:AH333)</f>
        <v>1682204.4050000026</v>
      </c>
      <c r="AK333" s="8">
        <f t="shared" si="6"/>
        <v>0.73228442234708024</v>
      </c>
      <c r="AL333">
        <v>2650.5569999999998</v>
      </c>
    </row>
    <row r="334" spans="33:38" x14ac:dyDescent="0.35">
      <c r="AG334" s="3" t="s">
        <v>325</v>
      </c>
      <c r="AH334" s="6">
        <v>2648.2871999999998</v>
      </c>
      <c r="AI334" s="6">
        <v>279.61829999999992</v>
      </c>
      <c r="AJ334" s="6">
        <f>SUM($AH$2:AH334)</f>
        <v>1684852.6922000025</v>
      </c>
      <c r="AK334" s="8">
        <f t="shared" si="6"/>
        <v>0.73343725458119935</v>
      </c>
      <c r="AL334">
        <v>2648.2871999999998</v>
      </c>
    </row>
    <row r="335" spans="33:38" x14ac:dyDescent="0.35">
      <c r="AG335" s="3" t="s">
        <v>156</v>
      </c>
      <c r="AH335" s="6">
        <v>2633.5820000000003</v>
      </c>
      <c r="AI335" s="6">
        <v>231.12520000000004</v>
      </c>
      <c r="AJ335" s="6">
        <f>SUM($AH$2:AH335)</f>
        <v>1687486.2742000024</v>
      </c>
      <c r="AK335" s="8">
        <f t="shared" si="6"/>
        <v>0.73458368545954056</v>
      </c>
      <c r="AL335">
        <v>2633.5820000000003</v>
      </c>
    </row>
    <row r="336" spans="33:38" x14ac:dyDescent="0.35">
      <c r="AG336" s="3" t="s">
        <v>350</v>
      </c>
      <c r="AH336" s="6">
        <v>2617.9060000000004</v>
      </c>
      <c r="AI336" s="6">
        <v>546.08820000000014</v>
      </c>
      <c r="AJ336" s="6">
        <f>SUM($AH$2:AH336)</f>
        <v>1690104.1802000024</v>
      </c>
      <c r="AK336" s="8">
        <f t="shared" si="6"/>
        <v>0.73572329238083434</v>
      </c>
      <c r="AL336">
        <v>2617.9060000000004</v>
      </c>
    </row>
    <row r="337" spans="33:38" x14ac:dyDescent="0.35">
      <c r="AG337" s="3" t="s">
        <v>566</v>
      </c>
      <c r="AH337" s="6">
        <v>2617.2720000000004</v>
      </c>
      <c r="AI337" s="6">
        <v>-151.15180000000004</v>
      </c>
      <c r="AJ337" s="6">
        <f>SUM($AH$2:AH337)</f>
        <v>1692721.4522000025</v>
      </c>
      <c r="AK337" s="8">
        <f t="shared" si="6"/>
        <v>0.73686262331407215</v>
      </c>
      <c r="AL337">
        <v>2617.2720000000004</v>
      </c>
    </row>
    <row r="338" spans="33:38" x14ac:dyDescent="0.35">
      <c r="AG338" s="3" t="s">
        <v>14</v>
      </c>
      <c r="AH338" s="6">
        <v>2602.5755000000008</v>
      </c>
      <c r="AI338" s="6">
        <v>-81.085800000000049</v>
      </c>
      <c r="AJ338" s="6">
        <f>SUM($AH$2:AH338)</f>
        <v>1695324.0277000025</v>
      </c>
      <c r="AK338" s="8">
        <f t="shared" si="6"/>
        <v>0.73799555667874972</v>
      </c>
      <c r="AL338">
        <v>2602.5755000000008</v>
      </c>
    </row>
    <row r="339" spans="33:38" x14ac:dyDescent="0.35">
      <c r="AG339" s="3" t="s">
        <v>825</v>
      </c>
      <c r="AH339" s="6">
        <v>2595.3640000000005</v>
      </c>
      <c r="AI339" s="6">
        <v>763.47190000000001</v>
      </c>
      <c r="AJ339" s="6">
        <f>SUM($AH$2:AH339)</f>
        <v>1697919.3917000026</v>
      </c>
      <c r="AK339" s="8">
        <f t="shared" si="6"/>
        <v>0.73912535078811692</v>
      </c>
      <c r="AL339">
        <v>2595.3640000000005</v>
      </c>
    </row>
    <row r="340" spans="33:38" x14ac:dyDescent="0.35">
      <c r="AG340" s="3" t="s">
        <v>119</v>
      </c>
      <c r="AH340" s="6">
        <v>2584.1580000000004</v>
      </c>
      <c r="AI340" s="6">
        <v>99.144500000000008</v>
      </c>
      <c r="AJ340" s="6">
        <f>SUM($AH$2:AH340)</f>
        <v>1700503.5497000027</v>
      </c>
      <c r="AK340" s="8">
        <f t="shared" si="6"/>
        <v>0.74025026678682604</v>
      </c>
      <c r="AL340">
        <v>2584.1580000000004</v>
      </c>
    </row>
    <row r="341" spans="33:38" x14ac:dyDescent="0.35">
      <c r="AG341" s="3" t="s">
        <v>35</v>
      </c>
      <c r="AH341" s="6">
        <v>2582.8979999999997</v>
      </c>
      <c r="AI341" s="6">
        <v>732.73990000000003</v>
      </c>
      <c r="AJ341" s="6">
        <f>SUM($AH$2:AH341)</f>
        <v>1703086.4477000027</v>
      </c>
      <c r="AK341" s="8">
        <f t="shared" si="6"/>
        <v>0.74137463429192219</v>
      </c>
      <c r="AL341">
        <v>2582.8979999999997</v>
      </c>
    </row>
    <row r="342" spans="33:38" x14ac:dyDescent="0.35">
      <c r="AG342" s="3" t="s">
        <v>95</v>
      </c>
      <c r="AH342" s="6">
        <v>2580.7039999999997</v>
      </c>
      <c r="AI342" s="6">
        <v>-188.25110000000006</v>
      </c>
      <c r="AJ342" s="6">
        <f>SUM($AH$2:AH342)</f>
        <v>1705667.1517000026</v>
      </c>
      <c r="AK342" s="8">
        <f t="shared" si="6"/>
        <v>0.74249804672163144</v>
      </c>
      <c r="AL342">
        <v>2580.7039999999997</v>
      </c>
    </row>
    <row r="343" spans="33:38" x14ac:dyDescent="0.35">
      <c r="AG343" s="3" t="s">
        <v>367</v>
      </c>
      <c r="AH343" s="6">
        <v>2576.4079999999999</v>
      </c>
      <c r="AI343" s="6">
        <v>611.82909999999993</v>
      </c>
      <c r="AJ343" s="6">
        <f>SUM($AH$2:AH343)</f>
        <v>1708243.5597000027</v>
      </c>
      <c r="AK343" s="8">
        <f t="shared" si="6"/>
        <v>0.74361958904930736</v>
      </c>
      <c r="AL343">
        <v>2576.4079999999999</v>
      </c>
    </row>
    <row r="344" spans="33:38" x14ac:dyDescent="0.35">
      <c r="AG344" s="3" t="s">
        <v>612</v>
      </c>
      <c r="AH344" s="6">
        <v>2575.8629999999998</v>
      </c>
      <c r="AI344" s="6">
        <v>-12.303999999999983</v>
      </c>
      <c r="AJ344" s="6">
        <f>SUM($AH$2:AH344)</f>
        <v>1710819.4227000026</v>
      </c>
      <c r="AK344" s="8">
        <f t="shared" si="6"/>
        <v>0.74474089413172995</v>
      </c>
      <c r="AL344">
        <v>2575.8629999999998</v>
      </c>
    </row>
    <row r="345" spans="33:38" x14ac:dyDescent="0.35">
      <c r="AG345" s="3" t="s">
        <v>551</v>
      </c>
      <c r="AH345" s="6">
        <v>2567.6559999999999</v>
      </c>
      <c r="AI345" s="6">
        <v>417.59179999999998</v>
      </c>
      <c r="AJ345" s="6">
        <f>SUM($AH$2:AH345)</f>
        <v>1713387.0787000025</v>
      </c>
      <c r="AK345" s="8">
        <f t="shared" si="6"/>
        <v>0.7458586266053564</v>
      </c>
      <c r="AL345">
        <v>2567.6559999999999</v>
      </c>
    </row>
    <row r="346" spans="33:38" x14ac:dyDescent="0.35">
      <c r="AG346" s="3" t="s">
        <v>720</v>
      </c>
      <c r="AH346" s="6">
        <v>2567.0100000000002</v>
      </c>
      <c r="AI346" s="6">
        <v>-133.82749999999999</v>
      </c>
      <c r="AJ346" s="6">
        <f>SUM($AH$2:AH346)</f>
        <v>1715954.0887000025</v>
      </c>
      <c r="AK346" s="8">
        <f t="shared" si="6"/>
        <v>0.74697607786717812</v>
      </c>
      <c r="AL346">
        <v>2567.0100000000002</v>
      </c>
    </row>
    <row r="347" spans="33:38" x14ac:dyDescent="0.35">
      <c r="AG347" s="3" t="s">
        <v>148</v>
      </c>
      <c r="AH347" s="6">
        <v>2564.9059999999999</v>
      </c>
      <c r="AI347" s="6">
        <v>787.75030000000004</v>
      </c>
      <c r="AJ347" s="6">
        <f>SUM($AH$2:AH347)</f>
        <v>1718518.9947000025</v>
      </c>
      <c r="AK347" s="8">
        <f t="shared" si="6"/>
        <v>0.74809261323172827</v>
      </c>
      <c r="AL347">
        <v>2564.9059999999999</v>
      </c>
    </row>
    <row r="348" spans="33:38" x14ac:dyDescent="0.35">
      <c r="AG348" s="3" t="s">
        <v>154</v>
      </c>
      <c r="AH348" s="6">
        <v>2562.3820000000005</v>
      </c>
      <c r="AI348" s="6">
        <v>-113.29840000000007</v>
      </c>
      <c r="AJ348" s="6">
        <f>SUM($AH$2:AH348)</f>
        <v>1721081.3767000025</v>
      </c>
      <c r="AK348" s="8">
        <f t="shared" si="6"/>
        <v>0.74920804986780254</v>
      </c>
      <c r="AL348">
        <v>2562.3820000000005</v>
      </c>
    </row>
    <row r="349" spans="33:38" x14ac:dyDescent="0.35">
      <c r="AG349" s="3" t="s">
        <v>459</v>
      </c>
      <c r="AH349" s="6">
        <v>2550.8739999999998</v>
      </c>
      <c r="AI349" s="6">
        <v>464.47140000000002</v>
      </c>
      <c r="AJ349" s="6">
        <f>SUM($AH$2:AH349)</f>
        <v>1723632.2507000025</v>
      </c>
      <c r="AK349" s="8">
        <f t="shared" si="6"/>
        <v>0.75031847692887665</v>
      </c>
      <c r="AL349">
        <v>2550.8739999999998</v>
      </c>
    </row>
    <row r="350" spans="33:38" x14ac:dyDescent="0.35">
      <c r="AG350" s="3" t="s">
        <v>665</v>
      </c>
      <c r="AH350" s="6">
        <v>2540.6309999999999</v>
      </c>
      <c r="AI350" s="6">
        <v>331.43399999999991</v>
      </c>
      <c r="AJ350" s="6">
        <f>SUM($AH$2:AH350)</f>
        <v>1726172.8817000026</v>
      </c>
      <c r="AK350" s="8">
        <f t="shared" si="6"/>
        <v>0.75142444508512585</v>
      </c>
      <c r="AL350">
        <v>2540.6309999999999</v>
      </c>
    </row>
    <row r="351" spans="33:38" x14ac:dyDescent="0.35">
      <c r="AG351" s="3" t="s">
        <v>655</v>
      </c>
      <c r="AH351" s="6">
        <v>2537.6860000000001</v>
      </c>
      <c r="AI351" s="6">
        <v>298.82730000000004</v>
      </c>
      <c r="AJ351" s="6">
        <f>SUM($AH$2:AH351)</f>
        <v>1728710.5677000026</v>
      </c>
      <c r="AK351" s="8">
        <f t="shared" si="6"/>
        <v>0.75252913124638243</v>
      </c>
      <c r="AL351">
        <v>2537.6860000000001</v>
      </c>
    </row>
    <row r="352" spans="33:38" x14ac:dyDescent="0.35">
      <c r="AG352" s="3" t="s">
        <v>471</v>
      </c>
      <c r="AH352" s="6">
        <v>2533.3139999999999</v>
      </c>
      <c r="AI352" s="6">
        <v>-394.36860000000007</v>
      </c>
      <c r="AJ352" s="6">
        <f>SUM($AH$2:AH352)</f>
        <v>1731243.8817000026</v>
      </c>
      <c r="AK352" s="8">
        <f t="shared" si="6"/>
        <v>0.75363191422186382</v>
      </c>
      <c r="AL352">
        <v>2533.3139999999999</v>
      </c>
    </row>
    <row r="353" spans="33:38" x14ac:dyDescent="0.35">
      <c r="AG353" s="3" t="s">
        <v>617</v>
      </c>
      <c r="AH353" s="6">
        <v>2533.1640000000002</v>
      </c>
      <c r="AI353" s="6">
        <v>-13.876800000000003</v>
      </c>
      <c r="AJ353" s="6">
        <f>SUM($AH$2:AH353)</f>
        <v>1733777.0457000027</v>
      </c>
      <c r="AK353" s="8">
        <f t="shared" si="6"/>
        <v>0.75473463190048651</v>
      </c>
      <c r="AL353">
        <v>2533.1640000000002</v>
      </c>
    </row>
    <row r="354" spans="33:38" x14ac:dyDescent="0.35">
      <c r="AG354" s="3" t="s">
        <v>329</v>
      </c>
      <c r="AH354" s="6">
        <v>2523.2659999999996</v>
      </c>
      <c r="AI354" s="6">
        <v>191.48979999999997</v>
      </c>
      <c r="AJ354" s="6">
        <f>SUM($AH$2:AH354)</f>
        <v>1736300.3117000028</v>
      </c>
      <c r="AK354" s="8">
        <f t="shared" si="6"/>
        <v>0.75583304085705927</v>
      </c>
      <c r="AL354">
        <v>2523.2659999999996</v>
      </c>
    </row>
    <row r="355" spans="33:38" x14ac:dyDescent="0.35">
      <c r="AG355" s="3" t="s">
        <v>786</v>
      </c>
      <c r="AH355" s="6">
        <v>2518.1149999999998</v>
      </c>
      <c r="AI355" s="6">
        <v>201.51849999999999</v>
      </c>
      <c r="AJ355" s="6">
        <f>SUM($AH$2:AH355)</f>
        <v>1738818.4267000027</v>
      </c>
      <c r="AK355" s="8">
        <f t="shared" si="6"/>
        <v>0.75692920751950388</v>
      </c>
      <c r="AL355">
        <v>2518.1149999999998</v>
      </c>
    </row>
    <row r="356" spans="33:38" x14ac:dyDescent="0.35">
      <c r="AG356" s="3" t="s">
        <v>658</v>
      </c>
      <c r="AH356" s="6">
        <v>2516.4939999999997</v>
      </c>
      <c r="AI356" s="6">
        <v>-311.25749999999994</v>
      </c>
      <c r="AJ356" s="6">
        <f>SUM($AH$2:AH356)</f>
        <v>1741334.9207000027</v>
      </c>
      <c r="AK356" s="8">
        <f t="shared" si="6"/>
        <v>0.75802466854056205</v>
      </c>
      <c r="AL356">
        <v>2516.4939999999997</v>
      </c>
    </row>
    <row r="357" spans="33:38" x14ac:dyDescent="0.35">
      <c r="AG357" s="3" t="s">
        <v>199</v>
      </c>
      <c r="AH357" s="6">
        <v>2501.6880000000001</v>
      </c>
      <c r="AI357" s="6">
        <v>345.25209999999993</v>
      </c>
      <c r="AJ357" s="6">
        <f>SUM($AH$2:AH357)</f>
        <v>1743836.6087000028</v>
      </c>
      <c r="AK357" s="8">
        <f t="shared" si="6"/>
        <v>0.75911368432635329</v>
      </c>
      <c r="AL357">
        <v>2501.6880000000001</v>
      </c>
    </row>
    <row r="358" spans="33:38" x14ac:dyDescent="0.35">
      <c r="AG358" s="3" t="s">
        <v>849</v>
      </c>
      <c r="AH358" s="6">
        <v>2495.3916000000004</v>
      </c>
      <c r="AI358" s="6">
        <v>-196.12009999999995</v>
      </c>
      <c r="AJ358" s="6">
        <f>SUM($AH$2:AH358)</f>
        <v>1746332.0003000028</v>
      </c>
      <c r="AK358" s="8">
        <f t="shared" si="6"/>
        <v>0.76019995921120342</v>
      </c>
      <c r="AL358">
        <v>2495.3916000000004</v>
      </c>
    </row>
    <row r="359" spans="33:38" x14ac:dyDescent="0.35">
      <c r="AG359" s="3" t="s">
        <v>58</v>
      </c>
      <c r="AH359" s="6">
        <v>2493.2140000000004</v>
      </c>
      <c r="AI359" s="6">
        <v>437.85329999999999</v>
      </c>
      <c r="AJ359" s="6">
        <f>SUM($AH$2:AH359)</f>
        <v>1748825.2143000027</v>
      </c>
      <c r="AK359" s="8">
        <f t="shared" si="6"/>
        <v>0.76128528615979008</v>
      </c>
      <c r="AL359">
        <v>2493.2140000000004</v>
      </c>
    </row>
    <row r="360" spans="33:38" x14ac:dyDescent="0.35">
      <c r="AG360" s="3" t="s">
        <v>187</v>
      </c>
      <c r="AH360" s="6">
        <v>2488.31</v>
      </c>
      <c r="AI360" s="6">
        <v>402.42360000000002</v>
      </c>
      <c r="AJ360" s="6">
        <f>SUM($AH$2:AH360)</f>
        <v>1751313.5243000027</v>
      </c>
      <c r="AK360" s="8">
        <f t="shared" si="6"/>
        <v>0.76236847833640931</v>
      </c>
      <c r="AL360">
        <v>2488.31</v>
      </c>
    </row>
    <row r="361" spans="33:38" x14ac:dyDescent="0.35">
      <c r="AG361" s="3" t="s">
        <v>530</v>
      </c>
      <c r="AH361" s="6">
        <v>2477.9459999999999</v>
      </c>
      <c r="AI361" s="6">
        <v>290.8227</v>
      </c>
      <c r="AJ361" s="6">
        <f>SUM($AH$2:AH361)</f>
        <v>1753791.4703000027</v>
      </c>
      <c r="AK361" s="8">
        <f t="shared" si="6"/>
        <v>0.76344715893540427</v>
      </c>
      <c r="AL361">
        <v>2477.9459999999999</v>
      </c>
    </row>
    <row r="362" spans="33:38" x14ac:dyDescent="0.35">
      <c r="AG362" s="3" t="s">
        <v>535</v>
      </c>
      <c r="AH362" s="6">
        <v>2475.1570000000006</v>
      </c>
      <c r="AI362" s="6">
        <v>-319.06370000000004</v>
      </c>
      <c r="AJ362" s="6">
        <f>SUM($AH$2:AH362)</f>
        <v>1756266.6273000026</v>
      </c>
      <c r="AK362" s="8">
        <f t="shared" si="6"/>
        <v>0.76452462544813948</v>
      </c>
      <c r="AL362">
        <v>2475.1570000000006</v>
      </c>
    </row>
    <row r="363" spans="33:38" x14ac:dyDescent="0.35">
      <c r="AG363" s="3" t="s">
        <v>309</v>
      </c>
      <c r="AH363" s="6">
        <v>2471.6500000000005</v>
      </c>
      <c r="AI363" s="6">
        <v>392.28250000000003</v>
      </c>
      <c r="AJ363" s="6">
        <f>SUM($AH$2:AH363)</f>
        <v>1758738.2773000025</v>
      </c>
      <c r="AK363" s="8">
        <f t="shared" si="6"/>
        <v>0.76560056532031817</v>
      </c>
      <c r="AL363">
        <v>2471.6500000000005</v>
      </c>
    </row>
    <row r="364" spans="33:38" x14ac:dyDescent="0.35">
      <c r="AG364" s="3" t="s">
        <v>488</v>
      </c>
      <c r="AH364" s="6">
        <v>2461.4040000000009</v>
      </c>
      <c r="AI364" s="6">
        <v>580.30750000000012</v>
      </c>
      <c r="AJ364" s="6">
        <f>SUM($AH$2:AH364)</f>
        <v>1761199.6813000026</v>
      </c>
      <c r="AK364" s="8">
        <f t="shared" si="6"/>
        <v>0.76667204498173469</v>
      </c>
      <c r="AL364">
        <v>2461.4040000000009</v>
      </c>
    </row>
    <row r="365" spans="33:38" x14ac:dyDescent="0.35">
      <c r="AG365" s="3" t="s">
        <v>621</v>
      </c>
      <c r="AH365" s="6">
        <v>2456.6380000000004</v>
      </c>
      <c r="AI365" s="6">
        <v>249.6808</v>
      </c>
      <c r="AJ365" s="6">
        <f>SUM($AH$2:AH365)</f>
        <v>1763656.3193000027</v>
      </c>
      <c r="AK365" s="8">
        <f t="shared" si="6"/>
        <v>0.76774144994429394</v>
      </c>
      <c r="AL365">
        <v>2456.6380000000004</v>
      </c>
    </row>
    <row r="366" spans="33:38" x14ac:dyDescent="0.35">
      <c r="AG366" s="3" t="s">
        <v>822</v>
      </c>
      <c r="AH366" s="6">
        <v>2456.1819999999998</v>
      </c>
      <c r="AI366" s="6">
        <v>484.77330000000012</v>
      </c>
      <c r="AJ366" s="6">
        <f>SUM($AH$2:AH366)</f>
        <v>1766112.5013000027</v>
      </c>
      <c r="AK366" s="8">
        <f t="shared" si="6"/>
        <v>0.7688106564044026</v>
      </c>
      <c r="AL366">
        <v>2456.1819999999998</v>
      </c>
    </row>
    <row r="367" spans="33:38" x14ac:dyDescent="0.35">
      <c r="AG367" s="3" t="s">
        <v>70</v>
      </c>
      <c r="AH367" s="6">
        <v>2454.9280000000003</v>
      </c>
      <c r="AI367" s="6">
        <v>381.78070000000002</v>
      </c>
      <c r="AJ367" s="6">
        <f>SUM($AH$2:AH367)</f>
        <v>1768567.4293000028</v>
      </c>
      <c r="AK367" s="8">
        <f t="shared" si="6"/>
        <v>0.76987931698277257</v>
      </c>
      <c r="AL367">
        <v>2454.9280000000003</v>
      </c>
    </row>
    <row r="368" spans="33:38" x14ac:dyDescent="0.35">
      <c r="AG368" s="3" t="s">
        <v>150</v>
      </c>
      <c r="AH368" s="6">
        <v>2454.866</v>
      </c>
      <c r="AI368" s="6">
        <v>513.52689999999996</v>
      </c>
      <c r="AJ368" s="6">
        <f>SUM($AH$2:AH368)</f>
        <v>1771022.2953000027</v>
      </c>
      <c r="AK368" s="8">
        <f t="shared" si="6"/>
        <v>0.77094795057177412</v>
      </c>
      <c r="AL368">
        <v>2454.866</v>
      </c>
    </row>
    <row r="369" spans="33:38" x14ac:dyDescent="0.35">
      <c r="AG369" s="3" t="s">
        <v>525</v>
      </c>
      <c r="AH369" s="6">
        <v>2454.6220000000003</v>
      </c>
      <c r="AI369" s="6">
        <v>828.66099999999994</v>
      </c>
      <c r="AJ369" s="6">
        <f>SUM($AH$2:AH369)</f>
        <v>1773476.9173000026</v>
      </c>
      <c r="AK369" s="8">
        <f t="shared" si="6"/>
        <v>0.77201647794455219</v>
      </c>
      <c r="AL369">
        <v>2454.6220000000003</v>
      </c>
    </row>
    <row r="370" spans="33:38" x14ac:dyDescent="0.35">
      <c r="AG370" s="3" t="s">
        <v>783</v>
      </c>
      <c r="AH370" s="6">
        <v>2453.2840000000001</v>
      </c>
      <c r="AI370" s="6">
        <v>280.78219999999993</v>
      </c>
      <c r="AJ370" s="6">
        <f>SUM($AH$2:AH370)</f>
        <v>1775930.2013000026</v>
      </c>
      <c r="AK370" s="8">
        <f t="shared" si="6"/>
        <v>0.77308442286935064</v>
      </c>
      <c r="AL370">
        <v>2453.2840000000001</v>
      </c>
    </row>
    <row r="371" spans="33:38" x14ac:dyDescent="0.35">
      <c r="AG371" s="3" t="s">
        <v>229</v>
      </c>
      <c r="AH371" s="6">
        <v>2442.0439999999999</v>
      </c>
      <c r="AI371" s="6">
        <v>433.97509999999994</v>
      </c>
      <c r="AJ371" s="6">
        <f>SUM($AH$2:AH371)</f>
        <v>1778372.2453000026</v>
      </c>
      <c r="AK371" s="8">
        <f t="shared" si="6"/>
        <v>0.77414747488286983</v>
      </c>
      <c r="AL371">
        <v>2442.0439999999999</v>
      </c>
    </row>
    <row r="372" spans="33:38" x14ac:dyDescent="0.35">
      <c r="AG372" s="3" t="s">
        <v>664</v>
      </c>
      <c r="AH372" s="6">
        <v>2426.0669999999996</v>
      </c>
      <c r="AI372" s="6">
        <v>288.98410000000001</v>
      </c>
      <c r="AJ372" s="6">
        <f>SUM($AH$2:AH372)</f>
        <v>1780798.3123000027</v>
      </c>
      <c r="AK372" s="8">
        <f t="shared" si="6"/>
        <v>0.77520357191031186</v>
      </c>
      <c r="AL372">
        <v>2426.0669999999996</v>
      </c>
    </row>
    <row r="373" spans="33:38" x14ac:dyDescent="0.35">
      <c r="AG373" s="3" t="s">
        <v>610</v>
      </c>
      <c r="AH373" s="6">
        <v>2422.8240000000001</v>
      </c>
      <c r="AI373" s="6">
        <v>-135.21249999999998</v>
      </c>
      <c r="AJ373" s="6">
        <f>SUM($AH$2:AH373)</f>
        <v>1783221.1363000027</v>
      </c>
      <c r="AK373" s="8">
        <f t="shared" si="6"/>
        <v>0.77625825721966857</v>
      </c>
      <c r="AL373">
        <v>2422.8240000000001</v>
      </c>
    </row>
    <row r="374" spans="33:38" x14ac:dyDescent="0.35">
      <c r="AG374" s="3" t="s">
        <v>881</v>
      </c>
      <c r="AH374" s="6">
        <v>2394.0249999999996</v>
      </c>
      <c r="AI374" s="6">
        <v>28.761200000000009</v>
      </c>
      <c r="AJ374" s="6">
        <f>SUM($AH$2:AH374)</f>
        <v>1785615.1613000026</v>
      </c>
      <c r="AK374" s="8">
        <f t="shared" si="6"/>
        <v>0.77730040596746564</v>
      </c>
      <c r="AL374">
        <v>2394.0249999999996</v>
      </c>
    </row>
    <row r="375" spans="33:38" x14ac:dyDescent="0.35">
      <c r="AG375" s="3" t="s">
        <v>760</v>
      </c>
      <c r="AH375" s="6">
        <v>2390.5340000000001</v>
      </c>
      <c r="AI375" s="6">
        <v>-259.30970000000002</v>
      </c>
      <c r="AJ375" s="6">
        <f>SUM($AH$2:AH375)</f>
        <v>1788005.6953000026</v>
      </c>
      <c r="AK375" s="8">
        <f t="shared" si="6"/>
        <v>0.77834103503970431</v>
      </c>
      <c r="AL375">
        <v>2390.5340000000001</v>
      </c>
    </row>
    <row r="376" spans="33:38" x14ac:dyDescent="0.35">
      <c r="AG376" s="3" t="s">
        <v>263</v>
      </c>
      <c r="AH376" s="6">
        <v>2374.6580000000004</v>
      </c>
      <c r="AI376" s="6">
        <v>621.23</v>
      </c>
      <c r="AJ376" s="6">
        <f>SUM($AH$2:AH376)</f>
        <v>1790380.3533000026</v>
      </c>
      <c r="AK376" s="8">
        <f t="shared" si="6"/>
        <v>0.77937475309241744</v>
      </c>
      <c r="AL376">
        <v>2374.6580000000004</v>
      </c>
    </row>
    <row r="377" spans="33:38" x14ac:dyDescent="0.35">
      <c r="AG377" s="3" t="s">
        <v>323</v>
      </c>
      <c r="AH377" s="6">
        <v>2372.7500000000005</v>
      </c>
      <c r="AI377" s="6">
        <v>497.70980000000003</v>
      </c>
      <c r="AJ377" s="6">
        <f>SUM($AH$2:AH377)</f>
        <v>1792753.1033000026</v>
      </c>
      <c r="AK377" s="8">
        <f t="shared" si="6"/>
        <v>0.78040764056908762</v>
      </c>
      <c r="AL377">
        <v>2372.7500000000005</v>
      </c>
    </row>
    <row r="378" spans="33:38" x14ac:dyDescent="0.35">
      <c r="AG378" s="3" t="s">
        <v>305</v>
      </c>
      <c r="AH378" s="6">
        <v>2371.4479999999999</v>
      </c>
      <c r="AI378" s="6">
        <v>635.63760000000002</v>
      </c>
      <c r="AJ378" s="6">
        <f>SUM($AH$2:AH378)</f>
        <v>1795124.5513000027</v>
      </c>
      <c r="AK378" s="8">
        <f t="shared" si="6"/>
        <v>0.78143996126902437</v>
      </c>
      <c r="AL378">
        <v>2371.4479999999999</v>
      </c>
    </row>
    <row r="379" spans="33:38" x14ac:dyDescent="0.35">
      <c r="AG379" s="3" t="s">
        <v>99</v>
      </c>
      <c r="AH379" s="6">
        <v>2370.3136</v>
      </c>
      <c r="AI379" s="6">
        <v>98.99749999999996</v>
      </c>
      <c r="AJ379" s="6">
        <f>SUM($AH$2:AH379)</f>
        <v>1797494.8649000027</v>
      </c>
      <c r="AK379" s="8">
        <f t="shared" si="6"/>
        <v>0.78247178815058427</v>
      </c>
      <c r="AL379">
        <v>2370.3136</v>
      </c>
    </row>
    <row r="380" spans="33:38" x14ac:dyDescent="0.35">
      <c r="AG380" s="3" t="s">
        <v>867</v>
      </c>
      <c r="AH380" s="6">
        <v>2367.277</v>
      </c>
      <c r="AI380" s="6">
        <v>-25.148799999999994</v>
      </c>
      <c r="AJ380" s="6">
        <f>SUM($AH$2:AH380)</f>
        <v>1799862.1419000027</v>
      </c>
      <c r="AK380" s="8">
        <f t="shared" si="6"/>
        <v>0.78350229316253639</v>
      </c>
      <c r="AL380">
        <v>2367.277</v>
      </c>
    </row>
    <row r="381" spans="33:38" x14ac:dyDescent="0.35">
      <c r="AG381" s="3" t="s">
        <v>228</v>
      </c>
      <c r="AH381" s="6">
        <v>2358.6759999999999</v>
      </c>
      <c r="AI381" s="6">
        <v>684.19110000000001</v>
      </c>
      <c r="AJ381" s="6">
        <f>SUM($AH$2:AH381)</f>
        <v>1802220.8179000027</v>
      </c>
      <c r="AK381" s="8">
        <f t="shared" si="6"/>
        <v>0.7845290540526102</v>
      </c>
      <c r="AL381">
        <v>2358.6759999999999</v>
      </c>
    </row>
    <row r="382" spans="33:38" x14ac:dyDescent="0.35">
      <c r="AG382" s="3" t="s">
        <v>184</v>
      </c>
      <c r="AH382" s="6">
        <v>2356.855</v>
      </c>
      <c r="AI382" s="6">
        <v>295.66679999999997</v>
      </c>
      <c r="AJ382" s="6">
        <f>SUM($AH$2:AH382)</f>
        <v>1804577.6729000027</v>
      </c>
      <c r="AK382" s="8">
        <f t="shared" si="6"/>
        <v>0.78555502223881934</v>
      </c>
      <c r="AL382">
        <v>2356.855</v>
      </c>
    </row>
    <row r="383" spans="33:38" x14ac:dyDescent="0.35">
      <c r="AG383" s="3" t="s">
        <v>751</v>
      </c>
      <c r="AH383" s="6">
        <v>2353.5859999999998</v>
      </c>
      <c r="AI383" s="6">
        <v>229.00990000000002</v>
      </c>
      <c r="AJ383" s="6">
        <f>SUM($AH$2:AH383)</f>
        <v>1806931.2589000026</v>
      </c>
      <c r="AK383" s="8">
        <f t="shared" si="6"/>
        <v>0.78657956738882095</v>
      </c>
      <c r="AL383">
        <v>2353.5859999999998</v>
      </c>
    </row>
    <row r="384" spans="33:38" x14ac:dyDescent="0.35">
      <c r="AG384" s="3" t="s">
        <v>120</v>
      </c>
      <c r="AH384" s="6">
        <v>2350.1880000000001</v>
      </c>
      <c r="AI384" s="6">
        <v>25.888599999999986</v>
      </c>
      <c r="AJ384" s="6">
        <f>SUM($AH$2:AH384)</f>
        <v>1809281.4469000027</v>
      </c>
      <c r="AK384" s="8">
        <f t="shared" si="6"/>
        <v>0.78760263334731673</v>
      </c>
      <c r="AL384">
        <v>2350.1880000000001</v>
      </c>
    </row>
    <row r="385" spans="33:38" x14ac:dyDescent="0.35">
      <c r="AG385" s="3" t="s">
        <v>374</v>
      </c>
      <c r="AH385" s="6">
        <v>2341.2960000000003</v>
      </c>
      <c r="AI385" s="6">
        <v>711.6167999999999</v>
      </c>
      <c r="AJ385" s="6">
        <f>SUM($AH$2:AH385)</f>
        <v>1811622.7429000027</v>
      </c>
      <c r="AK385" s="8">
        <f t="shared" si="6"/>
        <v>0.7886218285080282</v>
      </c>
      <c r="AL385">
        <v>2341.2960000000003</v>
      </c>
    </row>
    <row r="386" spans="33:38" x14ac:dyDescent="0.35">
      <c r="AG386" s="3" t="s">
        <v>711</v>
      </c>
      <c r="AH386" s="6">
        <v>2339.598</v>
      </c>
      <c r="AI386" s="6">
        <v>682.55419999999992</v>
      </c>
      <c r="AJ386" s="6">
        <f>SUM($AH$2:AH386)</f>
        <v>1813962.3409000027</v>
      </c>
      <c r="AK386" s="8">
        <f t="shared" si="6"/>
        <v>0.78964028450829904</v>
      </c>
      <c r="AL386">
        <v>2339.598</v>
      </c>
    </row>
    <row r="387" spans="33:38" x14ac:dyDescent="0.35">
      <c r="AG387" s="3" t="s">
        <v>280</v>
      </c>
      <c r="AH387" s="6">
        <v>2332.5770000000002</v>
      </c>
      <c r="AI387" s="6">
        <v>169.96789999999999</v>
      </c>
      <c r="AJ387" s="6">
        <f>SUM($AH$2:AH387)</f>
        <v>1816294.9179000028</v>
      </c>
      <c r="AK387" s="8">
        <f t="shared" ref="AK387:AK450" si="7">AJ387/$AH$795</f>
        <v>0.7906556841802701</v>
      </c>
      <c r="AL387">
        <v>2332.5770000000002</v>
      </c>
    </row>
    <row r="388" spans="33:38" x14ac:dyDescent="0.35">
      <c r="AG388" s="3" t="s">
        <v>739</v>
      </c>
      <c r="AH388" s="6">
        <v>2305.712</v>
      </c>
      <c r="AI388" s="6">
        <v>365.03870000000001</v>
      </c>
      <c r="AJ388" s="6">
        <f>SUM($AH$2:AH388)</f>
        <v>1818600.6299000029</v>
      </c>
      <c r="AK388" s="8">
        <f t="shared" si="7"/>
        <v>0.79165938918484635</v>
      </c>
      <c r="AL388">
        <v>2305.712</v>
      </c>
    </row>
    <row r="389" spans="33:38" x14ac:dyDescent="0.35">
      <c r="AG389" s="3" t="s">
        <v>216</v>
      </c>
      <c r="AH389" s="6">
        <v>2302.3680000000004</v>
      </c>
      <c r="AI389" s="6">
        <v>-405.35590000000013</v>
      </c>
      <c r="AJ389" s="6">
        <f>SUM($AH$2:AH389)</f>
        <v>1820902.9979000029</v>
      </c>
      <c r="AK389" s="8">
        <f t="shared" si="7"/>
        <v>0.79266163850478577</v>
      </c>
      <c r="AL389">
        <v>2302.3680000000004</v>
      </c>
    </row>
    <row r="390" spans="33:38" x14ac:dyDescent="0.35">
      <c r="AG390" s="3" t="s">
        <v>60</v>
      </c>
      <c r="AH390" s="6">
        <v>2295.3320000000003</v>
      </c>
      <c r="AI390" s="6">
        <v>526.07269999999994</v>
      </c>
      <c r="AJ390" s="6">
        <f>SUM($AH$2:AH390)</f>
        <v>1823198.3299000028</v>
      </c>
      <c r="AK390" s="8">
        <f t="shared" si="7"/>
        <v>0.7936608249667394</v>
      </c>
      <c r="AL390">
        <v>2295.3320000000003</v>
      </c>
    </row>
    <row r="391" spans="33:38" x14ac:dyDescent="0.35">
      <c r="AG391" s="3" t="s">
        <v>714</v>
      </c>
      <c r="AH391" s="6">
        <v>2280.5800000000004</v>
      </c>
      <c r="AI391" s="6">
        <v>329.76249999999999</v>
      </c>
      <c r="AJ391" s="6">
        <f>SUM($AH$2:AH391)</f>
        <v>1825478.9099000029</v>
      </c>
      <c r="AK391" s="8">
        <f t="shared" si="7"/>
        <v>0.79465358970029532</v>
      </c>
      <c r="AL391">
        <v>2280.5800000000004</v>
      </c>
    </row>
    <row r="392" spans="33:38" x14ac:dyDescent="0.35">
      <c r="AG392" s="3" t="s">
        <v>532</v>
      </c>
      <c r="AH392" s="6">
        <v>2279.5860000000002</v>
      </c>
      <c r="AI392" s="6">
        <v>575.1259</v>
      </c>
      <c r="AJ392" s="6">
        <f>SUM($AH$2:AH392)</f>
        <v>1827758.4959000028</v>
      </c>
      <c r="AK392" s="8">
        <f t="shared" si="7"/>
        <v>0.79564592173333404</v>
      </c>
      <c r="AL392">
        <v>2279.5860000000002</v>
      </c>
    </row>
    <row r="393" spans="33:38" x14ac:dyDescent="0.35">
      <c r="AG393" s="3" t="s">
        <v>761</v>
      </c>
      <c r="AH393" s="6">
        <v>2271.2840000000001</v>
      </c>
      <c r="AI393" s="6">
        <v>706.2890000000001</v>
      </c>
      <c r="AJ393" s="6">
        <f>SUM($AH$2:AH393)</f>
        <v>1830029.7799000028</v>
      </c>
      <c r="AK393" s="8">
        <f t="shared" si="7"/>
        <v>0.7966346398028995</v>
      </c>
      <c r="AL393">
        <v>2271.2840000000001</v>
      </c>
    </row>
    <row r="394" spans="33:38" x14ac:dyDescent="0.35">
      <c r="AG394" s="3" t="s">
        <v>175</v>
      </c>
      <c r="AH394" s="6">
        <v>2269.7015000000006</v>
      </c>
      <c r="AI394" s="6">
        <v>187.8399</v>
      </c>
      <c r="AJ394" s="6">
        <f>SUM($AH$2:AH394)</f>
        <v>1832299.4814000027</v>
      </c>
      <c r="AK394" s="8">
        <f t="shared" si="7"/>
        <v>0.79762266899060563</v>
      </c>
      <c r="AL394">
        <v>2269.7015000000006</v>
      </c>
    </row>
    <row r="395" spans="33:38" x14ac:dyDescent="0.35">
      <c r="AG395" s="3" t="s">
        <v>757</v>
      </c>
      <c r="AH395" s="6">
        <v>2261.4380000000001</v>
      </c>
      <c r="AI395" s="6">
        <v>755.91509999999994</v>
      </c>
      <c r="AJ395" s="6">
        <f>SUM($AH$2:AH395)</f>
        <v>1834560.9194000028</v>
      </c>
      <c r="AK395" s="8">
        <f t="shared" si="7"/>
        <v>0.79860710097436549</v>
      </c>
      <c r="AL395">
        <v>2261.4380000000001</v>
      </c>
    </row>
    <row r="396" spans="33:38" x14ac:dyDescent="0.35">
      <c r="AG396" s="3" t="s">
        <v>456</v>
      </c>
      <c r="AH396" s="6">
        <v>2260.9579999999996</v>
      </c>
      <c r="AI396" s="6">
        <v>635.10570000000007</v>
      </c>
      <c r="AJ396" s="6">
        <f>SUM($AH$2:AH396)</f>
        <v>1836821.8774000029</v>
      </c>
      <c r="AK396" s="8">
        <f t="shared" si="7"/>
        <v>0.79959132400817756</v>
      </c>
      <c r="AL396">
        <v>2260.9579999999996</v>
      </c>
    </row>
    <row r="397" spans="33:38" x14ac:dyDescent="0.35">
      <c r="AG397" s="3" t="s">
        <v>281</v>
      </c>
      <c r="AH397" s="6">
        <v>2258.192</v>
      </c>
      <c r="AI397" s="6">
        <v>195.4486</v>
      </c>
      <c r="AJ397" s="6">
        <f>SUM($AH$2:AH397)</f>
        <v>1839080.0694000029</v>
      </c>
      <c r="AK397" s="8">
        <f t="shared" si="7"/>
        <v>0.80057434296791496</v>
      </c>
      <c r="AL397">
        <v>2258.192</v>
      </c>
    </row>
    <row r="398" spans="33:38" x14ac:dyDescent="0.35">
      <c r="AG398" s="3" t="s">
        <v>515</v>
      </c>
      <c r="AH398" s="6">
        <v>2256.3940000000002</v>
      </c>
      <c r="AI398" s="6">
        <v>-96.953000000000017</v>
      </c>
      <c r="AJ398" s="6">
        <f>SUM($AH$2:AH398)</f>
        <v>1841336.463400003</v>
      </c>
      <c r="AK398" s="8">
        <f t="shared" si="7"/>
        <v>0.80155657923597279</v>
      </c>
      <c r="AL398">
        <v>2256.3940000000002</v>
      </c>
    </row>
    <row r="399" spans="33:38" x14ac:dyDescent="0.35">
      <c r="AG399" s="3" t="s">
        <v>273</v>
      </c>
      <c r="AH399" s="6">
        <v>2254.2849999999994</v>
      </c>
      <c r="AI399" s="6">
        <v>319.12109999999996</v>
      </c>
      <c r="AJ399" s="6">
        <f>SUM($AH$2:AH399)</f>
        <v>1843590.748400003</v>
      </c>
      <c r="AK399" s="8">
        <f t="shared" si="7"/>
        <v>0.80253789743019699</v>
      </c>
      <c r="AL399">
        <v>2254.2849999999994</v>
      </c>
    </row>
    <row r="400" spans="33:38" x14ac:dyDescent="0.35">
      <c r="AG400" s="3" t="s">
        <v>736</v>
      </c>
      <c r="AH400" s="6">
        <v>2243.5099999999998</v>
      </c>
      <c r="AI400" s="6">
        <v>539.72190000000001</v>
      </c>
      <c r="AJ400" s="6">
        <f>SUM($AH$2:AH400)</f>
        <v>1845834.258400003</v>
      </c>
      <c r="AK400" s="8">
        <f t="shared" si="7"/>
        <v>0.80351452513340393</v>
      </c>
      <c r="AL400">
        <v>2243.5099999999998</v>
      </c>
    </row>
    <row r="401" spans="33:38" x14ac:dyDescent="0.35">
      <c r="AG401" s="3" t="s">
        <v>814</v>
      </c>
      <c r="AH401" s="6">
        <v>2243.2739999999999</v>
      </c>
      <c r="AI401" s="6">
        <v>11.377899999999997</v>
      </c>
      <c r="AJ401" s="6">
        <f>SUM($AH$2:AH401)</f>
        <v>1848077.5324000029</v>
      </c>
      <c r="AK401" s="8">
        <f t="shared" si="7"/>
        <v>0.80449105010288668</v>
      </c>
      <c r="AL401">
        <v>2243.2739999999999</v>
      </c>
    </row>
    <row r="402" spans="33:38" x14ac:dyDescent="0.35">
      <c r="AG402" s="3" t="s">
        <v>797</v>
      </c>
      <c r="AH402" s="6">
        <v>2240.5800000000004</v>
      </c>
      <c r="AI402" s="6">
        <v>3.7975999999999992</v>
      </c>
      <c r="AJ402" s="6">
        <f>SUM($AH$2:AH402)</f>
        <v>1850318.112400003</v>
      </c>
      <c r="AK402" s="8">
        <f t="shared" si="7"/>
        <v>0.80546640234078692</v>
      </c>
      <c r="AL402">
        <v>2240.5800000000004</v>
      </c>
    </row>
    <row r="403" spans="33:38" x14ac:dyDescent="0.35">
      <c r="AG403" s="3" t="s">
        <v>521</v>
      </c>
      <c r="AH403" s="6">
        <v>2238.0609999999997</v>
      </c>
      <c r="AI403" s="6">
        <v>32.576700000000031</v>
      </c>
      <c r="AJ403" s="6">
        <f>SUM($AH$2:AH403)</f>
        <v>1852556.173400003</v>
      </c>
      <c r="AK403" s="8">
        <f t="shared" si="7"/>
        <v>0.80644065802677323</v>
      </c>
      <c r="AL403">
        <v>2238.0609999999997</v>
      </c>
    </row>
    <row r="404" spans="33:38" x14ac:dyDescent="0.35">
      <c r="AG404" s="3" t="s">
        <v>220</v>
      </c>
      <c r="AH404" s="6">
        <v>2236.1280000000002</v>
      </c>
      <c r="AI404" s="6">
        <v>-98.764599999999973</v>
      </c>
      <c r="AJ404" s="6">
        <f>SUM($AH$2:AH404)</f>
        <v>1854792.301400003</v>
      </c>
      <c r="AK404" s="8">
        <f t="shared" si="7"/>
        <v>0.80741407225390704</v>
      </c>
      <c r="AL404">
        <v>2236.1280000000002</v>
      </c>
    </row>
    <row r="405" spans="33:38" x14ac:dyDescent="0.35">
      <c r="AG405" s="3" t="s">
        <v>105</v>
      </c>
      <c r="AH405" s="6">
        <v>2224.0000000000009</v>
      </c>
      <c r="AI405" s="6">
        <v>12.698499999999994</v>
      </c>
      <c r="AJ405" s="6">
        <f>SUM($AH$2:AH405)</f>
        <v>1857016.301400003</v>
      </c>
      <c r="AK405" s="8">
        <f t="shared" si="7"/>
        <v>0.80838220701235808</v>
      </c>
      <c r="AL405">
        <v>2224.0000000000009</v>
      </c>
    </row>
    <row r="406" spans="33:38" x14ac:dyDescent="0.35">
      <c r="AG406" s="3" t="s">
        <v>834</v>
      </c>
      <c r="AH406" s="6">
        <v>2218.9899999999998</v>
      </c>
      <c r="AI406" s="6">
        <v>-2204.8072000000002</v>
      </c>
      <c r="AJ406" s="6">
        <f>SUM($AH$2:AH406)</f>
        <v>1859235.291400003</v>
      </c>
      <c r="AK406" s="8">
        <f t="shared" si="7"/>
        <v>0.80934816085572825</v>
      </c>
      <c r="AL406">
        <v>2218.9899999999998</v>
      </c>
    </row>
    <row r="407" spans="33:38" x14ac:dyDescent="0.35">
      <c r="AG407" s="3" t="s">
        <v>594</v>
      </c>
      <c r="AH407" s="6">
        <v>2218.98</v>
      </c>
      <c r="AI407" s="6">
        <v>-64.166799999999995</v>
      </c>
      <c r="AJ407" s="6">
        <f>SUM($AH$2:AH407)</f>
        <v>1861454.271400003</v>
      </c>
      <c r="AK407" s="8">
        <f t="shared" si="7"/>
        <v>0.81031411034597445</v>
      </c>
      <c r="AL407">
        <v>2218.98</v>
      </c>
    </row>
    <row r="408" spans="33:38" x14ac:dyDescent="0.35">
      <c r="AG408" s="3" t="s">
        <v>403</v>
      </c>
      <c r="AH408" s="6">
        <v>2215.002</v>
      </c>
      <c r="AI408" s="6">
        <v>563.17610000000002</v>
      </c>
      <c r="AJ408" s="6">
        <f>SUM($AH$2:AH408)</f>
        <v>1863669.2734000031</v>
      </c>
      <c r="AK408" s="8">
        <f t="shared" si="7"/>
        <v>0.81127832816352774</v>
      </c>
      <c r="AL408">
        <v>2215.002</v>
      </c>
    </row>
    <row r="409" spans="33:38" x14ac:dyDescent="0.35">
      <c r="AG409" s="3" t="s">
        <v>510</v>
      </c>
      <c r="AH409" s="6">
        <v>2206.1279999999997</v>
      </c>
      <c r="AI409" s="6">
        <v>591.31179999999995</v>
      </c>
      <c r="AJ409" s="6">
        <f>SUM($AH$2:AH409)</f>
        <v>1865875.4014000031</v>
      </c>
      <c r="AK409" s="8">
        <f t="shared" si="7"/>
        <v>0.81223868301891988</v>
      </c>
      <c r="AL409">
        <v>2206.1279999999997</v>
      </c>
    </row>
    <row r="410" spans="33:38" x14ac:dyDescent="0.35">
      <c r="AG410" s="3" t="s">
        <v>259</v>
      </c>
      <c r="AH410" s="6">
        <v>2203.7780000000002</v>
      </c>
      <c r="AI410" s="6">
        <v>238.56139999999999</v>
      </c>
      <c r="AJ410" s="6">
        <f>SUM($AH$2:AH410)</f>
        <v>1868079.179400003</v>
      </c>
      <c r="AK410" s="8">
        <f t="shared" si="7"/>
        <v>0.81319801489019217</v>
      </c>
      <c r="AL410">
        <v>2203.7780000000002</v>
      </c>
    </row>
    <row r="411" spans="33:38" x14ac:dyDescent="0.35">
      <c r="AG411" s="3" t="s">
        <v>636</v>
      </c>
      <c r="AH411" s="6">
        <v>2203.6999999999998</v>
      </c>
      <c r="AI411" s="6">
        <v>54.517400000000031</v>
      </c>
      <c r="AJ411" s="6">
        <f>SUM($AH$2:AH411)</f>
        <v>1870282.879400003</v>
      </c>
      <c r="AK411" s="8">
        <f t="shared" si="7"/>
        <v>0.81415731280709791</v>
      </c>
      <c r="AL411">
        <v>2203.6999999999998</v>
      </c>
    </row>
    <row r="412" spans="33:38" x14ac:dyDescent="0.35">
      <c r="AG412" s="3" t="s">
        <v>424</v>
      </c>
      <c r="AH412" s="6">
        <v>2201.6859999999997</v>
      </c>
      <c r="AI412" s="6">
        <v>452.37300000000005</v>
      </c>
      <c r="AJ412" s="6">
        <f>SUM($AH$2:AH412)</f>
        <v>1872484.565400003</v>
      </c>
      <c r="AK412" s="8">
        <f t="shared" si="7"/>
        <v>0.81511573400484749</v>
      </c>
      <c r="AL412">
        <v>2201.6859999999997</v>
      </c>
    </row>
    <row r="413" spans="33:38" x14ac:dyDescent="0.35">
      <c r="AG413" s="3" t="s">
        <v>740</v>
      </c>
      <c r="AH413" s="6">
        <v>2199.366</v>
      </c>
      <c r="AI413" s="6">
        <v>496.11309999999997</v>
      </c>
      <c r="AJ413" s="6">
        <f>SUM($AH$2:AH413)</f>
        <v>1874683.9314000029</v>
      </c>
      <c r="AK413" s="8">
        <f t="shared" si="7"/>
        <v>0.81607314527784902</v>
      </c>
      <c r="AL413">
        <v>2199.366</v>
      </c>
    </row>
    <row r="414" spans="33:38" x14ac:dyDescent="0.35">
      <c r="AG414" s="3" t="s">
        <v>606</v>
      </c>
      <c r="AH414" s="6">
        <v>2198.4499999999998</v>
      </c>
      <c r="AI414" s="6">
        <v>490.95669999999996</v>
      </c>
      <c r="AJ414" s="6">
        <f>SUM($AH$2:AH414)</f>
        <v>1876882.3814000029</v>
      </c>
      <c r="AK414" s="8">
        <f t="shared" si="7"/>
        <v>0.8170301578046999</v>
      </c>
      <c r="AL414">
        <v>2198.4499999999998</v>
      </c>
    </row>
    <row r="415" spans="33:38" x14ac:dyDescent="0.35">
      <c r="AG415" s="3" t="s">
        <v>641</v>
      </c>
      <c r="AH415" s="6">
        <v>2189.0190000000007</v>
      </c>
      <c r="AI415" s="6">
        <v>-268.54229999999995</v>
      </c>
      <c r="AJ415" s="6">
        <f>SUM($AH$2:AH415)</f>
        <v>1879071.400400003</v>
      </c>
      <c r="AK415" s="8">
        <f t="shared" si="7"/>
        <v>0.81798306490038775</v>
      </c>
      <c r="AL415">
        <v>2189.0190000000007</v>
      </c>
    </row>
    <row r="416" spans="33:38" x14ac:dyDescent="0.35">
      <c r="AG416" s="3" t="s">
        <v>478</v>
      </c>
      <c r="AH416" s="6">
        <v>2186.6130000000003</v>
      </c>
      <c r="AI416" s="6">
        <v>257.91629999999998</v>
      </c>
      <c r="AJ416" s="6">
        <f>SUM($AH$2:AH416)</f>
        <v>1881258.0134000028</v>
      </c>
      <c r="AK416" s="8">
        <f t="shared" si="7"/>
        <v>0.81893492463446182</v>
      </c>
      <c r="AL416">
        <v>2186.6130000000003</v>
      </c>
    </row>
    <row r="417" spans="33:38" x14ac:dyDescent="0.35">
      <c r="AG417" s="3" t="s">
        <v>616</v>
      </c>
      <c r="AH417" s="6">
        <v>2181.4789999999998</v>
      </c>
      <c r="AI417" s="6">
        <v>-134.44099999999997</v>
      </c>
      <c r="AJ417" s="6">
        <f>SUM($AH$2:AH417)</f>
        <v>1883439.4924000029</v>
      </c>
      <c r="AK417" s="8">
        <f t="shared" si="7"/>
        <v>0.81988454947471856</v>
      </c>
      <c r="AL417">
        <v>2181.4789999999998</v>
      </c>
    </row>
    <row r="418" spans="33:38" x14ac:dyDescent="0.35">
      <c r="AG418" s="3" t="s">
        <v>191</v>
      </c>
      <c r="AH418" s="6">
        <v>2180.7179999999998</v>
      </c>
      <c r="AI418" s="6">
        <v>-144.52289999999999</v>
      </c>
      <c r="AJ418" s="6">
        <f>SUM($AH$2:AH418)</f>
        <v>1885620.210400003</v>
      </c>
      <c r="AK418" s="8">
        <f t="shared" si="7"/>
        <v>0.82083384304224549</v>
      </c>
      <c r="AL418">
        <v>2180.7179999999998</v>
      </c>
    </row>
    <row r="419" spans="33:38" x14ac:dyDescent="0.35">
      <c r="AG419" s="3" t="s">
        <v>741</v>
      </c>
      <c r="AH419" s="6">
        <v>2171.962</v>
      </c>
      <c r="AI419" s="6">
        <v>114.30830000000002</v>
      </c>
      <c r="AJ419" s="6">
        <f>SUM($AH$2:AH419)</f>
        <v>1887792.1724000031</v>
      </c>
      <c r="AK419" s="8">
        <f t="shared" si="7"/>
        <v>0.82177932501447348</v>
      </c>
      <c r="AL419">
        <v>2171.962</v>
      </c>
    </row>
    <row r="420" spans="33:38" x14ac:dyDescent="0.35">
      <c r="AG420" s="3" t="s">
        <v>733</v>
      </c>
      <c r="AH420" s="6">
        <v>2171.5990000000002</v>
      </c>
      <c r="AI420" s="6">
        <v>431.37479999999988</v>
      </c>
      <c r="AJ420" s="6">
        <f>SUM($AH$2:AH420)</f>
        <v>1889963.771400003</v>
      </c>
      <c r="AK420" s="8">
        <f t="shared" si="7"/>
        <v>0.82272464896830322</v>
      </c>
      <c r="AL420">
        <v>2171.5990000000002</v>
      </c>
    </row>
    <row r="421" spans="33:38" x14ac:dyDescent="0.35">
      <c r="AG421" s="3" t="s">
        <v>629</v>
      </c>
      <c r="AH421" s="6">
        <v>2170.7160000000008</v>
      </c>
      <c r="AI421" s="6">
        <v>594.58680000000004</v>
      </c>
      <c r="AJ421" s="6">
        <f>SUM($AH$2:AH421)</f>
        <v>1892134.487400003</v>
      </c>
      <c r="AK421" s="8">
        <f t="shared" si="7"/>
        <v>0.82366958854129135</v>
      </c>
      <c r="AL421">
        <v>2170.7160000000008</v>
      </c>
    </row>
    <row r="422" spans="33:38" x14ac:dyDescent="0.35">
      <c r="AG422" s="3" t="s">
        <v>469</v>
      </c>
      <c r="AH422" s="6">
        <v>2163.6240000000003</v>
      </c>
      <c r="AI422" s="6">
        <v>260.87439999999998</v>
      </c>
      <c r="AJ422" s="6">
        <f>SUM($AH$2:AH422)</f>
        <v>1894298.1114000031</v>
      </c>
      <c r="AK422" s="8">
        <f t="shared" si="7"/>
        <v>0.8246114408787999</v>
      </c>
      <c r="AL422">
        <v>2163.6240000000003</v>
      </c>
    </row>
    <row r="423" spans="33:38" x14ac:dyDescent="0.35">
      <c r="AG423" s="3" t="s">
        <v>550</v>
      </c>
      <c r="AH423" s="6">
        <v>2163.3000000000002</v>
      </c>
      <c r="AI423" s="6">
        <v>270.85739999999998</v>
      </c>
      <c r="AJ423" s="6">
        <f>SUM($AH$2:AH423)</f>
        <v>1896461.4114000031</v>
      </c>
      <c r="AK423" s="8">
        <f t="shared" si="7"/>
        <v>0.82555315217509351</v>
      </c>
      <c r="AL423">
        <v>2163.3000000000002</v>
      </c>
    </row>
    <row r="424" spans="33:38" x14ac:dyDescent="0.35">
      <c r="AG424" s="3" t="s">
        <v>833</v>
      </c>
      <c r="AH424" s="6">
        <v>2162.174</v>
      </c>
      <c r="AI424" s="6">
        <v>387.01760000000002</v>
      </c>
      <c r="AJ424" s="6">
        <f>SUM($AH$2:AH424)</f>
        <v>1898623.5854000032</v>
      </c>
      <c r="AK424" s="8">
        <f t="shared" si="7"/>
        <v>0.8264943733096346</v>
      </c>
      <c r="AL424">
        <v>2162.174</v>
      </c>
    </row>
    <row r="425" spans="33:38" x14ac:dyDescent="0.35">
      <c r="AG425" s="3" t="s">
        <v>484</v>
      </c>
      <c r="AH425" s="6">
        <v>2161.9790000000003</v>
      </c>
      <c r="AI425" s="6">
        <v>788.95249999999999</v>
      </c>
      <c r="AJ425" s="6">
        <f>SUM($AH$2:AH425)</f>
        <v>1900785.5644000033</v>
      </c>
      <c r="AK425" s="8">
        <f t="shared" si="7"/>
        <v>0.82743550955825917</v>
      </c>
      <c r="AL425">
        <v>2161.9790000000003</v>
      </c>
    </row>
    <row r="426" spans="33:38" x14ac:dyDescent="0.35">
      <c r="AG426" s="3" t="s">
        <v>574</v>
      </c>
      <c r="AH426" s="6">
        <v>2152.3520000000003</v>
      </c>
      <c r="AI426" s="6">
        <v>-266.55250000000001</v>
      </c>
      <c r="AJ426" s="6">
        <f>SUM($AH$2:AH426)</f>
        <v>1902937.9164000032</v>
      </c>
      <c r="AK426" s="8">
        <f t="shared" si="7"/>
        <v>0.82837245505449186</v>
      </c>
      <c r="AL426">
        <v>2152.3520000000003</v>
      </c>
    </row>
    <row r="427" spans="33:38" x14ac:dyDescent="0.35">
      <c r="AG427" s="3" t="s">
        <v>722</v>
      </c>
      <c r="AH427" s="6">
        <v>2148.8519999999999</v>
      </c>
      <c r="AI427" s="6">
        <v>74.401300000000006</v>
      </c>
      <c r="AJ427" s="6">
        <f>SUM($AH$2:AH427)</f>
        <v>1905086.7684000032</v>
      </c>
      <c r="AK427" s="8">
        <f t="shared" si="7"/>
        <v>0.82930787695735475</v>
      </c>
      <c r="AL427">
        <v>2148.8519999999999</v>
      </c>
    </row>
    <row r="428" spans="33:38" x14ac:dyDescent="0.35">
      <c r="AG428" s="3" t="s">
        <v>80</v>
      </c>
      <c r="AH428" s="6">
        <v>2139.7900000000004</v>
      </c>
      <c r="AI428" s="6">
        <v>540.54050000000007</v>
      </c>
      <c r="AJ428" s="6">
        <f>SUM($AH$2:AH428)</f>
        <v>1907226.5584000032</v>
      </c>
      <c r="AK428" s="8">
        <f t="shared" si="7"/>
        <v>0.83023935405932681</v>
      </c>
      <c r="AL428">
        <v>2139.7900000000004</v>
      </c>
    </row>
    <row r="429" spans="33:38" x14ac:dyDescent="0.35">
      <c r="AG429" s="3" t="s">
        <v>436</v>
      </c>
      <c r="AH429" s="6">
        <v>2120.9540000000002</v>
      </c>
      <c r="AI429" s="6">
        <v>846.12170000000003</v>
      </c>
      <c r="AJ429" s="6">
        <f>SUM($AH$2:AH429)</f>
        <v>1909347.5124000032</v>
      </c>
      <c r="AK429" s="8">
        <f t="shared" si="7"/>
        <v>0.83116263161709458</v>
      </c>
      <c r="AL429">
        <v>2120.9540000000002</v>
      </c>
    </row>
    <row r="430" spans="33:38" x14ac:dyDescent="0.35">
      <c r="AG430" s="3" t="s">
        <v>857</v>
      </c>
      <c r="AH430" s="6">
        <v>2096.3919999999998</v>
      </c>
      <c r="AI430" s="6">
        <v>260.62580000000003</v>
      </c>
      <c r="AJ430" s="6">
        <f>SUM($AH$2:AH430)</f>
        <v>1911443.9044000031</v>
      </c>
      <c r="AK430" s="8">
        <f t="shared" si="7"/>
        <v>0.83207521703190512</v>
      </c>
      <c r="AL430">
        <v>2096.3919999999998</v>
      </c>
    </row>
    <row r="431" spans="33:38" x14ac:dyDescent="0.35">
      <c r="AG431" s="3" t="s">
        <v>816</v>
      </c>
      <c r="AH431" s="6">
        <v>2095.0639999999999</v>
      </c>
      <c r="AI431" s="6">
        <v>86.777999999999992</v>
      </c>
      <c r="AJ431" s="6">
        <f>SUM($AH$2:AH431)</f>
        <v>1913538.9684000032</v>
      </c>
      <c r="AK431" s="8">
        <f t="shared" si="7"/>
        <v>0.8329872243518599</v>
      </c>
      <c r="AL431">
        <v>2095.0639999999999</v>
      </c>
    </row>
    <row r="432" spans="33:38" x14ac:dyDescent="0.35">
      <c r="AG432" s="3" t="s">
        <v>685</v>
      </c>
      <c r="AH432" s="6">
        <v>2085.7400000000002</v>
      </c>
      <c r="AI432" s="6">
        <v>172.62609999999998</v>
      </c>
      <c r="AJ432" s="6">
        <f>SUM($AH$2:AH432)</f>
        <v>1915624.7084000031</v>
      </c>
      <c r="AK432" s="8">
        <f t="shared" si="7"/>
        <v>0.83389517281907743</v>
      </c>
      <c r="AL432">
        <v>2085.7400000000002</v>
      </c>
    </row>
    <row r="433" spans="33:38" x14ac:dyDescent="0.35">
      <c r="AG433" s="3" t="s">
        <v>307</v>
      </c>
      <c r="AH433" s="6">
        <v>2074.6610000000001</v>
      </c>
      <c r="AI433" s="6">
        <v>365.72050000000002</v>
      </c>
      <c r="AJ433" s="6">
        <f>SUM($AH$2:AH433)</f>
        <v>1917699.3694000032</v>
      </c>
      <c r="AK433" s="8">
        <f t="shared" si="7"/>
        <v>0.83479829846031062</v>
      </c>
      <c r="AL433">
        <v>2074.6610000000001</v>
      </c>
    </row>
    <row r="434" spans="33:38" x14ac:dyDescent="0.35">
      <c r="AG434" s="3" t="s">
        <v>626</v>
      </c>
      <c r="AH434" s="6">
        <v>2071.9140000000002</v>
      </c>
      <c r="AI434" s="6">
        <v>409.51119999999997</v>
      </c>
      <c r="AJ434" s="6">
        <f>SUM($AH$2:AH434)</f>
        <v>1919771.2834000033</v>
      </c>
      <c r="AK434" s="8">
        <f t="shared" si="7"/>
        <v>0.83570022829840485</v>
      </c>
      <c r="AL434">
        <v>2071.9140000000002</v>
      </c>
    </row>
    <row r="435" spans="33:38" x14ac:dyDescent="0.35">
      <c r="AG435" s="3" t="s">
        <v>88</v>
      </c>
      <c r="AH435" s="6">
        <v>2067.4499999999998</v>
      </c>
      <c r="AI435" s="6">
        <v>243.07549999999998</v>
      </c>
      <c r="AJ435" s="6">
        <f>SUM($AH$2:AH435)</f>
        <v>1921838.7334000033</v>
      </c>
      <c r="AK435" s="8">
        <f t="shared" si="7"/>
        <v>0.83660021490198366</v>
      </c>
      <c r="AL435">
        <v>2067.4499999999998</v>
      </c>
    </row>
    <row r="436" spans="33:38" x14ac:dyDescent="0.35">
      <c r="AG436" s="3" t="s">
        <v>865</v>
      </c>
      <c r="AH436" s="6">
        <v>2054.14</v>
      </c>
      <c r="AI436" s="6">
        <v>48.701699999999988</v>
      </c>
      <c r="AJ436" s="6">
        <f>SUM($AH$2:AH436)</f>
        <v>1923892.8734000032</v>
      </c>
      <c r="AK436" s="8">
        <f t="shared" si="7"/>
        <v>0.83749440749763315</v>
      </c>
      <c r="AL436">
        <v>2054.14</v>
      </c>
    </row>
    <row r="437" spans="33:38" x14ac:dyDescent="0.35">
      <c r="AG437" s="3" t="s">
        <v>679</v>
      </c>
      <c r="AH437" s="6">
        <v>2052.9080000000004</v>
      </c>
      <c r="AI437" s="6">
        <v>317.97120000000001</v>
      </c>
      <c r="AJ437" s="6">
        <f>SUM($AH$2:AH437)</f>
        <v>1925945.7814000032</v>
      </c>
      <c r="AK437" s="8">
        <f t="shared" si="7"/>
        <v>0.83838806378841657</v>
      </c>
      <c r="AL437">
        <v>2052.9080000000004</v>
      </c>
    </row>
    <row r="438" spans="33:38" x14ac:dyDescent="0.35">
      <c r="AG438" s="3" t="s">
        <v>389</v>
      </c>
      <c r="AH438" s="6">
        <v>2033.9680000000001</v>
      </c>
      <c r="AI438" s="6">
        <v>426.661</v>
      </c>
      <c r="AJ438" s="6">
        <f>SUM($AH$2:AH438)</f>
        <v>1927979.7494000033</v>
      </c>
      <c r="AK438" s="8">
        <f t="shared" si="7"/>
        <v>0.83927347526250706</v>
      </c>
      <c r="AL438">
        <v>2033.9680000000001</v>
      </c>
    </row>
    <row r="439" spans="33:38" x14ac:dyDescent="0.35">
      <c r="AG439" s="3" t="s">
        <v>467</v>
      </c>
      <c r="AH439" s="6">
        <v>2031.472</v>
      </c>
      <c r="AI439" s="6">
        <v>388.2131</v>
      </c>
      <c r="AJ439" s="6">
        <f>SUM($AH$2:AH439)</f>
        <v>1930011.2214000034</v>
      </c>
      <c r="AK439" s="8">
        <f t="shared" si="7"/>
        <v>0.84015780019686859</v>
      </c>
      <c r="AL439">
        <v>2031.472</v>
      </c>
    </row>
    <row r="440" spans="33:38" x14ac:dyDescent="0.35">
      <c r="AG440" s="3" t="s">
        <v>330</v>
      </c>
      <c r="AH440" s="6">
        <v>2012.5200000000002</v>
      </c>
      <c r="AI440" s="6">
        <v>483.03500000000003</v>
      </c>
      <c r="AJ440" s="6">
        <f>SUM($AH$2:AH440)</f>
        <v>1932023.7414000034</v>
      </c>
      <c r="AK440" s="8">
        <f t="shared" si="7"/>
        <v>0.84103387509078842</v>
      </c>
      <c r="AL440">
        <v>2012.5200000000002</v>
      </c>
    </row>
    <row r="441" spans="33:38" x14ac:dyDescent="0.35">
      <c r="AG441" s="3" t="s">
        <v>212</v>
      </c>
      <c r="AH441" s="6">
        <v>2005.5959999999998</v>
      </c>
      <c r="AI441" s="6">
        <v>371.23979999999995</v>
      </c>
      <c r="AJ441" s="6">
        <f>SUM($AH$2:AH441)</f>
        <v>1934029.3374000033</v>
      </c>
      <c r="AK441" s="8">
        <f t="shared" si="7"/>
        <v>0.84190693588171028</v>
      </c>
      <c r="AL441">
        <v>2005.5959999999998</v>
      </c>
    </row>
    <row r="442" spans="33:38" x14ac:dyDescent="0.35">
      <c r="AG442" s="3" t="s">
        <v>30</v>
      </c>
      <c r="AH442" s="6">
        <v>1990.3140000000001</v>
      </c>
      <c r="AI442" s="6">
        <v>373.86369999999999</v>
      </c>
      <c r="AJ442" s="6">
        <f>SUM($AH$2:AH442)</f>
        <v>1936019.6514000033</v>
      </c>
      <c r="AK442" s="8">
        <f t="shared" si="7"/>
        <v>0.84277334422866701</v>
      </c>
      <c r="AL442">
        <v>1990.3140000000001</v>
      </c>
    </row>
    <row r="443" spans="33:38" x14ac:dyDescent="0.35">
      <c r="AG443" s="3" t="s">
        <v>202</v>
      </c>
      <c r="AH443" s="6">
        <v>1989.05</v>
      </c>
      <c r="AI443" s="6">
        <v>438.80119999999999</v>
      </c>
      <c r="AJ443" s="6">
        <f>SUM($AH$2:AH443)</f>
        <v>1938008.7014000034</v>
      </c>
      <c r="AK443" s="8">
        <f t="shared" si="7"/>
        <v>0.84363920234076106</v>
      </c>
      <c r="AL443">
        <v>1989.05</v>
      </c>
    </row>
    <row r="444" spans="33:38" x14ac:dyDescent="0.35">
      <c r="AG444" s="3" t="s">
        <v>84</v>
      </c>
      <c r="AH444" s="6">
        <v>1987.1640000000002</v>
      </c>
      <c r="AI444" s="6">
        <v>334.51629999999994</v>
      </c>
      <c r="AJ444" s="6">
        <f>SUM($AH$2:AH444)</f>
        <v>1939995.8654000035</v>
      </c>
      <c r="AK444" s="8">
        <f t="shared" si="7"/>
        <v>0.84450423945368491</v>
      </c>
      <c r="AL444">
        <v>1987.1640000000002</v>
      </c>
    </row>
    <row r="445" spans="33:38" x14ac:dyDescent="0.35">
      <c r="AG445" s="3" t="s">
        <v>321</v>
      </c>
      <c r="AH445" s="6">
        <v>1972.5989999999999</v>
      </c>
      <c r="AI445" s="6">
        <v>117.6429</v>
      </c>
      <c r="AJ445" s="6">
        <f>SUM($AH$2:AH445)</f>
        <v>1941968.4644000034</v>
      </c>
      <c r="AK445" s="8">
        <f t="shared" si="7"/>
        <v>0.84536293624162806</v>
      </c>
      <c r="AL445">
        <v>1972.5989999999999</v>
      </c>
    </row>
    <row r="446" spans="33:38" x14ac:dyDescent="0.35">
      <c r="AG446" s="3" t="s">
        <v>439</v>
      </c>
      <c r="AH446" s="6">
        <v>1966.65</v>
      </c>
      <c r="AI446" s="6">
        <v>332.87249999999995</v>
      </c>
      <c r="AJ446" s="6">
        <f>SUM($AH$2:AH446)</f>
        <v>1943935.1144000033</v>
      </c>
      <c r="AK446" s="8">
        <f t="shared" si="7"/>
        <v>0.84621904335615483</v>
      </c>
      <c r="AL446">
        <v>1966.65</v>
      </c>
    </row>
    <row r="447" spans="33:38" x14ac:dyDescent="0.35">
      <c r="AG447" s="3" t="s">
        <v>528</v>
      </c>
      <c r="AH447" s="6">
        <v>1961.934</v>
      </c>
      <c r="AI447" s="6">
        <v>557.17139999999995</v>
      </c>
      <c r="AJ447" s="6">
        <f>SUM($AH$2:AH447)</f>
        <v>1945897.0484000032</v>
      </c>
      <c r="AK447" s="8">
        <f t="shared" si="7"/>
        <v>0.84707309753744386</v>
      </c>
      <c r="AL447">
        <v>1961.934</v>
      </c>
    </row>
    <row r="448" spans="33:38" x14ac:dyDescent="0.35">
      <c r="AG448" s="3" t="s">
        <v>657</v>
      </c>
      <c r="AH448" s="6">
        <v>1949.2</v>
      </c>
      <c r="AI448" s="6">
        <v>272.38830000000013</v>
      </c>
      <c r="AJ448" s="6">
        <f>SUM($AH$2:AH448)</f>
        <v>1947846.2484000032</v>
      </c>
      <c r="AK448" s="8">
        <f t="shared" si="7"/>
        <v>0.84792160845074094</v>
      </c>
      <c r="AL448">
        <v>1949.2</v>
      </c>
    </row>
    <row r="449" spans="33:38" x14ac:dyDescent="0.35">
      <c r="AG449" s="3" t="s">
        <v>850</v>
      </c>
      <c r="AH449" s="6">
        <v>1936.6399999999996</v>
      </c>
      <c r="AI449" s="6">
        <v>139.22869999999998</v>
      </c>
      <c r="AJ449" s="6">
        <f>SUM($AH$2:AH449)</f>
        <v>1949782.8884000031</v>
      </c>
      <c r="AK449" s="8">
        <f t="shared" si="7"/>
        <v>0.84876465184040206</v>
      </c>
      <c r="AL449">
        <v>1936.6399999999996</v>
      </c>
    </row>
    <row r="450" spans="33:38" x14ac:dyDescent="0.35">
      <c r="AG450" s="3" t="s">
        <v>185</v>
      </c>
      <c r="AH450" s="6">
        <v>1934.2720000000002</v>
      </c>
      <c r="AI450" s="6">
        <v>202.13620000000003</v>
      </c>
      <c r="AJ450" s="6">
        <f>SUM($AH$2:AH450)</f>
        <v>1951717.1604000032</v>
      </c>
      <c r="AK450" s="8">
        <f t="shared" si="7"/>
        <v>0.84960666441032051</v>
      </c>
      <c r="AL450">
        <v>1934.2720000000002</v>
      </c>
    </row>
    <row r="451" spans="33:38" x14ac:dyDescent="0.35">
      <c r="AG451" s="3" t="s">
        <v>368</v>
      </c>
      <c r="AH451" s="6">
        <v>1911.8440000000001</v>
      </c>
      <c r="AI451" s="6">
        <v>330.19900000000001</v>
      </c>
      <c r="AJ451" s="6">
        <f>SUM($AH$2:AH451)</f>
        <v>1953629.0044000032</v>
      </c>
      <c r="AK451" s="8">
        <f t="shared" ref="AK451:AK514" si="8">AJ451/$AH$795</f>
        <v>0.85043891379392489</v>
      </c>
      <c r="AL451">
        <v>1911.8440000000001</v>
      </c>
    </row>
    <row r="452" spans="33:38" x14ac:dyDescent="0.35">
      <c r="AG452" s="3" t="s">
        <v>331</v>
      </c>
      <c r="AH452" s="6">
        <v>1908.4531999999999</v>
      </c>
      <c r="AI452" s="6">
        <v>77.812800000000024</v>
      </c>
      <c r="AJ452" s="6">
        <f>SUM($AH$2:AH452)</f>
        <v>1955537.4576000033</v>
      </c>
      <c r="AK452" s="8">
        <f t="shared" si="8"/>
        <v>0.85126968712027251</v>
      </c>
      <c r="AL452">
        <v>1908.4531999999999</v>
      </c>
    </row>
    <row r="453" spans="33:38" x14ac:dyDescent="0.35">
      <c r="AG453" s="3" t="s">
        <v>709</v>
      </c>
      <c r="AH453" s="6">
        <v>1903.491</v>
      </c>
      <c r="AI453" s="6">
        <v>106.8912</v>
      </c>
      <c r="AJ453" s="6">
        <f>SUM($AH$2:AH453)</f>
        <v>1957440.9486000033</v>
      </c>
      <c r="AK453" s="8">
        <f t="shared" si="8"/>
        <v>0.85209830033947154</v>
      </c>
      <c r="AL453">
        <v>1903.491</v>
      </c>
    </row>
    <row r="454" spans="33:38" x14ac:dyDescent="0.35">
      <c r="AG454" s="3" t="s">
        <v>91</v>
      </c>
      <c r="AH454" s="6">
        <v>1888.9639999999999</v>
      </c>
      <c r="AI454" s="6">
        <v>328.5942</v>
      </c>
      <c r="AJ454" s="6">
        <f>SUM($AH$2:AH454)</f>
        <v>1959329.9126000032</v>
      </c>
      <c r="AK454" s="8">
        <f t="shared" si="8"/>
        <v>0.85292058977556084</v>
      </c>
      <c r="AL454">
        <v>1888.9639999999999</v>
      </c>
    </row>
    <row r="455" spans="33:38" x14ac:dyDescent="0.35">
      <c r="AG455" s="3" t="s">
        <v>322</v>
      </c>
      <c r="AH455" s="6">
        <v>1888.0700000000002</v>
      </c>
      <c r="AI455" s="6">
        <v>230.93729999999996</v>
      </c>
      <c r="AJ455" s="6">
        <f>SUM($AH$2:AH455)</f>
        <v>1961217.9826000032</v>
      </c>
      <c r="AK455" s="8">
        <f t="shared" si="8"/>
        <v>0.85374249004237224</v>
      </c>
      <c r="AL455">
        <v>1888.0700000000002</v>
      </c>
    </row>
    <row r="456" spans="33:38" x14ac:dyDescent="0.35">
      <c r="AG456" s="3" t="s">
        <v>591</v>
      </c>
      <c r="AH456" s="6">
        <v>1884.7980000000002</v>
      </c>
      <c r="AI456" s="6">
        <v>-119.01049999999996</v>
      </c>
      <c r="AJ456" s="6">
        <f>SUM($AH$2:AH456)</f>
        <v>1963102.7806000032</v>
      </c>
      <c r="AK456" s="8">
        <f t="shared" si="8"/>
        <v>0.85456296596703907</v>
      </c>
      <c r="AL456">
        <v>1884.7980000000002</v>
      </c>
    </row>
    <row r="457" spans="33:38" x14ac:dyDescent="0.35">
      <c r="AG457" s="3" t="s">
        <v>875</v>
      </c>
      <c r="AH457" s="6">
        <v>1879.3059999999998</v>
      </c>
      <c r="AI457" s="6">
        <v>-382.80790000000002</v>
      </c>
      <c r="AJ457" s="6">
        <f>SUM($AH$2:AH457)</f>
        <v>1964982.0866000033</v>
      </c>
      <c r="AK457" s="8">
        <f t="shared" si="8"/>
        <v>0.85538105115605234</v>
      </c>
      <c r="AL457">
        <v>1879.3059999999998</v>
      </c>
    </row>
    <row r="458" spans="33:38" x14ac:dyDescent="0.35">
      <c r="AG458" s="3" t="s">
        <v>558</v>
      </c>
      <c r="AH458" s="6">
        <v>1874.998</v>
      </c>
      <c r="AI458" s="6">
        <v>379.56110000000007</v>
      </c>
      <c r="AJ458" s="6">
        <f>SUM($AH$2:AH458)</f>
        <v>1966857.0846000032</v>
      </c>
      <c r="AK458" s="8">
        <f t="shared" si="8"/>
        <v>0.85619726101928351</v>
      </c>
      <c r="AL458">
        <v>1874.998</v>
      </c>
    </row>
    <row r="459" spans="33:38" x14ac:dyDescent="0.35">
      <c r="AG459" s="3" t="s">
        <v>502</v>
      </c>
      <c r="AH459" s="6">
        <v>1874.172</v>
      </c>
      <c r="AI459" s="6">
        <v>107.57149999999999</v>
      </c>
      <c r="AJ459" s="6">
        <f>SUM($AH$2:AH459)</f>
        <v>1968731.2566000032</v>
      </c>
      <c r="AK459" s="8">
        <f t="shared" si="8"/>
        <v>0.85701311131447944</v>
      </c>
      <c r="AL459">
        <v>1874.172</v>
      </c>
    </row>
    <row r="460" spans="33:38" x14ac:dyDescent="0.35">
      <c r="AG460" s="3" t="s">
        <v>123</v>
      </c>
      <c r="AH460" s="6">
        <v>1872.4360000000001</v>
      </c>
      <c r="AI460" s="6">
        <v>268.47820000000002</v>
      </c>
      <c r="AJ460" s="6">
        <f>SUM($AH$2:AH460)</f>
        <v>1970603.6926000032</v>
      </c>
      <c r="AK460" s="8">
        <f t="shared" si="8"/>
        <v>0.85782820590736386</v>
      </c>
      <c r="AL460">
        <v>1872.4360000000001</v>
      </c>
    </row>
    <row r="461" spans="33:38" x14ac:dyDescent="0.35">
      <c r="AG461" s="3" t="s">
        <v>324</v>
      </c>
      <c r="AH461" s="6">
        <v>1869.58</v>
      </c>
      <c r="AI461" s="6">
        <v>313.63350000000003</v>
      </c>
      <c r="AJ461" s="6">
        <f>SUM($AH$2:AH461)</f>
        <v>1972473.2726000033</v>
      </c>
      <c r="AK461" s="8">
        <f t="shared" si="8"/>
        <v>0.85864205724805853</v>
      </c>
      <c r="AL461">
        <v>1869.58</v>
      </c>
    </row>
    <row r="462" spans="33:38" x14ac:dyDescent="0.35">
      <c r="AG462" s="3" t="s">
        <v>619</v>
      </c>
      <c r="AH462" s="6">
        <v>1860.732</v>
      </c>
      <c r="AI462" s="6">
        <v>403.84219999999999</v>
      </c>
      <c r="AJ462" s="6">
        <f>SUM($AH$2:AH462)</f>
        <v>1974334.0046000034</v>
      </c>
      <c r="AK462" s="8">
        <f t="shared" si="8"/>
        <v>0.85945205694471416</v>
      </c>
      <c r="AL462">
        <v>1860.732</v>
      </c>
    </row>
    <row r="463" spans="33:38" x14ac:dyDescent="0.35">
      <c r="AG463" s="3" t="s">
        <v>472</v>
      </c>
      <c r="AH463" s="6">
        <v>1860.4179999999999</v>
      </c>
      <c r="AI463" s="6">
        <v>-716.85649999999998</v>
      </c>
      <c r="AJ463" s="6">
        <f>SUM($AH$2:AH463)</f>
        <v>1976194.4226000034</v>
      </c>
      <c r="AK463" s="8">
        <f t="shared" si="8"/>
        <v>0.86026191995327883</v>
      </c>
      <c r="AL463">
        <v>1860.4179999999999</v>
      </c>
    </row>
    <row r="464" spans="33:38" x14ac:dyDescent="0.35">
      <c r="AG464" s="3" t="s">
        <v>815</v>
      </c>
      <c r="AH464" s="6">
        <v>1840.1779999999997</v>
      </c>
      <c r="AI464" s="6">
        <v>247.62260000000001</v>
      </c>
      <c r="AJ464" s="6">
        <f>SUM($AH$2:AH464)</f>
        <v>1978034.6006000035</v>
      </c>
      <c r="AK464" s="8">
        <f t="shared" si="8"/>
        <v>0.86106297223904193</v>
      </c>
      <c r="AL464">
        <v>1840.1779999999997</v>
      </c>
    </row>
    <row r="465" spans="33:38" x14ac:dyDescent="0.35">
      <c r="AG465" s="3" t="s">
        <v>298</v>
      </c>
      <c r="AH465" s="6">
        <v>1839.2400000000002</v>
      </c>
      <c r="AI465" s="6">
        <v>521.13519999999994</v>
      </c>
      <c r="AJ465" s="6">
        <f>SUM($AH$2:AH465)</f>
        <v>1979873.8406000035</v>
      </c>
      <c r="AK465" s="8">
        <f t="shared" si="8"/>
        <v>0.86186361620178176</v>
      </c>
      <c r="AL465">
        <v>1839.2400000000002</v>
      </c>
    </row>
    <row r="466" spans="33:38" x14ac:dyDescent="0.35">
      <c r="AG466" s="3" t="s">
        <v>419</v>
      </c>
      <c r="AH466" s="6">
        <v>1832.0640000000001</v>
      </c>
      <c r="AI466" s="6">
        <v>272.685</v>
      </c>
      <c r="AJ466" s="6">
        <f>SUM($AH$2:AH466)</f>
        <v>1981705.9046000035</v>
      </c>
      <c r="AK466" s="8">
        <f t="shared" si="8"/>
        <v>0.86266113636280095</v>
      </c>
      <c r="AL466">
        <v>1832.0640000000001</v>
      </c>
    </row>
    <row r="467" spans="33:38" x14ac:dyDescent="0.35">
      <c r="AG467" s="3" t="s">
        <v>369</v>
      </c>
      <c r="AH467" s="6">
        <v>1832.02</v>
      </c>
      <c r="AI467" s="6">
        <v>104.26560000000001</v>
      </c>
      <c r="AJ467" s="6">
        <f>SUM($AH$2:AH467)</f>
        <v>1983537.9246000035</v>
      </c>
      <c r="AK467" s="8">
        <f t="shared" si="8"/>
        <v>0.863458637370075</v>
      </c>
      <c r="AL467">
        <v>1832.02</v>
      </c>
    </row>
    <row r="468" spans="33:38" x14ac:dyDescent="0.35">
      <c r="AG468" s="3" t="s">
        <v>393</v>
      </c>
      <c r="AH468" s="6">
        <v>1824.2340000000002</v>
      </c>
      <c r="AI468" s="6">
        <v>682.99790000000019</v>
      </c>
      <c r="AJ468" s="6">
        <f>SUM($AH$2:AH468)</f>
        <v>1985362.1586000035</v>
      </c>
      <c r="AK468" s="8">
        <f t="shared" si="8"/>
        <v>0.86425274903506966</v>
      </c>
      <c r="AL468">
        <v>1824.2340000000002</v>
      </c>
    </row>
    <row r="469" spans="33:38" x14ac:dyDescent="0.35">
      <c r="AG469" s="3" t="s">
        <v>642</v>
      </c>
      <c r="AH469" s="6">
        <v>1821.7420000000002</v>
      </c>
      <c r="AI469" s="6">
        <v>-359.02099999999996</v>
      </c>
      <c r="AJ469" s="6">
        <f>SUM($AH$2:AH469)</f>
        <v>1987183.9006000035</v>
      </c>
      <c r="AK469" s="8">
        <f t="shared" si="8"/>
        <v>0.86504577590158505</v>
      </c>
      <c r="AL469">
        <v>1821.7420000000002</v>
      </c>
    </row>
    <row r="470" spans="33:38" x14ac:dyDescent="0.35">
      <c r="AG470" s="3" t="s">
        <v>64</v>
      </c>
      <c r="AH470" s="6">
        <v>1804.1460000000002</v>
      </c>
      <c r="AI470" s="6">
        <v>502.61429999999996</v>
      </c>
      <c r="AJ470" s="6">
        <f>SUM($AH$2:AH470)</f>
        <v>1988988.0466000035</v>
      </c>
      <c r="AK470" s="8">
        <f t="shared" si="8"/>
        <v>0.86583114301126141</v>
      </c>
      <c r="AL470">
        <v>1804.1460000000002</v>
      </c>
    </row>
    <row r="471" spans="33:38" x14ac:dyDescent="0.35">
      <c r="AG471" s="3" t="s">
        <v>137</v>
      </c>
      <c r="AH471" s="6">
        <v>1791.605</v>
      </c>
      <c r="AI471" s="6">
        <v>156.05319999999998</v>
      </c>
      <c r="AJ471" s="6">
        <f>SUM($AH$2:AH471)</f>
        <v>1990779.6516000035</v>
      </c>
      <c r="AK471" s="8">
        <f t="shared" si="8"/>
        <v>0.86661105086823742</v>
      </c>
      <c r="AL471">
        <v>1791.605</v>
      </c>
    </row>
    <row r="472" spans="33:38" x14ac:dyDescent="0.35">
      <c r="AG472" s="3" t="s">
        <v>25</v>
      </c>
      <c r="AH472" s="6">
        <v>1790.5119999999999</v>
      </c>
      <c r="AI472" s="6">
        <v>435.82739999999995</v>
      </c>
      <c r="AJ472" s="6">
        <f>SUM($AH$2:AH472)</f>
        <v>1992570.1636000036</v>
      </c>
      <c r="AK472" s="8">
        <f t="shared" si="8"/>
        <v>0.86739048292876963</v>
      </c>
      <c r="AL472">
        <v>1790.5119999999999</v>
      </c>
    </row>
    <row r="473" spans="33:38" x14ac:dyDescent="0.35">
      <c r="AG473" s="3" t="s">
        <v>476</v>
      </c>
      <c r="AH473" s="6">
        <v>1770.9449999999999</v>
      </c>
      <c r="AI473" s="6">
        <v>208.59120000000004</v>
      </c>
      <c r="AJ473" s="6">
        <f>SUM($AH$2:AH473)</f>
        <v>1994341.1086000036</v>
      </c>
      <c r="AK473" s="8">
        <f t="shared" si="8"/>
        <v>0.86816139723173957</v>
      </c>
      <c r="AL473">
        <v>1770.9449999999999</v>
      </c>
    </row>
    <row r="474" spans="33:38" x14ac:dyDescent="0.35">
      <c r="AG474" s="3" t="s">
        <v>370</v>
      </c>
      <c r="AH474" s="6">
        <v>1762.2130000000002</v>
      </c>
      <c r="AI474" s="6">
        <v>193.33189999999996</v>
      </c>
      <c r="AJ474" s="6">
        <f>SUM($AH$2:AH474)</f>
        <v>1996103.3216000036</v>
      </c>
      <c r="AK474" s="8">
        <f t="shared" si="8"/>
        <v>0.86892851038690788</v>
      </c>
      <c r="AL474">
        <v>1762.2130000000002</v>
      </c>
    </row>
    <row r="475" spans="33:38" x14ac:dyDescent="0.35">
      <c r="AG475" s="3" t="s">
        <v>869</v>
      </c>
      <c r="AH475" s="6">
        <v>1758.3</v>
      </c>
      <c r="AI475" s="6">
        <v>456.86080000000004</v>
      </c>
      <c r="AJ475" s="6">
        <f>SUM($AH$2:AH475)</f>
        <v>1997861.6216000037</v>
      </c>
      <c r="AK475" s="8">
        <f t="shared" si="8"/>
        <v>0.86969392016468861</v>
      </c>
      <c r="AL475">
        <v>1758.3</v>
      </c>
    </row>
    <row r="476" spans="33:38" x14ac:dyDescent="0.35">
      <c r="AG476" s="3" t="s">
        <v>806</v>
      </c>
      <c r="AH476" s="6">
        <v>1744.6999999999998</v>
      </c>
      <c r="AI476" s="6">
        <v>365.21519999999998</v>
      </c>
      <c r="AJ476" s="6">
        <f>SUM($AH$2:AH476)</f>
        <v>1999606.3216000036</v>
      </c>
      <c r="AK476" s="8">
        <f t="shared" si="8"/>
        <v>0.87045340969394647</v>
      </c>
      <c r="AL476">
        <v>1744.6999999999998</v>
      </c>
    </row>
    <row r="477" spans="33:38" x14ac:dyDescent="0.35">
      <c r="AG477" s="3" t="s">
        <v>171</v>
      </c>
      <c r="AH477" s="6">
        <v>1739.6889999999999</v>
      </c>
      <c r="AI477" s="6">
        <v>316.52019999999999</v>
      </c>
      <c r="AJ477" s="6">
        <f>SUM($AH$2:AH477)</f>
        <v>2001346.0106000036</v>
      </c>
      <c r="AK477" s="8">
        <f t="shared" si="8"/>
        <v>0.87121071787281112</v>
      </c>
      <c r="AL477">
        <v>1739.6889999999999</v>
      </c>
    </row>
    <row r="478" spans="33:38" x14ac:dyDescent="0.35">
      <c r="AG478" s="3" t="s">
        <v>672</v>
      </c>
      <c r="AH478" s="6">
        <v>1738.4060000000002</v>
      </c>
      <c r="AI478" s="6">
        <v>246.9973</v>
      </c>
      <c r="AJ478" s="6">
        <f>SUM($AH$2:AH478)</f>
        <v>2003084.4166000036</v>
      </c>
      <c r="AK478" s="8">
        <f t="shared" si="8"/>
        <v>0.87196746754587751</v>
      </c>
      <c r="AL478">
        <v>1738.4060000000002</v>
      </c>
    </row>
    <row r="479" spans="33:38" x14ac:dyDescent="0.35">
      <c r="AG479" s="3" t="s">
        <v>839</v>
      </c>
      <c r="AH479" s="6">
        <v>1736.596</v>
      </c>
      <c r="AI479" s="6">
        <v>-224.08889999999997</v>
      </c>
      <c r="AJ479" s="6">
        <f>SUM($AH$2:AH479)</f>
        <v>2004821.0126000035</v>
      </c>
      <c r="AK479" s="8">
        <f t="shared" si="8"/>
        <v>0.87272342930351554</v>
      </c>
      <c r="AL479">
        <v>1736.596</v>
      </c>
    </row>
    <row r="480" spans="33:38" x14ac:dyDescent="0.35">
      <c r="AG480" s="3" t="s">
        <v>671</v>
      </c>
      <c r="AH480" s="6">
        <v>1735.5140000000001</v>
      </c>
      <c r="AI480" s="6">
        <v>-2.3145999999999844</v>
      </c>
      <c r="AJ480" s="6">
        <f>SUM($AH$2:AH480)</f>
        <v>2006556.5266000035</v>
      </c>
      <c r="AK480" s="8">
        <f t="shared" si="8"/>
        <v>0.87347892005314609</v>
      </c>
      <c r="AL480">
        <v>1735.5140000000001</v>
      </c>
    </row>
    <row r="481" spans="33:38" x14ac:dyDescent="0.35">
      <c r="AG481" s="3" t="s">
        <v>227</v>
      </c>
      <c r="AH481" s="6">
        <v>1734.5739999999998</v>
      </c>
      <c r="AI481" s="6">
        <v>273.85819999999995</v>
      </c>
      <c r="AJ481" s="6">
        <f>SUM($AH$2:AH481)</f>
        <v>2008291.1006000035</v>
      </c>
      <c r="AK481" s="8">
        <f t="shared" si="8"/>
        <v>0.87423400160912867</v>
      </c>
      <c r="AL481">
        <v>1734.5739999999998</v>
      </c>
    </row>
    <row r="482" spans="33:38" x14ac:dyDescent="0.35">
      <c r="AG482" s="3" t="s">
        <v>431</v>
      </c>
      <c r="AH482" s="6">
        <v>1733.4430000000002</v>
      </c>
      <c r="AI482" s="6">
        <v>356.53950000000003</v>
      </c>
      <c r="AJ482" s="6">
        <f>SUM($AH$2:AH482)</f>
        <v>2010024.5436000035</v>
      </c>
      <c r="AK482" s="8">
        <f t="shared" si="8"/>
        <v>0.8749885908267967</v>
      </c>
      <c r="AL482">
        <v>1733.4430000000002</v>
      </c>
    </row>
    <row r="483" spans="33:38" x14ac:dyDescent="0.35">
      <c r="AG483" s="3" t="s">
        <v>631</v>
      </c>
      <c r="AH483" s="6">
        <v>1727.652</v>
      </c>
      <c r="AI483" s="6">
        <v>139.20080000000002</v>
      </c>
      <c r="AJ483" s="6">
        <f>SUM($AH$2:AH483)</f>
        <v>2011752.1956000035</v>
      </c>
      <c r="AK483" s="8">
        <f t="shared" si="8"/>
        <v>0.87574065915040611</v>
      </c>
      <c r="AL483">
        <v>1727.652</v>
      </c>
    </row>
    <row r="484" spans="33:38" x14ac:dyDescent="0.35">
      <c r="AG484" s="3" t="s">
        <v>692</v>
      </c>
      <c r="AH484" s="6">
        <v>1711.692</v>
      </c>
      <c r="AI484" s="6">
        <v>438.90920000000006</v>
      </c>
      <c r="AJ484" s="6">
        <f>SUM($AH$2:AH484)</f>
        <v>2013463.8876000035</v>
      </c>
      <c r="AK484" s="8">
        <f t="shared" si="8"/>
        <v>0.87648577988824905</v>
      </c>
      <c r="AL484">
        <v>1711.692</v>
      </c>
    </row>
    <row r="485" spans="33:38" x14ac:dyDescent="0.35">
      <c r="AG485" s="3" t="s">
        <v>765</v>
      </c>
      <c r="AH485" s="6">
        <v>1707.7099999999998</v>
      </c>
      <c r="AI485" s="6">
        <v>309.71159999999992</v>
      </c>
      <c r="AJ485" s="6">
        <f>SUM($AH$2:AH485)</f>
        <v>2015171.5976000035</v>
      </c>
      <c r="AK485" s="8">
        <f t="shared" si="8"/>
        <v>0.87722916721214927</v>
      </c>
      <c r="AL485">
        <v>1707.7099999999998</v>
      </c>
    </row>
    <row r="486" spans="33:38" x14ac:dyDescent="0.35">
      <c r="AG486" s="3" t="s">
        <v>446</v>
      </c>
      <c r="AH486" s="6">
        <v>1707.2860000000003</v>
      </c>
      <c r="AI486" s="6">
        <v>224.88869999999997</v>
      </c>
      <c r="AJ486" s="6">
        <f>SUM($AH$2:AH486)</f>
        <v>2016878.8836000036</v>
      </c>
      <c r="AK486" s="8">
        <f t="shared" si="8"/>
        <v>0.87797236996359573</v>
      </c>
      <c r="AL486">
        <v>1707.2860000000003</v>
      </c>
    </row>
    <row r="487" spans="33:38" x14ac:dyDescent="0.35">
      <c r="AG487" s="3" t="s">
        <v>781</v>
      </c>
      <c r="AH487" s="6">
        <v>1697.8609999999999</v>
      </c>
      <c r="AI487" s="6">
        <v>647.38469999999995</v>
      </c>
      <c r="AJ487" s="6">
        <f>SUM($AH$2:AH487)</f>
        <v>2018576.7446000036</v>
      </c>
      <c r="AK487" s="8">
        <f t="shared" si="8"/>
        <v>0.87871146989575333</v>
      </c>
      <c r="AL487">
        <v>1697.8609999999999</v>
      </c>
    </row>
    <row r="488" spans="33:38" x14ac:dyDescent="0.35">
      <c r="AG488" s="3" t="s">
        <v>292</v>
      </c>
      <c r="AH488" s="6">
        <v>1687.04</v>
      </c>
      <c r="AI488" s="6">
        <v>-107.35379999999998</v>
      </c>
      <c r="AJ488" s="6">
        <f>SUM($AH$2:AH488)</f>
        <v>2020263.7846000036</v>
      </c>
      <c r="AK488" s="8">
        <f t="shared" si="8"/>
        <v>0.87944585931252361</v>
      </c>
      <c r="AL488">
        <v>1687.04</v>
      </c>
    </row>
    <row r="489" spans="33:38" x14ac:dyDescent="0.35">
      <c r="AG489" s="3" t="s">
        <v>327</v>
      </c>
      <c r="AH489" s="6">
        <v>1687.027</v>
      </c>
      <c r="AI489" s="6">
        <v>169.34370000000001</v>
      </c>
      <c r="AJ489" s="6">
        <f>SUM($AH$2:AH489)</f>
        <v>2021950.8116000036</v>
      </c>
      <c r="AK489" s="8">
        <f t="shared" si="8"/>
        <v>0.8801802430702329</v>
      </c>
      <c r="AL489">
        <v>1687.027</v>
      </c>
    </row>
    <row r="490" spans="33:38" x14ac:dyDescent="0.35">
      <c r="AG490" s="3" t="s">
        <v>452</v>
      </c>
      <c r="AH490" s="6">
        <v>1686.9225000000004</v>
      </c>
      <c r="AI490" s="6">
        <v>-445.69499999999999</v>
      </c>
      <c r="AJ490" s="6">
        <f>SUM($AH$2:AH490)</f>
        <v>2023637.7341000037</v>
      </c>
      <c r="AK490" s="8">
        <f t="shared" si="8"/>
        <v>0.88091458133779732</v>
      </c>
      <c r="AL490">
        <v>1686.9225000000004</v>
      </c>
    </row>
    <row r="491" spans="33:38" x14ac:dyDescent="0.35">
      <c r="AG491" s="3" t="s">
        <v>836</v>
      </c>
      <c r="AH491" s="6">
        <v>1686.7312000000002</v>
      </c>
      <c r="AI491" s="6">
        <v>397.87989999999996</v>
      </c>
      <c r="AJ491" s="6">
        <f>SUM($AH$2:AH491)</f>
        <v>2025324.4653000038</v>
      </c>
      <c r="AK491" s="8">
        <f t="shared" si="8"/>
        <v>0.88164883633010116</v>
      </c>
      <c r="AL491">
        <v>1686.7312000000002</v>
      </c>
    </row>
    <row r="492" spans="33:38" x14ac:dyDescent="0.35">
      <c r="AG492" s="3" t="s">
        <v>494</v>
      </c>
      <c r="AH492" s="6">
        <v>1679.7239999999999</v>
      </c>
      <c r="AI492" s="6">
        <v>211.25590000000005</v>
      </c>
      <c r="AJ492" s="6">
        <f>SUM($AH$2:AH492)</f>
        <v>2027004.1893000037</v>
      </c>
      <c r="AK492" s="8">
        <f t="shared" si="8"/>
        <v>0.88238004100141609</v>
      </c>
      <c r="AL492">
        <v>1679.7239999999999</v>
      </c>
    </row>
    <row r="493" spans="33:38" x14ac:dyDescent="0.35">
      <c r="AG493" s="3" t="s">
        <v>812</v>
      </c>
      <c r="AH493" s="6">
        <v>1673.8880000000001</v>
      </c>
      <c r="AI493" s="6">
        <v>214.46299999999997</v>
      </c>
      <c r="AJ493" s="6">
        <f>SUM($AH$2:AH493)</f>
        <v>2028678.0773000037</v>
      </c>
      <c r="AK493" s="8">
        <f t="shared" si="8"/>
        <v>0.88310870518961482</v>
      </c>
      <c r="AL493">
        <v>1673.8880000000001</v>
      </c>
    </row>
    <row r="494" spans="33:38" x14ac:dyDescent="0.35">
      <c r="AG494" s="3" t="s">
        <v>800</v>
      </c>
      <c r="AH494" s="6">
        <v>1669.1350000000002</v>
      </c>
      <c r="AI494" s="6">
        <v>429.74649999999997</v>
      </c>
      <c r="AJ494" s="6">
        <f>SUM($AH$2:AH494)</f>
        <v>2030347.2123000037</v>
      </c>
      <c r="AK494" s="8">
        <f t="shared" si="8"/>
        <v>0.88383530033801727</v>
      </c>
      <c r="AL494">
        <v>1669.1350000000002</v>
      </c>
    </row>
    <row r="495" spans="33:38" x14ac:dyDescent="0.35">
      <c r="AG495" s="3" t="s">
        <v>533</v>
      </c>
      <c r="AH495" s="6">
        <v>1661.6100000000001</v>
      </c>
      <c r="AI495" s="6">
        <v>409.06790000000001</v>
      </c>
      <c r="AJ495" s="6">
        <f>SUM($AH$2:AH495)</f>
        <v>2032008.8223000038</v>
      </c>
      <c r="AK495" s="8">
        <f t="shared" si="8"/>
        <v>0.88455861976067462</v>
      </c>
      <c r="AL495">
        <v>1661.6100000000001</v>
      </c>
    </row>
    <row r="496" spans="33:38" x14ac:dyDescent="0.35">
      <c r="AG496" s="3" t="s">
        <v>807</v>
      </c>
      <c r="AH496" s="6">
        <v>1659.4380000000001</v>
      </c>
      <c r="AI496" s="6">
        <v>154.85100000000003</v>
      </c>
      <c r="AJ496" s="6">
        <f>SUM($AH$2:AH496)</f>
        <v>2033668.2603000039</v>
      </c>
      <c r="AK496" s="8">
        <f t="shared" si="8"/>
        <v>0.88528099368481783</v>
      </c>
      <c r="AL496">
        <v>1659.4380000000001</v>
      </c>
    </row>
    <row r="497" spans="33:38" x14ac:dyDescent="0.35">
      <c r="AG497" s="3" t="s">
        <v>516</v>
      </c>
      <c r="AH497" s="6">
        <v>1643.2550000000001</v>
      </c>
      <c r="AI497" s="6">
        <v>162.87810000000002</v>
      </c>
      <c r="AJ497" s="6">
        <f>SUM($AH$2:AH497)</f>
        <v>2035311.5153000038</v>
      </c>
      <c r="AK497" s="8">
        <f t="shared" si="8"/>
        <v>0.88599632294853115</v>
      </c>
      <c r="AL497">
        <v>1643.2550000000001</v>
      </c>
    </row>
    <row r="498" spans="33:38" x14ac:dyDescent="0.35">
      <c r="AG498" s="3" t="s">
        <v>491</v>
      </c>
      <c r="AH498" s="6">
        <v>1638.5539999999999</v>
      </c>
      <c r="AI498" s="6">
        <v>285.78879999999998</v>
      </c>
      <c r="AJ498" s="6">
        <f>SUM($AH$2:AH498)</f>
        <v>2036950.0693000038</v>
      </c>
      <c r="AK498" s="8">
        <f t="shared" si="8"/>
        <v>0.88670960580869251</v>
      </c>
      <c r="AL498">
        <v>1638.5539999999999</v>
      </c>
    </row>
    <row r="499" spans="33:38" x14ac:dyDescent="0.35">
      <c r="AG499" s="3" t="s">
        <v>723</v>
      </c>
      <c r="AH499" s="6">
        <v>1622.018</v>
      </c>
      <c r="AI499" s="6">
        <v>154.95030000000003</v>
      </c>
      <c r="AJ499" s="6">
        <f>SUM($AH$2:AH499)</f>
        <v>2038572.0873000037</v>
      </c>
      <c r="AK499" s="8">
        <f t="shared" si="8"/>
        <v>0.88741569034314982</v>
      </c>
      <c r="AL499">
        <v>1622.018</v>
      </c>
    </row>
    <row r="500" spans="33:38" x14ac:dyDescent="0.35">
      <c r="AG500" s="3" t="s">
        <v>475</v>
      </c>
      <c r="AH500" s="6">
        <v>1613.402</v>
      </c>
      <c r="AI500" s="6">
        <v>247.4348</v>
      </c>
      <c r="AJ500" s="6">
        <f>SUM($AH$2:AH500)</f>
        <v>2040185.4893000037</v>
      </c>
      <c r="AK500" s="8">
        <f t="shared" si="8"/>
        <v>0.88811802422604302</v>
      </c>
      <c r="AL500">
        <v>1613.402</v>
      </c>
    </row>
    <row r="501" spans="33:38" x14ac:dyDescent="0.35">
      <c r="AG501" s="3" t="s">
        <v>728</v>
      </c>
      <c r="AH501" s="6">
        <v>1602.376</v>
      </c>
      <c r="AI501" s="6">
        <v>260.61550000000005</v>
      </c>
      <c r="AJ501" s="6">
        <f>SUM($AH$2:AH501)</f>
        <v>2041787.8653000037</v>
      </c>
      <c r="AK501" s="8">
        <f t="shared" si="8"/>
        <v>0.88881555835450865</v>
      </c>
      <c r="AL501">
        <v>1602.376</v>
      </c>
    </row>
    <row r="502" spans="33:38" x14ac:dyDescent="0.35">
      <c r="AG502" s="3" t="s">
        <v>339</v>
      </c>
      <c r="AH502" s="6">
        <v>1600.55</v>
      </c>
      <c r="AI502" s="6">
        <v>306.91759999999999</v>
      </c>
      <c r="AJ502" s="6">
        <f>SUM($AH$2:AH502)</f>
        <v>2043388.4153000037</v>
      </c>
      <c r="AK502" s="8">
        <f t="shared" si="8"/>
        <v>0.88951229760254769</v>
      </c>
      <c r="AL502">
        <v>1600.55</v>
      </c>
    </row>
    <row r="503" spans="33:38" x14ac:dyDescent="0.35">
      <c r="AG503" s="3" t="s">
        <v>186</v>
      </c>
      <c r="AH503" s="6">
        <v>1587.452</v>
      </c>
      <c r="AI503" s="6">
        <v>-378.55090000000001</v>
      </c>
      <c r="AJ503" s="6">
        <f>SUM($AH$2:AH503)</f>
        <v>2044975.8673000038</v>
      </c>
      <c r="AK503" s="8">
        <f t="shared" si="8"/>
        <v>0.89020333512888428</v>
      </c>
      <c r="AL503">
        <v>1587.452</v>
      </c>
    </row>
    <row r="504" spans="33:38" x14ac:dyDescent="0.35">
      <c r="AG504" s="3" t="s">
        <v>795</v>
      </c>
      <c r="AH504" s="6">
        <v>1585.162</v>
      </c>
      <c r="AI504" s="6">
        <v>523.2133</v>
      </c>
      <c r="AJ504" s="6">
        <f>SUM($AH$2:AH504)</f>
        <v>2046561.0293000038</v>
      </c>
      <c r="AK504" s="8">
        <f t="shared" si="8"/>
        <v>0.89089337578984462</v>
      </c>
      <c r="AL504">
        <v>1585.162</v>
      </c>
    </row>
    <row r="505" spans="33:38" x14ac:dyDescent="0.35">
      <c r="AG505" s="3" t="s">
        <v>402</v>
      </c>
      <c r="AH505" s="6">
        <v>1582.1090000000004</v>
      </c>
      <c r="AI505" s="6">
        <v>-338.43109999999996</v>
      </c>
      <c r="AJ505" s="6">
        <f>SUM($AH$2:AH505)</f>
        <v>2048143.1383000037</v>
      </c>
      <c r="AK505" s="8">
        <f t="shared" si="8"/>
        <v>0.89158208744207401</v>
      </c>
      <c r="AL505">
        <v>1582.1090000000004</v>
      </c>
    </row>
    <row r="506" spans="33:38" x14ac:dyDescent="0.35">
      <c r="AG506" s="3" t="s">
        <v>391</v>
      </c>
      <c r="AH506" s="6">
        <v>1581.9979999999998</v>
      </c>
      <c r="AI506" s="6">
        <v>121.7565</v>
      </c>
      <c r="AJ506" s="6">
        <f>SUM($AH$2:AH506)</f>
        <v>2049725.1363000036</v>
      </c>
      <c r="AK506" s="8">
        <f t="shared" si="8"/>
        <v>0.89227075077462792</v>
      </c>
      <c r="AL506">
        <v>1581.9979999999998</v>
      </c>
    </row>
    <row r="507" spans="33:38" x14ac:dyDescent="0.35">
      <c r="AG507" s="3" t="s">
        <v>397</v>
      </c>
      <c r="AH507" s="6">
        <v>1571.5229999999999</v>
      </c>
      <c r="AI507" s="6">
        <v>209.2817</v>
      </c>
      <c r="AJ507" s="6">
        <f>SUM($AH$2:AH507)</f>
        <v>2051296.6593000037</v>
      </c>
      <c r="AK507" s="8">
        <f t="shared" si="8"/>
        <v>0.89295485420988208</v>
      </c>
      <c r="AL507">
        <v>1571.5229999999999</v>
      </c>
    </row>
    <row r="508" spans="33:38" x14ac:dyDescent="0.35">
      <c r="AG508" s="3" t="s">
        <v>87</v>
      </c>
      <c r="AH508" s="6">
        <v>1569.4640000000002</v>
      </c>
      <c r="AI508" s="6">
        <v>49.719299999999983</v>
      </c>
      <c r="AJ508" s="6">
        <f>SUM($AH$2:AH508)</f>
        <v>2052866.1233000036</v>
      </c>
      <c r="AK508" s="8">
        <f t="shared" si="8"/>
        <v>0.89363806133692225</v>
      </c>
      <c r="AL508">
        <v>1569.4640000000002</v>
      </c>
    </row>
    <row r="509" spans="33:38" x14ac:dyDescent="0.35">
      <c r="AG509" s="3" t="s">
        <v>423</v>
      </c>
      <c r="AH509" s="6">
        <v>1568.44</v>
      </c>
      <c r="AI509" s="6">
        <v>7.8371000000000102</v>
      </c>
      <c r="AJ509" s="6">
        <f>SUM($AH$2:AH509)</f>
        <v>2054434.5633000035</v>
      </c>
      <c r="AK509" s="8">
        <f t="shared" si="8"/>
        <v>0.89432082270407376</v>
      </c>
      <c r="AL509">
        <v>1568.44</v>
      </c>
    </row>
    <row r="510" spans="33:38" x14ac:dyDescent="0.35">
      <c r="AG510" s="3" t="s">
        <v>56</v>
      </c>
      <c r="AH510" s="6">
        <v>1567.52</v>
      </c>
      <c r="AI510" s="6">
        <v>-5.88900000000001</v>
      </c>
      <c r="AJ510" s="6">
        <f>SUM($AH$2:AH510)</f>
        <v>2056002.0833000035</v>
      </c>
      <c r="AK510" s="8">
        <f t="shared" si="8"/>
        <v>0.89500318358382513</v>
      </c>
      <c r="AL510">
        <v>1567.52</v>
      </c>
    </row>
    <row r="511" spans="33:38" x14ac:dyDescent="0.35">
      <c r="AG511" s="3" t="s">
        <v>700</v>
      </c>
      <c r="AH511" s="6">
        <v>1560.05</v>
      </c>
      <c r="AI511" s="6">
        <v>189.0258</v>
      </c>
      <c r="AJ511" s="6">
        <f>SUM($AH$2:AH511)</f>
        <v>2057562.1333000036</v>
      </c>
      <c r="AK511" s="8">
        <f t="shared" si="8"/>
        <v>0.89568229268001287</v>
      </c>
      <c r="AL511">
        <v>1560.05</v>
      </c>
    </row>
    <row r="512" spans="33:38" x14ac:dyDescent="0.35">
      <c r="AG512" s="3" t="s">
        <v>153</v>
      </c>
      <c r="AH512" s="6">
        <v>1548.7019999999998</v>
      </c>
      <c r="AI512" s="6">
        <v>212.42500000000004</v>
      </c>
      <c r="AJ512" s="6">
        <f>SUM($AH$2:AH512)</f>
        <v>2059110.8353000036</v>
      </c>
      <c r="AK512" s="8">
        <f t="shared" si="8"/>
        <v>0.89635646185118323</v>
      </c>
      <c r="AL512">
        <v>1548.7019999999998</v>
      </c>
    </row>
    <row r="513" spans="33:38" x14ac:dyDescent="0.35">
      <c r="AG513" s="3" t="s">
        <v>470</v>
      </c>
      <c r="AH513" s="6">
        <v>1538.1099999999997</v>
      </c>
      <c r="AI513" s="6">
        <v>206.75689999999997</v>
      </c>
      <c r="AJ513" s="6">
        <f>SUM($AH$2:AH513)</f>
        <v>2060648.9453000037</v>
      </c>
      <c r="AK513" s="8">
        <f t="shared" si="8"/>
        <v>0.89702602019350386</v>
      </c>
      <c r="AL513">
        <v>1538.1099999999997</v>
      </c>
    </row>
    <row r="514" spans="33:38" x14ac:dyDescent="0.35">
      <c r="AG514" s="3" t="s">
        <v>637</v>
      </c>
      <c r="AH514" s="6">
        <v>1537.2360000000003</v>
      </c>
      <c r="AI514" s="6">
        <v>195.15109999999999</v>
      </c>
      <c r="AJ514" s="6">
        <f>SUM($AH$2:AH514)</f>
        <v>2062186.1813000038</v>
      </c>
      <c r="AK514" s="8">
        <f t="shared" si="8"/>
        <v>0.89769519807279441</v>
      </c>
      <c r="AL514">
        <v>1537.2360000000003</v>
      </c>
    </row>
    <row r="515" spans="33:38" x14ac:dyDescent="0.35">
      <c r="AG515" s="3" t="s">
        <v>311</v>
      </c>
      <c r="AH515" s="6">
        <v>1526.5</v>
      </c>
      <c r="AI515" s="6">
        <v>333.97910000000002</v>
      </c>
      <c r="AJ515" s="6">
        <f>SUM($AH$2:AH515)</f>
        <v>2063712.6813000038</v>
      </c>
      <c r="AK515" s="8">
        <f t="shared" ref="AK515:AK578" si="9">AJ515/$AH$795</f>
        <v>0.89835970243825103</v>
      </c>
      <c r="AL515">
        <v>1526.5</v>
      </c>
    </row>
    <row r="516" spans="33:38" x14ac:dyDescent="0.35">
      <c r="AG516" s="3" t="s">
        <v>382</v>
      </c>
      <c r="AH516" s="6">
        <v>1523.2730000000001</v>
      </c>
      <c r="AI516" s="6">
        <v>315.22140000000007</v>
      </c>
      <c r="AJ516" s="6">
        <f>SUM($AH$2:AH516)</f>
        <v>2065235.9543000038</v>
      </c>
      <c r="AK516" s="8">
        <f t="shared" si="9"/>
        <v>0.89902280205062057</v>
      </c>
      <c r="AL516">
        <v>1523.2730000000001</v>
      </c>
    </row>
    <row r="517" spans="33:38" x14ac:dyDescent="0.35">
      <c r="AG517" s="3" t="s">
        <v>666</v>
      </c>
      <c r="AH517" s="6">
        <v>1519.5060000000001</v>
      </c>
      <c r="AI517" s="6">
        <v>234.91940000000002</v>
      </c>
      <c r="AJ517" s="6">
        <f>SUM($AH$2:AH517)</f>
        <v>2066755.4603000039</v>
      </c>
      <c r="AK517" s="8">
        <f t="shared" si="9"/>
        <v>0.89968426184121186</v>
      </c>
      <c r="AL517">
        <v>1519.5060000000001</v>
      </c>
    </row>
    <row r="518" spans="33:38" x14ac:dyDescent="0.35">
      <c r="AG518" s="3" t="s">
        <v>540</v>
      </c>
      <c r="AH518" s="6">
        <v>1515.8620000000001</v>
      </c>
      <c r="AI518" s="6">
        <v>-274.96039999999999</v>
      </c>
      <c r="AJ518" s="6">
        <f>SUM($AH$2:AH518)</f>
        <v>2068271.3223000038</v>
      </c>
      <c r="AK518" s="8">
        <f t="shared" si="9"/>
        <v>0.90034413535344882</v>
      </c>
      <c r="AL518">
        <v>1515.8620000000001</v>
      </c>
    </row>
    <row r="519" spans="33:38" x14ac:dyDescent="0.35">
      <c r="AG519" s="3" t="s">
        <v>262</v>
      </c>
      <c r="AH519" s="6">
        <v>1507.0180000000003</v>
      </c>
      <c r="AI519" s="6">
        <v>206.10189999999997</v>
      </c>
      <c r="AJ519" s="6">
        <f>SUM($AH$2:AH519)</f>
        <v>2069778.3403000038</v>
      </c>
      <c r="AK519" s="8">
        <f t="shared" si="9"/>
        <v>0.90100015896289631</v>
      </c>
      <c r="AL519">
        <v>1507.0180000000003</v>
      </c>
    </row>
    <row r="520" spans="33:38" x14ac:dyDescent="0.35">
      <c r="AG520" s="3" t="s">
        <v>383</v>
      </c>
      <c r="AH520" s="6">
        <v>1503.1120000000001</v>
      </c>
      <c r="AI520" s="6">
        <v>322.24489999999997</v>
      </c>
      <c r="AJ520" s="6">
        <f>SUM($AH$2:AH520)</f>
        <v>2071281.4523000037</v>
      </c>
      <c r="AK520" s="8">
        <f t="shared" si="9"/>
        <v>0.90165448224214306</v>
      </c>
      <c r="AL520">
        <v>1503.1120000000001</v>
      </c>
    </row>
    <row r="521" spans="33:38" x14ac:dyDescent="0.35">
      <c r="AG521" s="3" t="s">
        <v>37</v>
      </c>
      <c r="AH521" s="6">
        <v>1493.944</v>
      </c>
      <c r="AI521" s="6">
        <v>249.13069999999999</v>
      </c>
      <c r="AJ521" s="6">
        <f>SUM($AH$2:AH521)</f>
        <v>2072775.3963000036</v>
      </c>
      <c r="AK521" s="8">
        <f t="shared" si="9"/>
        <v>0.90230481457738554</v>
      </c>
      <c r="AL521">
        <v>1493.944</v>
      </c>
    </row>
    <row r="522" spans="33:38" x14ac:dyDescent="0.35">
      <c r="AG522" s="3" t="s">
        <v>592</v>
      </c>
      <c r="AH522" s="6">
        <v>1475.1440000000002</v>
      </c>
      <c r="AI522" s="6">
        <v>91.203299999999999</v>
      </c>
      <c r="AJ522" s="6">
        <f>SUM($AH$2:AH522)</f>
        <v>2074250.5403000037</v>
      </c>
      <c r="AK522" s="8">
        <f t="shared" si="9"/>
        <v>0.90294696303967004</v>
      </c>
      <c r="AL522">
        <v>1475.1440000000002</v>
      </c>
    </row>
    <row r="523" spans="33:38" x14ac:dyDescent="0.35">
      <c r="AG523" s="3" t="s">
        <v>158</v>
      </c>
      <c r="AH523" s="6">
        <v>1469.4500000000003</v>
      </c>
      <c r="AI523" s="6">
        <v>161.76489999999998</v>
      </c>
      <c r="AJ523" s="6">
        <f>SUM($AH$2:AH523)</f>
        <v>2075719.9903000037</v>
      </c>
      <c r="AK523" s="8">
        <f t="shared" si="9"/>
        <v>0.90358663283319773</v>
      </c>
      <c r="AL523">
        <v>1469.4500000000003</v>
      </c>
    </row>
    <row r="524" spans="33:38" x14ac:dyDescent="0.35">
      <c r="AG524" s="3" t="s">
        <v>67</v>
      </c>
      <c r="AH524" s="6">
        <v>1467.8810000000001</v>
      </c>
      <c r="AI524" s="6">
        <v>390.21129999999994</v>
      </c>
      <c r="AJ524" s="6">
        <f>SUM($AH$2:AH524)</f>
        <v>2077187.8713000037</v>
      </c>
      <c r="AK524" s="8">
        <f t="shared" si="9"/>
        <v>0.90422561962158354</v>
      </c>
      <c r="AL524">
        <v>1467.8810000000001</v>
      </c>
    </row>
    <row r="525" spans="33:38" x14ac:dyDescent="0.35">
      <c r="AG525" s="3" t="s">
        <v>90</v>
      </c>
      <c r="AH525" s="6">
        <v>1467.152</v>
      </c>
      <c r="AI525" s="6">
        <v>192.03960000000001</v>
      </c>
      <c r="AJ525" s="6">
        <f>SUM($AH$2:AH525)</f>
        <v>2078655.0233000037</v>
      </c>
      <c r="AK525" s="8">
        <f t="shared" si="9"/>
        <v>0.90486428906723593</v>
      </c>
      <c r="AL525">
        <v>1467.152</v>
      </c>
    </row>
    <row r="526" spans="33:38" x14ac:dyDescent="0.35">
      <c r="AG526" s="3" t="s">
        <v>433</v>
      </c>
      <c r="AH526" s="6">
        <v>1460.1920000000002</v>
      </c>
      <c r="AI526" s="6">
        <v>269.68799999999999</v>
      </c>
      <c r="AJ526" s="6">
        <f>SUM($AH$2:AH526)</f>
        <v>2080115.2153000038</v>
      </c>
      <c r="AK526" s="8">
        <f t="shared" si="9"/>
        <v>0.90549992873864427</v>
      </c>
      <c r="AL526">
        <v>1460.1920000000002</v>
      </c>
    </row>
    <row r="527" spans="33:38" x14ac:dyDescent="0.35">
      <c r="AG527" s="3" t="s">
        <v>278</v>
      </c>
      <c r="AH527" s="6">
        <v>1459.3440000000001</v>
      </c>
      <c r="AI527" s="6">
        <v>340.70539999999994</v>
      </c>
      <c r="AJ527" s="6">
        <f>SUM($AH$2:AH527)</f>
        <v>2081574.5593000038</v>
      </c>
      <c r="AK527" s="8">
        <f t="shared" si="9"/>
        <v>0.90613519926514463</v>
      </c>
      <c r="AL527">
        <v>1459.3440000000001</v>
      </c>
    </row>
    <row r="528" spans="33:38" x14ac:dyDescent="0.35">
      <c r="AG528" s="3" t="s">
        <v>173</v>
      </c>
      <c r="AH528" s="6">
        <v>1458.2580000000003</v>
      </c>
      <c r="AI528" s="6">
        <v>288.8732</v>
      </c>
      <c r="AJ528" s="6">
        <f>SUM($AH$2:AH528)</f>
        <v>2083032.8173000037</v>
      </c>
      <c r="AK528" s="8">
        <f t="shared" si="9"/>
        <v>0.90676999704238803</v>
      </c>
      <c r="AL528">
        <v>1458.2580000000003</v>
      </c>
    </row>
    <row r="529" spans="33:38" x14ac:dyDescent="0.35">
      <c r="AG529" s="3" t="s">
        <v>240</v>
      </c>
      <c r="AH529" s="6">
        <v>1456.9499999999998</v>
      </c>
      <c r="AI529" s="6">
        <v>280.66060000000004</v>
      </c>
      <c r="AJ529" s="6">
        <f>SUM($AH$2:AH529)</f>
        <v>2084489.7673000037</v>
      </c>
      <c r="AK529" s="8">
        <f t="shared" si="9"/>
        <v>0.90740422543102339</v>
      </c>
      <c r="AL529">
        <v>1456.9499999999998</v>
      </c>
    </row>
    <row r="530" spans="33:38" x14ac:dyDescent="0.35">
      <c r="AG530" s="3" t="s">
        <v>194</v>
      </c>
      <c r="AH530" s="6">
        <v>1455.0379999999998</v>
      </c>
      <c r="AI530" s="6">
        <v>-152.76130000000001</v>
      </c>
      <c r="AJ530" s="6">
        <f>SUM($AH$2:AH530)</f>
        <v>2085944.8053000036</v>
      </c>
      <c r="AK530" s="8">
        <f t="shared" si="9"/>
        <v>0.90803762150236644</v>
      </c>
      <c r="AL530">
        <v>1455.0379999999998</v>
      </c>
    </row>
    <row r="531" spans="33:38" x14ac:dyDescent="0.35">
      <c r="AG531" s="3" t="s">
        <v>625</v>
      </c>
      <c r="AH531" s="6">
        <v>1453.4739999999999</v>
      </c>
      <c r="AI531" s="6">
        <v>392.1499</v>
      </c>
      <c r="AJ531" s="6">
        <f>SUM($AH$2:AH531)</f>
        <v>2087398.2793000035</v>
      </c>
      <c r="AK531" s="8">
        <f t="shared" si="9"/>
        <v>0.90867033674512943</v>
      </c>
      <c r="AL531">
        <v>1453.4739999999999</v>
      </c>
    </row>
    <row r="532" spans="33:38" x14ac:dyDescent="0.35">
      <c r="AG532" s="3" t="s">
        <v>410</v>
      </c>
      <c r="AH532" s="6">
        <v>1441.152</v>
      </c>
      <c r="AI532" s="6">
        <v>-798.70500000000004</v>
      </c>
      <c r="AJ532" s="6">
        <f>SUM($AH$2:AH532)</f>
        <v>2088839.4313000035</v>
      </c>
      <c r="AK532" s="8">
        <f t="shared" si="9"/>
        <v>0.90929768806860567</v>
      </c>
      <c r="AL532">
        <v>1441.152</v>
      </c>
    </row>
    <row r="533" spans="33:38" x14ac:dyDescent="0.35">
      <c r="AG533" s="3" t="s">
        <v>207</v>
      </c>
      <c r="AH533" s="6">
        <v>1434.5480000000002</v>
      </c>
      <c r="AI533" s="6">
        <v>88.189700000000002</v>
      </c>
      <c r="AJ533" s="6">
        <f>SUM($AH$2:AH533)</f>
        <v>2090273.9793000035</v>
      </c>
      <c r="AK533" s="8">
        <f t="shared" si="9"/>
        <v>0.90992216458904918</v>
      </c>
      <c r="AL533">
        <v>1434.5480000000002</v>
      </c>
    </row>
    <row r="534" spans="33:38" x14ac:dyDescent="0.35">
      <c r="AG534" s="3" t="s">
        <v>589</v>
      </c>
      <c r="AH534" s="6">
        <v>1428.731</v>
      </c>
      <c r="AI534" s="6">
        <v>154.06369999999998</v>
      </c>
      <c r="AJ534" s="6">
        <f>SUM($AH$2:AH534)</f>
        <v>2091702.7103000034</v>
      </c>
      <c r="AK534" s="8">
        <f t="shared" si="9"/>
        <v>0.91054410889731197</v>
      </c>
      <c r="AL534">
        <v>1428.731</v>
      </c>
    </row>
    <row r="535" spans="33:38" x14ac:dyDescent="0.35">
      <c r="AG535" s="3" t="s">
        <v>563</v>
      </c>
      <c r="AH535" s="6">
        <v>1428.231</v>
      </c>
      <c r="AI535" s="6">
        <v>117.8057</v>
      </c>
      <c r="AJ535" s="6">
        <f>SUM($AH$2:AH535)</f>
        <v>2093130.9413000033</v>
      </c>
      <c r="AK535" s="8">
        <f t="shared" si="9"/>
        <v>0.91116583554937902</v>
      </c>
      <c r="AL535">
        <v>1428.231</v>
      </c>
    </row>
    <row r="536" spans="33:38" x14ac:dyDescent="0.35">
      <c r="AG536" s="3" t="s">
        <v>734</v>
      </c>
      <c r="AH536" s="6">
        <v>1427.0440000000001</v>
      </c>
      <c r="AI536" s="6">
        <v>278.73709999999994</v>
      </c>
      <c r="AJ536" s="6">
        <f>SUM($AH$2:AH536)</f>
        <v>2094557.9853000033</v>
      </c>
      <c r="AK536" s="8">
        <f t="shared" si="9"/>
        <v>0.91178704548563749</v>
      </c>
      <c r="AL536">
        <v>1427.0440000000001</v>
      </c>
    </row>
    <row r="537" spans="33:38" x14ac:dyDescent="0.35">
      <c r="AG537" s="3" t="s">
        <v>181</v>
      </c>
      <c r="AH537" s="6">
        <v>1421.954</v>
      </c>
      <c r="AI537" s="6">
        <v>246.02179999999998</v>
      </c>
      <c r="AJ537" s="6">
        <f>SUM($AH$2:AH537)</f>
        <v>2095979.9393000032</v>
      </c>
      <c r="AK537" s="8">
        <f t="shared" si="9"/>
        <v>0.91240603968182388</v>
      </c>
      <c r="AL537">
        <v>1421.954</v>
      </c>
    </row>
    <row r="538" spans="33:38" x14ac:dyDescent="0.35">
      <c r="AG538" s="3" t="s">
        <v>859</v>
      </c>
      <c r="AH538" s="6">
        <v>1419.7370000000003</v>
      </c>
      <c r="AI538" s="6">
        <v>207.33039999999991</v>
      </c>
      <c r="AJ538" s="6">
        <f>SUM($AH$2:AH538)</f>
        <v>2097399.6763000032</v>
      </c>
      <c r="AK538" s="8">
        <f t="shared" si="9"/>
        <v>0.91302406879043851</v>
      </c>
      <c r="AL538">
        <v>1419.7370000000003</v>
      </c>
    </row>
    <row r="539" spans="33:38" x14ac:dyDescent="0.35">
      <c r="AG539" s="3" t="s">
        <v>753</v>
      </c>
      <c r="AH539" s="6">
        <v>1418.0900000000001</v>
      </c>
      <c r="AI539" s="6">
        <v>343.63810000000001</v>
      </c>
      <c r="AJ539" s="6">
        <f>SUM($AH$2:AH539)</f>
        <v>2098817.766300003</v>
      </c>
      <c r="AK539" s="8">
        <f t="shared" si="9"/>
        <v>0.91364138093954439</v>
      </c>
      <c r="AL539">
        <v>1418.0900000000001</v>
      </c>
    </row>
    <row r="540" spans="33:38" x14ac:dyDescent="0.35">
      <c r="AG540" s="3" t="s">
        <v>416</v>
      </c>
      <c r="AH540" s="6">
        <v>1417.654</v>
      </c>
      <c r="AI540" s="6">
        <v>-175.54899999999998</v>
      </c>
      <c r="AJ540" s="6">
        <f>SUM($AH$2:AH540)</f>
        <v>2100235.4203000031</v>
      </c>
      <c r="AK540" s="8">
        <f t="shared" si="9"/>
        <v>0.91425850329244784</v>
      </c>
      <c r="AL540">
        <v>1417.654</v>
      </c>
    </row>
    <row r="541" spans="33:38" x14ac:dyDescent="0.35">
      <c r="AG541" s="3" t="s">
        <v>492</v>
      </c>
      <c r="AH541" s="6">
        <v>1405.402</v>
      </c>
      <c r="AI541" s="6">
        <v>157.8768</v>
      </c>
      <c r="AJ541" s="6">
        <f>SUM($AH$2:AH541)</f>
        <v>2101640.8223000029</v>
      </c>
      <c r="AK541" s="8">
        <f t="shared" si="9"/>
        <v>0.91487029219793181</v>
      </c>
      <c r="AL541">
        <v>1405.402</v>
      </c>
    </row>
    <row r="542" spans="33:38" x14ac:dyDescent="0.35">
      <c r="AG542" s="3" t="s">
        <v>401</v>
      </c>
      <c r="AH542" s="6">
        <v>1398.3820000000001</v>
      </c>
      <c r="AI542" s="6">
        <v>136.7079</v>
      </c>
      <c r="AJ542" s="6">
        <f>SUM($AH$2:AH542)</f>
        <v>2103039.2043000031</v>
      </c>
      <c r="AK542" s="8">
        <f t="shared" si="9"/>
        <v>0.91547902521042845</v>
      </c>
      <c r="AL542">
        <v>1398.3820000000001</v>
      </c>
    </row>
    <row r="543" spans="33:38" x14ac:dyDescent="0.35">
      <c r="AG543" s="3" t="s">
        <v>852</v>
      </c>
      <c r="AH543" s="6">
        <v>1397.8724000000002</v>
      </c>
      <c r="AI543" s="6">
        <v>83.270300000000006</v>
      </c>
      <c r="AJ543" s="6">
        <f>SUM($AH$2:AH543)</f>
        <v>2104437.0767000034</v>
      </c>
      <c r="AK543" s="8">
        <f t="shared" si="9"/>
        <v>0.91608753638773044</v>
      </c>
      <c r="AL543">
        <v>1397.8724000000002</v>
      </c>
    </row>
    <row r="544" spans="33:38" x14ac:dyDescent="0.35">
      <c r="AG544" s="3" t="s">
        <v>226</v>
      </c>
      <c r="AH544" s="6">
        <v>1395.9380000000001</v>
      </c>
      <c r="AI544" s="6">
        <v>217.08929999999998</v>
      </c>
      <c r="AJ544" s="6">
        <f>SUM($AH$2:AH544)</f>
        <v>2105833.0147000034</v>
      </c>
      <c r="AK544" s="8">
        <f t="shared" si="9"/>
        <v>0.91669520549674233</v>
      </c>
      <c r="AL544">
        <v>1395.9380000000001</v>
      </c>
    </row>
    <row r="545" spans="33:38" x14ac:dyDescent="0.35">
      <c r="AG545" s="3" t="s">
        <v>261</v>
      </c>
      <c r="AH545" s="6">
        <v>1388.682</v>
      </c>
      <c r="AI545" s="6">
        <v>276.21969999999999</v>
      </c>
      <c r="AJ545" s="6">
        <f>SUM($AH$2:AH545)</f>
        <v>2107221.6967000035</v>
      </c>
      <c r="AK545" s="8">
        <f t="shared" si="9"/>
        <v>0.91729971597904247</v>
      </c>
      <c r="AL545">
        <v>1388.682</v>
      </c>
    </row>
    <row r="546" spans="33:38" x14ac:dyDescent="0.35">
      <c r="AG546" s="3" t="s">
        <v>250</v>
      </c>
      <c r="AH546" s="6">
        <v>1387.559</v>
      </c>
      <c r="AI546" s="6">
        <v>-136.40909999999997</v>
      </c>
      <c r="AJ546" s="6">
        <f>SUM($AH$2:AH546)</f>
        <v>2108609.2557000034</v>
      </c>
      <c r="AK546" s="8">
        <f t="shared" si="9"/>
        <v>0.9179037376055269</v>
      </c>
      <c r="AL546">
        <v>1387.559</v>
      </c>
    </row>
    <row r="547" spans="33:38" x14ac:dyDescent="0.35">
      <c r="AG547" s="3" t="s">
        <v>527</v>
      </c>
      <c r="AH547" s="6">
        <v>1383.1440000000002</v>
      </c>
      <c r="AI547" s="6">
        <v>394.73969999999997</v>
      </c>
      <c r="AJ547" s="6">
        <f>SUM($AH$2:AH547)</f>
        <v>2109992.3997000032</v>
      </c>
      <c r="AK547" s="8">
        <f t="shared" si="9"/>
        <v>0.91850583732780333</v>
      </c>
      <c r="AL547">
        <v>1383.1440000000002</v>
      </c>
    </row>
    <row r="548" spans="33:38" x14ac:dyDescent="0.35">
      <c r="AG548" s="3" t="s">
        <v>879</v>
      </c>
      <c r="AH548" s="6">
        <v>1376.7919999999999</v>
      </c>
      <c r="AI548" s="6">
        <v>199.7688</v>
      </c>
      <c r="AJ548" s="6">
        <f>SUM($AH$2:AH548)</f>
        <v>2111369.1917000031</v>
      </c>
      <c r="AK548" s="8">
        <f t="shared" si="9"/>
        <v>0.91910517194576968</v>
      </c>
      <c r="AL548">
        <v>1376.7919999999999</v>
      </c>
    </row>
    <row r="549" spans="33:38" x14ac:dyDescent="0.35">
      <c r="AG549" s="3" t="s">
        <v>50</v>
      </c>
      <c r="AH549" s="6">
        <v>1361.2440000000001</v>
      </c>
      <c r="AI549" s="6">
        <v>-95.449799999999996</v>
      </c>
      <c r="AJ549" s="6">
        <f>SUM($AH$2:AH549)</f>
        <v>2112730.4357000031</v>
      </c>
      <c r="AK549" s="8">
        <f t="shared" si="9"/>
        <v>0.91969773832667479</v>
      </c>
      <c r="AL549">
        <v>1361.2440000000001</v>
      </c>
    </row>
    <row r="550" spans="33:38" x14ac:dyDescent="0.35">
      <c r="AG550" s="3" t="s">
        <v>750</v>
      </c>
      <c r="AH550" s="6">
        <v>1348.02</v>
      </c>
      <c r="AI550" s="6">
        <v>157.66579999999999</v>
      </c>
      <c r="AJ550" s="6">
        <f>SUM($AH$2:AH550)</f>
        <v>2114078.4557000031</v>
      </c>
      <c r="AK550" s="8">
        <f t="shared" si="9"/>
        <v>0.92028454813651606</v>
      </c>
      <c r="AL550">
        <v>1348.02</v>
      </c>
    </row>
    <row r="551" spans="33:38" x14ac:dyDescent="0.35">
      <c r="AG551" s="3" t="s">
        <v>294</v>
      </c>
      <c r="AH551" s="6">
        <v>1346.7739999999999</v>
      </c>
      <c r="AI551" s="6">
        <v>-44.878</v>
      </c>
      <c r="AJ551" s="6">
        <f>SUM($AH$2:AH551)</f>
        <v>2115425.2297000033</v>
      </c>
      <c r="AK551" s="8">
        <f t="shared" si="9"/>
        <v>0.9208708155471178</v>
      </c>
      <c r="AL551">
        <v>1346.7739999999999</v>
      </c>
    </row>
    <row r="552" spans="33:38" x14ac:dyDescent="0.35">
      <c r="AG552" s="3" t="s">
        <v>840</v>
      </c>
      <c r="AH552" s="6">
        <v>1342.2819999999999</v>
      </c>
      <c r="AI552" s="6">
        <v>-398.79319999999996</v>
      </c>
      <c r="AJ552" s="6">
        <f>SUM($AH$2:AH552)</f>
        <v>2116767.5117000034</v>
      </c>
      <c r="AK552" s="8">
        <f t="shared" si="9"/>
        <v>0.92145512753445746</v>
      </c>
      <c r="AL552">
        <v>1342.2819999999999</v>
      </c>
    </row>
    <row r="553" spans="33:38" x14ac:dyDescent="0.35">
      <c r="AG553" s="3" t="s">
        <v>809</v>
      </c>
      <c r="AH553" s="6">
        <v>1341.0360000000001</v>
      </c>
      <c r="AI553" s="6">
        <v>-23.5137</v>
      </c>
      <c r="AJ553" s="6">
        <f>SUM($AH$2:AH553)</f>
        <v>2118108.5477000033</v>
      </c>
      <c r="AK553" s="8">
        <f t="shared" si="9"/>
        <v>0.92203889712255727</v>
      </c>
      <c r="AL553">
        <v>1341.0360000000001</v>
      </c>
    </row>
    <row r="554" spans="33:38" x14ac:dyDescent="0.35">
      <c r="AG554" s="3" t="s">
        <v>384</v>
      </c>
      <c r="AH554" s="6">
        <v>1338.8419999999999</v>
      </c>
      <c r="AI554" s="6">
        <v>137.74390000000002</v>
      </c>
      <c r="AJ554" s="6">
        <f>SUM($AH$2:AH554)</f>
        <v>2119447.3897000034</v>
      </c>
      <c r="AK554" s="8">
        <f t="shared" si="9"/>
        <v>0.92262171163527051</v>
      </c>
      <c r="AL554">
        <v>1338.8419999999999</v>
      </c>
    </row>
    <row r="555" spans="33:38" x14ac:dyDescent="0.35">
      <c r="AG555" s="3" t="s">
        <v>695</v>
      </c>
      <c r="AH555" s="6">
        <v>1333.88</v>
      </c>
      <c r="AI555" s="6">
        <v>-291.3811</v>
      </c>
      <c r="AJ555" s="6">
        <f>SUM($AH$2:AH555)</f>
        <v>2120781.2697000033</v>
      </c>
      <c r="AK555" s="8">
        <f t="shared" si="9"/>
        <v>0.92320236612789752</v>
      </c>
      <c r="AL555">
        <v>1333.88</v>
      </c>
    </row>
    <row r="556" spans="33:38" x14ac:dyDescent="0.35">
      <c r="AG556" s="3" t="s">
        <v>232</v>
      </c>
      <c r="AH556" s="6">
        <v>1324.028</v>
      </c>
      <c r="AI556" s="6">
        <v>332.34870000000001</v>
      </c>
      <c r="AJ556" s="6">
        <f>SUM($AH$2:AH556)</f>
        <v>2122105.2977000033</v>
      </c>
      <c r="AK556" s="8">
        <f t="shared" si="9"/>
        <v>0.92377873192284465</v>
      </c>
      <c r="AL556">
        <v>1324.028</v>
      </c>
    </row>
    <row r="557" spans="33:38" x14ac:dyDescent="0.35">
      <c r="AG557" s="3" t="s">
        <v>790</v>
      </c>
      <c r="AH557" s="6">
        <v>1322.0340000000001</v>
      </c>
      <c r="AI557" s="6">
        <v>108.75830000000002</v>
      </c>
      <c r="AJ557" s="6">
        <f>SUM($AH$2:AH557)</f>
        <v>2123427.3317000032</v>
      </c>
      <c r="AK557" s="8">
        <f t="shared" si="9"/>
        <v>0.92435422970488323</v>
      </c>
      <c r="AL557">
        <v>1322.0340000000001</v>
      </c>
    </row>
    <row r="558" spans="33:38" x14ac:dyDescent="0.35">
      <c r="AG558" s="3" t="s">
        <v>265</v>
      </c>
      <c r="AH558" s="6">
        <v>1319.4497999999999</v>
      </c>
      <c r="AI558" s="6">
        <v>-23.676299999999998</v>
      </c>
      <c r="AJ558" s="6">
        <f>SUM($AH$2:AH558)</f>
        <v>2124746.7815000033</v>
      </c>
      <c r="AK558" s="8">
        <f t="shared" si="9"/>
        <v>0.9249286025526402</v>
      </c>
      <c r="AL558">
        <v>1319.4497999999999</v>
      </c>
    </row>
    <row r="559" spans="33:38" x14ac:dyDescent="0.35">
      <c r="AG559" s="3" t="s">
        <v>138</v>
      </c>
      <c r="AH559" s="6">
        <v>1318.7759999999998</v>
      </c>
      <c r="AI559" s="6">
        <v>68.096299999999957</v>
      </c>
      <c r="AJ559" s="6">
        <f>SUM($AH$2:AH559)</f>
        <v>2126065.5575000034</v>
      </c>
      <c r="AK559" s="8">
        <f t="shared" si="9"/>
        <v>0.92550268208690767</v>
      </c>
      <c r="AL559">
        <v>1318.7759999999998</v>
      </c>
    </row>
    <row r="560" spans="33:38" x14ac:dyDescent="0.35">
      <c r="AG560" s="3" t="s">
        <v>670</v>
      </c>
      <c r="AH560" s="6">
        <v>1314.0230000000001</v>
      </c>
      <c r="AI560" s="6">
        <v>178.40200000000002</v>
      </c>
      <c r="AJ560" s="6">
        <f>SUM($AH$2:AH560)</f>
        <v>2127379.5805000034</v>
      </c>
      <c r="AK560" s="8">
        <f t="shared" si="9"/>
        <v>0.92607469258137898</v>
      </c>
      <c r="AL560">
        <v>1314.0230000000001</v>
      </c>
    </row>
    <row r="561" spans="33:38" x14ac:dyDescent="0.35">
      <c r="AG561" s="3" t="s">
        <v>341</v>
      </c>
      <c r="AH561" s="6">
        <v>1306.0859999999998</v>
      </c>
      <c r="AI561" s="6">
        <v>-118.77570000000001</v>
      </c>
      <c r="AJ561" s="6">
        <f>SUM($AH$2:AH561)</f>
        <v>2128685.6665000035</v>
      </c>
      <c r="AK561" s="8">
        <f t="shared" si="9"/>
        <v>0.92664324800139986</v>
      </c>
      <c r="AL561">
        <v>1306.0859999999998</v>
      </c>
    </row>
    <row r="562" spans="33:38" x14ac:dyDescent="0.35">
      <c r="AG562" s="3" t="s">
        <v>522</v>
      </c>
      <c r="AH562" s="6">
        <v>1303.893</v>
      </c>
      <c r="AI562" s="6">
        <v>210.74930000000003</v>
      </c>
      <c r="AJ562" s="6">
        <f>SUM($AH$2:AH562)</f>
        <v>2129989.5595000037</v>
      </c>
      <c r="AK562" s="8">
        <f t="shared" si="9"/>
        <v>0.92721084878134641</v>
      </c>
      <c r="AL562">
        <v>1303.893</v>
      </c>
    </row>
    <row r="563" spans="33:38" x14ac:dyDescent="0.35">
      <c r="AG563" s="3" t="s">
        <v>851</v>
      </c>
      <c r="AH563" s="6">
        <v>1303.4780000000001</v>
      </c>
      <c r="AI563" s="6">
        <v>97.106599999999986</v>
      </c>
      <c r="AJ563" s="6">
        <f>SUM($AH$2:AH563)</f>
        <v>2131293.0375000038</v>
      </c>
      <c r="AK563" s="8">
        <f t="shared" si="9"/>
        <v>0.92777826890665049</v>
      </c>
      <c r="AL563">
        <v>1303.4780000000001</v>
      </c>
    </row>
    <row r="564" spans="33:38" x14ac:dyDescent="0.35">
      <c r="AG564" s="3" t="s">
        <v>571</v>
      </c>
      <c r="AH564" s="6">
        <v>1300.076</v>
      </c>
      <c r="AI564" s="6">
        <v>205.62820000000002</v>
      </c>
      <c r="AJ564" s="6">
        <f>SUM($AH$2:AH564)</f>
        <v>2132593.1135000037</v>
      </c>
      <c r="AK564" s="8">
        <f t="shared" si="9"/>
        <v>0.92834420809919893</v>
      </c>
      <c r="AL564">
        <v>1300.076</v>
      </c>
    </row>
    <row r="565" spans="33:38" x14ac:dyDescent="0.35">
      <c r="AG565" s="3" t="s">
        <v>224</v>
      </c>
      <c r="AH565" s="6">
        <v>1300.0315000000003</v>
      </c>
      <c r="AI565" s="6">
        <v>-38.908600000000042</v>
      </c>
      <c r="AJ565" s="6">
        <f>SUM($AH$2:AH565)</f>
        <v>2133893.1450000037</v>
      </c>
      <c r="AK565" s="8">
        <f t="shared" si="9"/>
        <v>0.92891012792034611</v>
      </c>
      <c r="AL565">
        <v>1300.0315000000003</v>
      </c>
    </row>
    <row r="566" spans="33:38" x14ac:dyDescent="0.35">
      <c r="AG566" s="3" t="s">
        <v>458</v>
      </c>
      <c r="AH566" s="6">
        <v>1299.2879999999998</v>
      </c>
      <c r="AI566" s="6">
        <v>185.57939999999999</v>
      </c>
      <c r="AJ566" s="6">
        <f>SUM($AH$2:AH566)</f>
        <v>2135192.4330000039</v>
      </c>
      <c r="AK566" s="8">
        <f t="shared" si="9"/>
        <v>0.92947572408673029</v>
      </c>
      <c r="AL566">
        <v>1299.2879999999998</v>
      </c>
    </row>
    <row r="567" spans="33:38" x14ac:dyDescent="0.35">
      <c r="AG567" s="3" t="s">
        <v>862</v>
      </c>
      <c r="AH567" s="6">
        <v>1284.3800000000001</v>
      </c>
      <c r="AI567" s="6">
        <v>359.83320000000003</v>
      </c>
      <c r="AJ567" s="6">
        <f>SUM($AH$2:AH567)</f>
        <v>2136476.8130000038</v>
      </c>
      <c r="AK567" s="8">
        <f t="shared" si="9"/>
        <v>0.93003483061598358</v>
      </c>
      <c r="AL567">
        <v>1284.3800000000001</v>
      </c>
    </row>
    <row r="568" spans="33:38" x14ac:dyDescent="0.35">
      <c r="AG568" s="3" t="s">
        <v>801</v>
      </c>
      <c r="AH568" s="6">
        <v>1278.954</v>
      </c>
      <c r="AI568" s="6">
        <v>185.37760000000003</v>
      </c>
      <c r="AJ568" s="6">
        <f>SUM($AH$2:AH568)</f>
        <v>2137755.7670000037</v>
      </c>
      <c r="AK568" s="8">
        <f t="shared" si="9"/>
        <v>0.93059157514020119</v>
      </c>
      <c r="AL568">
        <v>1278.954</v>
      </c>
    </row>
    <row r="569" spans="33:38" x14ac:dyDescent="0.35">
      <c r="AG569" s="3" t="s">
        <v>69</v>
      </c>
      <c r="AH569" s="6">
        <v>1278.6390000000001</v>
      </c>
      <c r="AI569" s="6">
        <v>198.50989999999999</v>
      </c>
      <c r="AJ569" s="6">
        <f>SUM($AH$2:AH569)</f>
        <v>2139034.4060000037</v>
      </c>
      <c r="AK569" s="8">
        <f t="shared" si="9"/>
        <v>0.93114818254101539</v>
      </c>
      <c r="AL569">
        <v>1278.6390000000001</v>
      </c>
    </row>
    <row r="570" spans="33:38" x14ac:dyDescent="0.35">
      <c r="AG570" s="3" t="s">
        <v>552</v>
      </c>
      <c r="AH570" s="6">
        <v>1271.0900000000004</v>
      </c>
      <c r="AI570" s="6">
        <v>199.65020000000001</v>
      </c>
      <c r="AJ570" s="6">
        <f>SUM($AH$2:AH570)</f>
        <v>2140305.4960000035</v>
      </c>
      <c r="AK570" s="8">
        <f t="shared" si="9"/>
        <v>0.93170150376858707</v>
      </c>
      <c r="AL570">
        <v>1271.0900000000004</v>
      </c>
    </row>
    <row r="571" spans="33:38" x14ac:dyDescent="0.35">
      <c r="AG571" s="3" t="s">
        <v>889</v>
      </c>
      <c r="AH571" s="6">
        <v>1267.316</v>
      </c>
      <c r="AI571" s="6">
        <v>294.06760000000003</v>
      </c>
      <c r="AJ571" s="6">
        <f>SUM($AH$2:AH571)</f>
        <v>2141572.8120000036</v>
      </c>
      <c r="AK571" s="8">
        <f t="shared" si="9"/>
        <v>0.93225318212719377</v>
      </c>
      <c r="AL571">
        <v>1267.316</v>
      </c>
    </row>
    <row r="572" spans="33:38" x14ac:dyDescent="0.35">
      <c r="AG572" s="3" t="s">
        <v>584</v>
      </c>
      <c r="AH572" s="6">
        <v>1262.0139999999999</v>
      </c>
      <c r="AI572" s="6">
        <v>328.0847</v>
      </c>
      <c r="AJ572" s="6">
        <f>SUM($AH$2:AH572)</f>
        <v>2142834.8260000036</v>
      </c>
      <c r="AK572" s="8">
        <f t="shared" si="9"/>
        <v>0.93280255245950117</v>
      </c>
      <c r="AL572">
        <v>1262.0139999999999</v>
      </c>
    </row>
    <row r="573" spans="33:38" x14ac:dyDescent="0.35">
      <c r="AG573" s="3" t="s">
        <v>870</v>
      </c>
      <c r="AH573" s="6">
        <v>1259.04</v>
      </c>
      <c r="AI573" s="6">
        <v>192.63120000000001</v>
      </c>
      <c r="AJ573" s="6">
        <f>SUM($AH$2:AH573)</f>
        <v>2144093.8660000036</v>
      </c>
      <c r="AK573" s="8">
        <f t="shared" si="9"/>
        <v>0.93335062817275671</v>
      </c>
      <c r="AL573">
        <v>1259.04</v>
      </c>
    </row>
    <row r="574" spans="33:38" x14ac:dyDescent="0.35">
      <c r="AG574" s="3" t="s">
        <v>643</v>
      </c>
      <c r="AH574" s="6">
        <v>1256.944</v>
      </c>
      <c r="AI574" s="6">
        <v>107.36040000000001</v>
      </c>
      <c r="AJ574" s="6">
        <f>SUM($AH$2:AH574)</f>
        <v>2145350.8100000038</v>
      </c>
      <c r="AK574" s="8">
        <f t="shared" si="9"/>
        <v>0.93389779147123986</v>
      </c>
      <c r="AL574">
        <v>1256.944</v>
      </c>
    </row>
    <row r="575" spans="33:38" x14ac:dyDescent="0.35">
      <c r="AG575" s="3" t="s">
        <v>513</v>
      </c>
      <c r="AH575" s="6">
        <v>1255.6819999999998</v>
      </c>
      <c r="AI575" s="6">
        <v>441.31850000000003</v>
      </c>
      <c r="AJ575" s="6">
        <f>SUM($AH$2:AH575)</f>
        <v>2146606.4920000038</v>
      </c>
      <c r="AK575" s="8">
        <f t="shared" si="9"/>
        <v>0.93444440540548501</v>
      </c>
      <c r="AL575">
        <v>1255.6819999999998</v>
      </c>
    </row>
    <row r="576" spans="33:38" x14ac:dyDescent="0.35">
      <c r="AG576" s="3" t="s">
        <v>759</v>
      </c>
      <c r="AH576" s="6">
        <v>1254.6400000000001</v>
      </c>
      <c r="AI576" s="6">
        <v>370.15780000000001</v>
      </c>
      <c r="AJ576" s="6">
        <f>SUM($AH$2:AH576)</f>
        <v>2147861.1320000039</v>
      </c>
      <c r="AK576" s="8">
        <f t="shared" si="9"/>
        <v>0.93499056574421846</v>
      </c>
      <c r="AL576">
        <v>1254.6400000000001</v>
      </c>
    </row>
    <row r="577" spans="33:38" x14ac:dyDescent="0.35">
      <c r="AG577" s="3" t="s">
        <v>689</v>
      </c>
      <c r="AH577" s="6">
        <v>1252.8</v>
      </c>
      <c r="AI577" s="6">
        <v>122.3612</v>
      </c>
      <c r="AJ577" s="6">
        <f>SUM($AH$2:AH577)</f>
        <v>2149113.9320000038</v>
      </c>
      <c r="AK577" s="8">
        <f t="shared" si="9"/>
        <v>0.93553592510815153</v>
      </c>
      <c r="AL577">
        <v>1252.8</v>
      </c>
    </row>
    <row r="578" spans="33:38" x14ac:dyDescent="0.35">
      <c r="AG578" s="3" t="s">
        <v>92</v>
      </c>
      <c r="AH578" s="6">
        <v>1245.788</v>
      </c>
      <c r="AI578" s="6">
        <v>-295.7398</v>
      </c>
      <c r="AJ578" s="6">
        <f>SUM($AH$2:AH578)</f>
        <v>2150359.7200000039</v>
      </c>
      <c r="AK578" s="8">
        <f t="shared" si="9"/>
        <v>0.93607823206159646</v>
      </c>
      <c r="AL578">
        <v>1245.788</v>
      </c>
    </row>
    <row r="579" spans="33:38" x14ac:dyDescent="0.35">
      <c r="AG579" s="3" t="s">
        <v>791</v>
      </c>
      <c r="AH579" s="6">
        <v>1244.9760000000001</v>
      </c>
      <c r="AI579" s="6">
        <v>119.104</v>
      </c>
      <c r="AJ579" s="6">
        <f>SUM($AH$2:AH579)</f>
        <v>2151604.6960000037</v>
      </c>
      <c r="AK579" s="8">
        <f t="shared" ref="AK579:AK642" si="10">AJ579/$AH$795</f>
        <v>0.93662018554137927</v>
      </c>
      <c r="AL579">
        <v>1244.9760000000001</v>
      </c>
    </row>
    <row r="580" spans="33:38" x14ac:dyDescent="0.35">
      <c r="AG580" s="3" t="s">
        <v>624</v>
      </c>
      <c r="AH580" s="6">
        <v>1244.086</v>
      </c>
      <c r="AI580" s="6">
        <v>-29.575899999999987</v>
      </c>
      <c r="AJ580" s="6">
        <f>SUM($AH$2:AH580)</f>
        <v>2152848.7820000038</v>
      </c>
      <c r="AK580" s="8">
        <f t="shared" si="10"/>
        <v>0.93716175159313397</v>
      </c>
      <c r="AL580">
        <v>1244.086</v>
      </c>
    </row>
    <row r="581" spans="33:38" x14ac:dyDescent="0.35">
      <c r="AG581" s="3" t="s">
        <v>787</v>
      </c>
      <c r="AH581" s="6">
        <v>1242.8330000000001</v>
      </c>
      <c r="AI581" s="6">
        <v>-470.76840000000004</v>
      </c>
      <c r="AJ581" s="6">
        <f>SUM($AH$2:AH581)</f>
        <v>2154091.6150000039</v>
      </c>
      <c r="AK581" s="8">
        <f t="shared" si="10"/>
        <v>0.93770277219846221</v>
      </c>
      <c r="AL581">
        <v>1242.8330000000001</v>
      </c>
    </row>
    <row r="582" spans="33:38" x14ac:dyDescent="0.35">
      <c r="AG582" s="3" t="s">
        <v>567</v>
      </c>
      <c r="AH582" s="6">
        <v>1228.6980000000001</v>
      </c>
      <c r="AI582" s="6">
        <v>514.50170000000003</v>
      </c>
      <c r="AJ582" s="6">
        <f>SUM($AH$2:AH582)</f>
        <v>2155320.3130000038</v>
      </c>
      <c r="AK582" s="8">
        <f t="shared" si="10"/>
        <v>0.93823763966313811</v>
      </c>
      <c r="AL582">
        <v>1228.6980000000001</v>
      </c>
    </row>
    <row r="583" spans="33:38" x14ac:dyDescent="0.35">
      <c r="AG583" s="3" t="s">
        <v>706</v>
      </c>
      <c r="AH583" s="6">
        <v>1220.0900000000001</v>
      </c>
      <c r="AI583" s="6">
        <v>442.13550000000004</v>
      </c>
      <c r="AJ583" s="6">
        <f>SUM($AH$2:AH583)</f>
        <v>2156540.4030000037</v>
      </c>
      <c r="AK583" s="8">
        <f t="shared" si="10"/>
        <v>0.93876875995874887</v>
      </c>
      <c r="AL583">
        <v>1220.0900000000001</v>
      </c>
    </row>
    <row r="584" spans="33:38" x14ac:dyDescent="0.35">
      <c r="AG584" s="3" t="s">
        <v>473</v>
      </c>
      <c r="AH584" s="6">
        <v>1219.5299999999997</v>
      </c>
      <c r="AI584" s="6">
        <v>-94.140799999999956</v>
      </c>
      <c r="AJ584" s="6">
        <f>SUM($AH$2:AH584)</f>
        <v>2157759.9330000035</v>
      </c>
      <c r="AK584" s="8">
        <f t="shared" si="10"/>
        <v>0.93929963647942039</v>
      </c>
      <c r="AL584">
        <v>1219.5299999999997</v>
      </c>
    </row>
    <row r="585" spans="33:38" x14ac:dyDescent="0.35">
      <c r="AG585" s="3" t="s">
        <v>805</v>
      </c>
      <c r="AH585" s="6">
        <v>1214.9560000000001</v>
      </c>
      <c r="AI585" s="6">
        <v>-207.79560000000001</v>
      </c>
      <c r="AJ585" s="6">
        <f>SUM($AH$2:AH585)</f>
        <v>2158974.8890000032</v>
      </c>
      <c r="AK585" s="8">
        <f t="shared" si="10"/>
        <v>0.9398285218812138</v>
      </c>
      <c r="AL585">
        <v>1214.9560000000001</v>
      </c>
    </row>
    <row r="586" spans="33:38" x14ac:dyDescent="0.35">
      <c r="AG586" s="3" t="s">
        <v>609</v>
      </c>
      <c r="AH586" s="6">
        <v>1205.5840000000001</v>
      </c>
      <c r="AI586" s="6">
        <v>233.0274</v>
      </c>
      <c r="AJ586" s="6">
        <f>SUM($AH$2:AH586)</f>
        <v>2160180.473000003</v>
      </c>
      <c r="AK586" s="8">
        <f t="shared" si="10"/>
        <v>0.94035332753527501</v>
      </c>
      <c r="AL586">
        <v>1205.5840000000001</v>
      </c>
    </row>
    <row r="587" spans="33:38" x14ac:dyDescent="0.35">
      <c r="AG587" s="3" t="s">
        <v>648</v>
      </c>
      <c r="AH587" s="6">
        <v>1204.9099999999999</v>
      </c>
      <c r="AI587" s="6">
        <v>-4.040300000000002</v>
      </c>
      <c r="AJ587" s="6">
        <f>SUM($AH$2:AH587)</f>
        <v>2161385.3830000032</v>
      </c>
      <c r="AK587" s="8">
        <f t="shared" si="10"/>
        <v>0.94087783978878459</v>
      </c>
      <c r="AL587">
        <v>1204.9099999999999</v>
      </c>
    </row>
    <row r="588" spans="33:38" x14ac:dyDescent="0.35">
      <c r="AG588" s="3" t="s">
        <v>111</v>
      </c>
      <c r="AH588" s="6">
        <v>1204.854</v>
      </c>
      <c r="AI588" s="6">
        <v>-266.89659999999998</v>
      </c>
      <c r="AJ588" s="6">
        <f>SUM($AH$2:AH588)</f>
        <v>2162590.237000003</v>
      </c>
      <c r="AK588" s="8">
        <f t="shared" si="10"/>
        <v>0.94140232766480014</v>
      </c>
      <c r="AL588">
        <v>1204.854</v>
      </c>
    </row>
    <row r="589" spans="33:38" x14ac:dyDescent="0.35">
      <c r="AG589" s="3" t="s">
        <v>524</v>
      </c>
      <c r="AH589" s="6">
        <v>1186.326</v>
      </c>
      <c r="AI589" s="6">
        <v>282.17009999999999</v>
      </c>
      <c r="AJ589" s="6">
        <f>SUM($AH$2:AH589)</f>
        <v>2163776.5630000029</v>
      </c>
      <c r="AK589" s="8">
        <f t="shared" si="10"/>
        <v>0.9419187500728281</v>
      </c>
      <c r="AL589">
        <v>1186.326</v>
      </c>
    </row>
    <row r="590" spans="33:38" x14ac:dyDescent="0.35">
      <c r="AG590" s="3" t="s">
        <v>644</v>
      </c>
      <c r="AH590" s="6">
        <v>1181.4900000000002</v>
      </c>
      <c r="AI590" s="6">
        <v>-197.26949999999999</v>
      </c>
      <c r="AJ590" s="6">
        <f>SUM($AH$2:AH590)</f>
        <v>2164958.0530000031</v>
      </c>
      <c r="AK590" s="8">
        <f t="shared" si="10"/>
        <v>0.94243306731013132</v>
      </c>
      <c r="AL590">
        <v>1181.4900000000002</v>
      </c>
    </row>
    <row r="591" spans="33:38" x14ac:dyDescent="0.35">
      <c r="AG591" s="3" t="s">
        <v>376</v>
      </c>
      <c r="AH591" s="6">
        <v>1174.6179999999999</v>
      </c>
      <c r="AI591" s="6">
        <v>132.06820000000002</v>
      </c>
      <c r="AJ591" s="6">
        <f>SUM($AH$2:AH591)</f>
        <v>2166132.6710000029</v>
      </c>
      <c r="AK591" s="8">
        <f t="shared" si="10"/>
        <v>0.94294439308068079</v>
      </c>
      <c r="AL591">
        <v>1174.6179999999999</v>
      </c>
    </row>
    <row r="592" spans="33:38" x14ac:dyDescent="0.35">
      <c r="AG592" s="3" t="s">
        <v>493</v>
      </c>
      <c r="AH592" s="6">
        <v>1171.8139999999999</v>
      </c>
      <c r="AI592" s="6">
        <v>100.87680000000002</v>
      </c>
      <c r="AJ592" s="6">
        <f>SUM($AH$2:AH592)</f>
        <v>2167304.4850000027</v>
      </c>
      <c r="AK592" s="8">
        <f t="shared" si="10"/>
        <v>0.94345449823528482</v>
      </c>
      <c r="AL592">
        <v>1171.8139999999999</v>
      </c>
    </row>
    <row r="593" spans="33:38" x14ac:dyDescent="0.35">
      <c r="AG593" s="3" t="s">
        <v>531</v>
      </c>
      <c r="AH593" s="6">
        <v>1156.6579999999999</v>
      </c>
      <c r="AI593" s="6">
        <v>-785.16449999999998</v>
      </c>
      <c r="AJ593" s="6">
        <f>SUM($AH$2:AH593)</f>
        <v>2168461.1430000025</v>
      </c>
      <c r="AK593" s="8">
        <f t="shared" si="10"/>
        <v>0.94395800579528488</v>
      </c>
      <c r="AL593">
        <v>1156.6579999999999</v>
      </c>
    </row>
    <row r="594" spans="33:38" x14ac:dyDescent="0.35">
      <c r="AG594" s="3" t="s">
        <v>649</v>
      </c>
      <c r="AH594" s="6">
        <v>1155.2019999999998</v>
      </c>
      <c r="AI594" s="6">
        <v>177.67349999999999</v>
      </c>
      <c r="AJ594" s="6">
        <f>SUM($AH$2:AH594)</f>
        <v>2169616.3450000025</v>
      </c>
      <c r="AK594" s="8">
        <f t="shared" si="10"/>
        <v>0.94446087954044322</v>
      </c>
      <c r="AL594">
        <v>1155.2019999999998</v>
      </c>
    </row>
    <row r="595" spans="33:38" x14ac:dyDescent="0.35">
      <c r="AG595" s="3" t="s">
        <v>3</v>
      </c>
      <c r="AH595" s="6">
        <v>1148.7800000000002</v>
      </c>
      <c r="AI595" s="6">
        <v>169.93439999999993</v>
      </c>
      <c r="AJ595" s="6">
        <f>SUM($AH$2:AH595)</f>
        <v>2170765.1250000023</v>
      </c>
      <c r="AK595" s="8">
        <f t="shared" si="10"/>
        <v>0.94496095770942401</v>
      </c>
      <c r="AL595">
        <v>1148.7800000000002</v>
      </c>
    </row>
    <row r="596" spans="33:38" x14ac:dyDescent="0.35">
      <c r="AG596" s="3" t="s">
        <v>238</v>
      </c>
      <c r="AH596" s="6">
        <v>1146.0500000000002</v>
      </c>
      <c r="AI596" s="6">
        <v>156.77969999999999</v>
      </c>
      <c r="AJ596" s="6">
        <f>SUM($AH$2:AH596)</f>
        <v>2171911.1750000021</v>
      </c>
      <c r="AK596" s="8">
        <f t="shared" si="10"/>
        <v>0.94545984747557621</v>
      </c>
      <c r="AL596">
        <v>1146.0500000000002</v>
      </c>
    </row>
    <row r="597" spans="33:38" x14ac:dyDescent="0.35">
      <c r="AG597" s="3" t="s">
        <v>364</v>
      </c>
      <c r="AH597" s="6">
        <v>1137.6159999999998</v>
      </c>
      <c r="AI597" s="6">
        <v>318.46249999999998</v>
      </c>
      <c r="AJ597" s="6">
        <f>SUM($AH$2:AH597)</f>
        <v>2173048.7910000021</v>
      </c>
      <c r="AK597" s="8">
        <f t="shared" si="10"/>
        <v>0.9459550658170196</v>
      </c>
      <c r="AL597">
        <v>1137.6159999999998</v>
      </c>
    </row>
    <row r="598" spans="33:38" x14ac:dyDescent="0.35">
      <c r="AG598" s="3" t="s">
        <v>267</v>
      </c>
      <c r="AH598" s="6">
        <v>1136.5920000000001</v>
      </c>
      <c r="AI598" s="6">
        <v>370.82979999999998</v>
      </c>
      <c r="AJ598" s="6">
        <f>SUM($AH$2:AH598)</f>
        <v>2174185.3830000022</v>
      </c>
      <c r="AK598" s="8">
        <f t="shared" si="10"/>
        <v>0.94644983839857422</v>
      </c>
      <c r="AL598">
        <v>1136.5920000000001</v>
      </c>
    </row>
    <row r="599" spans="33:38" x14ac:dyDescent="0.35">
      <c r="AG599" s="3" t="s">
        <v>86</v>
      </c>
      <c r="AH599" s="6">
        <v>1131.0639999999999</v>
      </c>
      <c r="AI599" s="6">
        <v>-54.869200000000014</v>
      </c>
      <c r="AJ599" s="6">
        <f>SUM($AH$2:AH599)</f>
        <v>2175316.447000002</v>
      </c>
      <c r="AK599" s="8">
        <f t="shared" si="10"/>
        <v>0.94694220457322908</v>
      </c>
      <c r="AL599">
        <v>1131.0639999999999</v>
      </c>
    </row>
    <row r="600" spans="33:38" x14ac:dyDescent="0.35">
      <c r="AG600" s="3" t="s">
        <v>9</v>
      </c>
      <c r="AH600" s="6">
        <v>1119.4830000000002</v>
      </c>
      <c r="AI600" s="6">
        <v>-427.18399999999997</v>
      </c>
      <c r="AJ600" s="6">
        <f>SUM($AH$2:AH600)</f>
        <v>2176435.930000002</v>
      </c>
      <c r="AK600" s="8">
        <f t="shared" si="10"/>
        <v>0.94742952939507941</v>
      </c>
      <c r="AL600">
        <v>1119.4830000000002</v>
      </c>
    </row>
    <row r="601" spans="33:38" x14ac:dyDescent="0.35">
      <c r="AG601" s="3" t="s">
        <v>352</v>
      </c>
      <c r="AH601" s="6">
        <v>1113.838</v>
      </c>
      <c r="AI601" s="6">
        <v>220.81299999999999</v>
      </c>
      <c r="AJ601" s="6">
        <f>SUM($AH$2:AH601)</f>
        <v>2177549.768000002</v>
      </c>
      <c r="AK601" s="8">
        <f t="shared" si="10"/>
        <v>0.94791439687848023</v>
      </c>
      <c r="AL601">
        <v>1113.838</v>
      </c>
    </row>
    <row r="602" spans="33:38" x14ac:dyDescent="0.35">
      <c r="AG602" s="3" t="s">
        <v>864</v>
      </c>
      <c r="AH602" s="6">
        <v>1094.6779999999999</v>
      </c>
      <c r="AI602" s="6">
        <v>292.52099999999996</v>
      </c>
      <c r="AJ602" s="6">
        <f>SUM($AH$2:AH602)</f>
        <v>2178644.4460000019</v>
      </c>
      <c r="AK602" s="8">
        <f t="shared" si="10"/>
        <v>0.94839092377646206</v>
      </c>
      <c r="AL602">
        <v>1094.6779999999999</v>
      </c>
    </row>
    <row r="603" spans="33:38" x14ac:dyDescent="0.35">
      <c r="AG603" s="3" t="s">
        <v>353</v>
      </c>
      <c r="AH603" s="6">
        <v>1090.838</v>
      </c>
      <c r="AI603" s="6">
        <v>167.67090000000002</v>
      </c>
      <c r="AJ603" s="6">
        <f>SUM($AH$2:AH603)</f>
        <v>2179735.2840000018</v>
      </c>
      <c r="AK603" s="8">
        <f t="shared" si="10"/>
        <v>0.94886577907486092</v>
      </c>
      <c r="AL603">
        <v>1090.838</v>
      </c>
    </row>
    <row r="604" spans="33:38" x14ac:dyDescent="0.35">
      <c r="AG604" s="3" t="s">
        <v>673</v>
      </c>
      <c r="AH604" s="6">
        <v>1085.078</v>
      </c>
      <c r="AI604" s="6">
        <v>-19.606200000000001</v>
      </c>
      <c r="AJ604" s="6">
        <f>SUM($AH$2:AH604)</f>
        <v>2180820.3620000021</v>
      </c>
      <c r="AK604" s="8">
        <f t="shared" si="10"/>
        <v>0.94933812697388553</v>
      </c>
      <c r="AL604">
        <v>1085.078</v>
      </c>
    </row>
    <row r="605" spans="33:38" x14ac:dyDescent="0.35">
      <c r="AG605" s="3" t="s">
        <v>302</v>
      </c>
      <c r="AH605" s="6">
        <v>1082.9179999999999</v>
      </c>
      <c r="AI605" s="6">
        <v>-18.067300000000003</v>
      </c>
      <c r="AJ605" s="6">
        <f>SUM($AH$2:AH605)</f>
        <v>2181903.2800000021</v>
      </c>
      <c r="AK605" s="8">
        <f t="shared" si="10"/>
        <v>0.94980953459814466</v>
      </c>
      <c r="AL605">
        <v>1082.9179999999999</v>
      </c>
    </row>
    <row r="606" spans="33:38" x14ac:dyDescent="0.35">
      <c r="AG606" s="3" t="s">
        <v>866</v>
      </c>
      <c r="AH606" s="6">
        <v>1081.4659999999999</v>
      </c>
      <c r="AI606" s="6">
        <v>291.00849999999997</v>
      </c>
      <c r="AJ606" s="6">
        <f>SUM($AH$2:AH606)</f>
        <v>2182984.7460000021</v>
      </c>
      <c r="AK606" s="8">
        <f t="shared" si="10"/>
        <v>0.95028031014881142</v>
      </c>
      <c r="AL606">
        <v>1081.4659999999999</v>
      </c>
    </row>
    <row r="607" spans="33:38" x14ac:dyDescent="0.35">
      <c r="AG607" s="3" t="s">
        <v>808</v>
      </c>
      <c r="AH607" s="6">
        <v>1080.751</v>
      </c>
      <c r="AI607" s="6">
        <v>-86.873800000000003</v>
      </c>
      <c r="AJ607" s="6">
        <f>SUM($AH$2:AH607)</f>
        <v>2184065.4970000023</v>
      </c>
      <c r="AK607" s="8">
        <f t="shared" si="10"/>
        <v>0.95075077445111855</v>
      </c>
      <c r="AL607">
        <v>1080.751</v>
      </c>
    </row>
    <row r="608" spans="33:38" x14ac:dyDescent="0.35">
      <c r="AG608" s="3" t="s">
        <v>817</v>
      </c>
      <c r="AH608" s="6">
        <v>1077.2285000000002</v>
      </c>
      <c r="AI608" s="6">
        <v>-302.87610000000001</v>
      </c>
      <c r="AJ608" s="6">
        <f>SUM($AH$2:AH608)</f>
        <v>2185142.7255000025</v>
      </c>
      <c r="AK608" s="8">
        <f t="shared" si="10"/>
        <v>0.95121970536552691</v>
      </c>
      <c r="AL608">
        <v>1077.2285000000002</v>
      </c>
    </row>
    <row r="609" spans="33:38" x14ac:dyDescent="0.35">
      <c r="AG609" s="3" t="s">
        <v>575</v>
      </c>
      <c r="AH609" s="6">
        <v>1061.4880000000001</v>
      </c>
      <c r="AI609" s="6">
        <v>-184.3364</v>
      </c>
      <c r="AJ609" s="6">
        <f>SUM($AH$2:AH609)</f>
        <v>2186204.2135000024</v>
      </c>
      <c r="AK609" s="8">
        <f t="shared" si="10"/>
        <v>0.95168178424523842</v>
      </c>
      <c r="AL609">
        <v>1061.4880000000001</v>
      </c>
    </row>
    <row r="610" spans="33:38" x14ac:dyDescent="0.35">
      <c r="AG610" s="3" t="s">
        <v>356</v>
      </c>
      <c r="AH610" s="6">
        <v>1058.616</v>
      </c>
      <c r="AI610" s="6">
        <v>-40.937599999999989</v>
      </c>
      <c r="AJ610" s="6">
        <f>SUM($AH$2:AH610)</f>
        <v>2187262.8295000023</v>
      </c>
      <c r="AK610" s="8">
        <f t="shared" si="10"/>
        <v>0.95214261290776203</v>
      </c>
      <c r="AL610">
        <v>1058.616</v>
      </c>
    </row>
    <row r="611" spans="33:38" x14ac:dyDescent="0.35">
      <c r="AG611" s="3" t="s">
        <v>601</v>
      </c>
      <c r="AH611" s="6">
        <v>1058.1080000000002</v>
      </c>
      <c r="AI611" s="6">
        <v>502.92440000000005</v>
      </c>
      <c r="AJ611" s="6">
        <f>SUM($AH$2:AH611)</f>
        <v>2188320.9375000023</v>
      </c>
      <c r="AK611" s="8">
        <f t="shared" si="10"/>
        <v>0.95260322043159074</v>
      </c>
      <c r="AL611">
        <v>1058.1080000000002</v>
      </c>
    </row>
    <row r="612" spans="33:38" x14ac:dyDescent="0.35">
      <c r="AG612" s="3" t="s">
        <v>371</v>
      </c>
      <c r="AH612" s="6">
        <v>1056.8580000000002</v>
      </c>
      <c r="AI612" s="6">
        <v>-49.700899999999983</v>
      </c>
      <c r="AJ612" s="6">
        <f>SUM($AH$2:AH612)</f>
        <v>2189377.7955000023</v>
      </c>
      <c r="AK612" s="8">
        <f t="shared" si="10"/>
        <v>0.95306328381493022</v>
      </c>
      <c r="AL612">
        <v>1056.8580000000002</v>
      </c>
    </row>
    <row r="613" spans="33:38" x14ac:dyDescent="0.35">
      <c r="AG613" s="3" t="s">
        <v>289</v>
      </c>
      <c r="AH613" s="6">
        <v>1056.3900000000001</v>
      </c>
      <c r="AI613" s="6">
        <v>277.38240000000002</v>
      </c>
      <c r="AJ613" s="6">
        <f>SUM($AH$2:AH613)</f>
        <v>2190434.1855000025</v>
      </c>
      <c r="AK613" s="8">
        <f t="shared" si="10"/>
        <v>0.95352314347207057</v>
      </c>
      <c r="AL613">
        <v>1056.3900000000001</v>
      </c>
    </row>
    <row r="614" spans="33:38" x14ac:dyDescent="0.35">
      <c r="AG614" s="3" t="s">
        <v>863</v>
      </c>
      <c r="AH614" s="6">
        <v>1055.9809999999998</v>
      </c>
      <c r="AI614" s="6">
        <v>-262.80930000000001</v>
      </c>
      <c r="AJ614" s="6">
        <f>SUM($AH$2:AH614)</f>
        <v>2191490.1665000026</v>
      </c>
      <c r="AK614" s="8">
        <f t="shared" si="10"/>
        <v>0.95398282508644283</v>
      </c>
      <c r="AL614">
        <v>1055.9809999999998</v>
      </c>
    </row>
    <row r="615" spans="33:38" x14ac:dyDescent="0.35">
      <c r="AG615" s="3" t="s">
        <v>871</v>
      </c>
      <c r="AH615" s="6">
        <v>1055.694</v>
      </c>
      <c r="AI615" s="6">
        <v>-221.05439999999999</v>
      </c>
      <c r="AJ615" s="6">
        <f>SUM($AH$2:AH615)</f>
        <v>2192545.8605000027</v>
      </c>
      <c r="AK615" s="8">
        <f t="shared" si="10"/>
        <v>0.95444238176615881</v>
      </c>
      <c r="AL615">
        <v>1055.694</v>
      </c>
    </row>
    <row r="616" spans="33:38" x14ac:dyDescent="0.35">
      <c r="AG616" s="3" t="s">
        <v>62</v>
      </c>
      <c r="AH616" s="6">
        <v>1050.636</v>
      </c>
      <c r="AI616" s="6">
        <v>241.45240000000001</v>
      </c>
      <c r="AJ616" s="6">
        <f>SUM($AH$2:AH616)</f>
        <v>2193596.4965000027</v>
      </c>
      <c r="AK616" s="8">
        <f t="shared" si="10"/>
        <v>0.95489973663579908</v>
      </c>
      <c r="AL616">
        <v>1050.636</v>
      </c>
    </row>
    <row r="617" spans="33:38" x14ac:dyDescent="0.35">
      <c r="AG617" s="3" t="s">
        <v>837</v>
      </c>
      <c r="AH617" s="6">
        <v>1043.096</v>
      </c>
      <c r="AI617" s="6">
        <v>116.66700000000002</v>
      </c>
      <c r="AJ617" s="6">
        <f>SUM($AH$2:AH617)</f>
        <v>2194639.5925000026</v>
      </c>
      <c r="AK617" s="8">
        <f t="shared" si="10"/>
        <v>0.95535380925000823</v>
      </c>
      <c r="AL617">
        <v>1043.096</v>
      </c>
    </row>
    <row r="618" spans="33:38" x14ac:dyDescent="0.35">
      <c r="AG618" s="3" t="s">
        <v>913</v>
      </c>
      <c r="AH618" s="6">
        <v>1043.0410000000002</v>
      </c>
      <c r="AI618" s="6">
        <v>-237.2885</v>
      </c>
      <c r="AJ618" s="6">
        <f>SUM($AH$2:AH618)</f>
        <v>2195682.6335000028</v>
      </c>
      <c r="AK618" s="8">
        <f t="shared" si="10"/>
        <v>0.95580785792203593</v>
      </c>
      <c r="AL618">
        <v>1043.0410000000002</v>
      </c>
    </row>
    <row r="619" spans="33:38" x14ac:dyDescent="0.35">
      <c r="AG619" s="3" t="s">
        <v>399</v>
      </c>
      <c r="AH619" s="6">
        <v>1041.0419999999999</v>
      </c>
      <c r="AI619" s="6">
        <v>240.23620000000003</v>
      </c>
      <c r="AJ619" s="6">
        <f>SUM($AH$2:AH619)</f>
        <v>2196723.6755000027</v>
      </c>
      <c r="AK619" s="8">
        <f t="shared" si="10"/>
        <v>0.95626103640459315</v>
      </c>
      <c r="AL619">
        <v>1041.0419999999999</v>
      </c>
    </row>
    <row r="620" spans="33:38" x14ac:dyDescent="0.35">
      <c r="AG620" s="3" t="s">
        <v>899</v>
      </c>
      <c r="AH620" s="6">
        <v>1038.26</v>
      </c>
      <c r="AI620" s="6">
        <v>265.53320000000002</v>
      </c>
      <c r="AJ620" s="6">
        <f>SUM($AH$2:AH620)</f>
        <v>2197761.9355000025</v>
      </c>
      <c r="AK620" s="8">
        <f t="shared" si="10"/>
        <v>0.95671300384807745</v>
      </c>
      <c r="AL620">
        <v>1038.26</v>
      </c>
    </row>
    <row r="621" spans="33:38" x14ac:dyDescent="0.35">
      <c r="AG621" s="3" t="s">
        <v>247</v>
      </c>
      <c r="AH621" s="6">
        <v>1031.6019999999999</v>
      </c>
      <c r="AI621" s="6">
        <v>227.8338</v>
      </c>
      <c r="AJ621" s="6">
        <f>SUM($AH$2:AH621)</f>
        <v>2198793.5375000024</v>
      </c>
      <c r="AK621" s="8">
        <f t="shared" si="10"/>
        <v>0.95716207298166001</v>
      </c>
      <c r="AL621">
        <v>1031.6019999999999</v>
      </c>
    </row>
    <row r="622" spans="33:38" x14ac:dyDescent="0.35">
      <c r="AG622" s="3" t="s">
        <v>342</v>
      </c>
      <c r="AH622" s="6">
        <v>1022.2010000000001</v>
      </c>
      <c r="AI622" s="6">
        <v>92.728999999999985</v>
      </c>
      <c r="AJ622" s="6">
        <f>SUM($AH$2:AH622)</f>
        <v>2199815.7385000023</v>
      </c>
      <c r="AK622" s="8">
        <f t="shared" si="10"/>
        <v>0.95760704974345112</v>
      </c>
      <c r="AL622">
        <v>1022.2010000000001</v>
      </c>
    </row>
    <row r="623" spans="33:38" x14ac:dyDescent="0.35">
      <c r="AG623" s="3" t="s">
        <v>793</v>
      </c>
      <c r="AH623" s="6">
        <v>1019.0439999999998</v>
      </c>
      <c r="AI623" s="6">
        <v>95.838300000000004</v>
      </c>
      <c r="AJ623" s="6">
        <f>SUM($AH$2:AH623)</f>
        <v>2200834.7825000025</v>
      </c>
      <c r="AK623" s="8">
        <f t="shared" si="10"/>
        <v>0.95805065222402264</v>
      </c>
      <c r="AL623">
        <v>1019.0439999999998</v>
      </c>
    </row>
    <row r="624" spans="33:38" x14ac:dyDescent="0.35">
      <c r="AG624" s="3" t="s">
        <v>731</v>
      </c>
      <c r="AH624" s="6">
        <v>1010.2560000000001</v>
      </c>
      <c r="AI624" s="6">
        <v>244.19700000000003</v>
      </c>
      <c r="AJ624" s="6">
        <f>SUM($AH$2:AH624)</f>
        <v>2201845.0385000026</v>
      </c>
      <c r="AK624" s="8">
        <f t="shared" si="10"/>
        <v>0.95849042917929861</v>
      </c>
      <c r="AL624">
        <v>1010.2560000000001</v>
      </c>
    </row>
    <row r="625" spans="33:38" x14ac:dyDescent="0.35">
      <c r="AG625" s="3" t="s">
        <v>827</v>
      </c>
      <c r="AH625" s="6">
        <v>1008.1959999999999</v>
      </c>
      <c r="AI625" s="6">
        <v>-164.40619999999998</v>
      </c>
      <c r="AJ625" s="6">
        <f>SUM($AH$2:AH625)</f>
        <v>2202853.2345000026</v>
      </c>
      <c r="AK625" s="8">
        <f t="shared" si="10"/>
        <v>0.95892930939104826</v>
      </c>
      <c r="AL625">
        <v>1008.1959999999999</v>
      </c>
    </row>
    <row r="626" spans="33:38" x14ac:dyDescent="0.35">
      <c r="AG626" s="3" t="s">
        <v>277</v>
      </c>
      <c r="AH626" s="6">
        <v>1008.1359999999999</v>
      </c>
      <c r="AI626" s="6">
        <v>348.35840000000007</v>
      </c>
      <c r="AJ626" s="6">
        <f>SUM($AH$2:AH626)</f>
        <v>2203861.3705000025</v>
      </c>
      <c r="AK626" s="8">
        <f t="shared" si="10"/>
        <v>0.9593681634840544</v>
      </c>
      <c r="AL626">
        <v>1008.1359999999999</v>
      </c>
    </row>
    <row r="627" spans="33:38" x14ac:dyDescent="0.35">
      <c r="AG627" s="3" t="s">
        <v>810</v>
      </c>
      <c r="AH627" s="6">
        <v>1006.356</v>
      </c>
      <c r="AI627" s="6">
        <v>119.34790000000001</v>
      </c>
      <c r="AJ627" s="6">
        <f>SUM($AH$2:AH627)</f>
        <v>2204867.7265000027</v>
      </c>
      <c r="AK627" s="8">
        <f t="shared" si="10"/>
        <v>0.95980624272100401</v>
      </c>
      <c r="AL627">
        <v>1006.356</v>
      </c>
    </row>
    <row r="628" spans="33:38" x14ac:dyDescent="0.35">
      <c r="AG628" s="3" t="s">
        <v>230</v>
      </c>
      <c r="AH628" s="6">
        <v>993.90199999999993</v>
      </c>
      <c r="AI628" s="6">
        <v>205.38880000000003</v>
      </c>
      <c r="AJ628" s="6">
        <f>SUM($AH$2:AH628)</f>
        <v>2205861.6285000024</v>
      </c>
      <c r="AK628" s="8">
        <f t="shared" si="10"/>
        <v>0.96023890057743111</v>
      </c>
      <c r="AL628">
        <v>993.90199999999993</v>
      </c>
    </row>
    <row r="629" spans="33:38" x14ac:dyDescent="0.35">
      <c r="AG629" s="3" t="s">
        <v>77</v>
      </c>
      <c r="AH629" s="6">
        <v>983.92200000000003</v>
      </c>
      <c r="AI629" s="6">
        <v>293.55239999999998</v>
      </c>
      <c r="AJ629" s="6">
        <f>SUM($AH$2:AH629)</f>
        <v>2206845.5505000022</v>
      </c>
      <c r="AK629" s="8">
        <f t="shared" si="10"/>
        <v>0.96066721401619204</v>
      </c>
      <c r="AL629">
        <v>983.92200000000003</v>
      </c>
    </row>
    <row r="630" spans="33:38" x14ac:dyDescent="0.35">
      <c r="AG630" s="3" t="s">
        <v>891</v>
      </c>
      <c r="AH630" s="6">
        <v>983.41999999999985</v>
      </c>
      <c r="AI630" s="6">
        <v>209.78300000000002</v>
      </c>
      <c r="AJ630" s="6">
        <f>SUM($AH$2:AH630)</f>
        <v>2207828.9705000021</v>
      </c>
      <c r="AK630" s="8">
        <f t="shared" si="10"/>
        <v>0.96109530892813266</v>
      </c>
      <c r="AL630">
        <v>983.41999999999985</v>
      </c>
    </row>
    <row r="631" spans="33:38" x14ac:dyDescent="0.35">
      <c r="AG631" s="3" t="s">
        <v>448</v>
      </c>
      <c r="AH631" s="6">
        <v>974.78199999999993</v>
      </c>
      <c r="AI631" s="6">
        <v>-184.97889999999998</v>
      </c>
      <c r="AJ631" s="6">
        <f>SUM($AH$2:AH631)</f>
        <v>2208803.7525000023</v>
      </c>
      <c r="AK631" s="8">
        <f t="shared" si="10"/>
        <v>0.96151964361163644</v>
      </c>
      <c r="AL631">
        <v>974.78199999999993</v>
      </c>
    </row>
    <row r="632" spans="33:38" x14ac:dyDescent="0.35">
      <c r="AG632" s="3" t="s">
        <v>823</v>
      </c>
      <c r="AH632" s="6">
        <v>970.94200000000012</v>
      </c>
      <c r="AI632" s="6">
        <v>35.057400000000008</v>
      </c>
      <c r="AJ632" s="6">
        <f>SUM($AH$2:AH632)</f>
        <v>2209774.6945000021</v>
      </c>
      <c r="AK632" s="8">
        <f t="shared" si="10"/>
        <v>0.96194230669555725</v>
      </c>
      <c r="AL632">
        <v>970.94200000000012</v>
      </c>
    </row>
    <row r="633" spans="33:38" x14ac:dyDescent="0.35">
      <c r="AG633" s="3" t="s">
        <v>588</v>
      </c>
      <c r="AH633" s="6">
        <v>966.70999999999981</v>
      </c>
      <c r="AI633" s="6">
        <v>313.65969999999999</v>
      </c>
      <c r="AJ633" s="6">
        <f>SUM($AH$2:AH633)</f>
        <v>2210741.404500002</v>
      </c>
      <c r="AK633" s="8">
        <f t="shared" si="10"/>
        <v>0.96236312753743769</v>
      </c>
      <c r="AL633">
        <v>966.70999999999981</v>
      </c>
    </row>
    <row r="634" spans="33:38" x14ac:dyDescent="0.35">
      <c r="AG634" s="3" t="s">
        <v>178</v>
      </c>
      <c r="AH634" s="6">
        <v>966.40899999999988</v>
      </c>
      <c r="AI634" s="6">
        <v>63.991399999999999</v>
      </c>
      <c r="AJ634" s="6">
        <f>SUM($AH$2:AH634)</f>
        <v>2211707.813500002</v>
      </c>
      <c r="AK634" s="8">
        <f t="shared" si="10"/>
        <v>0.96278381735028828</v>
      </c>
      <c r="AL634">
        <v>966.40899999999988</v>
      </c>
    </row>
    <row r="635" spans="33:38" x14ac:dyDescent="0.35">
      <c r="AG635" s="3" t="s">
        <v>372</v>
      </c>
      <c r="AH635" s="6">
        <v>964.63600000000008</v>
      </c>
      <c r="AI635" s="6">
        <v>-75.585999999999999</v>
      </c>
      <c r="AJ635" s="6">
        <f>SUM($AH$2:AH635)</f>
        <v>2212672.449500002</v>
      </c>
      <c r="AK635" s="8">
        <f t="shared" si="10"/>
        <v>0.96320373535426906</v>
      </c>
      <c r="AL635">
        <v>964.63600000000008</v>
      </c>
    </row>
    <row r="636" spans="33:38" x14ac:dyDescent="0.35">
      <c r="AG636" s="3" t="s">
        <v>162</v>
      </c>
      <c r="AH636" s="6">
        <v>959.4770000000002</v>
      </c>
      <c r="AI636" s="6">
        <v>-13.554499999999988</v>
      </c>
      <c r="AJ636" s="6">
        <f>SUM($AH$2:AH636)</f>
        <v>2213631.9265000019</v>
      </c>
      <c r="AK636" s="8">
        <f t="shared" si="10"/>
        <v>0.96362140758162251</v>
      </c>
      <c r="AL636">
        <v>959.4770000000002</v>
      </c>
    </row>
    <row r="637" spans="33:38" x14ac:dyDescent="0.35">
      <c r="AG637" s="3" t="s">
        <v>748</v>
      </c>
      <c r="AH637" s="6">
        <v>955.12400000000002</v>
      </c>
      <c r="AI637" s="6">
        <v>97.288999999999973</v>
      </c>
      <c r="AJ637" s="6">
        <f>SUM($AH$2:AH637)</f>
        <v>2214587.0505000018</v>
      </c>
      <c r="AK637" s="8">
        <f t="shared" si="10"/>
        <v>0.96403718489413637</v>
      </c>
      <c r="AL637">
        <v>955.12400000000002</v>
      </c>
    </row>
    <row r="638" spans="33:38" x14ac:dyDescent="0.35">
      <c r="AG638" s="3" t="s">
        <v>435</v>
      </c>
      <c r="AH638" s="6">
        <v>954.64519999999993</v>
      </c>
      <c r="AI638" s="6">
        <v>59.538399999999982</v>
      </c>
      <c r="AJ638" s="6">
        <f>SUM($AH$2:AH638)</f>
        <v>2215541.6957000019</v>
      </c>
      <c r="AK638" s="8">
        <f t="shared" si="10"/>
        <v>0.96445275377907724</v>
      </c>
      <c r="AL638">
        <v>954.64519999999993</v>
      </c>
    </row>
    <row r="639" spans="33:38" x14ac:dyDescent="0.35">
      <c r="AG639" s="3" t="s">
        <v>444</v>
      </c>
      <c r="AH639" s="6">
        <v>949.43</v>
      </c>
      <c r="AI639" s="6">
        <v>194.05160000000001</v>
      </c>
      <c r="AJ639" s="6">
        <f>SUM($AH$2:AH639)</f>
        <v>2216491.1257000021</v>
      </c>
      <c r="AK639" s="8">
        <f t="shared" si="10"/>
        <v>0.96486605242283452</v>
      </c>
      <c r="AL639">
        <v>949.43</v>
      </c>
    </row>
    <row r="640" spans="33:38" x14ac:dyDescent="0.35">
      <c r="AG640" s="3" t="s">
        <v>236</v>
      </c>
      <c r="AH640" s="6">
        <v>945.22199999999998</v>
      </c>
      <c r="AI640" s="6">
        <v>280.02610000000004</v>
      </c>
      <c r="AJ640" s="6">
        <f>SUM($AH$2:AH640)</f>
        <v>2217436.3477000021</v>
      </c>
      <c r="AK640" s="8">
        <f t="shared" si="10"/>
        <v>0.96527751927204886</v>
      </c>
      <c r="AL640">
        <v>945.22199999999998</v>
      </c>
    </row>
    <row r="641" spans="33:38" x14ac:dyDescent="0.35">
      <c r="AG641" s="3" t="s">
        <v>615</v>
      </c>
      <c r="AH641" s="6">
        <v>944.60000000000014</v>
      </c>
      <c r="AI641" s="6">
        <v>0.60420000000000584</v>
      </c>
      <c r="AJ641" s="6">
        <f>SUM($AH$2:AH641)</f>
        <v>2218380.9477000022</v>
      </c>
      <c r="AK641" s="8">
        <f t="shared" si="10"/>
        <v>0.96568871535695577</v>
      </c>
      <c r="AL641">
        <v>944.60000000000014</v>
      </c>
    </row>
    <row r="642" spans="33:38" x14ac:dyDescent="0.35">
      <c r="AG642" s="3" t="s">
        <v>830</v>
      </c>
      <c r="AH642" s="6">
        <v>937.03899999999999</v>
      </c>
      <c r="AI642" s="6">
        <v>-341.52650000000006</v>
      </c>
      <c r="AJ642" s="6">
        <f>SUM($AH$2:AH642)</f>
        <v>2219317.9867000021</v>
      </c>
      <c r="AK642" s="8">
        <f t="shared" si="10"/>
        <v>0.96609662004487129</v>
      </c>
      <c r="AL642">
        <v>937.03899999999999</v>
      </c>
    </row>
    <row r="643" spans="33:38" x14ac:dyDescent="0.35">
      <c r="AG643" s="3" t="s">
        <v>129</v>
      </c>
      <c r="AH643" s="6">
        <v>933.70399999999995</v>
      </c>
      <c r="AI643" s="6">
        <v>102.29599999999999</v>
      </c>
      <c r="AJ643" s="6">
        <f>SUM($AH$2:AH643)</f>
        <v>2220251.690700002</v>
      </c>
      <c r="AK643" s="8">
        <f t="shared" ref="AK643:AK706" si="11">AJ643/$AH$795</f>
        <v>0.9665030729659615</v>
      </c>
      <c r="AL643">
        <v>933.70399999999995</v>
      </c>
    </row>
    <row r="644" spans="33:38" x14ac:dyDescent="0.35">
      <c r="AG644" s="3" t="s">
        <v>205</v>
      </c>
      <c r="AH644" s="6">
        <v>925.8</v>
      </c>
      <c r="AI644" s="6">
        <v>-62.1342</v>
      </c>
      <c r="AJ644" s="6">
        <f>SUM($AH$2:AH644)</f>
        <v>2221177.4907000018</v>
      </c>
      <c r="AK644" s="8">
        <f t="shared" si="11"/>
        <v>0.9669060851779101</v>
      </c>
      <c r="AL644">
        <v>925.8</v>
      </c>
    </row>
    <row r="645" spans="33:38" x14ac:dyDescent="0.35">
      <c r="AG645" s="3" t="s">
        <v>813</v>
      </c>
      <c r="AH645" s="6">
        <v>923.88400000000001</v>
      </c>
      <c r="AI645" s="6">
        <v>242.11069999999998</v>
      </c>
      <c r="AJ645" s="6">
        <f>SUM($AH$2:AH645)</f>
        <v>2222101.3747000019</v>
      </c>
      <c r="AK645" s="8">
        <f t="shared" si="11"/>
        <v>0.96730826333131692</v>
      </c>
      <c r="AL645">
        <v>923.88400000000001</v>
      </c>
    </row>
    <row r="646" spans="33:38" x14ac:dyDescent="0.35">
      <c r="AG646" s="3" t="s">
        <v>464</v>
      </c>
      <c r="AH646" s="6">
        <v>922.48699999999997</v>
      </c>
      <c r="AI646" s="6">
        <v>59.357699999999994</v>
      </c>
      <c r="AJ646" s="6">
        <f>SUM($AH$2:AH646)</f>
        <v>2223023.8617000021</v>
      </c>
      <c r="AK646" s="8">
        <f t="shared" si="11"/>
        <v>0.96770983335331306</v>
      </c>
      <c r="AL646">
        <v>922.48699999999997</v>
      </c>
    </row>
    <row r="647" spans="33:38" x14ac:dyDescent="0.35">
      <c r="AG647" s="3" t="s">
        <v>529</v>
      </c>
      <c r="AH647" s="6">
        <v>914.53199999999981</v>
      </c>
      <c r="AI647" s="6">
        <v>264.5675</v>
      </c>
      <c r="AJ647" s="6">
        <f>SUM($AH$2:AH647)</f>
        <v>2223938.3937000022</v>
      </c>
      <c r="AK647" s="8">
        <f t="shared" si="11"/>
        <v>0.96810794046523563</v>
      </c>
      <c r="AL647">
        <v>914.53199999999981</v>
      </c>
    </row>
    <row r="648" spans="33:38" x14ac:dyDescent="0.35">
      <c r="AG648" s="3" t="s">
        <v>796</v>
      </c>
      <c r="AH648" s="6">
        <v>908.82099999999991</v>
      </c>
      <c r="AI648" s="6">
        <v>274.29699999999997</v>
      </c>
      <c r="AJ648" s="6">
        <f>SUM($AH$2:AH648)</f>
        <v>2224847.2147000022</v>
      </c>
      <c r="AK648" s="8">
        <f t="shared" si="11"/>
        <v>0.96850356150809103</v>
      </c>
      <c r="AL648">
        <v>908.82099999999991</v>
      </c>
    </row>
    <row r="649" spans="33:38" x14ac:dyDescent="0.35">
      <c r="AG649" s="3" t="s">
        <v>434</v>
      </c>
      <c r="AH649" s="6">
        <v>904.46799999999996</v>
      </c>
      <c r="AI649" s="6">
        <v>86.510599999999997</v>
      </c>
      <c r="AJ649" s="6">
        <f>SUM($AH$2:AH649)</f>
        <v>2225751.6827000021</v>
      </c>
      <c r="AK649" s="8">
        <f t="shared" si="11"/>
        <v>0.9688972876361065</v>
      </c>
      <c r="AL649">
        <v>904.46799999999996</v>
      </c>
    </row>
    <row r="650" spans="33:38" x14ac:dyDescent="0.35">
      <c r="AG650" s="3" t="s">
        <v>730</v>
      </c>
      <c r="AH650" s="6">
        <v>902.72800000000007</v>
      </c>
      <c r="AI650" s="6">
        <v>100.2253</v>
      </c>
      <c r="AJ650" s="6">
        <f>SUM($AH$2:AH650)</f>
        <v>2226654.4107000022</v>
      </c>
      <c r="AK650" s="8">
        <f t="shared" si="11"/>
        <v>0.96929025632056109</v>
      </c>
      <c r="AL650">
        <v>902.72800000000007</v>
      </c>
    </row>
    <row r="651" spans="33:38" x14ac:dyDescent="0.35">
      <c r="AG651" s="3" t="s">
        <v>163</v>
      </c>
      <c r="AH651" s="6">
        <v>900.55200000000002</v>
      </c>
      <c r="AI651" s="6">
        <v>-286.98080000000004</v>
      </c>
      <c r="AJ651" s="6">
        <f>SUM($AH$2:AH651)</f>
        <v>2227554.9627000024</v>
      </c>
      <c r="AK651" s="8">
        <f t="shared" si="11"/>
        <v>0.96968227776525207</v>
      </c>
      <c r="AL651">
        <v>900.55200000000002</v>
      </c>
    </row>
    <row r="652" spans="33:38" x14ac:dyDescent="0.35">
      <c r="AG652" s="3" t="s">
        <v>618</v>
      </c>
      <c r="AH652" s="6">
        <v>886.51999999999987</v>
      </c>
      <c r="AI652" s="6">
        <v>-130.3879</v>
      </c>
      <c r="AJ652" s="6">
        <f>SUM($AH$2:AH652)</f>
        <v>2228441.4827000024</v>
      </c>
      <c r="AK652" s="8">
        <f t="shared" si="11"/>
        <v>0.97006819090646701</v>
      </c>
      <c r="AL652">
        <v>886.51999999999987</v>
      </c>
    </row>
    <row r="653" spans="33:38" x14ac:dyDescent="0.35">
      <c r="AG653" s="3" t="s">
        <v>873</v>
      </c>
      <c r="AH653" s="6">
        <v>886.15599999999995</v>
      </c>
      <c r="AI653" s="6">
        <v>129.34649999999999</v>
      </c>
      <c r="AJ653" s="6">
        <f>SUM($AH$2:AH653)</f>
        <v>2229327.6387000023</v>
      </c>
      <c r="AK653" s="8">
        <f t="shared" si="11"/>
        <v>0.97045394559397147</v>
      </c>
      <c r="AL653">
        <v>886.15599999999995</v>
      </c>
    </row>
    <row r="654" spans="33:38" x14ac:dyDescent="0.35">
      <c r="AG654" s="3" t="s">
        <v>102</v>
      </c>
      <c r="AH654" s="6">
        <v>885.75199999999995</v>
      </c>
      <c r="AI654" s="6">
        <v>10.563299999999995</v>
      </c>
      <c r="AJ654" s="6">
        <f>SUM($AH$2:AH654)</f>
        <v>2230213.3907000022</v>
      </c>
      <c r="AK654" s="8">
        <f t="shared" si="11"/>
        <v>0.97083952441526977</v>
      </c>
      <c r="AL654">
        <v>885.75199999999995</v>
      </c>
    </row>
    <row r="655" spans="33:38" x14ac:dyDescent="0.35">
      <c r="AG655" s="3" t="s">
        <v>136</v>
      </c>
      <c r="AH655" s="6">
        <v>884.64</v>
      </c>
      <c r="AI655" s="6">
        <v>143.83390000000003</v>
      </c>
      <c r="AJ655" s="6">
        <f>SUM($AH$2:AH655)</f>
        <v>2231098.0307000023</v>
      </c>
      <c r="AK655" s="8">
        <f t="shared" si="11"/>
        <v>0.9712246191691889</v>
      </c>
      <c r="AL655">
        <v>884.64</v>
      </c>
    </row>
    <row r="656" spans="33:38" x14ac:dyDescent="0.35">
      <c r="AG656" s="3" t="s">
        <v>906</v>
      </c>
      <c r="AH656" s="6">
        <v>883.53200000000015</v>
      </c>
      <c r="AI656" s="6">
        <v>274.40279999999996</v>
      </c>
      <c r="AJ656" s="6">
        <f>SUM($AH$2:AH656)</f>
        <v>2231981.5627000025</v>
      </c>
      <c r="AK656" s="8">
        <f t="shared" si="11"/>
        <v>0.97160923159697843</v>
      </c>
      <c r="AL656">
        <v>883.53200000000015</v>
      </c>
    </row>
    <row r="657" spans="33:38" x14ac:dyDescent="0.35">
      <c r="AG657" s="3" t="s">
        <v>143</v>
      </c>
      <c r="AH657" s="6">
        <v>883.40899999999999</v>
      </c>
      <c r="AI657" s="6">
        <v>168.79330000000002</v>
      </c>
      <c r="AJ657" s="6">
        <f>SUM($AH$2:AH657)</f>
        <v>2232864.9717000024</v>
      </c>
      <c r="AK657" s="8">
        <f t="shared" si="11"/>
        <v>0.97199379048134371</v>
      </c>
      <c r="AL657">
        <v>883.40899999999999</v>
      </c>
    </row>
    <row r="658" spans="33:38" x14ac:dyDescent="0.35">
      <c r="AG658" s="3" t="s">
        <v>794</v>
      </c>
      <c r="AH658" s="6">
        <v>876.69600000000003</v>
      </c>
      <c r="AI658" s="6">
        <v>209.22940000000003</v>
      </c>
      <c r="AJ658" s="6">
        <f>SUM($AH$2:AH658)</f>
        <v>2233741.6677000024</v>
      </c>
      <c r="AK658" s="8">
        <f t="shared" si="11"/>
        <v>0.97237542711362568</v>
      </c>
      <c r="AL658">
        <v>876.69600000000003</v>
      </c>
    </row>
    <row r="659" spans="33:38" x14ac:dyDescent="0.35">
      <c r="AG659" s="3" t="s">
        <v>583</v>
      </c>
      <c r="AH659" s="6">
        <v>864.94700000000012</v>
      </c>
      <c r="AI659" s="6">
        <v>117.20400000000001</v>
      </c>
      <c r="AJ659" s="6">
        <f>SUM($AH$2:AH659)</f>
        <v>2234606.6147000026</v>
      </c>
      <c r="AK659" s="8">
        <f t="shared" si="11"/>
        <v>0.97275194926062114</v>
      </c>
      <c r="AL659">
        <v>864.94700000000012</v>
      </c>
    </row>
    <row r="660" spans="33:38" x14ac:dyDescent="0.35">
      <c r="AG660" s="3" t="s">
        <v>507</v>
      </c>
      <c r="AH660" s="6">
        <v>863.88</v>
      </c>
      <c r="AI660" s="6">
        <v>107.985</v>
      </c>
      <c r="AJ660" s="6">
        <f>SUM($AH$2:AH660)</f>
        <v>2235470.4947000025</v>
      </c>
      <c r="AK660" s="8">
        <f t="shared" si="11"/>
        <v>0.97312800692929502</v>
      </c>
      <c r="AL660">
        <v>863.88</v>
      </c>
    </row>
    <row r="661" spans="33:38" x14ac:dyDescent="0.35">
      <c r="AG661" s="3" t="s">
        <v>400</v>
      </c>
      <c r="AH661" s="6">
        <v>861.56499999999994</v>
      </c>
      <c r="AI661" s="6">
        <v>-163.11750000000001</v>
      </c>
      <c r="AJ661" s="6">
        <f>SUM($AH$2:AH661)</f>
        <v>2236332.0597000024</v>
      </c>
      <c r="AK661" s="8">
        <f t="shared" si="11"/>
        <v>0.97350305684978278</v>
      </c>
      <c r="AL661">
        <v>861.56499999999994</v>
      </c>
    </row>
    <row r="662" spans="33:38" x14ac:dyDescent="0.35">
      <c r="AG662" s="3" t="s">
        <v>81</v>
      </c>
      <c r="AH662" s="6">
        <v>858.57600000000002</v>
      </c>
      <c r="AI662" s="6">
        <v>201.59520000000001</v>
      </c>
      <c r="AJ662" s="6">
        <f>SUM($AH$2:AH662)</f>
        <v>2237190.6357000023</v>
      </c>
      <c r="AK662" s="8">
        <f t="shared" si="11"/>
        <v>0.97387680562153267</v>
      </c>
      <c r="AL662">
        <v>858.57600000000002</v>
      </c>
    </row>
    <row r="663" spans="33:38" x14ac:dyDescent="0.35">
      <c r="AG663" s="3" t="s">
        <v>160</v>
      </c>
      <c r="AH663" s="6">
        <v>855.1160000000001</v>
      </c>
      <c r="AI663" s="6">
        <v>55.226000000000006</v>
      </c>
      <c r="AJ663" s="6">
        <f>SUM($AH$2:AH663)</f>
        <v>2238045.7517000022</v>
      </c>
      <c r="AK663" s="8">
        <f t="shared" si="11"/>
        <v>0.97424904821240832</v>
      </c>
      <c r="AL663">
        <v>855.1160000000001</v>
      </c>
    </row>
    <row r="664" spans="33:38" x14ac:dyDescent="0.35">
      <c r="AG664" s="3" t="s">
        <v>776</v>
      </c>
      <c r="AH664" s="6">
        <v>847.94399999999996</v>
      </c>
      <c r="AI664" s="6">
        <v>-96.277999999999992</v>
      </c>
      <c r="AJ664" s="6">
        <f>SUM($AH$2:AH664)</f>
        <v>2238893.6957000024</v>
      </c>
      <c r="AK664" s="8">
        <f t="shared" si="11"/>
        <v>0.97461816874281304</v>
      </c>
      <c r="AL664">
        <v>847.94399999999996</v>
      </c>
    </row>
    <row r="665" spans="33:38" x14ac:dyDescent="0.35">
      <c r="AG665" s="3" t="s">
        <v>454</v>
      </c>
      <c r="AH665" s="6">
        <v>846.0100000000001</v>
      </c>
      <c r="AI665" s="6">
        <v>143.6268</v>
      </c>
      <c r="AJ665" s="6">
        <f>SUM($AH$2:AH665)</f>
        <v>2239739.7057000021</v>
      </c>
      <c r="AK665" s="8">
        <f t="shared" si="11"/>
        <v>0.97498644737905271</v>
      </c>
      <c r="AL665">
        <v>846.0100000000001</v>
      </c>
    </row>
    <row r="666" spans="33:38" x14ac:dyDescent="0.35">
      <c r="AG666" s="3" t="s">
        <v>842</v>
      </c>
      <c r="AH666" s="6">
        <v>844.45800000000008</v>
      </c>
      <c r="AI666" s="6">
        <v>113.1405</v>
      </c>
      <c r="AJ666" s="6">
        <f>SUM($AH$2:AH666)</f>
        <v>2240584.1637000022</v>
      </c>
      <c r="AK666" s="8">
        <f t="shared" si="11"/>
        <v>0.97535405041046097</v>
      </c>
      <c r="AL666">
        <v>844.45800000000008</v>
      </c>
    </row>
    <row r="667" spans="33:38" x14ac:dyDescent="0.35">
      <c r="AG667" s="3" t="s">
        <v>514</v>
      </c>
      <c r="AH667" s="6">
        <v>834.32799999999997</v>
      </c>
      <c r="AI667" s="6">
        <v>268.96699999999998</v>
      </c>
      <c r="AJ667" s="6">
        <f>SUM($AH$2:AH667)</f>
        <v>2241418.4917000025</v>
      </c>
      <c r="AK667" s="8">
        <f t="shared" si="11"/>
        <v>0.97571724372734459</v>
      </c>
      <c r="AL667">
        <v>834.32799999999997</v>
      </c>
    </row>
    <row r="668" spans="33:38" x14ac:dyDescent="0.35">
      <c r="AG668" s="3" t="s">
        <v>447</v>
      </c>
      <c r="AH668" s="6">
        <v>833.39800000000002</v>
      </c>
      <c r="AI668" s="6">
        <v>136.49190000000002</v>
      </c>
      <c r="AJ668" s="6">
        <f>SUM($AH$2:AH668)</f>
        <v>2242251.8897000025</v>
      </c>
      <c r="AK668" s="8">
        <f t="shared" si="11"/>
        <v>0.9760800322037041</v>
      </c>
      <c r="AL668">
        <v>833.39800000000002</v>
      </c>
    </row>
    <row r="669" spans="33:38" x14ac:dyDescent="0.35">
      <c r="AG669" s="3" t="s">
        <v>650</v>
      </c>
      <c r="AH669" s="6">
        <v>825.94999999999993</v>
      </c>
      <c r="AI669" s="6">
        <v>150.3759</v>
      </c>
      <c r="AJ669" s="6">
        <f>SUM($AH$2:AH669)</f>
        <v>2243077.8397000027</v>
      </c>
      <c r="AK669" s="8">
        <f t="shared" si="11"/>
        <v>0.9764395784733727</v>
      </c>
      <c r="AL669">
        <v>825.94999999999993</v>
      </c>
    </row>
    <row r="670" spans="33:38" x14ac:dyDescent="0.35">
      <c r="AG670" s="3" t="s">
        <v>443</v>
      </c>
      <c r="AH670" s="6">
        <v>816.17399999999998</v>
      </c>
      <c r="AI670" s="6">
        <v>179.00380000000001</v>
      </c>
      <c r="AJ670" s="6">
        <f>SUM($AH$2:AH670)</f>
        <v>2243894.0137000028</v>
      </c>
      <c r="AK670" s="8">
        <f t="shared" si="11"/>
        <v>0.97679486912910296</v>
      </c>
      <c r="AL670">
        <v>816.17399999999998</v>
      </c>
    </row>
    <row r="671" spans="33:38" x14ac:dyDescent="0.35">
      <c r="AG671" s="3" t="s">
        <v>146</v>
      </c>
      <c r="AH671" s="6">
        <v>814.01200000000006</v>
      </c>
      <c r="AI671" s="6">
        <v>194.98780000000002</v>
      </c>
      <c r="AJ671" s="6">
        <f>SUM($AH$2:AH671)</f>
        <v>2244708.0257000029</v>
      </c>
      <c r="AK671" s="8">
        <f t="shared" si="11"/>
        <v>0.97714921863944304</v>
      </c>
      <c r="AL671">
        <v>814.01200000000006</v>
      </c>
    </row>
    <row r="672" spans="33:38" x14ac:dyDescent="0.35">
      <c r="AG672" s="3" t="s">
        <v>713</v>
      </c>
      <c r="AH672" s="6">
        <v>808.16199999999992</v>
      </c>
      <c r="AI672" s="6">
        <v>95.581600000000009</v>
      </c>
      <c r="AJ672" s="6">
        <f>SUM($AH$2:AH672)</f>
        <v>2245516.1877000029</v>
      </c>
      <c r="AK672" s="8">
        <f t="shared" si="11"/>
        <v>0.97750102157229346</v>
      </c>
      <c r="AL672">
        <v>808.16199999999992</v>
      </c>
    </row>
    <row r="673" spans="33:38" x14ac:dyDescent="0.35">
      <c r="AG673" s="3" t="s">
        <v>140</v>
      </c>
      <c r="AH673" s="6">
        <v>797.83199999999999</v>
      </c>
      <c r="AI673" s="6">
        <v>249.94470000000001</v>
      </c>
      <c r="AJ673" s="6">
        <f>SUM($AH$2:AH673)</f>
        <v>2246314.0197000029</v>
      </c>
      <c r="AK673" s="8">
        <f t="shared" si="11"/>
        <v>0.97784832772814068</v>
      </c>
      <c r="AL673">
        <v>797.83199999999999</v>
      </c>
    </row>
    <row r="674" spans="33:38" x14ac:dyDescent="0.35">
      <c r="AG674" s="3" t="s">
        <v>744</v>
      </c>
      <c r="AH674" s="6">
        <v>795.15400000000011</v>
      </c>
      <c r="AI674" s="6">
        <v>-247.94350000000006</v>
      </c>
      <c r="AJ674" s="6">
        <f>SUM($AH$2:AH674)</f>
        <v>2247109.173700003</v>
      </c>
      <c r="AK674" s="8">
        <f t="shared" si="11"/>
        <v>0.97819446811740396</v>
      </c>
      <c r="AL674">
        <v>795.15400000000011</v>
      </c>
    </row>
    <row r="675" spans="33:38" x14ac:dyDescent="0.35">
      <c r="AG675" s="3" t="s">
        <v>779</v>
      </c>
      <c r="AH675" s="6">
        <v>791.9899999999999</v>
      </c>
      <c r="AI675" s="6">
        <v>25.870199999999997</v>
      </c>
      <c r="AJ675" s="6">
        <f>SUM($AH$2:AH675)</f>
        <v>2247901.1637000032</v>
      </c>
      <c r="AK675" s="8">
        <f t="shared" si="11"/>
        <v>0.97853923117826092</v>
      </c>
      <c r="AL675">
        <v>791.9899999999999</v>
      </c>
    </row>
    <row r="676" spans="33:38" x14ac:dyDescent="0.35">
      <c r="AG676" s="3" t="s">
        <v>780</v>
      </c>
      <c r="AH676" s="6">
        <v>785.62800000000004</v>
      </c>
      <c r="AI676" s="6">
        <v>147.00320000000002</v>
      </c>
      <c r="AJ676" s="6">
        <f>SUM($AH$2:AH676)</f>
        <v>2248686.7917000032</v>
      </c>
      <c r="AK676" s="8">
        <f t="shared" si="11"/>
        <v>0.97888122478168371</v>
      </c>
      <c r="AL676">
        <v>785.62800000000004</v>
      </c>
    </row>
    <row r="677" spans="33:38" x14ac:dyDescent="0.35">
      <c r="AG677" s="3" t="s">
        <v>542</v>
      </c>
      <c r="AH677" s="6">
        <v>776.38400000000001</v>
      </c>
      <c r="AI677" s="6">
        <v>171.73720000000003</v>
      </c>
      <c r="AJ677" s="6">
        <f>SUM($AH$2:AH677)</f>
        <v>2249463.1757000033</v>
      </c>
      <c r="AK677" s="8">
        <f t="shared" si="11"/>
        <v>0.9792191943573606</v>
      </c>
      <c r="AL677">
        <v>776.38400000000001</v>
      </c>
    </row>
    <row r="678" spans="33:38" x14ac:dyDescent="0.35">
      <c r="AG678" s="3" t="s">
        <v>219</v>
      </c>
      <c r="AH678" s="6">
        <v>775.4140000000001</v>
      </c>
      <c r="AI678" s="6">
        <v>58.891599999999997</v>
      </c>
      <c r="AJ678" s="6">
        <f>SUM($AH$2:AH678)</f>
        <v>2250238.5897000032</v>
      </c>
      <c r="AK678" s="8">
        <f t="shared" si="11"/>
        <v>0.97955674168001772</v>
      </c>
      <c r="AL678">
        <v>775.4140000000001</v>
      </c>
    </row>
    <row r="679" spans="33:38" x14ac:dyDescent="0.35">
      <c r="AG679" s="3" t="s">
        <v>40</v>
      </c>
      <c r="AH679" s="6">
        <v>763.54599999999982</v>
      </c>
      <c r="AI679" s="6">
        <v>228.16230000000002</v>
      </c>
      <c r="AJ679" s="6">
        <f>SUM($AH$2:AH679)</f>
        <v>2251002.1357000032</v>
      </c>
      <c r="AK679" s="8">
        <f t="shared" si="11"/>
        <v>0.97988912271521389</v>
      </c>
      <c r="AL679">
        <v>763.54599999999982</v>
      </c>
    </row>
    <row r="680" spans="33:38" x14ac:dyDescent="0.35">
      <c r="AG680" s="3" t="s">
        <v>498</v>
      </c>
      <c r="AH680" s="6">
        <v>758.69600000000003</v>
      </c>
      <c r="AI680" s="6">
        <v>68.241599999999991</v>
      </c>
      <c r="AJ680" s="6">
        <f>SUM($AH$2:AH680)</f>
        <v>2251760.8317000032</v>
      </c>
      <c r="AK680" s="8">
        <f t="shared" si="11"/>
        <v>0.98021939248531176</v>
      </c>
      <c r="AL680">
        <v>758.69600000000003</v>
      </c>
    </row>
    <row r="681" spans="33:38" x14ac:dyDescent="0.35">
      <c r="AG681" s="3" t="s">
        <v>300</v>
      </c>
      <c r="AH681" s="6">
        <v>756.60599999999999</v>
      </c>
      <c r="AI681" s="6">
        <v>110.7813</v>
      </c>
      <c r="AJ681" s="6">
        <f>SUM($AH$2:AH681)</f>
        <v>2252517.4377000034</v>
      </c>
      <c r="AK681" s="8">
        <f t="shared" si="11"/>
        <v>0.98054875245251172</v>
      </c>
      <c r="AL681">
        <v>756.60599999999999</v>
      </c>
    </row>
    <row r="682" spans="33:38" x14ac:dyDescent="0.35">
      <c r="AG682" s="3" t="s">
        <v>176</v>
      </c>
      <c r="AH682" s="6">
        <v>755.60199999999998</v>
      </c>
      <c r="AI682" s="6">
        <v>175.2388</v>
      </c>
      <c r="AJ682" s="6">
        <f>SUM($AH$2:AH682)</f>
        <v>2253273.0397000033</v>
      </c>
      <c r="AK682" s="8">
        <f t="shared" si="11"/>
        <v>0.98087767536607073</v>
      </c>
      <c r="AL682">
        <v>755.60199999999998</v>
      </c>
    </row>
    <row r="683" spans="33:38" x14ac:dyDescent="0.35">
      <c r="AG683" s="3" t="s">
        <v>586</v>
      </c>
      <c r="AH683" s="6">
        <v>744.57399999999996</v>
      </c>
      <c r="AI683" s="6">
        <v>320.4982</v>
      </c>
      <c r="AJ683" s="6">
        <f>SUM($AH$2:AH683)</f>
        <v>2254017.6137000034</v>
      </c>
      <c r="AK683" s="8">
        <f t="shared" si="11"/>
        <v>0.98120179765457738</v>
      </c>
      <c r="AL683">
        <v>744.57399999999996</v>
      </c>
    </row>
    <row r="684" spans="33:38" x14ac:dyDescent="0.35">
      <c r="AG684" s="3" t="s">
        <v>183</v>
      </c>
      <c r="AH684" s="6">
        <v>744.33999999999992</v>
      </c>
      <c r="AI684" s="6">
        <v>11.583900000000007</v>
      </c>
      <c r="AJ684" s="6">
        <f>SUM($AH$2:AH684)</f>
        <v>2254761.9537000032</v>
      </c>
      <c r="AK684" s="8">
        <f t="shared" si="11"/>
        <v>0.9815258180799844</v>
      </c>
      <c r="AL684">
        <v>744.33999999999992</v>
      </c>
    </row>
    <row r="685" spans="33:38" x14ac:dyDescent="0.35">
      <c r="AG685" s="3" t="s">
        <v>518</v>
      </c>
      <c r="AH685" s="6">
        <v>742.55799999999999</v>
      </c>
      <c r="AI685" s="6">
        <v>217.93300000000002</v>
      </c>
      <c r="AJ685" s="6">
        <f>SUM($AH$2:AH685)</f>
        <v>2255504.5117000034</v>
      </c>
      <c r="AK685" s="8">
        <f t="shared" si="11"/>
        <v>0.9818490627787102</v>
      </c>
      <c r="AL685">
        <v>742.55799999999999</v>
      </c>
    </row>
    <row r="686" spans="33:38" x14ac:dyDescent="0.35">
      <c r="AG686" s="3" t="s">
        <v>721</v>
      </c>
      <c r="AH686" s="6">
        <v>742.08199999999999</v>
      </c>
      <c r="AI686" s="6">
        <v>138.71620000000001</v>
      </c>
      <c r="AJ686" s="6">
        <f>SUM($AH$2:AH686)</f>
        <v>2256246.5937000033</v>
      </c>
      <c r="AK686" s="8">
        <f t="shared" si="11"/>
        <v>0.98217210026873747</v>
      </c>
      <c r="AL686">
        <v>742.08199999999999</v>
      </c>
    </row>
    <row r="687" spans="33:38" x14ac:dyDescent="0.35">
      <c r="AG687" s="3" t="s">
        <v>763</v>
      </c>
      <c r="AH687" s="6">
        <v>740.38199999999995</v>
      </c>
      <c r="AI687" s="6">
        <v>0.30570000000000164</v>
      </c>
      <c r="AJ687" s="6">
        <f>SUM($AH$2:AH687)</f>
        <v>2256986.9757000036</v>
      </c>
      <c r="AK687" s="8">
        <f t="shared" si="11"/>
        <v>0.98249439772769964</v>
      </c>
      <c r="AL687">
        <v>740.38199999999995</v>
      </c>
    </row>
    <row r="688" spans="33:38" x14ac:dyDescent="0.35">
      <c r="AG688" s="3" t="s">
        <v>684</v>
      </c>
      <c r="AH688" s="6">
        <v>740.35599999999999</v>
      </c>
      <c r="AI688" s="6">
        <v>229.22569999999999</v>
      </c>
      <c r="AJ688" s="6">
        <f>SUM($AH$2:AH688)</f>
        <v>2257727.3317000037</v>
      </c>
      <c r="AK688" s="8">
        <f t="shared" si="11"/>
        <v>0.98281668386853949</v>
      </c>
      <c r="AL688">
        <v>740.35599999999999</v>
      </c>
    </row>
    <row r="689" spans="33:38" x14ac:dyDescent="0.35">
      <c r="AG689" s="3" t="s">
        <v>854</v>
      </c>
      <c r="AH689" s="6">
        <v>738.50400000000002</v>
      </c>
      <c r="AI689" s="6">
        <v>83.962999999999994</v>
      </c>
      <c r="AJ689" s="6">
        <f>SUM($AH$2:AH689)</f>
        <v>2258465.8357000039</v>
      </c>
      <c r="AK689" s="8">
        <f t="shared" si="11"/>
        <v>0.98313816381083052</v>
      </c>
      <c r="AL689">
        <v>738.50400000000002</v>
      </c>
    </row>
    <row r="690" spans="33:38" x14ac:dyDescent="0.35">
      <c r="AG690" s="3" t="s">
        <v>74</v>
      </c>
      <c r="AH690" s="6">
        <v>736.27599999999995</v>
      </c>
      <c r="AI690" s="6">
        <v>117.27549999999999</v>
      </c>
      <c r="AJ690" s="6">
        <f>SUM($AH$2:AH690)</f>
        <v>2259202.111700004</v>
      </c>
      <c r="AK690" s="8">
        <f t="shared" si="11"/>
        <v>0.9834586738771135</v>
      </c>
      <c r="AL690">
        <v>736.27599999999995</v>
      </c>
    </row>
    <row r="691" spans="33:38" x14ac:dyDescent="0.35">
      <c r="AG691" s="3" t="s">
        <v>283</v>
      </c>
      <c r="AH691" s="6">
        <v>729.64800000000002</v>
      </c>
      <c r="AI691" s="6">
        <v>47.887799999999999</v>
      </c>
      <c r="AJ691" s="6">
        <f>SUM($AH$2:AH691)</f>
        <v>2259931.759700004</v>
      </c>
      <c r="AK691" s="8">
        <f t="shared" si="11"/>
        <v>0.98377629869286631</v>
      </c>
      <c r="AL691">
        <v>729.64800000000002</v>
      </c>
    </row>
    <row r="692" spans="33:38" x14ac:dyDescent="0.35">
      <c r="AG692" s="3" t="s">
        <v>98</v>
      </c>
      <c r="AH692" s="6">
        <v>729.40800000000002</v>
      </c>
      <c r="AI692" s="6">
        <v>225.85879999999997</v>
      </c>
      <c r="AJ692" s="6">
        <f>SUM($AH$2:AH692)</f>
        <v>2260661.1677000038</v>
      </c>
      <c r="AK692" s="8">
        <f t="shared" si="11"/>
        <v>0.98409381903364512</v>
      </c>
      <c r="AL692">
        <v>729.40800000000002</v>
      </c>
    </row>
    <row r="693" spans="33:38" x14ac:dyDescent="0.35">
      <c r="AG693" s="3" t="s">
        <v>461</v>
      </c>
      <c r="AH693" s="6">
        <v>709.17800000000011</v>
      </c>
      <c r="AI693" s="6">
        <v>200.5558</v>
      </c>
      <c r="AJ693" s="6">
        <f>SUM($AH$2:AH693)</f>
        <v>2261370.3457000037</v>
      </c>
      <c r="AK693" s="8">
        <f t="shared" si="11"/>
        <v>0.98440253300474612</v>
      </c>
      <c r="AL693">
        <v>709.17800000000011</v>
      </c>
    </row>
    <row r="694" spans="33:38" x14ac:dyDescent="0.35">
      <c r="AG694" s="3" t="s">
        <v>215</v>
      </c>
      <c r="AH694" s="6">
        <v>695.44200000000012</v>
      </c>
      <c r="AI694" s="6">
        <v>111.11410000000001</v>
      </c>
      <c r="AJ694" s="6">
        <f>SUM($AH$2:AH694)</f>
        <v>2262065.7877000035</v>
      </c>
      <c r="AK694" s="8">
        <f t="shared" si="11"/>
        <v>0.984705267524839</v>
      </c>
      <c r="AL694">
        <v>695.44200000000012</v>
      </c>
    </row>
    <row r="695" spans="33:38" x14ac:dyDescent="0.35">
      <c r="AG695" s="3" t="s">
        <v>373</v>
      </c>
      <c r="AH695" s="6">
        <v>688.32399999999996</v>
      </c>
      <c r="AI695" s="6">
        <v>218.15970000000002</v>
      </c>
      <c r="AJ695" s="6">
        <f>SUM($AH$2:AH695)</f>
        <v>2262754.1117000035</v>
      </c>
      <c r="AK695" s="8">
        <f t="shared" si="11"/>
        <v>0.98500490349133007</v>
      </c>
      <c r="AL695">
        <v>688.32399999999996</v>
      </c>
    </row>
    <row r="696" spans="33:38" x14ac:dyDescent="0.35">
      <c r="AG696" s="3" t="s">
        <v>44</v>
      </c>
      <c r="AH696" s="6">
        <v>684.17100000000005</v>
      </c>
      <c r="AI696" s="6">
        <v>53.539799999999993</v>
      </c>
      <c r="AJ696" s="6">
        <f>SUM($AH$2:AH696)</f>
        <v>2263438.2827000036</v>
      </c>
      <c r="AK696" s="8">
        <f t="shared" si="11"/>
        <v>0.98530273160545967</v>
      </c>
      <c r="AL696">
        <v>684.17100000000005</v>
      </c>
    </row>
    <row r="697" spans="33:38" x14ac:dyDescent="0.35">
      <c r="AG697" s="3" t="s">
        <v>395</v>
      </c>
      <c r="AH697" s="6">
        <v>675.94200000000001</v>
      </c>
      <c r="AI697" s="6">
        <v>220.36439999999999</v>
      </c>
      <c r="AJ697" s="6">
        <f>SUM($AH$2:AH697)</f>
        <v>2264114.2247000034</v>
      </c>
      <c r="AK697" s="8">
        <f t="shared" si="11"/>
        <v>0.98559697753392039</v>
      </c>
      <c r="AL697">
        <v>675.94200000000001</v>
      </c>
    </row>
    <row r="698" spans="33:38" x14ac:dyDescent="0.35">
      <c r="AG698" s="3" t="s">
        <v>860</v>
      </c>
      <c r="AH698" s="6">
        <v>660.97199999999998</v>
      </c>
      <c r="AI698" s="6">
        <v>-5.137099999999978</v>
      </c>
      <c r="AJ698" s="6">
        <f>SUM($AH$2:AH698)</f>
        <v>2264775.1967000035</v>
      </c>
      <c r="AK698" s="8">
        <f t="shared" si="11"/>
        <v>0.98588470683588214</v>
      </c>
      <c r="AL698">
        <v>660.97199999999998</v>
      </c>
    </row>
    <row r="699" spans="33:38" x14ac:dyDescent="0.35">
      <c r="AG699" s="3" t="s">
        <v>404</v>
      </c>
      <c r="AH699" s="6">
        <v>659.13800000000003</v>
      </c>
      <c r="AI699" s="6">
        <v>-63.764400000000016</v>
      </c>
      <c r="AJ699" s="6">
        <f>SUM($AH$2:AH699)</f>
        <v>2265434.3347000033</v>
      </c>
      <c r="AK699" s="8">
        <f t="shared" si="11"/>
        <v>0.98617163777491801</v>
      </c>
      <c r="AL699">
        <v>659.13800000000003</v>
      </c>
    </row>
    <row r="700" spans="33:38" x14ac:dyDescent="0.35">
      <c r="AG700" s="3" t="s">
        <v>512</v>
      </c>
      <c r="AH700" s="6">
        <v>658.46600000000001</v>
      </c>
      <c r="AI700" s="6">
        <v>141.26499999999999</v>
      </c>
      <c r="AJ700" s="6">
        <f>SUM($AH$2:AH700)</f>
        <v>2266092.8007000033</v>
      </c>
      <c r="AK700" s="8">
        <f t="shared" si="11"/>
        <v>0.98645827618402693</v>
      </c>
      <c r="AL700">
        <v>658.46600000000001</v>
      </c>
    </row>
    <row r="701" spans="33:38" x14ac:dyDescent="0.35">
      <c r="AG701" s="3" t="s">
        <v>774</v>
      </c>
      <c r="AH701" s="6">
        <v>657.31600000000003</v>
      </c>
      <c r="AI701" s="6">
        <v>-28.700400000000002</v>
      </c>
      <c r="AJ701" s="6">
        <f>SUM($AH$2:AH701)</f>
        <v>2266750.1167000034</v>
      </c>
      <c r="AK701" s="8">
        <f t="shared" si="11"/>
        <v>0.98674441398388579</v>
      </c>
      <c r="AL701">
        <v>657.31600000000003</v>
      </c>
    </row>
    <row r="702" spans="33:38" x14ac:dyDescent="0.35">
      <c r="AG702" s="3" t="s">
        <v>593</v>
      </c>
      <c r="AH702" s="6">
        <v>649.37599999999998</v>
      </c>
      <c r="AI702" s="6">
        <v>65.772500000000008</v>
      </c>
      <c r="AJ702" s="6">
        <f>SUM($AH$2:AH702)</f>
        <v>2267399.4927000036</v>
      </c>
      <c r="AK702" s="8">
        <f t="shared" si="11"/>
        <v>0.98702709540335698</v>
      </c>
      <c r="AL702">
        <v>649.37599999999998</v>
      </c>
    </row>
    <row r="703" spans="33:38" x14ac:dyDescent="0.35">
      <c r="AG703" s="3" t="s">
        <v>735</v>
      </c>
      <c r="AH703" s="6">
        <v>644.35</v>
      </c>
      <c r="AI703" s="6">
        <v>150.1712</v>
      </c>
      <c r="AJ703" s="6">
        <f>SUM($AH$2:AH703)</f>
        <v>2268043.8427000036</v>
      </c>
      <c r="AK703" s="8">
        <f t="shared" si="11"/>
        <v>0.98730758894274906</v>
      </c>
      <c r="AL703">
        <v>644.35</v>
      </c>
    </row>
    <row r="704" spans="33:38" x14ac:dyDescent="0.35">
      <c r="AG704" s="3" t="s">
        <v>789</v>
      </c>
      <c r="AH704" s="6">
        <v>644.11879999999996</v>
      </c>
      <c r="AI704" s="6">
        <v>126.76490000000001</v>
      </c>
      <c r="AJ704" s="6">
        <f>SUM($AH$2:AH704)</f>
        <v>2268687.9615000035</v>
      </c>
      <c r="AK704" s="8">
        <f t="shared" si="11"/>
        <v>0.98758798183791618</v>
      </c>
      <c r="AL704">
        <v>644.11879999999996</v>
      </c>
    </row>
    <row r="705" spans="33:38" x14ac:dyDescent="0.35">
      <c r="AG705" s="3" t="s">
        <v>345</v>
      </c>
      <c r="AH705" s="6">
        <v>639.76599999999996</v>
      </c>
      <c r="AI705" s="6">
        <v>-206.71719999999999</v>
      </c>
      <c r="AJ705" s="6">
        <f>SUM($AH$2:AH705)</f>
        <v>2269327.7275000033</v>
      </c>
      <c r="AK705" s="8">
        <f t="shared" si="11"/>
        <v>0.98786647990530596</v>
      </c>
      <c r="AL705">
        <v>639.76599999999996</v>
      </c>
    </row>
    <row r="706" spans="33:38" x14ac:dyDescent="0.35">
      <c r="AG706" s="3" t="s">
        <v>366</v>
      </c>
      <c r="AH706" s="6">
        <v>639.178</v>
      </c>
      <c r="AI706" s="6">
        <v>162.93629999999999</v>
      </c>
      <c r="AJ706" s="6">
        <f>SUM($AH$2:AH706)</f>
        <v>2269966.9055000031</v>
      </c>
      <c r="AK706" s="8">
        <f t="shared" si="11"/>
        <v>0.98814472200900971</v>
      </c>
      <c r="AL706">
        <v>639.178</v>
      </c>
    </row>
    <row r="707" spans="33:38" x14ac:dyDescent="0.35">
      <c r="AG707" s="3" t="s">
        <v>268</v>
      </c>
      <c r="AH707" s="6">
        <v>629.24799999999993</v>
      </c>
      <c r="AI707" s="6">
        <v>60.426499999999997</v>
      </c>
      <c r="AJ707" s="6">
        <f>SUM($AH$2:AH707)</f>
        <v>2270596.1535000033</v>
      </c>
      <c r="AK707" s="8">
        <f t="shared" ref="AK707:AK770" si="12">AJ707/$AH$795</f>
        <v>0.98841864146066705</v>
      </c>
      <c r="AL707">
        <v>629.24799999999993</v>
      </c>
    </row>
    <row r="708" spans="33:38" x14ac:dyDescent="0.35">
      <c r="AG708" s="3" t="s">
        <v>732</v>
      </c>
      <c r="AH708" s="6">
        <v>615.93200000000002</v>
      </c>
      <c r="AI708" s="6">
        <v>-73.834999999999994</v>
      </c>
      <c r="AJ708" s="6">
        <f>SUM($AH$2:AH708)</f>
        <v>2271212.0855000033</v>
      </c>
      <c r="AK708" s="8">
        <f t="shared" si="12"/>
        <v>0.98868676429252056</v>
      </c>
      <c r="AL708">
        <v>615.93200000000002</v>
      </c>
    </row>
    <row r="709" spans="33:38" x14ac:dyDescent="0.35">
      <c r="AG709" s="3" t="s">
        <v>896</v>
      </c>
      <c r="AH709" s="6">
        <v>613.40000000000009</v>
      </c>
      <c r="AI709" s="6">
        <v>199.93449999999996</v>
      </c>
      <c r="AJ709" s="6">
        <f>SUM($AH$2:AH709)</f>
        <v>2271825.4855000032</v>
      </c>
      <c r="AK709" s="8">
        <f t="shared" si="12"/>
        <v>0.98895378491339914</v>
      </c>
      <c r="AL709">
        <v>613.40000000000009</v>
      </c>
    </row>
    <row r="710" spans="33:38" x14ac:dyDescent="0.35">
      <c r="AG710" s="3" t="s">
        <v>691</v>
      </c>
      <c r="AH710" s="6">
        <v>603.87599999999998</v>
      </c>
      <c r="AI710" s="6">
        <v>-77.525600000000011</v>
      </c>
      <c r="AJ710" s="6">
        <f>SUM($AH$2:AH710)</f>
        <v>2272429.3615000034</v>
      </c>
      <c r="AK710" s="8">
        <f t="shared" si="12"/>
        <v>0.98921665961906213</v>
      </c>
      <c r="AL710">
        <v>603.87599999999998</v>
      </c>
    </row>
    <row r="711" spans="33:38" x14ac:dyDescent="0.35">
      <c r="AG711" s="3" t="s">
        <v>639</v>
      </c>
      <c r="AH711" s="6">
        <v>599.798</v>
      </c>
      <c r="AI711" s="6">
        <v>227.43840000000003</v>
      </c>
      <c r="AJ711" s="6">
        <f>SUM($AH$2:AH711)</f>
        <v>2273029.1595000033</v>
      </c>
      <c r="AK711" s="8">
        <f t="shared" si="12"/>
        <v>0.98947775912079294</v>
      </c>
      <c r="AL711">
        <v>599.798</v>
      </c>
    </row>
    <row r="712" spans="33:38" x14ac:dyDescent="0.35">
      <c r="AG712" s="3" t="s">
        <v>698</v>
      </c>
      <c r="AH712" s="6">
        <v>593.60599999999999</v>
      </c>
      <c r="AI712" s="6">
        <v>85.019100000000009</v>
      </c>
      <c r="AJ712" s="6">
        <f>SUM($AH$2:AH712)</f>
        <v>2273622.7655000035</v>
      </c>
      <c r="AK712" s="8">
        <f t="shared" si="12"/>
        <v>0.98973616316819635</v>
      </c>
      <c r="AL712">
        <v>593.60599999999999</v>
      </c>
    </row>
    <row r="713" spans="33:38" x14ac:dyDescent="0.35">
      <c r="AG713" s="3" t="s">
        <v>768</v>
      </c>
      <c r="AH713" s="6">
        <v>585.02</v>
      </c>
      <c r="AI713" s="6">
        <v>222.68119999999999</v>
      </c>
      <c r="AJ713" s="6">
        <f>SUM($AH$2:AH713)</f>
        <v>2274207.7855000035</v>
      </c>
      <c r="AK713" s="8">
        <f t="shared" si="12"/>
        <v>0.98999082962340723</v>
      </c>
      <c r="AL713">
        <v>585.02</v>
      </c>
    </row>
    <row r="714" spans="33:38" x14ac:dyDescent="0.35">
      <c r="AG714" s="3" t="s">
        <v>319</v>
      </c>
      <c r="AH714" s="6">
        <v>584.60800000000006</v>
      </c>
      <c r="AI714" s="6">
        <v>33.715799999999994</v>
      </c>
      <c r="AJ714" s="6">
        <f>SUM($AH$2:AH714)</f>
        <v>2274792.3935000035</v>
      </c>
      <c r="AK714" s="8">
        <f t="shared" si="12"/>
        <v>0.99024531672991289</v>
      </c>
      <c r="AL714">
        <v>584.60800000000006</v>
      </c>
    </row>
    <row r="715" spans="33:38" x14ac:dyDescent="0.35">
      <c r="AG715" s="3" t="s">
        <v>738</v>
      </c>
      <c r="AH715" s="6">
        <v>582.64599999999996</v>
      </c>
      <c r="AI715" s="6">
        <v>141.53400000000002</v>
      </c>
      <c r="AJ715" s="6">
        <f>SUM($AH$2:AH715)</f>
        <v>2275375.0395000037</v>
      </c>
      <c r="AK715" s="8">
        <f t="shared" si="12"/>
        <v>0.99049894975350672</v>
      </c>
      <c r="AL715">
        <v>582.64599999999996</v>
      </c>
    </row>
    <row r="716" spans="33:38" x14ac:dyDescent="0.35">
      <c r="AG716" s="3" t="s">
        <v>124</v>
      </c>
      <c r="AH716" s="6">
        <v>572.048</v>
      </c>
      <c r="AI716" s="6">
        <v>121.21770000000002</v>
      </c>
      <c r="AJ716" s="6">
        <f>SUM($AH$2:AH716)</f>
        <v>2275947.0875000036</v>
      </c>
      <c r="AK716" s="8">
        <f t="shared" si="12"/>
        <v>0.99074796933637643</v>
      </c>
      <c r="AL716">
        <v>572.048</v>
      </c>
    </row>
    <row r="717" spans="33:38" x14ac:dyDescent="0.35">
      <c r="AG717" s="3" t="s">
        <v>726</v>
      </c>
      <c r="AH717" s="6">
        <v>565.39200000000005</v>
      </c>
      <c r="AI717" s="6">
        <v>-43.732399999999998</v>
      </c>
      <c r="AJ717" s="6">
        <f>SUM($AH$2:AH717)</f>
        <v>2276512.4795000036</v>
      </c>
      <c r="AK717" s="8">
        <f t="shared" si="12"/>
        <v>0.99099409147996909</v>
      </c>
      <c r="AL717">
        <v>565.39200000000005</v>
      </c>
    </row>
    <row r="718" spans="33:38" x14ac:dyDescent="0.35">
      <c r="AG718" s="3" t="s">
        <v>519</v>
      </c>
      <c r="AH718" s="6">
        <v>550.64400000000012</v>
      </c>
      <c r="AI718" s="6">
        <v>156.2593</v>
      </c>
      <c r="AJ718" s="6">
        <f>SUM($AH$2:AH718)</f>
        <v>2277063.1235000035</v>
      </c>
      <c r="AK718" s="8">
        <f t="shared" si="12"/>
        <v>0.99123379363641351</v>
      </c>
      <c r="AL718">
        <v>550.64400000000012</v>
      </c>
    </row>
    <row r="719" spans="33:38" x14ac:dyDescent="0.35">
      <c r="AG719" s="3" t="s">
        <v>868</v>
      </c>
      <c r="AH719" s="6">
        <v>537.63200000000006</v>
      </c>
      <c r="AI719" s="6">
        <v>105.8275</v>
      </c>
      <c r="AJ719" s="6">
        <f>SUM($AH$2:AH719)</f>
        <v>2277600.7555000037</v>
      </c>
      <c r="AK719" s="8">
        <f t="shared" si="12"/>
        <v>0.99146783150802131</v>
      </c>
      <c r="AL719">
        <v>537.63200000000006</v>
      </c>
    </row>
    <row r="720" spans="33:38" x14ac:dyDescent="0.35">
      <c r="AG720" s="3" t="s">
        <v>682</v>
      </c>
      <c r="AH720" s="6">
        <v>528.91000000000008</v>
      </c>
      <c r="AI720" s="6">
        <v>26.0822</v>
      </c>
      <c r="AJ720" s="6">
        <f>SUM($AH$2:AH720)</f>
        <v>2278129.6655000038</v>
      </c>
      <c r="AK720" s="8">
        <f t="shared" si="12"/>
        <v>0.99169807258495135</v>
      </c>
      <c r="AL720">
        <v>528.91000000000008</v>
      </c>
    </row>
    <row r="721" spans="33:38" x14ac:dyDescent="0.35">
      <c r="AG721" s="3" t="s">
        <v>344</v>
      </c>
      <c r="AH721" s="6">
        <v>528.54600000000005</v>
      </c>
      <c r="AI721" s="6">
        <v>76.887900000000002</v>
      </c>
      <c r="AJ721" s="6">
        <f>SUM($AH$2:AH721)</f>
        <v>2278658.2115000039</v>
      </c>
      <c r="AK721" s="8">
        <f t="shared" si="12"/>
        <v>0.99192815520817101</v>
      </c>
      <c r="AL721">
        <v>528.54600000000005</v>
      </c>
    </row>
    <row r="722" spans="33:38" x14ac:dyDescent="0.35">
      <c r="AG722" s="3" t="s">
        <v>784</v>
      </c>
      <c r="AH722" s="6">
        <v>497.01400000000007</v>
      </c>
      <c r="AI722" s="6">
        <v>103.34989999999998</v>
      </c>
      <c r="AJ722" s="6">
        <f>SUM($AH$2:AH722)</f>
        <v>2279155.2255000039</v>
      </c>
      <c r="AK722" s="8">
        <f t="shared" si="12"/>
        <v>0.9921445115610652</v>
      </c>
      <c r="AL722">
        <v>497.01400000000007</v>
      </c>
    </row>
    <row r="723" spans="33:38" x14ac:dyDescent="0.35">
      <c r="AG723" s="3" t="s">
        <v>190</v>
      </c>
      <c r="AH723" s="6">
        <v>475.9</v>
      </c>
      <c r="AI723" s="6">
        <v>144.7594</v>
      </c>
      <c r="AJ723" s="6">
        <f>SUM($AH$2:AH723)</f>
        <v>2279631.1255000038</v>
      </c>
      <c r="AK723" s="8">
        <f t="shared" si="12"/>
        <v>0.99235167672812752</v>
      </c>
      <c r="AL723">
        <v>475.9</v>
      </c>
    </row>
    <row r="724" spans="33:38" x14ac:dyDescent="0.35">
      <c r="AG724" s="3" t="s">
        <v>762</v>
      </c>
      <c r="AH724" s="6">
        <v>475.65599999999995</v>
      </c>
      <c r="AI724" s="6">
        <v>84.026800000000009</v>
      </c>
      <c r="AJ724" s="6">
        <f>SUM($AH$2:AH724)</f>
        <v>2280106.7815000038</v>
      </c>
      <c r="AK724" s="8">
        <f t="shared" si="12"/>
        <v>0.99255873567896646</v>
      </c>
      <c r="AL724">
        <v>475.65599999999995</v>
      </c>
    </row>
    <row r="725" spans="33:38" x14ac:dyDescent="0.35">
      <c r="AG725" s="3" t="s">
        <v>258</v>
      </c>
      <c r="AH725" s="6">
        <v>469.16899999999998</v>
      </c>
      <c r="AI725" s="6">
        <v>-327.93360000000001</v>
      </c>
      <c r="AJ725" s="6">
        <f>SUM($AH$2:AH725)</f>
        <v>2280575.950500004</v>
      </c>
      <c r="AK725" s="8">
        <f t="shared" si="12"/>
        <v>0.99276297075832254</v>
      </c>
      <c r="AL725">
        <v>469.16899999999998</v>
      </c>
    </row>
    <row r="726" spans="33:38" x14ac:dyDescent="0.35">
      <c r="AG726" s="3" t="s">
        <v>798</v>
      </c>
      <c r="AH726" s="6">
        <v>461.91399999999999</v>
      </c>
      <c r="AI726" s="6">
        <v>96.425600000000003</v>
      </c>
      <c r="AJ726" s="6">
        <f>SUM($AH$2:AH726)</f>
        <v>2281037.8645000039</v>
      </c>
      <c r="AK726" s="8">
        <f t="shared" si="12"/>
        <v>0.99296404764627899</v>
      </c>
      <c r="AL726">
        <v>461.91399999999999</v>
      </c>
    </row>
    <row r="727" spans="33:38" x14ac:dyDescent="0.35">
      <c r="AG727" s="3" t="s">
        <v>844</v>
      </c>
      <c r="AH727" s="6">
        <v>453.53800000000001</v>
      </c>
      <c r="AI727" s="6">
        <v>91.139099999999999</v>
      </c>
      <c r="AJ727" s="6">
        <f>SUM($AH$2:AH727)</f>
        <v>2281491.402500004</v>
      </c>
      <c r="AK727" s="8">
        <f t="shared" si="12"/>
        <v>0.99316147835764523</v>
      </c>
      <c r="AL727">
        <v>453.53800000000001</v>
      </c>
    </row>
    <row r="728" spans="33:38" x14ac:dyDescent="0.35">
      <c r="AG728" s="3" t="s">
        <v>715</v>
      </c>
      <c r="AH728" s="6">
        <v>449.09600000000006</v>
      </c>
      <c r="AI728" s="6">
        <v>107.92700000000001</v>
      </c>
      <c r="AJ728" s="6">
        <f>SUM($AH$2:AH728)</f>
        <v>2281940.4985000039</v>
      </c>
      <c r="AK728" s="8">
        <f t="shared" si="12"/>
        <v>0.9933569754113688</v>
      </c>
      <c r="AL728">
        <v>449.09600000000006</v>
      </c>
    </row>
    <row r="729" spans="33:38" x14ac:dyDescent="0.35">
      <c r="AG729" s="3" t="s">
        <v>749</v>
      </c>
      <c r="AH729" s="6">
        <v>439.5</v>
      </c>
      <c r="AI729" s="6">
        <v>93.916200000000003</v>
      </c>
      <c r="AJ729" s="6">
        <f>SUM($AH$2:AH729)</f>
        <v>2282379.9985000039</v>
      </c>
      <c r="AK729" s="8">
        <f t="shared" si="12"/>
        <v>0.99354829520738464</v>
      </c>
      <c r="AL729">
        <v>439.5</v>
      </c>
    </row>
    <row r="730" spans="33:38" x14ac:dyDescent="0.35">
      <c r="AG730" s="3" t="s">
        <v>555</v>
      </c>
      <c r="AH730" s="6">
        <v>433.34</v>
      </c>
      <c r="AI730" s="6">
        <v>84.441900000000018</v>
      </c>
      <c r="AJ730" s="6">
        <f>SUM($AH$2:AH730)</f>
        <v>2282813.3385000038</v>
      </c>
      <c r="AK730" s="8">
        <f t="shared" si="12"/>
        <v>0.99373693347906944</v>
      </c>
      <c r="AL730">
        <v>433.34</v>
      </c>
    </row>
    <row r="731" spans="33:38" x14ac:dyDescent="0.35">
      <c r="AG731" s="3" t="s">
        <v>596</v>
      </c>
      <c r="AH731" s="6">
        <v>427.37200000000001</v>
      </c>
      <c r="AI731" s="6">
        <v>-52.332999999999998</v>
      </c>
      <c r="AJ731" s="6">
        <f>SUM($AH$2:AH731)</f>
        <v>2283240.7105000038</v>
      </c>
      <c r="AK731" s="8">
        <f t="shared" si="12"/>
        <v>0.99392297380640249</v>
      </c>
      <c r="AL731">
        <v>427.37200000000001</v>
      </c>
    </row>
    <row r="732" spans="33:38" x14ac:dyDescent="0.35">
      <c r="AG732" s="3" t="s">
        <v>269</v>
      </c>
      <c r="AH732" s="6">
        <v>418.49</v>
      </c>
      <c r="AI732" s="6">
        <v>135.5401</v>
      </c>
      <c r="AJ732" s="6">
        <f>SUM($AH$2:AH732)</f>
        <v>2283659.200500004</v>
      </c>
      <c r="AK732" s="8">
        <f t="shared" si="12"/>
        <v>0.99410514768907532</v>
      </c>
      <c r="AL732">
        <v>418.49</v>
      </c>
    </row>
    <row r="733" spans="33:38" x14ac:dyDescent="0.35">
      <c r="AG733" s="3" t="s">
        <v>481</v>
      </c>
      <c r="AH733" s="6">
        <v>415.19599999999997</v>
      </c>
      <c r="AI733" s="6">
        <v>126.8694</v>
      </c>
      <c r="AJ733" s="6">
        <f>SUM($AH$2:AH733)</f>
        <v>2284074.396500004</v>
      </c>
      <c r="AK733" s="8">
        <f t="shared" si="12"/>
        <v>0.99428588765273074</v>
      </c>
      <c r="AL733">
        <v>415.19599999999997</v>
      </c>
    </row>
    <row r="734" spans="33:38" x14ac:dyDescent="0.35">
      <c r="AG734" s="3" t="s">
        <v>895</v>
      </c>
      <c r="AH734" s="6">
        <v>400.01600000000002</v>
      </c>
      <c r="AI734" s="6">
        <v>61.428599999999996</v>
      </c>
      <c r="AJ734" s="6">
        <f>SUM($AH$2:AH734)</f>
        <v>2284474.4125000038</v>
      </c>
      <c r="AK734" s="8">
        <f t="shared" si="12"/>
        <v>0.99446001957428487</v>
      </c>
      <c r="AL734">
        <v>400.01600000000002</v>
      </c>
    </row>
    <row r="735" spans="33:38" x14ac:dyDescent="0.35">
      <c r="AG735" s="3" t="s">
        <v>887</v>
      </c>
      <c r="AH735" s="6">
        <v>385.51600000000002</v>
      </c>
      <c r="AI735" s="6">
        <v>-58.286599999999993</v>
      </c>
      <c r="AJ735" s="6">
        <f>SUM($AH$2:AH735)</f>
        <v>2284859.9285000036</v>
      </c>
      <c r="AK735" s="8">
        <f t="shared" si="12"/>
        <v>0.99462783946616384</v>
      </c>
      <c r="AL735">
        <v>385.51600000000002</v>
      </c>
    </row>
    <row r="736" spans="33:38" x14ac:dyDescent="0.35">
      <c r="AG736" s="3" t="s">
        <v>656</v>
      </c>
      <c r="AH736" s="6">
        <v>385.43</v>
      </c>
      <c r="AI736" s="6">
        <v>26.760500000000004</v>
      </c>
      <c r="AJ736" s="6">
        <f>SUM($AH$2:AH736)</f>
        <v>2285245.3585000038</v>
      </c>
      <c r="AK736" s="8">
        <f t="shared" si="12"/>
        <v>0.99479562192117732</v>
      </c>
      <c r="AL736">
        <v>385.43</v>
      </c>
    </row>
    <row r="737" spans="33:38" x14ac:dyDescent="0.35">
      <c r="AG737" s="3" t="s">
        <v>878</v>
      </c>
      <c r="AH737" s="6">
        <v>383.81200000000001</v>
      </c>
      <c r="AI737" s="6">
        <v>55.327699999999993</v>
      </c>
      <c r="AJ737" s="6">
        <f>SUM($AH$2:AH737)</f>
        <v>2285629.1705000037</v>
      </c>
      <c r="AK737" s="8">
        <f t="shared" si="12"/>
        <v>0.99496270004074139</v>
      </c>
      <c r="AL737">
        <v>383.81200000000001</v>
      </c>
    </row>
    <row r="738" spans="33:38" x14ac:dyDescent="0.35">
      <c r="AG738" s="3" t="s">
        <v>832</v>
      </c>
      <c r="AH738" s="6">
        <v>380.69</v>
      </c>
      <c r="AI738" s="6">
        <v>116.6373</v>
      </c>
      <c r="AJ738" s="6">
        <f>SUM($AH$2:AH738)</f>
        <v>2286009.8605000037</v>
      </c>
      <c r="AK738" s="8">
        <f t="shared" si="12"/>
        <v>0.99512841911501959</v>
      </c>
      <c r="AL738">
        <v>380.69</v>
      </c>
    </row>
    <row r="739" spans="33:38" x14ac:dyDescent="0.35">
      <c r="AG739" s="3" t="s">
        <v>855</v>
      </c>
      <c r="AH739" s="6">
        <v>377.16200000000003</v>
      </c>
      <c r="AI739" s="6">
        <v>85.927799999999991</v>
      </c>
      <c r="AJ739" s="6">
        <f>SUM($AH$2:AH739)</f>
        <v>2286387.0225000037</v>
      </c>
      <c r="AK739" s="8">
        <f t="shared" si="12"/>
        <v>0.99529260240718098</v>
      </c>
      <c r="AL739">
        <v>377.16200000000003</v>
      </c>
    </row>
    <row r="740" spans="33:38" x14ac:dyDescent="0.35">
      <c r="AG740" s="3" t="s">
        <v>314</v>
      </c>
      <c r="AH740" s="6">
        <v>370.34800000000001</v>
      </c>
      <c r="AI740" s="6">
        <v>19.4312</v>
      </c>
      <c r="AJ740" s="6">
        <f>SUM($AH$2:AH740)</f>
        <v>2286757.3705000039</v>
      </c>
      <c r="AK740" s="8">
        <f t="shared" si="12"/>
        <v>0.99545381948070755</v>
      </c>
      <c r="AL740">
        <v>370.34800000000001</v>
      </c>
    </row>
    <row r="741" spans="33:38" x14ac:dyDescent="0.35">
      <c r="AG741" s="3" t="s">
        <v>835</v>
      </c>
      <c r="AH741" s="6">
        <v>368.88</v>
      </c>
      <c r="AI741" s="6">
        <v>39.1952</v>
      </c>
      <c r="AJ741" s="6">
        <f>SUM($AH$2:AH741)</f>
        <v>2287126.2505000038</v>
      </c>
      <c r="AK741" s="8">
        <f t="shared" si="12"/>
        <v>0.9956143975156434</v>
      </c>
      <c r="AL741">
        <v>368.88</v>
      </c>
    </row>
    <row r="742" spans="33:38" x14ac:dyDescent="0.35">
      <c r="AG742" s="3" t="s">
        <v>743</v>
      </c>
      <c r="AH742" s="6">
        <v>367.548</v>
      </c>
      <c r="AI742" s="6">
        <v>59.288399999999996</v>
      </c>
      <c r="AJ742" s="6">
        <f>SUM($AH$2:AH742)</f>
        <v>2287493.7985000038</v>
      </c>
      <c r="AK742" s="8">
        <f t="shared" si="12"/>
        <v>0.9957743957144739</v>
      </c>
      <c r="AL742">
        <v>367.548</v>
      </c>
    </row>
    <row r="743" spans="33:38" x14ac:dyDescent="0.35">
      <c r="AG743" s="3" t="s">
        <v>893</v>
      </c>
      <c r="AH743" s="6">
        <v>366.822</v>
      </c>
      <c r="AI743" s="6">
        <v>21.772099999999995</v>
      </c>
      <c r="AJ743" s="6">
        <f>SUM($AH$2:AH743)</f>
        <v>2287860.6205000039</v>
      </c>
      <c r="AK743" s="8">
        <f t="shared" si="12"/>
        <v>0.99593407787650834</v>
      </c>
      <c r="AL743">
        <v>366.822</v>
      </c>
    </row>
    <row r="744" spans="33:38" x14ac:dyDescent="0.35">
      <c r="AG744" s="3" t="s">
        <v>821</v>
      </c>
      <c r="AH744" s="6">
        <v>358.1</v>
      </c>
      <c r="AI744" s="6">
        <v>98.654800000000009</v>
      </c>
      <c r="AJ744" s="6">
        <f>SUM($AH$2:AH744)</f>
        <v>2288218.720500004</v>
      </c>
      <c r="AK744" s="8">
        <f t="shared" si="12"/>
        <v>0.99608996324386512</v>
      </c>
      <c r="AL744">
        <v>358.1</v>
      </c>
    </row>
    <row r="745" spans="33:38" x14ac:dyDescent="0.35">
      <c r="AG745" s="3" t="s">
        <v>477</v>
      </c>
      <c r="AH745" s="6">
        <v>344.08000000000004</v>
      </c>
      <c r="AI745" s="6">
        <v>69.667199999999994</v>
      </c>
      <c r="AJ745" s="6">
        <f>SUM($AH$2:AH745)</f>
        <v>2288562.8005000041</v>
      </c>
      <c r="AK745" s="8">
        <f t="shared" si="12"/>
        <v>0.99623974553149452</v>
      </c>
      <c r="AL745">
        <v>344.08000000000004</v>
      </c>
    </row>
    <row r="746" spans="33:38" x14ac:dyDescent="0.35">
      <c r="AG746" s="3" t="s">
        <v>490</v>
      </c>
      <c r="AH746" s="6">
        <v>329.87599999999998</v>
      </c>
      <c r="AI746" s="6">
        <v>59.036000000000001</v>
      </c>
      <c r="AJ746" s="6">
        <f>SUM($AH$2:AH746)</f>
        <v>2288892.6765000043</v>
      </c>
      <c r="AK746" s="8">
        <f t="shared" si="12"/>
        <v>0.9963833446419168</v>
      </c>
      <c r="AL746">
        <v>329.87599999999998</v>
      </c>
    </row>
    <row r="747" spans="33:38" x14ac:dyDescent="0.35">
      <c r="AG747" s="3" t="s">
        <v>907</v>
      </c>
      <c r="AH747" s="6">
        <v>320.53999999999996</v>
      </c>
      <c r="AI747" s="6">
        <v>116.714</v>
      </c>
      <c r="AJ747" s="6">
        <f>SUM($AH$2:AH747)</f>
        <v>2289213.2165000043</v>
      </c>
      <c r="AK747" s="8">
        <f t="shared" si="12"/>
        <v>0.99652287967585285</v>
      </c>
      <c r="AL747">
        <v>320.53999999999996</v>
      </c>
    </row>
    <row r="748" spans="33:38" x14ac:dyDescent="0.35">
      <c r="AG748" s="3" t="s">
        <v>379</v>
      </c>
      <c r="AH748" s="6">
        <v>318.23899999999998</v>
      </c>
      <c r="AI748" s="6">
        <v>-242.73990000000003</v>
      </c>
      <c r="AJ748" s="6">
        <f>SUM($AH$2:AH748)</f>
        <v>2289531.4555000043</v>
      </c>
      <c r="AK748" s="8">
        <f t="shared" si="12"/>
        <v>0.99666141305597644</v>
      </c>
      <c r="AL748">
        <v>318.23899999999998</v>
      </c>
    </row>
    <row r="749" spans="33:38" x14ac:dyDescent="0.35">
      <c r="AG749" s="3" t="s">
        <v>462</v>
      </c>
      <c r="AH749" s="6">
        <v>309.28100000000001</v>
      </c>
      <c r="AI749" s="6">
        <v>-24.077100000000005</v>
      </c>
      <c r="AJ749" s="6">
        <f>SUM($AH$2:AH749)</f>
        <v>2289840.7365000043</v>
      </c>
      <c r="AK749" s="8">
        <f t="shared" si="12"/>
        <v>0.99679604690769785</v>
      </c>
      <c r="AL749">
        <v>309.28100000000001</v>
      </c>
    </row>
    <row r="750" spans="33:38" x14ac:dyDescent="0.35">
      <c r="AG750" s="3" t="s">
        <v>877</v>
      </c>
      <c r="AH750" s="6">
        <v>303.94799999999998</v>
      </c>
      <c r="AI750" s="6">
        <v>113.1204</v>
      </c>
      <c r="AJ750" s="6">
        <f>SUM($AH$2:AH750)</f>
        <v>2290144.6845000042</v>
      </c>
      <c r="AK750" s="8">
        <f t="shared" si="12"/>
        <v>0.99692835923843592</v>
      </c>
      <c r="AL750">
        <v>303.94799999999998</v>
      </c>
    </row>
    <row r="751" spans="33:38" x14ac:dyDescent="0.35">
      <c r="AG751" s="3" t="s">
        <v>406</v>
      </c>
      <c r="AH751" s="6">
        <v>287.98999999999995</v>
      </c>
      <c r="AI751" s="6">
        <v>64.429599999999994</v>
      </c>
      <c r="AJ751" s="6">
        <f>SUM($AH$2:AH751)</f>
        <v>2290432.6745000044</v>
      </c>
      <c r="AK751" s="8">
        <f t="shared" si="12"/>
        <v>0.99705372485403243</v>
      </c>
      <c r="AL751">
        <v>287.98999999999995</v>
      </c>
    </row>
    <row r="752" spans="33:38" x14ac:dyDescent="0.35">
      <c r="AG752" s="3" t="s">
        <v>497</v>
      </c>
      <c r="AH752" s="6">
        <v>287.42599999999999</v>
      </c>
      <c r="AI752" s="6">
        <v>12.627700000000001</v>
      </c>
      <c r="AJ752" s="6">
        <f>SUM($AH$2:AH752)</f>
        <v>2290720.1005000044</v>
      </c>
      <c r="AK752" s="8">
        <f t="shared" si="12"/>
        <v>0.99717884495344</v>
      </c>
      <c r="AL752">
        <v>287.42599999999999</v>
      </c>
    </row>
    <row r="753" spans="33:38" x14ac:dyDescent="0.35">
      <c r="AG753" s="3" t="s">
        <v>911</v>
      </c>
      <c r="AH753" s="6">
        <v>280.63200000000001</v>
      </c>
      <c r="AI753" s="6">
        <v>31.175699999999999</v>
      </c>
      <c r="AJ753" s="6">
        <f>SUM($AH$2:AH753)</f>
        <v>2291000.7325000046</v>
      </c>
      <c r="AK753" s="8">
        <f t="shared" si="12"/>
        <v>0.99730100754046058</v>
      </c>
      <c r="AL753">
        <v>280.63200000000001</v>
      </c>
    </row>
    <row r="754" spans="33:38" x14ac:dyDescent="0.35">
      <c r="AG754" s="3" t="s">
        <v>660</v>
      </c>
      <c r="AH754" s="6">
        <v>279.25599999999997</v>
      </c>
      <c r="AI754" s="6">
        <v>51.825200000000002</v>
      </c>
      <c r="AJ754" s="6">
        <f>SUM($AH$2:AH754)</f>
        <v>2291279.9885000046</v>
      </c>
      <c r="AK754" s="8">
        <f t="shared" si="12"/>
        <v>0.99742257113763055</v>
      </c>
      <c r="AL754">
        <v>279.25599999999997</v>
      </c>
    </row>
    <row r="755" spans="33:38" x14ac:dyDescent="0.35">
      <c r="AG755" s="3" t="s">
        <v>737</v>
      </c>
      <c r="AH755" s="6">
        <v>273.87199999999996</v>
      </c>
      <c r="AI755" s="6">
        <v>24.788800000000002</v>
      </c>
      <c r="AJ755" s="6">
        <f>SUM($AH$2:AH755)</f>
        <v>2291553.8605000046</v>
      </c>
      <c r="AK755" s="8">
        <f t="shared" si="12"/>
        <v>0.99754179101288531</v>
      </c>
      <c r="AL755">
        <v>273.87199999999996</v>
      </c>
    </row>
    <row r="756" spans="33:38" x14ac:dyDescent="0.35">
      <c r="AG756" s="3" t="s">
        <v>669</v>
      </c>
      <c r="AH756" s="6">
        <v>272.95</v>
      </c>
      <c r="AI756" s="6">
        <v>110.9272</v>
      </c>
      <c r="AJ756" s="6">
        <f>SUM($AH$2:AH756)</f>
        <v>2291826.8105000048</v>
      </c>
      <c r="AK756" s="8">
        <f t="shared" si="12"/>
        <v>0.99766060953011526</v>
      </c>
      <c r="AL756">
        <v>272.95</v>
      </c>
    </row>
    <row r="757" spans="33:38" x14ac:dyDescent="0.35">
      <c r="AG757" s="3" t="s">
        <v>847</v>
      </c>
      <c r="AH757" s="6">
        <v>269.54200000000003</v>
      </c>
      <c r="AI757" s="6">
        <v>36.434399999999997</v>
      </c>
      <c r="AJ757" s="6">
        <f>SUM($AH$2:AH757)</f>
        <v>2292096.3525000047</v>
      </c>
      <c r="AK757" s="8">
        <f t="shared" si="12"/>
        <v>0.99777794450271518</v>
      </c>
      <c r="AL757">
        <v>269.54200000000003</v>
      </c>
    </row>
    <row r="758" spans="33:38" x14ac:dyDescent="0.35">
      <c r="AG758" s="3" t="s">
        <v>355</v>
      </c>
      <c r="AH758" s="6">
        <v>265.29599999999999</v>
      </c>
      <c r="AI758" s="6">
        <v>36.613099999999996</v>
      </c>
      <c r="AJ758" s="6">
        <f>SUM($AH$2:AH758)</f>
        <v>2292361.6485000048</v>
      </c>
      <c r="AK758" s="8">
        <f t="shared" si="12"/>
        <v>0.99789343113890139</v>
      </c>
      <c r="AL758">
        <v>265.29599999999999</v>
      </c>
    </row>
    <row r="759" spans="33:38" x14ac:dyDescent="0.35">
      <c r="AG759" s="3" t="s">
        <v>320</v>
      </c>
      <c r="AH759" s="6">
        <v>264.86400000000003</v>
      </c>
      <c r="AI759" s="6">
        <v>43.669499999999999</v>
      </c>
      <c r="AJ759" s="6">
        <f>SUM($AH$2:AH759)</f>
        <v>2292626.5125000048</v>
      </c>
      <c r="AK759" s="8">
        <f t="shared" si="12"/>
        <v>0.99800872972013455</v>
      </c>
      <c r="AL759">
        <v>264.86400000000003</v>
      </c>
    </row>
    <row r="760" spans="33:38" x14ac:dyDescent="0.35">
      <c r="AG760" s="3" t="s">
        <v>908</v>
      </c>
      <c r="AH760" s="6">
        <v>251.36</v>
      </c>
      <c r="AI760" s="6">
        <v>-135.87599999999998</v>
      </c>
      <c r="AJ760" s="6">
        <f>SUM($AH$2:AH760)</f>
        <v>2292877.8725000047</v>
      </c>
      <c r="AK760" s="8">
        <f t="shared" si="12"/>
        <v>0.9981181498428342</v>
      </c>
      <c r="AL760">
        <v>251.36</v>
      </c>
    </row>
    <row r="761" spans="33:38" x14ac:dyDescent="0.35">
      <c r="AG761" s="3" t="s">
        <v>412</v>
      </c>
      <c r="AH761" s="6">
        <v>244.494</v>
      </c>
      <c r="AI761" s="6">
        <v>-26.592700000000001</v>
      </c>
      <c r="AJ761" s="6">
        <f>SUM($AH$2:AH761)</f>
        <v>2293122.3665000047</v>
      </c>
      <c r="AK761" s="8">
        <f t="shared" si="12"/>
        <v>0.9982245811106546</v>
      </c>
      <c r="AL761">
        <v>244.494</v>
      </c>
    </row>
    <row r="762" spans="33:38" x14ac:dyDescent="0.35">
      <c r="AG762" s="3" t="s">
        <v>580</v>
      </c>
      <c r="AH762" s="6">
        <v>239.48100000000002</v>
      </c>
      <c r="AI762" s="6">
        <v>-0.75270000000000259</v>
      </c>
      <c r="AJ762" s="6">
        <f>SUM($AH$2:AH762)</f>
        <v>2293361.8475000048</v>
      </c>
      <c r="AK762" s="8">
        <f t="shared" si="12"/>
        <v>0.9983288301574571</v>
      </c>
      <c r="AL762">
        <v>239.48100000000002</v>
      </c>
    </row>
    <row r="763" spans="33:38" x14ac:dyDescent="0.35">
      <c r="AG763" s="3" t="s">
        <v>409</v>
      </c>
      <c r="AH763" s="6">
        <v>236.53</v>
      </c>
      <c r="AI763" s="6">
        <v>31.837599999999998</v>
      </c>
      <c r="AJ763" s="6">
        <f>SUM($AH$2:AH763)</f>
        <v>2293598.3775000046</v>
      </c>
      <c r="AK763" s="8">
        <f t="shared" si="12"/>
        <v>0.99843179459739251</v>
      </c>
      <c r="AL763">
        <v>236.53</v>
      </c>
    </row>
    <row r="764" spans="33:38" x14ac:dyDescent="0.35">
      <c r="AG764" s="3" t="s">
        <v>264</v>
      </c>
      <c r="AH764" s="6">
        <v>228.99</v>
      </c>
      <c r="AI764" s="6">
        <v>40.154599999999988</v>
      </c>
      <c r="AJ764" s="6">
        <f>SUM($AH$2:AH764)</f>
        <v>2293827.3675000048</v>
      </c>
      <c r="AK764" s="8">
        <f t="shared" si="12"/>
        <v>0.99853147678189691</v>
      </c>
      <c r="AL764">
        <v>228.99</v>
      </c>
    </row>
    <row r="765" spans="33:38" x14ac:dyDescent="0.35">
      <c r="AG765" s="3" t="s">
        <v>217</v>
      </c>
      <c r="AH765" s="6">
        <v>226.43599999999998</v>
      </c>
      <c r="AI765" s="6">
        <v>-6.1392000000000024</v>
      </c>
      <c r="AJ765" s="6">
        <f>SUM($AH$2:AH765)</f>
        <v>2294053.803500005</v>
      </c>
      <c r="AK765" s="8">
        <f t="shared" si="12"/>
        <v>0.99863004717855375</v>
      </c>
      <c r="AL765">
        <v>226.43599999999998</v>
      </c>
    </row>
    <row r="766" spans="33:38" x14ac:dyDescent="0.35">
      <c r="AG766" s="3" t="s">
        <v>613</v>
      </c>
      <c r="AH766" s="6">
        <v>221.08399999999997</v>
      </c>
      <c r="AI766" s="6">
        <v>72.678999999999988</v>
      </c>
      <c r="AJ766" s="6">
        <f>SUM($AH$2:AH766)</f>
        <v>2294274.8875000048</v>
      </c>
      <c r="AK766" s="8">
        <f t="shared" si="12"/>
        <v>0.99872628778329176</v>
      </c>
      <c r="AL766">
        <v>221.08399999999997</v>
      </c>
    </row>
    <row r="767" spans="33:38" x14ac:dyDescent="0.35">
      <c r="AG767" s="3" t="s">
        <v>608</v>
      </c>
      <c r="AH767" s="6">
        <v>218.66800000000001</v>
      </c>
      <c r="AI767" s="6">
        <v>86.734200000000001</v>
      </c>
      <c r="AJ767" s="6">
        <f>SUM($AH$2:AH767)</f>
        <v>2294493.5555000049</v>
      </c>
      <c r="AK767" s="8">
        <f t="shared" si="12"/>
        <v>0.99882147667329224</v>
      </c>
      <c r="AL767">
        <v>218.66800000000001</v>
      </c>
    </row>
    <row r="768" spans="33:38" x14ac:dyDescent="0.35">
      <c r="AG768" s="3" t="s">
        <v>460</v>
      </c>
      <c r="AH768" s="6">
        <v>200.94499999999999</v>
      </c>
      <c r="AI768" s="6">
        <v>69.278400000000005</v>
      </c>
      <c r="AJ768" s="6">
        <f>SUM($AH$2:AH768)</f>
        <v>2294694.5005000047</v>
      </c>
      <c r="AK768" s="8">
        <f t="shared" si="12"/>
        <v>0.99890895052177997</v>
      </c>
      <c r="AL768">
        <v>200.94499999999999</v>
      </c>
    </row>
    <row r="769" spans="33:38" x14ac:dyDescent="0.35">
      <c r="AG769" s="3" t="s">
        <v>432</v>
      </c>
      <c r="AH769" s="6">
        <v>195</v>
      </c>
      <c r="AI769" s="6">
        <v>34.449200000000005</v>
      </c>
      <c r="AJ769" s="6">
        <f>SUM($AH$2:AH769)</f>
        <v>2294889.5005000047</v>
      </c>
      <c r="AK769" s="8">
        <f t="shared" si="12"/>
        <v>0.99899383643810102</v>
      </c>
      <c r="AL769">
        <v>195</v>
      </c>
    </row>
    <row r="770" spans="33:38" x14ac:dyDescent="0.35">
      <c r="AG770" s="3" t="s">
        <v>413</v>
      </c>
      <c r="AH770" s="6">
        <v>170.58399999999997</v>
      </c>
      <c r="AI770" s="6">
        <v>-8.4310000000000009</v>
      </c>
      <c r="AJ770" s="6">
        <f>SUM($AH$2:AH770)</f>
        <v>2295060.0845000045</v>
      </c>
      <c r="AK770" s="8">
        <f t="shared" si="12"/>
        <v>0.99906809376707373</v>
      </c>
      <c r="AL770">
        <v>170.58399999999997</v>
      </c>
    </row>
    <row r="771" spans="33:38" x14ac:dyDescent="0.35">
      <c r="AG771" s="3" t="s">
        <v>880</v>
      </c>
      <c r="AH771" s="6">
        <v>162.232</v>
      </c>
      <c r="AI771" s="6">
        <v>42.6648</v>
      </c>
      <c r="AJ771" s="6">
        <f>SUM($AH$2:AH771)</f>
        <v>2295222.3165000044</v>
      </c>
      <c r="AK771" s="8">
        <f t="shared" ref="AK771:AK794" si="13">AJ771/$AH$795</f>
        <v>0.99913871536695364</v>
      </c>
      <c r="AL771">
        <v>162.232</v>
      </c>
    </row>
    <row r="772" spans="33:38" x14ac:dyDescent="0.35">
      <c r="AG772" s="3" t="s">
        <v>894</v>
      </c>
      <c r="AH772" s="6">
        <v>161.28</v>
      </c>
      <c r="AI772" s="6">
        <v>12.096</v>
      </c>
      <c r="AJ772" s="6">
        <f>SUM($AH$2:AH772)</f>
        <v>2295383.5965000042</v>
      </c>
      <c r="AK772" s="8">
        <f t="shared" si="13"/>
        <v>0.99920892254943694</v>
      </c>
      <c r="AL772">
        <v>161.28</v>
      </c>
    </row>
    <row r="773" spans="33:38" x14ac:dyDescent="0.35">
      <c r="AG773" s="3" t="s">
        <v>804</v>
      </c>
      <c r="AH773" s="6">
        <v>160.572</v>
      </c>
      <c r="AI773" s="6">
        <v>-20.050800000000002</v>
      </c>
      <c r="AJ773" s="6">
        <f>SUM($AH$2:AH773)</f>
        <v>2295544.1685000043</v>
      </c>
      <c r="AK773" s="8">
        <f t="shared" si="13"/>
        <v>0.99927882153074721</v>
      </c>
      <c r="AL773">
        <v>160.572</v>
      </c>
    </row>
    <row r="774" spans="33:38" x14ac:dyDescent="0.35">
      <c r="AG774" s="3" t="s">
        <v>623</v>
      </c>
      <c r="AH774" s="6">
        <v>156.76</v>
      </c>
      <c r="AI774" s="6">
        <v>56.790399999999991</v>
      </c>
      <c r="AJ774" s="6">
        <f>SUM($AH$2:AH774)</f>
        <v>2295700.9285000041</v>
      </c>
      <c r="AK774" s="8">
        <f t="shared" si="13"/>
        <v>0.9993470611012214</v>
      </c>
      <c r="AL774">
        <v>156.76</v>
      </c>
    </row>
    <row r="775" spans="33:38" x14ac:dyDescent="0.35">
      <c r="AG775" s="3" t="s">
        <v>767</v>
      </c>
      <c r="AH775" s="6">
        <v>154.28800000000001</v>
      </c>
      <c r="AI775" s="6">
        <v>-82.007400000000004</v>
      </c>
      <c r="AJ775" s="6">
        <f>SUM($AH$2:AH775)</f>
        <v>2295855.2165000043</v>
      </c>
      <c r="AK775" s="8">
        <f t="shared" si="13"/>
        <v>0.99941422457946416</v>
      </c>
      <c r="AL775">
        <v>154.28800000000001</v>
      </c>
    </row>
    <row r="776" spans="33:38" x14ac:dyDescent="0.35">
      <c r="AG776" s="3" t="s">
        <v>438</v>
      </c>
      <c r="AH776" s="6">
        <v>146.94080000000002</v>
      </c>
      <c r="AI776" s="6">
        <v>-5.8102000000000009</v>
      </c>
      <c r="AJ776" s="6">
        <f>SUM($AH$2:AH776)</f>
        <v>2296002.1573000043</v>
      </c>
      <c r="AK776" s="8">
        <f t="shared" si="13"/>
        <v>0.99947818973050495</v>
      </c>
      <c r="AL776">
        <v>146.94080000000002</v>
      </c>
    </row>
    <row r="777" spans="33:38" x14ac:dyDescent="0.35">
      <c r="AG777" s="3" t="s">
        <v>634</v>
      </c>
      <c r="AH777" s="6">
        <v>132.738</v>
      </c>
      <c r="AI777" s="6">
        <v>21.897000000000002</v>
      </c>
      <c r="AJ777" s="6">
        <f>SUM($AH$2:AH777)</f>
        <v>2296134.8953000042</v>
      </c>
      <c r="AK777" s="8">
        <f t="shared" si="13"/>
        <v>0.9995359722267132</v>
      </c>
      <c r="AL777">
        <v>132.738</v>
      </c>
    </row>
    <row r="778" spans="33:38" x14ac:dyDescent="0.35">
      <c r="AG778" s="3" t="s">
        <v>587</v>
      </c>
      <c r="AH778" s="6">
        <v>130.83000000000001</v>
      </c>
      <c r="AI778" s="6">
        <v>59.452199999999998</v>
      </c>
      <c r="AJ778" s="6">
        <f>SUM($AH$2:AH778)</f>
        <v>2296265.7253000042</v>
      </c>
      <c r="AK778" s="8">
        <f t="shared" si="13"/>
        <v>0.99959292414687873</v>
      </c>
      <c r="AL778">
        <v>130.83000000000001</v>
      </c>
    </row>
    <row r="779" spans="33:38" x14ac:dyDescent="0.35">
      <c r="AG779" s="3" t="s">
        <v>417</v>
      </c>
      <c r="AH779" s="6">
        <v>124.28</v>
      </c>
      <c r="AI779" s="6">
        <v>27.115400000000001</v>
      </c>
      <c r="AJ779" s="6">
        <f>SUM($AH$2:AH779)</f>
        <v>2296390.005300004</v>
      </c>
      <c r="AK779" s="8">
        <f t="shared" si="13"/>
        <v>0.99964702477088063</v>
      </c>
      <c r="AL779">
        <v>124.28</v>
      </c>
    </row>
    <row r="780" spans="33:38" x14ac:dyDescent="0.35">
      <c r="AG780" s="3" t="s">
        <v>206</v>
      </c>
      <c r="AH780" s="6">
        <v>113.83199999999999</v>
      </c>
      <c r="AI780" s="6">
        <v>33.870599999999996</v>
      </c>
      <c r="AJ780" s="6">
        <f>SUM($AH$2:AH780)</f>
        <v>2296503.837300004</v>
      </c>
      <c r="AK780" s="8">
        <f t="shared" si="13"/>
        <v>0.99969657725101724</v>
      </c>
      <c r="AL780">
        <v>113.83199999999999</v>
      </c>
    </row>
    <row r="781" spans="33:38" x14ac:dyDescent="0.35">
      <c r="AG781" s="3" t="s">
        <v>831</v>
      </c>
      <c r="AH781" s="6">
        <v>98.35</v>
      </c>
      <c r="AI781" s="6">
        <v>28.687899999999999</v>
      </c>
      <c r="AJ781" s="6">
        <f>SUM($AH$2:AH781)</f>
        <v>2296602.1873000041</v>
      </c>
      <c r="AK781" s="8">
        <f t="shared" si="13"/>
        <v>0.99973939022471048</v>
      </c>
      <c r="AL781">
        <v>98.35</v>
      </c>
    </row>
    <row r="782" spans="33:38" x14ac:dyDescent="0.35">
      <c r="AG782" s="3" t="s">
        <v>872</v>
      </c>
      <c r="AH782" s="6">
        <v>88.472000000000008</v>
      </c>
      <c r="AI782" s="6">
        <v>0.11099999999999888</v>
      </c>
      <c r="AJ782" s="6">
        <f>SUM($AH$2:AH782)</f>
        <v>2296690.6593000041</v>
      </c>
      <c r="AK782" s="8">
        <f t="shared" si="13"/>
        <v>0.99977790318260162</v>
      </c>
      <c r="AL782">
        <v>88.472000000000008</v>
      </c>
    </row>
    <row r="783" spans="33:38" x14ac:dyDescent="0.35">
      <c r="AG783" s="3" t="s">
        <v>901</v>
      </c>
      <c r="AH783" s="6">
        <v>88.15</v>
      </c>
      <c r="AI783" s="6">
        <v>32.633000000000003</v>
      </c>
      <c r="AJ783" s="6">
        <f>SUM($AH$2:AH783)</f>
        <v>2296778.809300004</v>
      </c>
      <c r="AK783" s="8">
        <f t="shared" si="13"/>
        <v>0.99981627596990252</v>
      </c>
      <c r="AL783">
        <v>88.15</v>
      </c>
    </row>
    <row r="784" spans="33:38" x14ac:dyDescent="0.35">
      <c r="AG784" s="3" t="s">
        <v>903</v>
      </c>
      <c r="AH784" s="6">
        <v>79.75</v>
      </c>
      <c r="AI784" s="6">
        <v>23.491299999999999</v>
      </c>
      <c r="AJ784" s="6">
        <f>SUM($AH$2:AH784)</f>
        <v>2296858.559300004</v>
      </c>
      <c r="AK784" s="8">
        <f t="shared" si="13"/>
        <v>0.9998509921331159</v>
      </c>
      <c r="AL784">
        <v>79.75</v>
      </c>
    </row>
    <row r="785" spans="33:38" x14ac:dyDescent="0.35">
      <c r="AG785" s="3" t="s">
        <v>287</v>
      </c>
      <c r="AH785" s="6">
        <v>71.262999999999991</v>
      </c>
      <c r="AI785" s="6">
        <v>-0.35560000000000036</v>
      </c>
      <c r="AJ785" s="6">
        <f>SUM($AH$2:AH785)</f>
        <v>2296929.8223000038</v>
      </c>
      <c r="AK785" s="8">
        <f t="shared" si="13"/>
        <v>0.99988201380006336</v>
      </c>
      <c r="AL785">
        <v>71.262999999999991</v>
      </c>
    </row>
    <row r="786" spans="33:38" x14ac:dyDescent="0.35">
      <c r="AG786" s="3" t="s">
        <v>295</v>
      </c>
      <c r="AH786" s="6">
        <v>58.82</v>
      </c>
      <c r="AI786" s="6">
        <v>21.849599999999999</v>
      </c>
      <c r="AJ786" s="6">
        <f>SUM($AH$2:AH786)</f>
        <v>2296988.6423000037</v>
      </c>
      <c r="AK786" s="8">
        <f t="shared" si="13"/>
        <v>0.99990761887492485</v>
      </c>
      <c r="AL786">
        <v>58.82</v>
      </c>
    </row>
    <row r="787" spans="33:38" x14ac:dyDescent="0.35">
      <c r="AG787" s="3" t="s">
        <v>537</v>
      </c>
      <c r="AH787" s="6">
        <v>50.188000000000002</v>
      </c>
      <c r="AI787" s="6">
        <v>18.650700000000001</v>
      </c>
      <c r="AJ787" s="6">
        <f>SUM($AH$2:AH787)</f>
        <v>2297038.8303000038</v>
      </c>
      <c r="AK787" s="8">
        <f t="shared" si="13"/>
        <v>0.99992946633322399</v>
      </c>
      <c r="AL787">
        <v>50.188000000000002</v>
      </c>
    </row>
    <row r="788" spans="33:38" x14ac:dyDescent="0.35">
      <c r="AG788" s="3" t="s">
        <v>912</v>
      </c>
      <c r="AH788" s="6">
        <v>48.36</v>
      </c>
      <c r="AI788" s="6">
        <v>6.0449999999999999</v>
      </c>
      <c r="AJ788" s="6">
        <f>SUM($AH$2:AH788)</f>
        <v>2297087.1903000036</v>
      </c>
      <c r="AK788" s="8">
        <f t="shared" si="13"/>
        <v>0.99995051804047153</v>
      </c>
      <c r="AL788">
        <v>48.36</v>
      </c>
    </row>
    <row r="789" spans="33:38" x14ac:dyDescent="0.35">
      <c r="AG789" s="3" t="s">
        <v>853</v>
      </c>
      <c r="AH789" s="6">
        <v>47.945999999999998</v>
      </c>
      <c r="AI789" s="6">
        <v>-3.7073000000000018</v>
      </c>
      <c r="AJ789" s="6">
        <f>SUM($AH$2:AH789)</f>
        <v>2297135.1363000036</v>
      </c>
      <c r="AK789" s="8">
        <f t="shared" si="13"/>
        <v>0.99997138952838915</v>
      </c>
      <c r="AL789">
        <v>47.945999999999998</v>
      </c>
    </row>
    <row r="790" spans="33:38" x14ac:dyDescent="0.35">
      <c r="AG790" s="3" t="s">
        <v>910</v>
      </c>
      <c r="AH790" s="6">
        <v>22.327999999999999</v>
      </c>
      <c r="AI790" s="6">
        <v>9.5838000000000001</v>
      </c>
      <c r="AJ790" s="6">
        <f>SUM($AH$2:AH790)</f>
        <v>2297157.4643000038</v>
      </c>
      <c r="AK790" s="8">
        <f t="shared" si="13"/>
        <v>0.99998110918346417</v>
      </c>
      <c r="AL790">
        <v>22.327999999999999</v>
      </c>
    </row>
    <row r="791" spans="33:38" x14ac:dyDescent="0.35">
      <c r="AG791" s="3" t="s">
        <v>888</v>
      </c>
      <c r="AH791" s="6">
        <v>16.739000000000001</v>
      </c>
      <c r="AI791" s="6">
        <v>-1.2453000000000001</v>
      </c>
      <c r="AJ791" s="6">
        <f>SUM($AH$2:AH791)</f>
        <v>2297174.2033000039</v>
      </c>
      <c r="AK791" s="8">
        <f t="shared" si="13"/>
        <v>0.9999883958775837</v>
      </c>
      <c r="AL791">
        <v>16.739000000000001</v>
      </c>
    </row>
    <row r="792" spans="33:38" x14ac:dyDescent="0.35">
      <c r="AG792" s="3" t="s">
        <v>909</v>
      </c>
      <c r="AH792" s="6">
        <v>16.52</v>
      </c>
      <c r="AI792" s="6">
        <v>1.6519999999999999</v>
      </c>
      <c r="AJ792" s="6">
        <f>SUM($AH$2:AH792)</f>
        <v>2297190.7233000039</v>
      </c>
      <c r="AK792" s="8">
        <f t="shared" si="13"/>
        <v>0.99999558723828941</v>
      </c>
      <c r="AL792">
        <v>16.52</v>
      </c>
    </row>
    <row r="793" spans="33:38" x14ac:dyDescent="0.35">
      <c r="AG793" s="3" t="s">
        <v>897</v>
      </c>
      <c r="AH793" s="6">
        <v>5.3040000000000003</v>
      </c>
      <c r="AI793" s="6">
        <v>0.46410000000000001</v>
      </c>
      <c r="AJ793" s="6">
        <f>SUM($AH$2:AH793)</f>
        <v>2297196.0273000039</v>
      </c>
      <c r="AK793" s="8">
        <f t="shared" si="13"/>
        <v>0.99999789613521339</v>
      </c>
      <c r="AL793">
        <v>5.3040000000000003</v>
      </c>
    </row>
    <row r="794" spans="33:38" x14ac:dyDescent="0.35">
      <c r="AG794" s="3" t="s">
        <v>559</v>
      </c>
      <c r="AH794" s="6">
        <v>4.8330000000000002</v>
      </c>
      <c r="AI794" s="6">
        <v>-3.3155999999999999</v>
      </c>
      <c r="AJ794" s="6">
        <f>SUM($AH$2:AH794)</f>
        <v>2297200.860300004</v>
      </c>
      <c r="AK794" s="8">
        <f t="shared" si="13"/>
        <v>1.0000000000000011</v>
      </c>
      <c r="AL794">
        <v>4.8330000000000002</v>
      </c>
    </row>
    <row r="795" spans="33:38" x14ac:dyDescent="0.35">
      <c r="AG795" s="3" t="s">
        <v>915</v>
      </c>
      <c r="AH795" s="6">
        <v>2297200.8603000017</v>
      </c>
      <c r="AI795" s="6">
        <v>286397.02169999987</v>
      </c>
      <c r="AJ795" s="6"/>
      <c r="AK795" s="8"/>
      <c r="AL795">
        <v>2297200.8603000017</v>
      </c>
    </row>
  </sheetData>
  <mergeCells count="5">
    <mergeCell ref="A1:O2"/>
    <mergeCell ref="A18:G18"/>
    <mergeCell ref="A34:G34"/>
    <mergeCell ref="I34:O34"/>
    <mergeCell ref="H18:O18"/>
  </mergeCell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E38D-AF02-4FA5-80B3-1BDBF46ABE29}">
  <dimension ref="A1:X37"/>
  <sheetViews>
    <sheetView tabSelected="1" zoomScale="90" zoomScaleNormal="90" workbookViewId="0">
      <selection activeCell="T24" sqref="T24"/>
    </sheetView>
  </sheetViews>
  <sheetFormatPr defaultRowHeight="14.5" x14ac:dyDescent="0.35"/>
  <cols>
    <col min="21" max="21" width="22.08984375" bestFit="1" customWidth="1"/>
    <col min="22" max="22" width="12.54296875" bestFit="1" customWidth="1"/>
    <col min="23" max="23" width="11.81640625" bestFit="1" customWidth="1"/>
    <col min="24" max="24" width="7.81640625" bestFit="1" customWidth="1"/>
  </cols>
  <sheetData>
    <row r="1" spans="1:24" x14ac:dyDescent="0.35">
      <c r="A1" s="17" t="s">
        <v>938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V1" s="11" t="s">
        <v>2</v>
      </c>
      <c r="W1" s="11" t="s">
        <v>928</v>
      </c>
    </row>
    <row r="2" spans="1:24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U2" s="12" t="s">
        <v>930</v>
      </c>
      <c r="V2" s="6">
        <v>315036.72386999987</v>
      </c>
      <c r="W2" s="4">
        <v>0.1246721724031562</v>
      </c>
    </row>
    <row r="3" spans="1:24" x14ac:dyDescent="0.35">
      <c r="A3" s="18" t="s">
        <v>917</v>
      </c>
      <c r="B3" s="18"/>
      <c r="C3" s="18"/>
      <c r="D3" s="18" t="s">
        <v>918</v>
      </c>
      <c r="E3" s="18"/>
      <c r="F3" s="18"/>
      <c r="G3" s="18" t="s">
        <v>916</v>
      </c>
      <c r="H3" s="18"/>
      <c r="I3" s="18"/>
      <c r="J3" s="18" t="s">
        <v>926</v>
      </c>
      <c r="K3" s="18"/>
      <c r="L3" s="18"/>
      <c r="M3" s="18" t="s">
        <v>939</v>
      </c>
      <c r="N3" s="18"/>
      <c r="O3" s="18"/>
      <c r="U3" s="11" t="s">
        <v>927</v>
      </c>
      <c r="V3" s="6">
        <v>399420.17909016984</v>
      </c>
      <c r="W3" s="4">
        <v>0.17387255332910309</v>
      </c>
    </row>
    <row r="4" spans="1:24" x14ac:dyDescent="0.35">
      <c r="A4" s="19" t="e">
        <f>#REF!</f>
        <v>#REF!</v>
      </c>
      <c r="B4" s="20"/>
      <c r="C4" s="20"/>
      <c r="D4" s="19" t="e">
        <f>#REF!</f>
        <v>#REF!</v>
      </c>
      <c r="E4" s="20"/>
      <c r="F4" s="20"/>
      <c r="G4" s="21" t="e">
        <f>#REF!</f>
        <v>#REF!</v>
      </c>
      <c r="H4" s="21"/>
      <c r="I4" s="21"/>
      <c r="J4" s="20">
        <v>1871</v>
      </c>
      <c r="K4" s="20"/>
      <c r="L4" s="20"/>
      <c r="M4" s="22">
        <v>0.187</v>
      </c>
      <c r="N4" s="22"/>
      <c r="O4" s="22"/>
      <c r="U4" s="12" t="s">
        <v>929</v>
      </c>
      <c r="V4" s="6">
        <v>463793.30666132865</v>
      </c>
      <c r="W4" s="4">
        <v>0.20189497343334797</v>
      </c>
    </row>
    <row r="5" spans="1:24" x14ac:dyDescent="0.35">
      <c r="A5" s="20"/>
      <c r="B5" s="20"/>
      <c r="C5" s="20"/>
      <c r="D5" s="20"/>
      <c r="E5" s="20"/>
      <c r="F5" s="20"/>
      <c r="G5" s="21"/>
      <c r="H5" s="21"/>
      <c r="I5" s="21"/>
      <c r="J5" s="20"/>
      <c r="K5" s="20"/>
      <c r="L5" s="20"/>
      <c r="M5" s="22"/>
      <c r="N5" s="22"/>
      <c r="O5" s="22"/>
    </row>
    <row r="6" spans="1:24" x14ac:dyDescent="0.35">
      <c r="A6" s="20"/>
      <c r="B6" s="20"/>
      <c r="C6" s="20"/>
      <c r="D6" s="20"/>
      <c r="E6" s="20"/>
      <c r="F6" s="20"/>
      <c r="G6" s="21"/>
      <c r="H6" s="21"/>
      <c r="I6" s="21"/>
      <c r="J6" s="20"/>
      <c r="K6" s="20"/>
      <c r="L6" s="20"/>
      <c r="M6" s="22"/>
      <c r="N6" s="22"/>
      <c r="O6" s="22"/>
      <c r="V6" s="11" t="s">
        <v>941</v>
      </c>
      <c r="W6" s="1"/>
    </row>
    <row r="7" spans="1:24" x14ac:dyDescent="0.35">
      <c r="A7" s="23" t="s">
        <v>940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U7" s="12" t="s">
        <v>930</v>
      </c>
      <c r="V7" s="6">
        <f>W7 - $X$7</f>
        <v>28639.7021700021</v>
      </c>
      <c r="W7" s="6">
        <v>315036.72386999987</v>
      </c>
      <c r="X7" s="10">
        <v>286397.02169999777</v>
      </c>
    </row>
    <row r="8" spans="1:24" x14ac:dyDescent="0.35">
      <c r="U8" s="11" t="s">
        <v>927</v>
      </c>
      <c r="V8" s="6">
        <f t="shared" ref="V8:V9" si="0">W8 - $X$7</f>
        <v>113023.15739017207</v>
      </c>
      <c r="W8" s="6">
        <v>399420.17909016984</v>
      </c>
    </row>
    <row r="9" spans="1:24" x14ac:dyDescent="0.35">
      <c r="U9" s="12" t="s">
        <v>929</v>
      </c>
      <c r="V9" s="6">
        <f t="shared" si="0"/>
        <v>177396.28496133088</v>
      </c>
      <c r="W9" s="6">
        <v>463793.30666132865</v>
      </c>
    </row>
    <row r="11" spans="1:24" x14ac:dyDescent="0.35">
      <c r="U11" s="25" t="s">
        <v>942</v>
      </c>
      <c r="V11" s="23"/>
      <c r="W11" s="14" t="s">
        <v>943</v>
      </c>
    </row>
    <row r="12" spans="1:24" x14ac:dyDescent="0.35">
      <c r="U12" s="26" t="s">
        <v>1</v>
      </c>
      <c r="V12" s="27"/>
      <c r="W12" s="15" t="s">
        <v>944</v>
      </c>
    </row>
    <row r="13" spans="1:24" x14ac:dyDescent="0.35">
      <c r="U13" s="26" t="s">
        <v>945</v>
      </c>
      <c r="V13" s="27"/>
      <c r="W13" s="15" t="s">
        <v>946</v>
      </c>
    </row>
    <row r="14" spans="1:24" x14ac:dyDescent="0.35">
      <c r="U14" s="26" t="s">
        <v>0</v>
      </c>
      <c r="V14" s="27"/>
      <c r="W14" s="15" t="s">
        <v>946</v>
      </c>
    </row>
    <row r="15" spans="1:24" x14ac:dyDescent="0.35">
      <c r="U15" s="28" t="s">
        <v>947</v>
      </c>
      <c r="V15" s="29"/>
      <c r="W15" s="16" t="s">
        <v>948</v>
      </c>
    </row>
    <row r="19" spans="1:15" x14ac:dyDescent="0.35">
      <c r="A19" s="35" t="s">
        <v>964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31" spans="1:15" x14ac:dyDescent="0.35">
      <c r="A31" s="36" t="s">
        <v>965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 ht="14.5" customHeight="1" x14ac:dyDescent="0.35">
      <c r="A32" s="30" t="s">
        <v>949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spans="1:15" x14ac:dyDescent="0.3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 spans="1:15" x14ac:dyDescent="0.35">
      <c r="A34" s="31" t="s">
        <v>966</v>
      </c>
      <c r="B34" s="31"/>
      <c r="C34" s="31"/>
      <c r="D34" s="31"/>
      <c r="E34" s="31" t="s">
        <v>967</v>
      </c>
      <c r="F34" s="32"/>
      <c r="G34" s="32"/>
      <c r="H34" s="32"/>
      <c r="I34" s="33" t="s">
        <v>968</v>
      </c>
      <c r="J34" s="34"/>
      <c r="K34" s="34"/>
      <c r="L34" s="34"/>
      <c r="M34" s="33" t="s">
        <v>969</v>
      </c>
      <c r="N34" s="34"/>
      <c r="O34" s="34"/>
    </row>
    <row r="35" spans="1:15" x14ac:dyDescent="0.35">
      <c r="A35" s="31"/>
      <c r="B35" s="31"/>
      <c r="C35" s="31"/>
      <c r="D35" s="31"/>
      <c r="E35" s="32"/>
      <c r="F35" s="32"/>
      <c r="G35" s="32"/>
      <c r="H35" s="32"/>
      <c r="I35" s="34"/>
      <c r="J35" s="34"/>
      <c r="K35" s="34"/>
      <c r="L35" s="34"/>
      <c r="M35" s="34"/>
      <c r="N35" s="34"/>
      <c r="O35" s="34"/>
    </row>
    <row r="36" spans="1:15" x14ac:dyDescent="0.35">
      <c r="A36" s="31"/>
      <c r="B36" s="31"/>
      <c r="C36" s="31"/>
      <c r="D36" s="31"/>
      <c r="E36" s="32"/>
      <c r="F36" s="32"/>
      <c r="G36" s="32"/>
      <c r="H36" s="32"/>
      <c r="I36" s="34"/>
      <c r="J36" s="34"/>
      <c r="K36" s="34"/>
      <c r="L36" s="34"/>
      <c r="M36" s="34"/>
      <c r="N36" s="34"/>
      <c r="O36" s="34"/>
    </row>
    <row r="37" spans="1:15" x14ac:dyDescent="0.35">
      <c r="A37" s="31"/>
      <c r="B37" s="31"/>
      <c r="C37" s="31"/>
      <c r="D37" s="31"/>
      <c r="E37" s="32"/>
      <c r="F37" s="32"/>
      <c r="G37" s="32"/>
      <c r="H37" s="32"/>
      <c r="I37" s="34"/>
      <c r="J37" s="34"/>
      <c r="K37" s="34"/>
      <c r="L37" s="34"/>
      <c r="M37" s="34"/>
      <c r="N37" s="34"/>
      <c r="O37" s="34"/>
    </row>
  </sheetData>
  <mergeCells count="24">
    <mergeCell ref="U15:V15"/>
    <mergeCell ref="A32:O33"/>
    <mergeCell ref="A34:D37"/>
    <mergeCell ref="E34:H37"/>
    <mergeCell ref="I34:L37"/>
    <mergeCell ref="M34:O37"/>
    <mergeCell ref="A19:O19"/>
    <mergeCell ref="A31:O31"/>
    <mergeCell ref="A7:O7"/>
    <mergeCell ref="U11:V11"/>
    <mergeCell ref="U12:V12"/>
    <mergeCell ref="U13:V13"/>
    <mergeCell ref="U14:V14"/>
    <mergeCell ref="A4:C6"/>
    <mergeCell ref="D4:F6"/>
    <mergeCell ref="G4:I6"/>
    <mergeCell ref="J4:L6"/>
    <mergeCell ref="M4:O6"/>
    <mergeCell ref="A1:O2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- Executive</vt:lpstr>
      <vt:lpstr>Dashboard - Product Analysis</vt:lpstr>
      <vt:lpstr>Dashboard - Regional Analysis</vt:lpstr>
      <vt:lpstr>Dashboard - Customer Analysis</vt:lpstr>
      <vt:lpstr>Dashboard - Scenario &amp; Recommen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Le</dc:creator>
  <cp:lastModifiedBy>Anh Le</cp:lastModifiedBy>
  <dcterms:created xsi:type="dcterms:W3CDTF">2026-06-04T17:28:20Z</dcterms:created>
  <dcterms:modified xsi:type="dcterms:W3CDTF">2026-06-22T15:26:10Z</dcterms:modified>
</cp:coreProperties>
</file>